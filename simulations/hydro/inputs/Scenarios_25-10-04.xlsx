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IGERA~1\AppData\Local\Temp\scp56604\home\torisuten\package\Wheat-BRIDGES\simulations\scene\inputs\"/>
    </mc:Choice>
  </mc:AlternateContent>
  <xr:revisionPtr revIDLastSave="0" documentId="13_ncr:1_{5DE5799A-D00E-4962-A0E6-AE219F0E23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s_as_columns" sheetId="2" r:id="rId1"/>
    <sheet name="Comparison_with_parameters.py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0" i="2" l="1"/>
  <c r="K229" i="2"/>
  <c r="K227" i="2"/>
  <c r="K224" i="2"/>
  <c r="K223" i="2"/>
  <c r="K222" i="2"/>
  <c r="K221" i="2"/>
  <c r="K220" i="2"/>
  <c r="K219" i="2"/>
  <c r="K218" i="2"/>
  <c r="K217" i="2"/>
  <c r="K216" i="2"/>
  <c r="K215" i="2"/>
  <c r="K213" i="2"/>
  <c r="K209" i="2"/>
  <c r="K207" i="2"/>
  <c r="K129" i="2"/>
  <c r="K234" i="2" s="1"/>
  <c r="K126" i="2"/>
  <c r="K120" i="2"/>
  <c r="K116" i="2"/>
  <c r="K113" i="2"/>
  <c r="K110" i="2"/>
  <c r="K109" i="2"/>
  <c r="K108" i="2"/>
  <c r="K107" i="2"/>
  <c r="K106" i="2"/>
  <c r="K105" i="2"/>
  <c r="K104" i="2"/>
  <c r="K103" i="2"/>
  <c r="J215" i="2" l="1"/>
  <c r="J234" i="2"/>
  <c r="J129" i="2"/>
  <c r="J120" i="2"/>
  <c r="I120" i="2"/>
  <c r="J223" i="2"/>
  <c r="J221" i="2"/>
  <c r="J219" i="2"/>
  <c r="J207" i="2" l="1"/>
  <c r="J222" i="2" l="1"/>
  <c r="J220" i="2"/>
  <c r="I222" i="2"/>
  <c r="I215" i="2" l="1"/>
  <c r="I220" i="2" l="1"/>
  <c r="I219" i="2" l="1"/>
  <c r="J216" i="2"/>
  <c r="P214" i="2" l="1"/>
  <c r="J230" i="2"/>
  <c r="J229" i="2"/>
  <c r="J227" i="2"/>
  <c r="J224" i="2"/>
  <c r="J218" i="2"/>
  <c r="J217" i="2"/>
  <c r="J213" i="2"/>
  <c r="J209" i="2"/>
  <c r="J126" i="2"/>
  <c r="J116" i="2"/>
  <c r="J113" i="2"/>
  <c r="J110" i="2"/>
  <c r="J109" i="2"/>
  <c r="J108" i="2"/>
  <c r="J107" i="2"/>
  <c r="J106" i="2"/>
  <c r="J105" i="2"/>
  <c r="J104" i="2"/>
  <c r="J103" i="2"/>
  <c r="I223" i="2"/>
  <c r="I221" i="2"/>
  <c r="M232" i="2" l="1"/>
  <c r="M231" i="2"/>
  <c r="M227" i="2"/>
  <c r="M216" i="2"/>
  <c r="M213" i="2"/>
  <c r="M209" i="2"/>
  <c r="M207" i="2"/>
  <c r="M126" i="2"/>
  <c r="M116" i="2"/>
  <c r="M113" i="2"/>
  <c r="M110" i="2"/>
  <c r="M109" i="2"/>
  <c r="M108" i="2"/>
  <c r="M107" i="2"/>
  <c r="M106" i="2"/>
  <c r="M105" i="2"/>
  <c r="M104" i="2"/>
  <c r="M103" i="2"/>
  <c r="O232" i="2"/>
  <c r="O231" i="2"/>
  <c r="O227" i="2"/>
  <c r="O216" i="2"/>
  <c r="O213" i="2"/>
  <c r="O209" i="2"/>
  <c r="O207" i="2"/>
  <c r="O126" i="2"/>
  <c r="O116" i="2"/>
  <c r="O113" i="2"/>
  <c r="O110" i="2"/>
  <c r="O109" i="2"/>
  <c r="O108" i="2"/>
  <c r="O107" i="2"/>
  <c r="O106" i="2"/>
  <c r="O105" i="2"/>
  <c r="O104" i="2"/>
  <c r="O103" i="2"/>
  <c r="N232" i="2"/>
  <c r="N231" i="2"/>
  <c r="N227" i="2"/>
  <c r="N216" i="2"/>
  <c r="N213" i="2"/>
  <c r="N207" i="2"/>
  <c r="N126" i="2"/>
  <c r="N116" i="2"/>
  <c r="N113" i="2"/>
  <c r="N110" i="2"/>
  <c r="N109" i="2"/>
  <c r="N108" i="2"/>
  <c r="N107" i="2"/>
  <c r="N106" i="2"/>
  <c r="N105" i="2"/>
  <c r="N104" i="2"/>
  <c r="N103" i="2"/>
  <c r="AO232" i="2"/>
  <c r="AN232" i="2"/>
  <c r="AO231" i="2"/>
  <c r="AN231" i="2"/>
  <c r="AO227" i="2"/>
  <c r="AN227" i="2"/>
  <c r="AO216" i="2"/>
  <c r="AN216" i="2"/>
  <c r="AO213" i="2"/>
  <c r="AN213" i="2"/>
  <c r="AO209" i="2"/>
  <c r="AN209" i="2"/>
  <c r="AO207" i="2"/>
  <c r="AN207" i="2"/>
  <c r="AO126" i="2"/>
  <c r="AN126" i="2"/>
  <c r="AO116" i="2"/>
  <c r="AN116" i="2"/>
  <c r="AO113" i="2"/>
  <c r="AN113" i="2"/>
  <c r="AO110" i="2"/>
  <c r="AN110" i="2"/>
  <c r="AO109" i="2"/>
  <c r="AN109" i="2"/>
  <c r="AO108" i="2"/>
  <c r="AN108" i="2"/>
  <c r="AO107" i="2"/>
  <c r="AN107" i="2"/>
  <c r="AO106" i="2"/>
  <c r="AN106" i="2"/>
  <c r="AO105" i="2"/>
  <c r="AN105" i="2"/>
  <c r="AO104" i="2"/>
  <c r="AN104" i="2"/>
  <c r="AO103" i="2"/>
  <c r="AN103" i="2"/>
  <c r="AM232" i="2"/>
  <c r="AM231" i="2"/>
  <c r="AM227" i="2"/>
  <c r="AM216" i="2"/>
  <c r="AM213" i="2"/>
  <c r="AM209" i="2"/>
  <c r="AM207" i="2"/>
  <c r="AM126" i="2"/>
  <c r="AM116" i="2"/>
  <c r="AM113" i="2"/>
  <c r="AM110" i="2"/>
  <c r="AM109" i="2"/>
  <c r="AM108" i="2"/>
  <c r="AM107" i="2"/>
  <c r="AM106" i="2"/>
  <c r="AM105" i="2"/>
  <c r="AM104" i="2"/>
  <c r="AM103" i="2"/>
  <c r="AL232" i="2"/>
  <c r="AL231" i="2"/>
  <c r="AL227" i="2"/>
  <c r="AL216" i="2"/>
  <c r="AL213" i="2"/>
  <c r="AL209" i="2"/>
  <c r="AL207" i="2"/>
  <c r="AL126" i="2"/>
  <c r="AL116" i="2"/>
  <c r="AL113" i="2"/>
  <c r="AL110" i="2"/>
  <c r="AL109" i="2"/>
  <c r="AL108" i="2"/>
  <c r="AL107" i="2"/>
  <c r="AL106" i="2"/>
  <c r="AL105" i="2"/>
  <c r="AL104" i="2"/>
  <c r="AL103" i="2"/>
  <c r="AQ232" i="2"/>
  <c r="AQ231" i="2"/>
  <c r="AQ227" i="2"/>
  <c r="AQ216" i="2"/>
  <c r="AQ213" i="2"/>
  <c r="AQ207" i="2"/>
  <c r="AQ126" i="2"/>
  <c r="AQ116" i="2"/>
  <c r="AQ113" i="2"/>
  <c r="AQ110" i="2"/>
  <c r="AQ109" i="2"/>
  <c r="AQ108" i="2"/>
  <c r="AQ107" i="2"/>
  <c r="AQ106" i="2"/>
  <c r="AQ105" i="2"/>
  <c r="AQ104" i="2"/>
  <c r="AQ103" i="2"/>
  <c r="AJ232" i="2"/>
  <c r="AI232" i="2"/>
  <c r="AH232" i="2"/>
  <c r="AG232" i="2"/>
  <c r="AF232" i="2"/>
  <c r="AE232" i="2"/>
  <c r="AD232" i="2"/>
  <c r="AJ231" i="2"/>
  <c r="AI231" i="2"/>
  <c r="AH231" i="2"/>
  <c r="AG231" i="2"/>
  <c r="AF231" i="2"/>
  <c r="AE231" i="2"/>
  <c r="AD231" i="2"/>
  <c r="AJ227" i="2"/>
  <c r="AI227" i="2"/>
  <c r="AH227" i="2"/>
  <c r="AG227" i="2"/>
  <c r="AF227" i="2"/>
  <c r="AE227" i="2"/>
  <c r="AD227" i="2"/>
  <c r="AJ216" i="2"/>
  <c r="AI216" i="2"/>
  <c r="AH216" i="2"/>
  <c r="AG216" i="2"/>
  <c r="AF216" i="2"/>
  <c r="AE216" i="2"/>
  <c r="AD216" i="2"/>
  <c r="AJ213" i="2"/>
  <c r="AI213" i="2"/>
  <c r="AH213" i="2"/>
  <c r="AG213" i="2"/>
  <c r="AF213" i="2"/>
  <c r="AE213" i="2"/>
  <c r="AD213" i="2"/>
  <c r="AJ209" i="2"/>
  <c r="AI209" i="2"/>
  <c r="AH209" i="2"/>
  <c r="AG209" i="2"/>
  <c r="AF209" i="2"/>
  <c r="AE209" i="2"/>
  <c r="AD209" i="2"/>
  <c r="AJ207" i="2"/>
  <c r="AI207" i="2"/>
  <c r="AH207" i="2"/>
  <c r="AG207" i="2"/>
  <c r="AF207" i="2"/>
  <c r="AE207" i="2"/>
  <c r="AD207" i="2"/>
  <c r="AJ126" i="2"/>
  <c r="AI126" i="2"/>
  <c r="AH126" i="2"/>
  <c r="AG126" i="2"/>
  <c r="AF126" i="2"/>
  <c r="AE126" i="2"/>
  <c r="AD126" i="2"/>
  <c r="AJ116" i="2"/>
  <c r="AI116" i="2"/>
  <c r="AH116" i="2"/>
  <c r="AG116" i="2"/>
  <c r="AF116" i="2"/>
  <c r="AE116" i="2"/>
  <c r="AD116" i="2"/>
  <c r="AJ113" i="2"/>
  <c r="AI113" i="2"/>
  <c r="AH113" i="2"/>
  <c r="AG113" i="2"/>
  <c r="AF113" i="2"/>
  <c r="AE113" i="2"/>
  <c r="AD113" i="2"/>
  <c r="AJ110" i="2"/>
  <c r="AI110" i="2"/>
  <c r="AH110" i="2"/>
  <c r="AG110" i="2"/>
  <c r="AF110" i="2"/>
  <c r="AE110" i="2"/>
  <c r="AD110" i="2"/>
  <c r="AJ109" i="2"/>
  <c r="AI109" i="2"/>
  <c r="AH109" i="2"/>
  <c r="AG109" i="2"/>
  <c r="AF109" i="2"/>
  <c r="AE109" i="2"/>
  <c r="AD109" i="2"/>
  <c r="AJ108" i="2"/>
  <c r="AI108" i="2"/>
  <c r="AH108" i="2"/>
  <c r="AG108" i="2"/>
  <c r="AF108" i="2"/>
  <c r="AE108" i="2"/>
  <c r="AD108" i="2"/>
  <c r="AJ107" i="2"/>
  <c r="AI107" i="2"/>
  <c r="AH107" i="2"/>
  <c r="AG107" i="2"/>
  <c r="AF107" i="2"/>
  <c r="AE107" i="2"/>
  <c r="AD107" i="2"/>
  <c r="AJ106" i="2"/>
  <c r="AI106" i="2"/>
  <c r="AH106" i="2"/>
  <c r="AG106" i="2"/>
  <c r="AF106" i="2"/>
  <c r="AE106" i="2"/>
  <c r="AD106" i="2"/>
  <c r="AJ105" i="2"/>
  <c r="AI105" i="2"/>
  <c r="AH105" i="2"/>
  <c r="AG105" i="2"/>
  <c r="AF105" i="2"/>
  <c r="AE105" i="2"/>
  <c r="AD105" i="2"/>
  <c r="AJ104" i="2"/>
  <c r="AI104" i="2"/>
  <c r="AH104" i="2"/>
  <c r="AG104" i="2"/>
  <c r="AF104" i="2"/>
  <c r="AE104" i="2"/>
  <c r="AD104" i="2"/>
  <c r="AJ103" i="2"/>
  <c r="AI103" i="2"/>
  <c r="AH103" i="2"/>
  <c r="AG103" i="2"/>
  <c r="AF103" i="2"/>
  <c r="AE103" i="2"/>
  <c r="AD103" i="2"/>
  <c r="AB232" i="2"/>
  <c r="AB231" i="2"/>
  <c r="AB227" i="2"/>
  <c r="AB216" i="2"/>
  <c r="AB213" i="2"/>
  <c r="AB209" i="2"/>
  <c r="AB207" i="2"/>
  <c r="AB126" i="2"/>
  <c r="AB116" i="2"/>
  <c r="AB113" i="2"/>
  <c r="AB110" i="2"/>
  <c r="AB109" i="2"/>
  <c r="AB108" i="2"/>
  <c r="AB107" i="2"/>
  <c r="AB106" i="2"/>
  <c r="AB105" i="2"/>
  <c r="AB104" i="2"/>
  <c r="AB103" i="2"/>
  <c r="AA232" i="2"/>
  <c r="AA231" i="2"/>
  <c r="AA227" i="2"/>
  <c r="AA216" i="2"/>
  <c r="AA213" i="2"/>
  <c r="AA209" i="2"/>
  <c r="AA207" i="2"/>
  <c r="AA126" i="2"/>
  <c r="AA116" i="2"/>
  <c r="AA113" i="2"/>
  <c r="AA110" i="2"/>
  <c r="AA109" i="2"/>
  <c r="AA108" i="2"/>
  <c r="AA107" i="2"/>
  <c r="AA106" i="2"/>
  <c r="AA105" i="2"/>
  <c r="AA104" i="2"/>
  <c r="AA103" i="2"/>
  <c r="Z232" i="2"/>
  <c r="Z231" i="2"/>
  <c r="Z227" i="2"/>
  <c r="Z216" i="2"/>
  <c r="Z213" i="2"/>
  <c r="Z209" i="2"/>
  <c r="Z207" i="2"/>
  <c r="Z126" i="2"/>
  <c r="Z116" i="2"/>
  <c r="Z113" i="2"/>
  <c r="Z110" i="2"/>
  <c r="Z109" i="2"/>
  <c r="Z108" i="2"/>
  <c r="Z107" i="2"/>
  <c r="Z106" i="2"/>
  <c r="Z105" i="2"/>
  <c r="Z104" i="2"/>
  <c r="Z103" i="2"/>
  <c r="Y232" i="2"/>
  <c r="Y231" i="2"/>
  <c r="Y227" i="2"/>
  <c r="Y216" i="2"/>
  <c r="Y213" i="2"/>
  <c r="Y209" i="2"/>
  <c r="Y207" i="2"/>
  <c r="Y126" i="2"/>
  <c r="Y116" i="2"/>
  <c r="Y113" i="2"/>
  <c r="Y110" i="2"/>
  <c r="Y109" i="2"/>
  <c r="Y108" i="2"/>
  <c r="Y107" i="2"/>
  <c r="Y106" i="2"/>
  <c r="Y105" i="2"/>
  <c r="Y104" i="2"/>
  <c r="Y103" i="2"/>
  <c r="X232" i="2"/>
  <c r="X231" i="2"/>
  <c r="X227" i="2"/>
  <c r="X216" i="2"/>
  <c r="X213" i="2"/>
  <c r="X209" i="2"/>
  <c r="X207" i="2"/>
  <c r="X126" i="2"/>
  <c r="X116" i="2"/>
  <c r="X113" i="2"/>
  <c r="X110" i="2"/>
  <c r="X109" i="2"/>
  <c r="X108" i="2"/>
  <c r="X107" i="2"/>
  <c r="X106" i="2"/>
  <c r="X105" i="2"/>
  <c r="X104" i="2"/>
  <c r="X103" i="2"/>
  <c r="W232" i="2"/>
  <c r="W231" i="2"/>
  <c r="W227" i="2"/>
  <c r="W216" i="2"/>
  <c r="W213" i="2"/>
  <c r="W209" i="2"/>
  <c r="W207" i="2"/>
  <c r="W126" i="2"/>
  <c r="W116" i="2"/>
  <c r="W113" i="2"/>
  <c r="W110" i="2"/>
  <c r="W109" i="2"/>
  <c r="W108" i="2"/>
  <c r="W107" i="2"/>
  <c r="W106" i="2"/>
  <c r="W105" i="2"/>
  <c r="W104" i="2"/>
  <c r="W103" i="2"/>
  <c r="V232" i="2"/>
  <c r="V231" i="2"/>
  <c r="V227" i="2"/>
  <c r="V216" i="2"/>
  <c r="V213" i="2"/>
  <c r="V209" i="2"/>
  <c r="V207" i="2"/>
  <c r="V126" i="2"/>
  <c r="V116" i="2"/>
  <c r="V113" i="2"/>
  <c r="V110" i="2"/>
  <c r="V109" i="2"/>
  <c r="V108" i="2"/>
  <c r="V107" i="2"/>
  <c r="V106" i="2"/>
  <c r="V105" i="2"/>
  <c r="V104" i="2"/>
  <c r="V103" i="2"/>
  <c r="U232" i="2"/>
  <c r="T232" i="2"/>
  <c r="S232" i="2"/>
  <c r="R232" i="2"/>
  <c r="G232" i="2"/>
  <c r="U231" i="2" l="1"/>
  <c r="U227" i="2"/>
  <c r="U216" i="2"/>
  <c r="U213" i="2"/>
  <c r="U209" i="2"/>
  <c r="U207" i="2"/>
  <c r="U126" i="2"/>
  <c r="U116" i="2"/>
  <c r="U113" i="2"/>
  <c r="U110" i="2"/>
  <c r="U109" i="2"/>
  <c r="U108" i="2"/>
  <c r="U107" i="2"/>
  <c r="U106" i="2"/>
  <c r="U105" i="2"/>
  <c r="U104" i="2"/>
  <c r="U103" i="2"/>
  <c r="T231" i="2"/>
  <c r="T227" i="2"/>
  <c r="T216" i="2"/>
  <c r="T213" i="2"/>
  <c r="T209" i="2"/>
  <c r="T207" i="2"/>
  <c r="T126" i="2"/>
  <c r="T116" i="2"/>
  <c r="T113" i="2"/>
  <c r="T110" i="2"/>
  <c r="T109" i="2"/>
  <c r="T108" i="2"/>
  <c r="T107" i="2"/>
  <c r="T106" i="2"/>
  <c r="T105" i="2"/>
  <c r="T104" i="2"/>
  <c r="T103" i="2"/>
  <c r="S231" i="2"/>
  <c r="S227" i="2"/>
  <c r="S216" i="2"/>
  <c r="S213" i="2"/>
  <c r="S209" i="2"/>
  <c r="S207" i="2"/>
  <c r="S126" i="2"/>
  <c r="S116" i="2"/>
  <c r="S113" i="2"/>
  <c r="S110" i="2"/>
  <c r="S109" i="2"/>
  <c r="S108" i="2"/>
  <c r="S107" i="2"/>
  <c r="S106" i="2"/>
  <c r="S105" i="2"/>
  <c r="S104" i="2"/>
  <c r="S103" i="2"/>
  <c r="R231" i="2"/>
  <c r="R227" i="2"/>
  <c r="R216" i="2"/>
  <c r="R213" i="2"/>
  <c r="R209" i="2"/>
  <c r="R207" i="2"/>
  <c r="R126" i="2"/>
  <c r="R116" i="2"/>
  <c r="R113" i="2"/>
  <c r="R110" i="2"/>
  <c r="R109" i="2"/>
  <c r="R108" i="2"/>
  <c r="R107" i="2"/>
  <c r="R106" i="2"/>
  <c r="R105" i="2"/>
  <c r="R104" i="2"/>
  <c r="R103" i="2"/>
  <c r="AT232" i="2"/>
  <c r="AT231" i="2"/>
  <c r="AT227" i="2"/>
  <c r="AT216" i="2"/>
  <c r="AT213" i="2"/>
  <c r="AT209" i="2"/>
  <c r="AT207" i="2"/>
  <c r="AT126" i="2"/>
  <c r="AT116" i="2"/>
  <c r="AT113" i="2"/>
  <c r="AT110" i="2"/>
  <c r="AT109" i="2"/>
  <c r="AT108" i="2"/>
  <c r="AT107" i="2"/>
  <c r="AT106" i="2"/>
  <c r="AT105" i="2"/>
  <c r="AT104" i="2"/>
  <c r="AT103" i="2"/>
  <c r="G207" i="2" l="1"/>
  <c r="G231" i="2"/>
  <c r="G209" i="2" l="1"/>
  <c r="G227" i="2"/>
  <c r="G126" i="2" l="1"/>
  <c r="G106" i="2" l="1"/>
  <c r="G105" i="2"/>
  <c r="G104" i="2"/>
  <c r="G103" i="2"/>
  <c r="G221" i="2"/>
  <c r="G213" i="2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2" i="4"/>
</calcChain>
</file>

<file path=xl/sharedStrings.xml><?xml version="1.0" encoding="utf-8"?>
<sst xmlns="http://schemas.openxmlformats.org/spreadsheetml/2006/main" count="2822" uniqueCount="607">
  <si>
    <t>input_file</t>
  </si>
  <si>
    <t>input_file_time_step_in_days</t>
  </si>
  <si>
    <t>random</t>
  </si>
  <si>
    <t>random_choice</t>
  </si>
  <si>
    <t>simulation_period_in_days</t>
  </si>
  <si>
    <t>time_step_in_days</t>
  </si>
  <si>
    <t>forcing_constant_inputs</t>
  </si>
  <si>
    <t>constant_sucrose_input_rate</t>
  </si>
  <si>
    <t>constant_soil_temperature_in_Celsius</t>
  </si>
  <si>
    <t>nodules_option</t>
  </si>
  <si>
    <t>root_order_limitation</t>
  </si>
  <si>
    <t>root_order_treshold</t>
  </si>
  <si>
    <t>ArchiSimple</t>
  </si>
  <si>
    <t>ArchiSimple_C_fraction</t>
  </si>
  <si>
    <t>radial_growth</t>
  </si>
  <si>
    <t>recording_images</t>
  </si>
  <si>
    <t>classification_by_layers</t>
  </si>
  <si>
    <t>layers_z_min</t>
  </si>
  <si>
    <t>layers_z_max</t>
  </si>
  <si>
    <t>layers_thickness</t>
  </si>
  <si>
    <t>recording_interval_in_days</t>
  </si>
  <si>
    <t>plotting</t>
  </si>
  <si>
    <t>displayed_property</t>
  </si>
  <si>
    <t>displayed_min_value</t>
  </si>
  <si>
    <t>displayed_max_value</t>
  </si>
  <si>
    <t>log_scale</t>
  </si>
  <si>
    <t>color_map</t>
  </si>
  <si>
    <t>root_hairs_display</t>
  </si>
  <si>
    <t>camera_rotation</t>
  </si>
  <si>
    <t>camera_rotation_n_points</t>
  </si>
  <si>
    <t>x_center</t>
  </si>
  <si>
    <t>y_center</t>
  </si>
  <si>
    <t>z_center</t>
  </si>
  <si>
    <t>z_camera</t>
  </si>
  <si>
    <t>camera_distance</t>
  </si>
  <si>
    <t>step_back_coefficient</t>
  </si>
  <si>
    <t>initial_segment_length</t>
  </si>
  <si>
    <t>initial_C_sucrose_root</t>
  </si>
  <si>
    <t>initial_C_hexose_root</t>
  </si>
  <si>
    <t>D_ini</t>
  </si>
  <si>
    <t>Dmin</t>
  </si>
  <si>
    <t>D_adv_to_D_ini_ratio</t>
  </si>
  <si>
    <t>n_adventitious_roots</t>
  </si>
  <si>
    <t>ER</t>
  </si>
  <si>
    <t>EL</t>
  </si>
  <si>
    <t>IPD</t>
  </si>
  <si>
    <t>emergence_delay</t>
  </si>
  <si>
    <t>RMD</t>
  </si>
  <si>
    <t>CVDD</t>
  </si>
  <si>
    <t>SGC</t>
  </si>
  <si>
    <t>GDs</t>
  </si>
  <si>
    <t>LDs</t>
  </si>
  <si>
    <t>root_tissue_density</t>
  </si>
  <si>
    <t>struct_mass_C_content</t>
  </si>
  <si>
    <t>segment_length</t>
  </si>
  <si>
    <t>gravitropism_coefficient</t>
  </si>
  <si>
    <t>C_hexose_reserve_min</t>
  </si>
  <si>
    <t>C_hexose_reserve_max</t>
  </si>
  <si>
    <t>C_hexose_root_min_for_reserve</t>
  </si>
  <si>
    <t>growing_zone_factor</t>
  </si>
  <si>
    <t>T_ref_growth</t>
  </si>
  <si>
    <t>yield_growth</t>
  </si>
  <si>
    <t>Km_elongation</t>
  </si>
  <si>
    <t>relative_root_thickening_rate_max</t>
  </si>
  <si>
    <t>Km_thickening</t>
  </si>
  <si>
    <t>phloem_surfacic_fraction</t>
  </si>
  <si>
    <t>phloem_permeability</t>
  </si>
  <si>
    <t>Km_unloading</t>
  </si>
  <si>
    <t>surfacic_loading_rate_reference</t>
  </si>
  <si>
    <t>gamma_loading</t>
  </si>
  <si>
    <t>Km_loading</t>
  </si>
  <si>
    <t>max_immobilization_rate</t>
  </si>
  <si>
    <t>Km_immobilization</t>
  </si>
  <si>
    <t>max_mobilization_rate</t>
  </si>
  <si>
    <t>Km_mobilization</t>
  </si>
  <si>
    <t>resp_maintenance_max</t>
  </si>
  <si>
    <t>Km_maintenance</t>
  </si>
  <si>
    <t>symplasm_surfacic_fraction</t>
  </si>
  <si>
    <t>Pmax_apex</t>
  </si>
  <si>
    <t>gamma_exudation</t>
  </si>
  <si>
    <t>uptake_rate_max</t>
  </si>
  <si>
    <t>Km_uptake</t>
  </si>
  <si>
    <t>nodule_formation_probability</t>
  </si>
  <si>
    <t>nodule_max_radius</t>
  </si>
  <si>
    <t>relative_nodule_thickening_rate_max</t>
  </si>
  <si>
    <t>Km_nodule_thickening</t>
  </si>
  <si>
    <t>True</t>
  </si>
  <si>
    <t>False</t>
  </si>
  <si>
    <t>jet</t>
  </si>
  <si>
    <t>WHEAT</t>
  </si>
  <si>
    <t>n_seminal_roots</t>
  </si>
  <si>
    <t>Character / [no units]</t>
  </si>
  <si>
    <t>Type/ Unit</t>
  </si>
  <si>
    <t>Real number /days</t>
  </si>
  <si>
    <t>Boolean / [no units]</t>
  </si>
  <si>
    <t>Integer / [no units]</t>
  </si>
  <si>
    <t>Real number / mol of sucrose per second</t>
  </si>
  <si>
    <t>Real number / mol of C per mol of C</t>
  </si>
  <si>
    <t>Real number / meters</t>
  </si>
  <si>
    <t>Real number / [units of the selected property]</t>
  </si>
  <si>
    <t>Real number / [no units]</t>
  </si>
  <si>
    <t>Real number / [meters per meter per step]</t>
  </si>
  <si>
    <t>Real number / [meters per meter]</t>
  </si>
  <si>
    <t>Integer / [number of roots]</t>
  </si>
  <si>
    <t>Real number / number of roots per second</t>
  </si>
  <si>
    <t>Real number / meters of root per meter of radius per second-equivalent-to-T_ref_growth</t>
  </si>
  <si>
    <t>Real number / second-equivalent-to-T_ref_growth</t>
  </si>
  <si>
    <t>Real number / [square meters per square meters]</t>
  </si>
  <si>
    <t>Real number / second-equivalent-to-temperature-T_ref_growth x meter4 x gram-1</t>
  </si>
  <si>
    <t>Real number / degree Celsius</t>
  </si>
  <si>
    <t>Real number / meters per meter per second</t>
  </si>
  <si>
    <t>Real number / mol of respired CO2 per mol of C used for structural mass</t>
  </si>
  <si>
    <t>Explanation</t>
  </si>
  <si>
    <t>Time step used in the input file</t>
  </si>
  <si>
    <t>Total duration of the simulation</t>
  </si>
  <si>
    <t>Time step used in the simulation</t>
  </si>
  <si>
    <t>Constant input of sucrose to apply</t>
  </si>
  <si>
    <t>Constant soil temperature to apply</t>
  </si>
  <si>
    <t>Maximal order of roots that can emerge</t>
  </si>
  <si>
    <t>Fraction of the input of C provided as sucrose to the root system that is actually considered as "biomass" by ArchiSimple</t>
  </si>
  <si>
    <t>Minimal soil depth of the first soil layer</t>
  </si>
  <si>
    <t>Maximal soil depth of the last soil layer</t>
  </si>
  <si>
    <t>Thickness of each soil layer</t>
  </si>
  <si>
    <t>Time interval separating the automatic recording of simulation results</t>
  </si>
  <si>
    <t>Name of the variable to be displayed on the graph</t>
  </si>
  <si>
    <t>Minimum value of the displayed property on the scale</t>
  </si>
  <si>
    <t>Maximum value of the displayed property on the scale</t>
  </si>
  <si>
    <t>Name of the color range to apply to the scale of the graph</t>
  </si>
  <si>
    <t>Option to allow displaying root hairs (True/False)</t>
  </si>
  <si>
    <t>Option to introduce stochastic processes (True/False)</t>
  </si>
  <si>
    <t>Random seed to specify a repeatable random Option</t>
  </si>
  <si>
    <t>Option to set constant inputs and ignore input file (True/False)</t>
  </si>
  <si>
    <t>Option to allow nodule growth (True/False)</t>
  </si>
  <si>
    <t>Option to limit the emergence of roots of high orders (True/False)</t>
  </si>
  <si>
    <t>Option to allow radial growth (True/False)</t>
  </si>
  <si>
    <t>Option to allow recording the images from PlantGL over time (True/False)</t>
  </si>
  <si>
    <t>Option to allow computing the distribution of various variables per layers of soil (True/False)</t>
  </si>
  <si>
    <t>Option to allow the display of the root system in PlantGL (True/False)</t>
  </si>
  <si>
    <t>Option to set the scale of the graph as a logarithmic scale (True/False)</t>
  </si>
  <si>
    <t>Option to simulate with ArchiSimple only and ignore additional processes</t>
  </si>
  <si>
    <t>Option to allow rotating the camera around the root system (True/False)</t>
  </si>
  <si>
    <t>Total number of camera positions over its rotation around the root system</t>
  </si>
  <si>
    <t>x coordinate of the center of the graph relative to the growth start</t>
  </si>
  <si>
    <t>y coordinate of the center of the graph relative to the growth start</t>
  </si>
  <si>
    <t>z coordinate of the center of the graph relative to the growth start</t>
  </si>
  <si>
    <t>Initial z coordinate of the camera</t>
  </si>
  <si>
    <t>Initial distance of the camera</t>
  </si>
  <si>
    <t>Relative increase in distance of the camera for each new simulation step</t>
  </si>
  <si>
    <t>Length of the root segment of the initial root system at the beginning of the simulation</t>
  </si>
  <si>
    <t>Sucrose concentration of the root segment of the initial root system at the beginning of the simulation</t>
  </si>
  <si>
    <t>Hexose concentration of the root segment of the initial root system at the beginning of the simulation</t>
  </si>
  <si>
    <t>Diameter of the primary root</t>
  </si>
  <si>
    <t>Minimum diameter below which no root is allowed to emerge</t>
  </si>
  <si>
    <t>Total number of seminal roots</t>
  </si>
  <si>
    <t>Total number of adventitious roots</t>
  </si>
  <si>
    <t>Ratio between the mean diameter of adventitious roots and the diameter of the primary root</t>
  </si>
  <si>
    <t>Elongation rate of a given root relative to its diameter</t>
  </si>
  <si>
    <t>Inter primordia distance</t>
  </si>
  <si>
    <t>Time period below which a newly-formed root primordium cannot emerge</t>
  </si>
  <si>
    <t>Average ratio of the diameter of the daughter root to that of the mother root</t>
  </si>
  <si>
    <t>Relative variation of the daughter root diameter around its average value defined by the diameter of the mother root</t>
  </si>
  <si>
    <t>Proportionality coefficient between the section area of the segment and the sum of distal section areas, based on the pipe model</t>
  </si>
  <si>
    <t>Coefficient of life duration</t>
  </si>
  <si>
    <t>Root tissue density</t>
  </si>
  <si>
    <t>Carbon content of the dry structural mass</t>
  </si>
  <si>
    <t>Length of each root segment</t>
  </si>
  <si>
    <t>Coefficient of gravitropism (the higher it is, the faster the roots are growing downwards)</t>
  </si>
  <si>
    <t>Minimal concentration of hexose in the reserve pool</t>
  </si>
  <si>
    <t>Maximal concentration of hexose in the reserve pool</t>
  </si>
  <si>
    <t>Minimal concentration of hexose in the root below which no immobilization into the reserve pool can occur</t>
  </si>
  <si>
    <t>Relative ratio between the length of growing zone of the root (including meristem and elongation zone) and its radius</t>
  </si>
  <si>
    <t>Reference temperature for all root growth processes, which is supposed to correspond to the optimal temperature for maximizing potential growth in ArchiSimple</t>
  </si>
  <si>
    <t>Growth yield as defined by Thornley and Cannell (2000), which corresponds to the fraction of C used for biomass production as opposed to the fraction of C used for growth respiration</t>
  </si>
  <si>
    <t>Affinity constant (in terms of Michaelis-Menten formalism) for root elongation, corresponding to the concentration for which the rate is equal to half of the maximal rate</t>
  </si>
  <si>
    <t>Maximal rate of radial growth, expressed as the maximal relative increase of radius over time</t>
  </si>
  <si>
    <t>Affinity constant (in terms of Michaelis-Menten formalism) for radial growth, corresponding to the concentration for which the rate is equal to half of the maximal rate</t>
  </si>
  <si>
    <t>Proportionality coefficient between the total exchange surface of phloem tissues and the total external surface of the root</t>
  </si>
  <si>
    <t>Coefficient of "permeability" of phloem vessels</t>
  </si>
  <si>
    <t>Maximum unloading rate of sucrose through the surface of the phloem vessels</t>
  </si>
  <si>
    <t>Real number / mol of sucrose per square meter of phloem per second</t>
  </si>
  <si>
    <t>Exponential coefficient affecting the increase of loading with distance from the apex</t>
  </si>
  <si>
    <t>Affinity constant (in terms of Michaelis-Menten formalism) for phloem loading, corresponding to the concentration for which the rate is equal to half of the maximal rate</t>
  </si>
  <si>
    <t>Real number / [square meters per square meter]</t>
  </si>
  <si>
    <t>Maximal immobilization rate of hexose into the reserve pool</t>
  </si>
  <si>
    <t>Affinity constant (in terms of Michaelis-Menten formalism) for hexose immobilization, corresponding to the concentration for which the rate is equal to half of the maximal rate</t>
  </si>
  <si>
    <t>Affinity constant (in terms of Michaelis-Menten formalism) for hexose mobilization from reserve, corresponding to the concentration for which the rate is equal to half of the maximal rate</t>
  </si>
  <si>
    <t>Maximal mobilization rate of hexose from the reserve</t>
  </si>
  <si>
    <t>Maximal rate of maintenance respiration</t>
  </si>
  <si>
    <t>Affinity constant (in terms of Michaelis-Menten formalism) for maintenance respiration, corresponding to the concentration for which the rate is equal to half of the maximal rate</t>
  </si>
  <si>
    <t>Coefficient of permeability of root cortical and epidermal symplasm</t>
  </si>
  <si>
    <t>Exponential coefficient affecting the decrease of exudation with distance from the apex</t>
  </si>
  <si>
    <t>Maximal rate of hexose uptake from the soil-root interface</t>
  </si>
  <si>
    <t>Affinity constant (in terms of Michaelis-Menten formalism) for hexose uptake from the soil-root interface, corresponding to the concentration for which the rate is equal to half of the maximal rate</t>
  </si>
  <si>
    <t>Maximal rate of hexose consumption at the soil-root interface</t>
  </si>
  <si>
    <t>Affinity constant (in terms of Michaelis-Menten formalism) for hexose consumption at the soil-root interface, corresponding to the concentration for which the rate is equal to half of the maximal rate</t>
  </si>
  <si>
    <t>Real number / mol of sucrose per gram of root dry structural biomass</t>
  </si>
  <si>
    <t>Real number / gram of root dry structural mass per cubic meter</t>
  </si>
  <si>
    <t>Real number / mol of C per gram of root dry structural mass</t>
  </si>
  <si>
    <t>Real number / mol of hexose per gram of root dry structural mass</t>
  </si>
  <si>
    <t>Real number / gram of root dry structural biomass per square meter of phloem per second</t>
  </si>
  <si>
    <t>Real number / mol of hexose per gram of root dry structural mass per second</t>
  </si>
  <si>
    <t>Real number / gram of root dry structural biomass per square meter of symplasm per second</t>
  </si>
  <si>
    <t>Real number / [second per second]</t>
  </si>
  <si>
    <t>Plant genotype (not used in the simulation)</t>
  </si>
  <si>
    <t>main_roots_growth_extender</t>
  </si>
  <si>
    <t>pi</t>
  </si>
  <si>
    <t>D_sem_to_D_ini_ratio</t>
  </si>
  <si>
    <t>starting_time_for_adventitious_roots_emergence</t>
  </si>
  <si>
    <t>relative_process_value_at_T_ref_growth</t>
  </si>
  <si>
    <t>root_growth_T_ref</t>
  </si>
  <si>
    <t>root_growth_A</t>
  </si>
  <si>
    <t>root_growth_B</t>
  </si>
  <si>
    <t>root_growth_C</t>
  </si>
  <si>
    <t>root_hair_radius</t>
  </si>
  <si>
    <t>root_hair_max_length</t>
  </si>
  <si>
    <t>root_hairs_density</t>
  </si>
  <si>
    <t>root_hairs_elongation_rate</t>
  </si>
  <si>
    <t>root_hairs_lifespan</t>
  </si>
  <si>
    <t>resp_maintenance_max_T_ref</t>
  </si>
  <si>
    <t>resp_maintenance_max_A</t>
  </si>
  <si>
    <t>resp_maintenance_max_B</t>
  </si>
  <si>
    <t>resp_maintenance_max_C</t>
  </si>
  <si>
    <t>expected_C_sucrose_root</t>
  </si>
  <si>
    <t>expected_C_hexose_root</t>
  </si>
  <si>
    <t>expected_C_hexose_soil</t>
  </si>
  <si>
    <t>expected_C_hexose_reserve</t>
  </si>
  <si>
    <t>surfacic_unloading_rate_reference</t>
  </si>
  <si>
    <t>surfacic_unloading_rate_primordium</t>
  </si>
  <si>
    <t>phloem_permeability_T_ref</t>
  </si>
  <si>
    <t>phloem_permeability_A</t>
  </si>
  <si>
    <t>phloem_permeability_B</t>
  </si>
  <si>
    <t>phloem_permeability_C</t>
  </si>
  <si>
    <t>max_loading_rate_T_ref</t>
  </si>
  <si>
    <t>max_loading_rate_A</t>
  </si>
  <si>
    <t>max_loading_rate_B</t>
  </si>
  <si>
    <t>max_loading_rate_C</t>
  </si>
  <si>
    <t>max_immobilization_rate_T_ref</t>
  </si>
  <si>
    <t>max_immobilization_rate_A</t>
  </si>
  <si>
    <t>max_immobilization_rate_B</t>
  </si>
  <si>
    <t>max_immobilization_rate_C</t>
  </si>
  <si>
    <t>max_mobilization_rate_T_ref</t>
  </si>
  <si>
    <t>max_mobilization_rate_A</t>
  </si>
  <si>
    <t>max_mobilization_rate_B</t>
  </si>
  <si>
    <t>max_mobilization_rate_C</t>
  </si>
  <si>
    <t>expected_exudation_efflux</t>
  </si>
  <si>
    <t>permeability_coeff_T_ref</t>
  </si>
  <si>
    <t>permeability_coeff_A</t>
  </si>
  <si>
    <t>permeability_coeff_B</t>
  </si>
  <si>
    <t>permeability_coeff_C</t>
  </si>
  <si>
    <t>uptake_rate_max_T_ref</t>
  </si>
  <si>
    <t>uptake_rate_max_A</t>
  </si>
  <si>
    <t>uptake_rate_max_B</t>
  </si>
  <si>
    <t>uptake_rate_max_C</t>
  </si>
  <si>
    <t>secretion_rate_max</t>
  </si>
  <si>
    <t>secretion_rate_max_T_ref</t>
  </si>
  <si>
    <t>secretion_rate_max_A</t>
  </si>
  <si>
    <t>secretion_rate_max_B</t>
  </si>
  <si>
    <t>secretion_rate_max_C</t>
  </si>
  <si>
    <t>Km_secretion</t>
  </si>
  <si>
    <t>gamma_secretion</t>
  </si>
  <si>
    <t>surfacic_cells_release_rate</t>
  </si>
  <si>
    <t>surfacic_cells_release_rate_T_ref</t>
  </si>
  <si>
    <t>surfacic_cells_release_rate_A</t>
  </si>
  <si>
    <t>surfacic_cells_release_rate_B</t>
  </si>
  <si>
    <t>surfacic_cells_release_rate_C</t>
  </si>
  <si>
    <t>C_cells_soil_max</t>
  </si>
  <si>
    <t>hexose_degradation_rate_max</t>
  </si>
  <si>
    <t>hexose_degradation_rate_max_T_ref</t>
  </si>
  <si>
    <t>hexose_degradation_rate_max_A</t>
  </si>
  <si>
    <t>hexose_degradation_rate_max_B</t>
  </si>
  <si>
    <t>hexose_degradation_rate_max_C</t>
  </si>
  <si>
    <t>Km_hexose_degradation</t>
  </si>
  <si>
    <t>mucilage_degradation_rate_max</t>
  </si>
  <si>
    <t>mucilage_degradation_rate_max_T_ref</t>
  </si>
  <si>
    <t>mucilage_degradation_rate_max_A</t>
  </si>
  <si>
    <t>mucilage_degradation_rate_max_B</t>
  </si>
  <si>
    <t>mucilage_degradation_rate_max_C</t>
  </si>
  <si>
    <t>Km_mucilage_degradation</t>
  </si>
  <si>
    <t>cells_degradation_rate_max</t>
  </si>
  <si>
    <t>cells_degradation_rate_max_T_ref</t>
  </si>
  <si>
    <t>cells_degradation_rate_max_A</t>
  </si>
  <si>
    <t>cells_degradation_rate_max_B</t>
  </si>
  <si>
    <t>cells_degradation_rate_max_C</t>
  </si>
  <si>
    <t>Km_cells_degradation</t>
  </si>
  <si>
    <t>Ratio between the mean diameter of seminal roots and the diameter of the primary root</t>
  </si>
  <si>
    <t>List from 'updated_parameters.csv'</t>
  </si>
  <si>
    <t>List from 'scenario_as_columns' sheet</t>
  </si>
  <si>
    <t>Missing parameters in 'scenario_as_columns' sheet</t>
  </si>
  <si>
    <t>Time period below which no primordium of adventitious roots can emerge</t>
  </si>
  <si>
    <t>Relative value of a growth process when reaching the soil temperature of T_ref_growth (1 by default)</t>
  </si>
  <si>
    <t>Mean radius of a root hair</t>
  </si>
  <si>
    <t>Maximal length of a root hair</t>
  </si>
  <si>
    <t>Maximal elongation rate of a root hair</t>
  </si>
  <si>
    <t>Life duration of a root hair</t>
  </si>
  <si>
    <t>Real number / number of hairs par meter of root per meter of root radius</t>
  </si>
  <si>
    <t>Coefficient of density of root hairs along a root</t>
  </si>
  <si>
    <t>Real number / seconds</t>
  </si>
  <si>
    <t>Real number / meters of hair per meter of root radius per second</t>
  </si>
  <si>
    <t>Reference temperature for setting the temperature-dependence of the maximal rate of maintenance respiration</t>
  </si>
  <si>
    <t>Coefficient A used for setting the temperature-dependence of the maximal rate of maintenance respiration</t>
  </si>
  <si>
    <t>Coefficient B used for setting the temperature-dependence of the maximal rate of maintenance respiration</t>
  </si>
  <si>
    <t>Real number / per degree Celsius</t>
  </si>
  <si>
    <t>Coefficient C used for setting the temperature-dependence of the maximal rate of maintenance respiration (0 / 1)</t>
  </si>
  <si>
    <t>Reference temperature for setting the temperature-dependence of hexose immobilization</t>
  </si>
  <si>
    <t>Coefficient A used for setting the temperature-dependence of hexose immobilization</t>
  </si>
  <si>
    <t>Coefficient B used for setting the temperature-dependence of hexose immobilization</t>
  </si>
  <si>
    <t>Coefficient C used for setting the temperature-dependence of hexose immobilization (0 / 1)</t>
  </si>
  <si>
    <t>Reference temperature for setting the temperature-dependence of hexose mobilization</t>
  </si>
  <si>
    <t>Coefficient A used for setting the temperature-dependence of hexose mobilization</t>
  </si>
  <si>
    <t>Coefficient B used for setting the temperature-dependence of hexose mobilization</t>
  </si>
  <si>
    <t>Coefficient C used for setting the temperature-dependence of hexose mobilization (0 / 1)</t>
  </si>
  <si>
    <t>Reference temperature for setting the temperature-dependence of phloem unloading</t>
  </si>
  <si>
    <t>Coefficient A used for setting the temperature-dependence of phloem unloading</t>
  </si>
  <si>
    <t>Coefficient B used for setting the temperature-dependence of phloem unloading</t>
  </si>
  <si>
    <t>Coefficient C used for setting the temperature-dependence of phloem unloading (0 / 1)</t>
  </si>
  <si>
    <t>Reference temperature for setting the temperature-dependence of phloem loading</t>
  </si>
  <si>
    <t>Coefficient A used for setting the temperature-dependence of phloem loading</t>
  </si>
  <si>
    <t>Coefficient B used for setting the temperature-dependence of phloem loading</t>
  </si>
  <si>
    <t>Coefficient C used for setting the temperature-dependence of phloem loading (0 / 1)</t>
  </si>
  <si>
    <t>Reference temperature for setting the temperature-dependence of exudation rate</t>
  </si>
  <si>
    <t>Coefficient A used for setting the temperature-dependence of exudation rate</t>
  </si>
  <si>
    <t>Coefficient B used for setting the temperature-dependence of exudation rate</t>
  </si>
  <si>
    <t>Coefficient C used for setting the temperature-dependence of exudation rate (0 / 1)</t>
  </si>
  <si>
    <t>Reference temperature for setting the temperature-dependence of the maximal rate of hexose uptake</t>
  </si>
  <si>
    <t>Coefficient A used for setting the temperature-dependence of the maximal rate of hexose uptake</t>
  </si>
  <si>
    <t>Coefficient B used for setting the temperature-dependence of the maximal rate of hexose uptake</t>
  </si>
  <si>
    <t>Coefficient C used for setting the temperature-dependence of the maximal rate of hexose uptake (0 / 1)</t>
  </si>
  <si>
    <t>Maximum rate of mucilage secretion</t>
  </si>
  <si>
    <t>Real number / mol of hexose per square meter per second</t>
  </si>
  <si>
    <t>Reference temperature for setting the temperature-dependence of the maximal rate of mucilage secretion</t>
  </si>
  <si>
    <t>Coefficient A used for setting the temperature-dependence of the maximal rate of mucilage secretion</t>
  </si>
  <si>
    <t>Coefficient B used for setting the temperature-dependence of the maximal rate of mucilage secretion</t>
  </si>
  <si>
    <t>Coefficient C used for setting the temperature-dependence of the maximal rate of mucilage secretion (0 / 1)</t>
  </si>
  <si>
    <t>Reference temperature for setting the temperature-dependence of the maximal rate of cells release</t>
  </si>
  <si>
    <t>Coefficient A used for setting the temperature-dependence of the maximal rate of cells release</t>
  </si>
  <si>
    <t>Coefficient B used for setting the temperature-dependence of the maximal rate of cells release</t>
  </si>
  <si>
    <t>Coefficient C used for setting the temperature-dependence of the maximal rate of cells release (0 / 1)</t>
  </si>
  <si>
    <t>Reference temperature for setting the temperature-dependence of the maximal rate of hexose degradation</t>
  </si>
  <si>
    <t>Coefficient A used for setting the temperature-dependence of the maximal rate of hexose degradation</t>
  </si>
  <si>
    <t>Coefficient B used for setting the temperature-dependence of the maximal rate of hexose degradation</t>
  </si>
  <si>
    <t>Coefficient C used for setting the temperature-dependence of the maximal rate of hexose degradation (0 / 1)</t>
  </si>
  <si>
    <t>Reference temperature for setting the temperature-dependence of the maximal rate of mucilage degradation</t>
  </si>
  <si>
    <t>Coefficient A used for setting the temperature-dependence of the maximal rate of mucilage degradation</t>
  </si>
  <si>
    <t>Coefficient B used for setting the temperature-dependence of the maximal rate of mucilage degradation</t>
  </si>
  <si>
    <t>Coefficient C used for setting the temperature-dependence of the maximal rate of mucilage degradation (0 / 1)</t>
  </si>
  <si>
    <t>Reference temperature for setting the temperature-dependence of the maximal rate of root cells degradation</t>
  </si>
  <si>
    <t>Coefficient A used for setting the temperature-dependence of the maximal rate of root cells degradation</t>
  </si>
  <si>
    <t>Coefficient B used for setting the temperature-dependence of the maximal rate of root cells degradation</t>
  </si>
  <si>
    <t>Coefficient C used for setting the temperature-dependence of the maximal rate of root cells degradation (0 / 1)</t>
  </si>
  <si>
    <t>Affinity constant (in terms of Michaelis-Menten formalism) for mucilage secretion, corresponding to the concentration for which the rate is equal to half of the maximal rate</t>
  </si>
  <si>
    <t>Exponential coefficient affecting the secretion of mucilage with the distance from the apex</t>
  </si>
  <si>
    <t>Maximum rate of root cells release</t>
  </si>
  <si>
    <t>Real number / mol of equivalent hexose per square meter per second</t>
  </si>
  <si>
    <t>Maximal concentration of root cells in soil, above which no release of cells is possible</t>
  </si>
  <si>
    <t>Real number / mol of equivalent-hexose per gram of root dry structural mass</t>
  </si>
  <si>
    <t>Maximal rate of mucilage degradation at the soil-root interface</t>
  </si>
  <si>
    <t>Maximal rate of root cells degradation at the soil-root interface</t>
  </si>
  <si>
    <t>Real number / mol of equivalent hexose per gram of root dry structural mass per second</t>
  </si>
  <si>
    <t>Affinity constant (in terms of Michaelis-Menten formalism) for mucilage degradation at the soil-root interface, corresponding to the concentration for which the rate is equal to half of the maximal rate</t>
  </si>
  <si>
    <t>Real number / mol of equivalent hexose per gram of root dry structural mass</t>
  </si>
  <si>
    <t>Affinity constant (in terms of Michaelis-Menten formalism) for cells degradation at the soil-root interface, corresponding to the concentration for which the rate is equal to half of the maximal rate</t>
  </si>
  <si>
    <t>Plant_genotype</t>
  </si>
  <si>
    <t>using_solver</t>
  </si>
  <si>
    <t>Option to use a solver for calculating the equilibrium C concentrations at each time step and for each root element</t>
  </si>
  <si>
    <t>printing_solver_outputs</t>
  </si>
  <si>
    <t>Option to print the outputs of the solver</t>
  </si>
  <si>
    <t>stelar_parenchyma_surfacic_fraction</t>
  </si>
  <si>
    <t>cortical_parenchyma_surfacic_fraction</t>
  </si>
  <si>
    <t>epidermal_parenchyma_surfacic_fraction</t>
  </si>
  <si>
    <t>Proportionality coefficient between the total exchange surface of stelar parenchyma and the total external surface of the root</t>
  </si>
  <si>
    <t>Proportionality coefficient between the total exchange surface of cortical parenchyma and the total external surface of the root</t>
  </si>
  <si>
    <t>Proportionality coefficient between the total exchange surface of epidermis and the total external surface of the root</t>
  </si>
  <si>
    <t>Option to record the properties of each node in an Excel file, for each time step</t>
  </si>
  <si>
    <t>Option to record the MTG in a pickle file, for each time step</t>
  </si>
  <si>
    <t>recording_MTG_properties</t>
  </si>
  <si>
    <t>recording_MTG_files</t>
  </si>
  <si>
    <t>printing_warnings</t>
  </si>
  <si>
    <t>Option to print all warnings</t>
  </si>
  <si>
    <t>Reference_value</t>
  </si>
  <si>
    <t>initial_apex_length</t>
  </si>
  <si>
    <t>Length of the apex of the initial root system at the beginning of the simulation</t>
  </si>
  <si>
    <t>Emission rate of seminal/adventitious roots over time</t>
  </si>
  <si>
    <t>total_exchange_surface_with_soil_solution</t>
  </si>
  <si>
    <t>meristem_limite_zone_factor</t>
  </si>
  <si>
    <t>Ratio between the length of the meristem zone and root radius</t>
  </si>
  <si>
    <t>relative_conductance_at_meristem</t>
  </si>
  <si>
    <t>Relative conductance of cell walls in the meristem zone</t>
  </si>
  <si>
    <t>start_thermal_time_for_endodermis_formation</t>
  </si>
  <si>
    <t>Thermal age of root cells at which the formation of endodermis starts</t>
  </si>
  <si>
    <t>end_thermal_time_for_endodermis_formation</t>
  </si>
  <si>
    <t>Thermal age of root cells at which the formation of endodermis ends</t>
  </si>
  <si>
    <t>start_thermal_time_for_exodermis_formation</t>
  </si>
  <si>
    <t>Thermal age of root cells at which the formation of exodermis starts</t>
  </si>
  <si>
    <t>end_thermal_time_for_exodermis_formation</t>
  </si>
  <si>
    <t>Thermal age of root cells at which the formation of exodermis ends</t>
  </si>
  <si>
    <t>max_thermal_time_since_endodermis_disruption</t>
  </si>
  <si>
    <t>Thermal time above which no endodermis disruption in the mother root is considered anymore once a lateral root has started to emerge</t>
  </si>
  <si>
    <t>max_thermal_time_since_exodermis_disruption</t>
  </si>
  <si>
    <t>Thermal time above which no exodermis disruption in the mother root is considered anymore once a lateral root has started to emerge</t>
  </si>
  <si>
    <t>Real number / meters per square meter</t>
  </si>
  <si>
    <t>GD_low</t>
  </si>
  <si>
    <t>GD_medium</t>
  </si>
  <si>
    <t>GD_high</t>
  </si>
  <si>
    <t>Growth duration for short-growing roots</t>
  </si>
  <si>
    <t>Growth duration for long-growing roots</t>
  </si>
  <si>
    <t>Growth duration for seminal and adventitious roots</t>
  </si>
  <si>
    <t>forcing_seminal_roots_events</t>
  </si>
  <si>
    <t>Option to force the regular apparition of seminal roots with ER parameter (True/False)</t>
  </si>
  <si>
    <t>forcing_adventitious_roots_events</t>
  </si>
  <si>
    <t>Option to force the regular apparition of adventitious roots with ER parameter (True/False)</t>
  </si>
  <si>
    <t>GD_prob_low</t>
  </si>
  <si>
    <t>GD_prob_medium</t>
  </si>
  <si>
    <t>GD_highest</t>
  </si>
  <si>
    <t>Coefficient of growth duration extension, by which the theoretical growth duration is multiplied for seminal and adventitious roots</t>
  </si>
  <si>
    <t>GD_by_frequency</t>
  </si>
  <si>
    <t>Growth duration for intermediate-growing roots</t>
  </si>
  <si>
    <t>Probability of getting the GD_low value</t>
  </si>
  <si>
    <t>Probability of getting the GD_low or the GD_medium value</t>
  </si>
  <si>
    <t>Real number / second-equivalent-to-temperature-T_ref_growth per square meter of diameter</t>
  </si>
  <si>
    <t>Coefficient of growth duration relative to the square of the root radius</t>
  </si>
  <si>
    <t>Option to force the growth duration to be defined according to a few possible values, depending on their respective probability</t>
  </si>
  <si>
    <t>endodermis_a</t>
  </si>
  <si>
    <t>Maximal relative resistance (%) of endodermis to apoplastic transport (100% = no apoplastic transport)</t>
  </si>
  <si>
    <t>endodermis_b</t>
  </si>
  <si>
    <t>Gompertz parameter b for endodermis - period since cells formation before the significant increase in relative resistance due to endodermis formation</t>
  </si>
  <si>
    <t>endodermis_c</t>
  </si>
  <si>
    <t>Gompertz parameter c for endodermis - slope of the significant increase in relative resistance due to endodermis formation</t>
  </si>
  <si>
    <t>exodermis_a</t>
  </si>
  <si>
    <t>Maximal relative resistance (%) of exodermis to apoplastic transport (100% = no apoplastic transport)</t>
  </si>
  <si>
    <t>exodermis_b</t>
  </si>
  <si>
    <t>Gompertz parameter b for exodermis - period since cells formation before the significant increase in relative resistance due to endodermis formation</t>
  </si>
  <si>
    <t>exodermis_c</t>
  </si>
  <si>
    <t>Gompertz parameter c for exodermis - slope of the significant increase in relative resistance due to endodermis formation</t>
  </si>
  <si>
    <t>Real number / %</t>
  </si>
  <si>
    <t>Real number / seconds-equivalent-to-T_ref_growth</t>
  </si>
  <si>
    <t>Real number / seconds-1 (equivalent-to-T_ref_growth)</t>
  </si>
  <si>
    <t>C_hexose_root</t>
  </si>
  <si>
    <t>PlantGL_window_width</t>
  </si>
  <si>
    <t>PlantGL_window_height</t>
  </si>
  <si>
    <t>Width of the window opened by PlantGL to display the graph (and eventually of the image that will be registered)</t>
  </si>
  <si>
    <t>Height of the window opened by PlantGL to display the graph (and eventually of the image that will be registered)</t>
  </si>
  <si>
    <t>reference_rate_of_hexose_consumption_by_growth</t>
  </si>
  <si>
    <t>Reference rate of hexose consumption for growth (used to proportionnally increase the permeability of phloem according to the actual rate of hexose consumption)</t>
  </si>
  <si>
    <t>Real number / mol of hexose per second</t>
  </si>
  <si>
    <t>max_unloading_rate</t>
  </si>
  <si>
    <t>Affinity constant (in terms of Michaelis-Menten formalism) for phloem unloading, corresponding to the concentration for which the rate is equal to half of the maximal rate</t>
  </si>
  <si>
    <t>Real number / mol of sucrose per gram of root dry structural mass</t>
  </si>
  <si>
    <t>Name of the root MTG file to be loaded (if the option above has been declared True)</t>
  </si>
  <si>
    <t>unloading_by_diffusion</t>
  </si>
  <si>
    <t>Option to select a diffusion process rather than a Michaelis-Menten to describe phloem unloading (True/False)</t>
  </si>
  <si>
    <t>starting_time_in_days</t>
  </si>
  <si>
    <t xml:space="preserve">Time in the input file at which the simulation will start </t>
  </si>
  <si>
    <t>C_hexose_min_for_elongation</t>
  </si>
  <si>
    <t>Treshold hexose concentration for elongation, below which no elongation occurs</t>
  </si>
  <si>
    <t>C_hexose_min_for_thickening</t>
  </si>
  <si>
    <t>Treshold hexose concentration for elongation, below which no thickening occurs</t>
  </si>
  <si>
    <t>mycorrhizal_fungus</t>
  </si>
  <si>
    <t>Option to allow interaction with mycorrhizal fungi (True/False)</t>
  </si>
  <si>
    <t>Option to artiticially rehomogenize the concentrations of sugars along the roots at the end of the time step (True/False)</t>
  </si>
  <si>
    <t>background_color</t>
  </si>
  <si>
    <t>RGB vector describing the color of the background of the MTG (from 0 to 255 for each value, 0=black and 255=white)</t>
  </si>
  <si>
    <t>3D vector / [no units]</t>
  </si>
  <si>
    <t>[94,76,64]</t>
  </si>
  <si>
    <t>homogenizing_root_sugar_concentrations</t>
  </si>
  <si>
    <t>homogenizing_soil_concentrations</t>
  </si>
  <si>
    <t>Option to artiticially rehomogenize the concentrations of rhizodeposits along the roots at the end of the time step (True/False)</t>
  </si>
  <si>
    <t>Real number /degree Celsius</t>
  </si>
  <si>
    <t>renewal_of_soil_solution</t>
  </si>
  <si>
    <t>Option to artificially renew the soil solution and set the rhizodeposits concentrations to 0, at regular interval of time</t>
  </si>
  <si>
    <t>interval_between_renewal_events</t>
  </si>
  <si>
    <t>Interval of time between two soil solution's renewal events</t>
  </si>
  <si>
    <t>Input</t>
  </si>
  <si>
    <t>Input_type</t>
  </si>
  <si>
    <t>parameter</t>
  </si>
  <si>
    <t>input_tables</t>
  </si>
  <si>
    <t>input_mtg</t>
  </si>
  <si>
    <t>meteo_Ljutovac2002.csv</t>
  </si>
  <si>
    <t>Input file containing soil temperature evolution over time for the soil model</t>
  </si>
  <si>
    <t>root_3_leaves.pckl</t>
  </si>
  <si>
    <t>soil_temperature</t>
  </si>
  <si>
    <t>°C</t>
  </si>
  <si>
    <t>root_mtg_file</t>
  </si>
  <si>
    <t>Dedicated_to</t>
  </si>
  <si>
    <t>root_bridges</t>
  </si>
  <si>
    <t>Organ_label</t>
  </si>
  <si>
    <t>None</t>
  </si>
  <si>
    <t>adim</t>
  </si>
  <si>
    <t>mol.m-3</t>
  </si>
  <si>
    <t>Mineral nitrogen concentration in a located patch in soil</t>
  </si>
  <si>
    <t>patch_depth_mineralN</t>
  </si>
  <si>
    <t>Depth of a nitrate patch in soil</t>
  </si>
  <si>
    <t>m</t>
  </si>
  <si>
    <t>patch_uniform_width_mineralN</t>
  </si>
  <si>
    <t>Width of the zone of the patch with uniform concentration of nitrate</t>
  </si>
  <si>
    <t>patch_transition_mineralN</t>
  </si>
  <si>
    <t>Variance of the normal law smooting the boundary transition of a nitrate patch with the background concentration</t>
  </si>
  <si>
    <t>Km_elongation_amino_acids</t>
  </si>
  <si>
    <t>Affinity constant for root elongation regarding amino_acids consumption</t>
  </si>
  <si>
    <t>mol.g-1 DW</t>
  </si>
  <si>
    <t>span_N_regulation</t>
  </si>
  <si>
    <t>Variation range of concentration during which Km changes occur</t>
  </si>
  <si>
    <t>mol.g-1</t>
  </si>
  <si>
    <t>diffusion_soil</t>
  </si>
  <si>
    <t>Diffusion paramenter for exchanges between cortex symplasm and soil solution</t>
  </si>
  <si>
    <t>g.s-1.m-2</t>
  </si>
  <si>
    <t>diffusion_phloem</t>
  </si>
  <si>
    <t>Diffusion paramenter for exchanges between phloem symplasm and cortex symplasm</t>
  </si>
  <si>
    <t>Diffusion paramenter for exchanges between xylem apoplasm and cortex symplasm</t>
  </si>
  <si>
    <t>g.s-1.m-3</t>
  </si>
  <si>
    <t>vmax_Nm_xylem</t>
  </si>
  <si>
    <t>Vmax parameter for mineral nitrogen xylem loading</t>
  </si>
  <si>
    <t>mol.s-1.m-2</t>
  </si>
  <si>
    <t>start_distance_for_endodermis_factor</t>
  </si>
  <si>
    <t>Ratio between the distance from tip where barriers formation starts/ends, and root radius</t>
  </si>
  <si>
    <t>end_distance_for_endodermis_factor</t>
  </si>
  <si>
    <t>start_distance_for_exodermis_factor</t>
  </si>
  <si>
    <t>end_distance_for_exodermis_factor</t>
  </si>
  <si>
    <t>SIGMA_SUCROSE</t>
  </si>
  <si>
    <t>cnwheat</t>
  </si>
  <si>
    <t xml:space="preserve">Conductance parameter </t>
  </si>
  <si>
    <t>g2.mol-1.m-2.s-1</t>
  </si>
  <si>
    <t>roots</t>
  </si>
  <si>
    <t>max_loading_rate</t>
  </si>
  <si>
    <t>water_moisture_patch</t>
  </si>
  <si>
    <t>water moisture in a located patch in soil</t>
  </si>
  <si>
    <t>patch_depth_water_moisture</t>
  </si>
  <si>
    <t>Depth of a water moisture patch in soil</t>
  </si>
  <si>
    <t>patch_uniform_width_water_moisture</t>
  </si>
  <si>
    <t>Width of the zone of the patch with uniform water moisture</t>
  </si>
  <si>
    <t>patch_transition_water_moisture</t>
  </si>
  <si>
    <t>Variance of the normal law smooting the boundary transition of a moisture patch with the background concentration</t>
  </si>
  <si>
    <t>smax_AA</t>
  </si>
  <si>
    <t>Maximal rate of amino acid synthesis in the root segment</t>
  </si>
  <si>
    <t>soil_moisture</t>
  </si>
  <si>
    <t>dissolved_mineral_N</t>
  </si>
  <si>
    <t>dissolved_mineral_N_patch</t>
  </si>
  <si>
    <t>g.g-1</t>
  </si>
  <si>
    <t>Intitialization soil nitrate content</t>
  </si>
  <si>
    <t>initialization soil water content</t>
  </si>
  <si>
    <t>m3.m-3</t>
  </si>
  <si>
    <t>DOC</t>
  </si>
  <si>
    <t>DON</t>
  </si>
  <si>
    <t>WB_S1</t>
  </si>
  <si>
    <t>WB_R2</t>
  </si>
  <si>
    <t>WB_R3</t>
  </si>
  <si>
    <t>WB_R4</t>
  </si>
  <si>
    <t>WB_R5</t>
  </si>
  <si>
    <t>WB_R6</t>
  </si>
  <si>
    <t>WB_R7</t>
  </si>
  <si>
    <t>WB_R8</t>
  </si>
  <si>
    <t>WB_R9</t>
  </si>
  <si>
    <t>WB_R10</t>
  </si>
  <si>
    <t>WB_R11</t>
  </si>
  <si>
    <t>WB_R12</t>
  </si>
  <si>
    <t>WB_R13</t>
  </si>
  <si>
    <t>WB_R14</t>
  </si>
  <si>
    <t>WB_R15</t>
  </si>
  <si>
    <t>WB_R16</t>
  </si>
  <si>
    <t>WB_R17</t>
  </si>
  <si>
    <t>WB_R18</t>
  </si>
  <si>
    <t>WB_R19</t>
  </si>
  <si>
    <t>mol.s-1.g-1</t>
  </si>
  <si>
    <t>WB_R17_patch</t>
  </si>
  <si>
    <t>WB_R21</t>
  </si>
  <si>
    <t>WB_R22</t>
  </si>
  <si>
    <t>WB_R23</t>
  </si>
  <si>
    <t>WB_R24</t>
  </si>
  <si>
    <t>Old simulations</t>
  </si>
  <si>
    <t>WB_lowS7_patch</t>
  </si>
  <si>
    <t>WB_lowS8</t>
  </si>
  <si>
    <t>WB_lowS7_O2</t>
  </si>
  <si>
    <t>Km_Nm_xylem</t>
  </si>
  <si>
    <t>Km parameter for mineral nitrogen xylem loading</t>
  </si>
  <si>
    <t>vmax_unloading_AA_phloem</t>
  </si>
  <si>
    <t>km_unloading_AA_phloem</t>
  </si>
  <si>
    <t>vmax_AA_xylem</t>
  </si>
  <si>
    <t>Vmax parameter for amino acids xylem loading</t>
  </si>
  <si>
    <t>Affinity parameter for amino acid loading into symplasm from phloem</t>
  </si>
  <si>
    <t>cmax_AA</t>
  </si>
  <si>
    <t>Maximal rate of amino acid catabolism in the root segment</t>
  </si>
  <si>
    <t>soil_model</t>
  </si>
  <si>
    <t>soil</t>
  </si>
  <si>
    <t>Before</t>
  </si>
  <si>
    <t>synchronize_adventitious_emergence</t>
  </si>
  <si>
    <t>Tells wether root system should listen to shoot for synchronization of nodal roots emergence</t>
  </si>
  <si>
    <t>mineral_N_fertilization_rate</t>
  </si>
  <si>
    <t>Input file containing fertilization rate evolution over time for the soil model</t>
  </si>
  <si>
    <t>gN.s-1</t>
  </si>
  <si>
    <t>reference_rate_of_AA_consumption_by_growth</t>
  </si>
  <si>
    <t>Reference rate of amino acids for growth (used to proportionnally increase the permeability of phloem according to the actual rate of amino_acid consumption)</t>
  </si>
  <si>
    <t>Real number / mol of amino acids per second</t>
  </si>
  <si>
    <t>diffusion_xylem_Nm_P</t>
  </si>
  <si>
    <t>diffusion_xylem_AA_P</t>
  </si>
  <si>
    <t>/4</t>
  </si>
  <si>
    <t>/10</t>
  </si>
  <si>
    <t>meteo_Ljutovac2002_soil.csv</t>
  </si>
  <si>
    <t>* 100 * 3</t>
  </si>
  <si>
    <t>/10 /2/4</t>
  </si>
  <si>
    <t>*16/2/4</t>
  </si>
  <si>
    <t>WB_ref</t>
  </si>
  <si>
    <t>/2</t>
  </si>
  <si>
    <t>/2/2/2</t>
  </si>
  <si>
    <t>rain_intensity</t>
  </si>
  <si>
    <t>Input file containing rain intensity over time for the soil model</t>
  </si>
  <si>
    <t>mm</t>
  </si>
  <si>
    <t>Pmax/50/10</t>
  </si>
  <si>
    <t>WB_ref2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</si>
</sst>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1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8" fillId="34" borderId="10" xfId="0" applyFont="1" applyFill="1" applyBorder="1"/>
    <xf numFmtId="0" fontId="0" fillId="34" borderId="10" xfId="0" applyFill="1" applyBorder="1"/>
    <xf numFmtId="0" fontId="18" fillId="44" borderId="10" xfId="0" applyFont="1" applyFill="1" applyBorder="1"/>
    <xf numFmtId="0" fontId="0" fillId="44" borderId="10" xfId="0" applyFill="1" applyBorder="1"/>
    <xf numFmtId="0" fontId="18" fillId="33" borderId="10" xfId="0" applyFont="1" applyFill="1" applyBorder="1"/>
    <xf numFmtId="0" fontId="0" fillId="33" borderId="10" xfId="0" applyFill="1" applyBorder="1"/>
    <xf numFmtId="0" fontId="18" fillId="37" borderId="10" xfId="0" applyFont="1" applyFill="1" applyBorder="1"/>
    <xf numFmtId="0" fontId="0" fillId="37" borderId="10" xfId="0" applyFill="1" applyBorder="1"/>
    <xf numFmtId="0" fontId="18" fillId="36" borderId="10" xfId="0" applyFont="1" applyFill="1" applyBorder="1"/>
    <xf numFmtId="0" fontId="0" fillId="36" borderId="10" xfId="0" applyFill="1" applyBorder="1"/>
    <xf numFmtId="0" fontId="18" fillId="38" borderId="10" xfId="0" applyFont="1" applyFill="1" applyBorder="1"/>
    <xf numFmtId="0" fontId="0" fillId="38" borderId="10" xfId="0" applyFill="1" applyBorder="1"/>
    <xf numFmtId="0" fontId="18" fillId="41" borderId="10" xfId="0" applyFont="1" applyFill="1" applyBorder="1"/>
    <xf numFmtId="0" fontId="0" fillId="41" borderId="10" xfId="0" applyFill="1" applyBorder="1"/>
    <xf numFmtId="0" fontId="18" fillId="42" borderId="10" xfId="0" applyFont="1" applyFill="1" applyBorder="1"/>
    <xf numFmtId="0" fontId="0" fillId="42" borderId="10" xfId="0" applyFill="1" applyBorder="1"/>
    <xf numFmtId="0" fontId="18" fillId="45" borderId="10" xfId="0" applyFont="1" applyFill="1" applyBorder="1"/>
    <xf numFmtId="0" fontId="0" fillId="45" borderId="10" xfId="0" applyFill="1" applyBorder="1"/>
    <xf numFmtId="0" fontId="18" fillId="39" borderId="10" xfId="0" applyFont="1" applyFill="1" applyBorder="1"/>
    <xf numFmtId="0" fontId="0" fillId="39" borderId="10" xfId="0" applyFill="1" applyBorder="1"/>
    <xf numFmtId="0" fontId="18" fillId="43" borderId="10" xfId="0" applyFont="1" applyFill="1" applyBorder="1"/>
    <xf numFmtId="0" fontId="0" fillId="43" borderId="10" xfId="0" applyFill="1" applyBorder="1"/>
    <xf numFmtId="0" fontId="18" fillId="35" borderId="10" xfId="0" applyFont="1" applyFill="1" applyBorder="1"/>
    <xf numFmtId="0" fontId="0" fillId="35" borderId="10" xfId="0" applyFill="1" applyBorder="1"/>
    <xf numFmtId="0" fontId="18" fillId="47" borderId="10" xfId="0" applyFont="1" applyFill="1" applyBorder="1"/>
    <xf numFmtId="0" fontId="0" fillId="47" borderId="10" xfId="0" applyFill="1" applyBorder="1"/>
    <xf numFmtId="0" fontId="18" fillId="46" borderId="10" xfId="0" applyFont="1" applyFill="1" applyBorder="1"/>
    <xf numFmtId="0" fontId="0" fillId="46" borderId="10" xfId="0" applyFill="1" applyBorder="1"/>
    <xf numFmtId="0" fontId="18" fillId="48" borderId="10" xfId="0" applyFont="1" applyFill="1" applyBorder="1"/>
    <xf numFmtId="0" fontId="0" fillId="48" borderId="10" xfId="0" applyFill="1" applyBorder="1"/>
    <xf numFmtId="0" fontId="18" fillId="49" borderId="10" xfId="0" applyFont="1" applyFill="1" applyBorder="1"/>
    <xf numFmtId="0" fontId="0" fillId="49" borderId="10" xfId="0" applyFill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8" fillId="50" borderId="10" xfId="0" applyFont="1" applyFill="1" applyBorder="1"/>
    <xf numFmtId="0" fontId="0" fillId="50" borderId="10" xfId="0" applyFill="1" applyBorder="1"/>
    <xf numFmtId="11" fontId="18" fillId="39" borderId="10" xfId="0" applyNumberFormat="1" applyFont="1" applyFill="1" applyBorder="1"/>
    <xf numFmtId="11" fontId="0" fillId="39" borderId="10" xfId="0" applyNumberFormat="1" applyFill="1" applyBorder="1"/>
    <xf numFmtId="0" fontId="18" fillId="52" borderId="10" xfId="0" applyFont="1" applyFill="1" applyBorder="1"/>
    <xf numFmtId="0" fontId="0" fillId="52" borderId="10" xfId="0" applyFill="1" applyBorder="1"/>
    <xf numFmtId="11" fontId="16" fillId="51" borderId="10" xfId="0" applyNumberFormat="1" applyFont="1" applyFill="1" applyBorder="1" applyAlignment="1">
      <alignment horizontal="left" vertical="center"/>
    </xf>
    <xf numFmtId="11" fontId="16" fillId="50" borderId="10" xfId="0" applyNumberFormat="1" applyFont="1" applyFill="1" applyBorder="1" applyAlignment="1">
      <alignment horizontal="left" vertical="center"/>
    </xf>
    <xf numFmtId="0" fontId="0" fillId="46" borderId="11" xfId="0" applyFill="1" applyBorder="1"/>
    <xf numFmtId="0" fontId="18" fillId="40" borderId="12" xfId="0" applyFont="1" applyFill="1" applyBorder="1"/>
    <xf numFmtId="0" fontId="18" fillId="34" borderId="12" xfId="0" applyFont="1" applyFill="1" applyBorder="1"/>
    <xf numFmtId="0" fontId="0" fillId="40" borderId="12" xfId="0" applyFill="1" applyBorder="1"/>
    <xf numFmtId="0" fontId="0" fillId="0" borderId="10" xfId="0" applyBorder="1"/>
    <xf numFmtId="11" fontId="16" fillId="0" borderId="0" xfId="0" applyNumberFormat="1" applyFont="1"/>
    <xf numFmtId="11" fontId="0" fillId="0" borderId="0" xfId="0" applyNumberFormat="1" applyAlignment="1">
      <alignment horizontal="left"/>
    </xf>
    <xf numFmtId="0" fontId="16" fillId="53" borderId="10" xfId="0" applyFont="1" applyFill="1" applyBorder="1"/>
    <xf numFmtId="0" fontId="16" fillId="0" borderId="0" xfId="0" applyFont="1" applyAlignment="1">
      <alignment horizontal="left" vertical="center" wrapText="1"/>
    </xf>
    <xf numFmtId="11" fontId="16" fillId="0" borderId="10" xfId="0" applyNumberFormat="1" applyFont="1" applyBorder="1" applyAlignment="1">
      <alignment horizontal="left" vertical="center"/>
    </xf>
    <xf numFmtId="11" fontId="16" fillId="0" borderId="10" xfId="0" applyNumberFormat="1" applyFont="1" applyBorder="1"/>
    <xf numFmtId="11" fontId="0" fillId="0" borderId="10" xfId="0" applyNumberFormat="1" applyBorder="1" applyAlignment="1">
      <alignment horizontal="left"/>
    </xf>
    <xf numFmtId="11" fontId="16" fillId="51" borderId="0" xfId="0" applyNumberFormat="1" applyFont="1" applyFill="1" applyAlignment="1">
      <alignment horizontal="left" vertical="center"/>
    </xf>
    <xf numFmtId="11" fontId="16" fillId="50" borderId="0" xfId="0" applyNumberFormat="1" applyFont="1" applyFill="1" applyAlignment="1">
      <alignment horizontal="left" vertical="center"/>
    </xf>
    <xf numFmtId="11" fontId="16" fillId="0" borderId="0" xfId="0" applyNumberFormat="1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34"/>
  <sheetViews>
    <sheetView tabSelected="1" zoomScale="79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L9" sqref="L9"/>
    </sheetView>
  </sheetViews>
  <sheetFormatPr defaultColWidth="11.42578125" defaultRowHeight="15" x14ac:dyDescent="0.25"/>
  <cols>
    <col min="1" max="1" width="32.7109375" style="1" customWidth="1"/>
    <col min="2" max="2" width="13.7109375" style="1" customWidth="1"/>
    <col min="3" max="3" width="16.140625" style="1" customWidth="1"/>
    <col min="4" max="4" width="12.85546875" style="1" customWidth="1"/>
    <col min="5" max="5" width="13.85546875" customWidth="1"/>
    <col min="6" max="6" width="22.7109375" customWidth="1"/>
    <col min="7" max="7" width="16.140625" style="37" customWidth="1"/>
    <col min="8" max="46" width="21.5703125" style="1" customWidth="1"/>
  </cols>
  <sheetData>
    <row r="1" spans="1:46" s="1" customFormat="1" x14ac:dyDescent="0.25">
      <c r="A1" s="2" t="s">
        <v>471</v>
      </c>
      <c r="B1" s="2" t="s">
        <v>472</v>
      </c>
      <c r="C1" s="2" t="s">
        <v>482</v>
      </c>
      <c r="D1" s="2" t="s">
        <v>484</v>
      </c>
      <c r="E1" s="2" t="s">
        <v>112</v>
      </c>
      <c r="F1" s="2" t="s">
        <v>92</v>
      </c>
      <c r="G1" s="35" t="s">
        <v>378</v>
      </c>
      <c r="I1" s="54" t="s">
        <v>582</v>
      </c>
      <c r="J1" s="54" t="s">
        <v>599</v>
      </c>
      <c r="K1" s="54" t="s">
        <v>606</v>
      </c>
      <c r="M1" s="54" t="s">
        <v>570</v>
      </c>
      <c r="N1" s="54" t="s">
        <v>568</v>
      </c>
      <c r="O1" s="54" t="s">
        <v>569</v>
      </c>
      <c r="Q1" s="1" t="s">
        <v>567</v>
      </c>
      <c r="R1" s="36" t="s">
        <v>543</v>
      </c>
      <c r="S1" s="36" t="s">
        <v>544</v>
      </c>
      <c r="T1" s="36" t="s">
        <v>545</v>
      </c>
      <c r="U1" s="36" t="s">
        <v>546</v>
      </c>
      <c r="V1" s="36" t="s">
        <v>547</v>
      </c>
      <c r="W1" s="36" t="s">
        <v>548</v>
      </c>
      <c r="X1" s="36" t="s">
        <v>549</v>
      </c>
      <c r="Y1" s="36" t="s">
        <v>550</v>
      </c>
      <c r="Z1" s="36" t="s">
        <v>551</v>
      </c>
      <c r="AA1" s="36" t="s">
        <v>552</v>
      </c>
      <c r="AB1" s="36" t="s">
        <v>553</v>
      </c>
      <c r="AC1"/>
      <c r="AD1" s="36" t="s">
        <v>554</v>
      </c>
      <c r="AE1" s="36" t="s">
        <v>555</v>
      </c>
      <c r="AF1" s="36" t="s">
        <v>556</v>
      </c>
      <c r="AG1" s="36" t="s">
        <v>557</v>
      </c>
      <c r="AH1" s="36" t="s">
        <v>558</v>
      </c>
      <c r="AI1" s="36" t="s">
        <v>559</v>
      </c>
      <c r="AJ1" s="36" t="s">
        <v>560</v>
      </c>
      <c r="AK1"/>
      <c r="AL1" s="36" t="s">
        <v>563</v>
      </c>
      <c r="AM1" s="36" t="s">
        <v>564</v>
      </c>
      <c r="AN1" s="36" t="s">
        <v>565</v>
      </c>
      <c r="AO1" s="36" t="s">
        <v>566</v>
      </c>
      <c r="AP1"/>
      <c r="AQ1" s="36" t="s">
        <v>562</v>
      </c>
      <c r="AR1"/>
      <c r="AS1"/>
      <c r="AT1" s="36" t="s">
        <v>542</v>
      </c>
    </row>
    <row r="2" spans="1:46" s="1" customFormat="1" x14ac:dyDescent="0.25">
      <c r="A2" s="42" t="s">
        <v>481</v>
      </c>
      <c r="B2" s="3" t="s">
        <v>475</v>
      </c>
      <c r="C2" s="3" t="s">
        <v>483</v>
      </c>
      <c r="D2" s="3" t="s">
        <v>521</v>
      </c>
      <c r="E2" s="43" t="s">
        <v>447</v>
      </c>
      <c r="F2" s="43" t="s">
        <v>91</v>
      </c>
      <c r="G2" s="44" t="s">
        <v>478</v>
      </c>
      <c r="I2" s="58"/>
      <c r="J2" s="44" t="s">
        <v>478</v>
      </c>
      <c r="K2" s="44" t="s">
        <v>478</v>
      </c>
      <c r="M2" s="44" t="s">
        <v>478</v>
      </c>
      <c r="N2" s="44" t="s">
        <v>478</v>
      </c>
      <c r="O2" s="44" t="s">
        <v>478</v>
      </c>
      <c r="R2" s="44" t="s">
        <v>478</v>
      </c>
      <c r="S2" s="44" t="s">
        <v>478</v>
      </c>
      <c r="T2" s="44" t="s">
        <v>478</v>
      </c>
      <c r="U2" s="44" t="s">
        <v>478</v>
      </c>
      <c r="V2" s="44" t="s">
        <v>478</v>
      </c>
      <c r="W2" s="44" t="s">
        <v>478</v>
      </c>
      <c r="X2" s="44" t="s">
        <v>478</v>
      </c>
      <c r="Y2" s="44" t="s">
        <v>478</v>
      </c>
      <c r="Z2" s="44" t="s">
        <v>478</v>
      </c>
      <c r="AA2" s="44" t="s">
        <v>478</v>
      </c>
      <c r="AB2" s="44" t="s">
        <v>478</v>
      </c>
      <c r="AC2"/>
      <c r="AD2" s="44" t="s">
        <v>478</v>
      </c>
      <c r="AE2" s="44" t="s">
        <v>478</v>
      </c>
      <c r="AF2" s="44" t="s">
        <v>478</v>
      </c>
      <c r="AG2" s="44" t="s">
        <v>478</v>
      </c>
      <c r="AH2" s="44" t="s">
        <v>478</v>
      </c>
      <c r="AI2" s="44" t="s">
        <v>478</v>
      </c>
      <c r="AJ2" s="44" t="s">
        <v>478</v>
      </c>
      <c r="AK2"/>
      <c r="AL2" s="44" t="s">
        <v>478</v>
      </c>
      <c r="AM2" s="44" t="s">
        <v>478</v>
      </c>
      <c r="AN2" s="44" t="s">
        <v>478</v>
      </c>
      <c r="AO2" s="44" t="s">
        <v>478</v>
      </c>
      <c r="AP2"/>
      <c r="AQ2" s="44" t="s">
        <v>478</v>
      </c>
      <c r="AR2"/>
      <c r="AS2"/>
      <c r="AT2" s="44" t="s">
        <v>478</v>
      </c>
    </row>
    <row r="3" spans="1:46" s="1" customFormat="1" x14ac:dyDescent="0.25">
      <c r="A3" s="42" t="s">
        <v>479</v>
      </c>
      <c r="B3" s="3" t="s">
        <v>474</v>
      </c>
      <c r="C3" s="3" t="s">
        <v>483</v>
      </c>
      <c r="D3" s="3" t="s">
        <v>521</v>
      </c>
      <c r="E3" s="46" t="s">
        <v>477</v>
      </c>
      <c r="F3" s="46" t="s">
        <v>480</v>
      </c>
      <c r="G3" s="44" t="s">
        <v>476</v>
      </c>
      <c r="I3" s="58"/>
      <c r="J3" s="44" t="s">
        <v>595</v>
      </c>
      <c r="K3" s="44" t="s">
        <v>476</v>
      </c>
      <c r="M3" s="44" t="s">
        <v>476</v>
      </c>
      <c r="N3" s="44" t="s">
        <v>476</v>
      </c>
      <c r="O3" s="44" t="s">
        <v>476</v>
      </c>
      <c r="R3" s="44" t="s">
        <v>476</v>
      </c>
      <c r="S3" s="44" t="s">
        <v>476</v>
      </c>
      <c r="T3" s="44" t="s">
        <v>476</v>
      </c>
      <c r="U3" s="44" t="s">
        <v>476</v>
      </c>
      <c r="V3" s="44" t="s">
        <v>476</v>
      </c>
      <c r="W3" s="44" t="s">
        <v>476</v>
      </c>
      <c r="X3" s="44" t="s">
        <v>476</v>
      </c>
      <c r="Y3" s="44" t="s">
        <v>476</v>
      </c>
      <c r="Z3" s="44" t="s">
        <v>476</v>
      </c>
      <c r="AA3" s="44" t="s">
        <v>476</v>
      </c>
      <c r="AB3" s="44" t="s">
        <v>476</v>
      </c>
      <c r="AC3"/>
      <c r="AD3" s="44" t="s">
        <v>476</v>
      </c>
      <c r="AE3" s="44" t="s">
        <v>476</v>
      </c>
      <c r="AF3" s="44" t="s">
        <v>476</v>
      </c>
      <c r="AG3" s="44" t="s">
        <v>476</v>
      </c>
      <c r="AH3" s="44" t="s">
        <v>476</v>
      </c>
      <c r="AI3" s="44" t="s">
        <v>476</v>
      </c>
      <c r="AJ3" s="44" t="s">
        <v>476</v>
      </c>
      <c r="AK3"/>
      <c r="AL3" s="44" t="s">
        <v>476</v>
      </c>
      <c r="AM3" s="44" t="s">
        <v>476</v>
      </c>
      <c r="AN3" s="44" t="s">
        <v>476</v>
      </c>
      <c r="AO3" s="44" t="s">
        <v>476</v>
      </c>
      <c r="AP3"/>
      <c r="AQ3" s="44" t="s">
        <v>476</v>
      </c>
      <c r="AR3"/>
      <c r="AS3"/>
      <c r="AT3" s="44" t="s">
        <v>476</v>
      </c>
    </row>
    <row r="4" spans="1:46" s="1" customFormat="1" x14ac:dyDescent="0.25">
      <c r="A4" s="42" t="s">
        <v>602</v>
      </c>
      <c r="B4" s="3" t="s">
        <v>474</v>
      </c>
      <c r="C4" s="3" t="s">
        <v>483</v>
      </c>
      <c r="D4" s="3" t="s">
        <v>521</v>
      </c>
      <c r="E4" s="46" t="s">
        <v>603</v>
      </c>
      <c r="F4" s="46" t="s">
        <v>604</v>
      </c>
      <c r="G4" s="44" t="s">
        <v>476</v>
      </c>
      <c r="I4" s="58"/>
      <c r="J4" s="44" t="s">
        <v>595</v>
      </c>
      <c r="K4" s="44" t="s">
        <v>595</v>
      </c>
      <c r="M4" s="44" t="s">
        <v>476</v>
      </c>
      <c r="N4" s="44" t="s">
        <v>476</v>
      </c>
      <c r="O4" s="44" t="s">
        <v>476</v>
      </c>
      <c r="R4" s="44" t="s">
        <v>476</v>
      </c>
      <c r="S4" s="44" t="s">
        <v>476</v>
      </c>
      <c r="T4" s="44" t="s">
        <v>476</v>
      </c>
      <c r="U4" s="44" t="s">
        <v>476</v>
      </c>
      <c r="V4" s="44" t="s">
        <v>476</v>
      </c>
      <c r="W4" s="44" t="s">
        <v>476</v>
      </c>
      <c r="X4" s="44" t="s">
        <v>476</v>
      </c>
      <c r="Y4" s="44" t="s">
        <v>476</v>
      </c>
      <c r="Z4" s="44" t="s">
        <v>476</v>
      </c>
      <c r="AA4" s="44" t="s">
        <v>476</v>
      </c>
      <c r="AB4" s="44" t="s">
        <v>476</v>
      </c>
      <c r="AC4"/>
      <c r="AD4" s="44" t="s">
        <v>476</v>
      </c>
      <c r="AE4" s="44" t="s">
        <v>476</v>
      </c>
      <c r="AF4" s="44" t="s">
        <v>476</v>
      </c>
      <c r="AG4" s="44" t="s">
        <v>476</v>
      </c>
      <c r="AH4" s="44" t="s">
        <v>476</v>
      </c>
      <c r="AI4" s="44" t="s">
        <v>476</v>
      </c>
      <c r="AJ4" s="44" t="s">
        <v>476</v>
      </c>
      <c r="AK4"/>
      <c r="AL4" s="44" t="s">
        <v>476</v>
      </c>
      <c r="AM4" s="44" t="s">
        <v>476</v>
      </c>
      <c r="AN4" s="44" t="s">
        <v>476</v>
      </c>
      <c r="AO4" s="44" t="s">
        <v>476</v>
      </c>
      <c r="AP4"/>
      <c r="AQ4" s="44" t="s">
        <v>476</v>
      </c>
      <c r="AR4"/>
      <c r="AS4"/>
      <c r="AT4" s="44" t="s">
        <v>476</v>
      </c>
    </row>
    <row r="5" spans="1:46" s="1" customFormat="1" x14ac:dyDescent="0.25">
      <c r="A5" s="42" t="s">
        <v>585</v>
      </c>
      <c r="B5" s="3" t="s">
        <v>474</v>
      </c>
      <c r="C5" s="3" t="s">
        <v>483</v>
      </c>
      <c r="D5" s="3" t="s">
        <v>521</v>
      </c>
      <c r="E5" s="46" t="s">
        <v>586</v>
      </c>
      <c r="F5" s="46" t="s">
        <v>587</v>
      </c>
      <c r="G5" s="44" t="s">
        <v>476</v>
      </c>
      <c r="I5" s="58"/>
      <c r="J5" s="44" t="s">
        <v>476</v>
      </c>
      <c r="K5" s="44" t="s">
        <v>476</v>
      </c>
      <c r="M5" s="44" t="s">
        <v>476</v>
      </c>
      <c r="N5" s="44" t="s">
        <v>476</v>
      </c>
      <c r="O5" s="44" t="s">
        <v>476</v>
      </c>
      <c r="R5" s="44" t="s">
        <v>476</v>
      </c>
      <c r="S5" s="44" t="s">
        <v>476</v>
      </c>
      <c r="T5" s="44" t="s">
        <v>476</v>
      </c>
      <c r="U5" s="44" t="s">
        <v>476</v>
      </c>
      <c r="V5" s="44" t="s">
        <v>476</v>
      </c>
      <c r="W5" s="44" t="s">
        <v>476</v>
      </c>
      <c r="X5" s="44" t="s">
        <v>476</v>
      </c>
      <c r="Y5" s="44" t="s">
        <v>476</v>
      </c>
      <c r="Z5" s="44" t="s">
        <v>476</v>
      </c>
      <c r="AA5" s="44" t="s">
        <v>476</v>
      </c>
      <c r="AB5" s="44" t="s">
        <v>476</v>
      </c>
      <c r="AC5"/>
      <c r="AD5" s="44" t="s">
        <v>476</v>
      </c>
      <c r="AE5" s="44" t="s">
        <v>476</v>
      </c>
      <c r="AF5" s="44" t="s">
        <v>476</v>
      </c>
      <c r="AG5" s="44" t="s">
        <v>476</v>
      </c>
      <c r="AH5" s="44" t="s">
        <v>476</v>
      </c>
      <c r="AI5" s="44" t="s">
        <v>476</v>
      </c>
      <c r="AJ5" s="44" t="s">
        <v>476</v>
      </c>
      <c r="AK5"/>
      <c r="AL5" s="44" t="s">
        <v>476</v>
      </c>
      <c r="AM5" s="44" t="s">
        <v>476</v>
      </c>
      <c r="AN5" s="44" t="s">
        <v>476</v>
      </c>
      <c r="AO5" s="44" t="s">
        <v>476</v>
      </c>
      <c r="AP5"/>
      <c r="AQ5" s="44" t="s">
        <v>476</v>
      </c>
      <c r="AR5"/>
      <c r="AS5"/>
      <c r="AT5" s="44" t="s">
        <v>476</v>
      </c>
    </row>
    <row r="6" spans="1:46" x14ac:dyDescent="0.25">
      <c r="A6" s="3" t="s">
        <v>2</v>
      </c>
      <c r="B6" s="3" t="s">
        <v>473</v>
      </c>
      <c r="C6" s="3" t="s">
        <v>483</v>
      </c>
      <c r="D6" s="3" t="s">
        <v>521</v>
      </c>
      <c r="E6" s="4" t="s">
        <v>129</v>
      </c>
      <c r="F6" s="4" t="s">
        <v>94</v>
      </c>
      <c r="G6" s="44" t="s">
        <v>86</v>
      </c>
      <c r="I6" s="58"/>
      <c r="J6" s="44" t="s">
        <v>86</v>
      </c>
      <c r="K6" s="44" t="s">
        <v>86</v>
      </c>
      <c r="M6" s="44" t="s">
        <v>86</v>
      </c>
      <c r="N6" s="44" t="s">
        <v>86</v>
      </c>
      <c r="O6" s="44" t="s">
        <v>86</v>
      </c>
      <c r="R6" s="44" t="s">
        <v>86</v>
      </c>
      <c r="S6" s="44" t="s">
        <v>86</v>
      </c>
      <c r="T6" s="44" t="s">
        <v>86</v>
      </c>
      <c r="U6" s="44" t="s">
        <v>86</v>
      </c>
      <c r="V6" s="44" t="s">
        <v>86</v>
      </c>
      <c r="W6" s="44" t="s">
        <v>86</v>
      </c>
      <c r="X6" s="44" t="s">
        <v>86</v>
      </c>
      <c r="Y6" s="44" t="s">
        <v>86</v>
      </c>
      <c r="Z6" s="44" t="s">
        <v>86</v>
      </c>
      <c r="AA6" s="44" t="s">
        <v>86</v>
      </c>
      <c r="AB6" s="44" t="s">
        <v>86</v>
      </c>
      <c r="AC6"/>
      <c r="AD6" s="44" t="s">
        <v>86</v>
      </c>
      <c r="AE6" s="44" t="s">
        <v>86</v>
      </c>
      <c r="AF6" s="44" t="s">
        <v>86</v>
      </c>
      <c r="AG6" s="44" t="s">
        <v>86</v>
      </c>
      <c r="AH6" s="44" t="s">
        <v>86</v>
      </c>
      <c r="AI6" s="44" t="s">
        <v>86</v>
      </c>
      <c r="AJ6" s="44" t="s">
        <v>86</v>
      </c>
      <c r="AK6"/>
      <c r="AL6" s="44" t="s">
        <v>86</v>
      </c>
      <c r="AM6" s="44" t="s">
        <v>86</v>
      </c>
      <c r="AN6" s="44" t="s">
        <v>86</v>
      </c>
      <c r="AO6" s="44" t="s">
        <v>86</v>
      </c>
      <c r="AP6"/>
      <c r="AQ6" s="44" t="s">
        <v>86</v>
      </c>
      <c r="AR6"/>
      <c r="AS6"/>
      <c r="AT6" s="44" t="s">
        <v>86</v>
      </c>
    </row>
    <row r="7" spans="1:46" x14ac:dyDescent="0.25">
      <c r="A7" s="3" t="s">
        <v>3</v>
      </c>
      <c r="B7" s="3" t="s">
        <v>473</v>
      </c>
      <c r="C7" s="3" t="s">
        <v>483</v>
      </c>
      <c r="D7" s="3" t="s">
        <v>521</v>
      </c>
      <c r="E7" s="4" t="s">
        <v>130</v>
      </c>
      <c r="F7" s="4" t="s">
        <v>95</v>
      </c>
      <c r="G7" s="44">
        <v>1</v>
      </c>
      <c r="I7" s="58"/>
      <c r="J7" s="44">
        <v>1</v>
      </c>
      <c r="K7" s="44">
        <v>1</v>
      </c>
      <c r="M7" s="44">
        <v>1</v>
      </c>
      <c r="N7" s="44">
        <v>1</v>
      </c>
      <c r="O7" s="44">
        <v>1</v>
      </c>
      <c r="R7" s="44">
        <v>1</v>
      </c>
      <c r="S7" s="44">
        <v>1</v>
      </c>
      <c r="T7" s="44">
        <v>1</v>
      </c>
      <c r="U7" s="44">
        <v>1</v>
      </c>
      <c r="V7" s="44">
        <v>1</v>
      </c>
      <c r="W7" s="44">
        <v>1</v>
      </c>
      <c r="X7" s="44">
        <v>1</v>
      </c>
      <c r="Y7" s="44">
        <v>1</v>
      </c>
      <c r="Z7" s="44">
        <v>1</v>
      </c>
      <c r="AA7" s="44">
        <v>1</v>
      </c>
      <c r="AB7" s="44">
        <v>1</v>
      </c>
      <c r="AC7"/>
      <c r="AD7" s="44">
        <v>1</v>
      </c>
      <c r="AE7" s="44">
        <v>1</v>
      </c>
      <c r="AF7" s="44">
        <v>1</v>
      </c>
      <c r="AG7" s="44">
        <v>1</v>
      </c>
      <c r="AH7" s="44">
        <v>1</v>
      </c>
      <c r="AI7" s="44">
        <v>1</v>
      </c>
      <c r="AJ7" s="44">
        <v>1</v>
      </c>
      <c r="AK7"/>
      <c r="AL7" s="44">
        <v>1</v>
      </c>
      <c r="AM7" s="44">
        <v>1</v>
      </c>
      <c r="AN7" s="44">
        <v>1</v>
      </c>
      <c r="AO7" s="44">
        <v>1</v>
      </c>
      <c r="AP7"/>
      <c r="AQ7" s="44">
        <v>1</v>
      </c>
      <c r="AR7"/>
      <c r="AS7"/>
      <c r="AT7" s="44">
        <v>1</v>
      </c>
    </row>
    <row r="8" spans="1:46" x14ac:dyDescent="0.25">
      <c r="A8" s="5" t="s">
        <v>4</v>
      </c>
      <c r="B8" s="3" t="s">
        <v>473</v>
      </c>
      <c r="C8" s="3" t="s">
        <v>483</v>
      </c>
      <c r="D8" s="3" t="s">
        <v>521</v>
      </c>
      <c r="E8" s="6" t="s">
        <v>114</v>
      </c>
      <c r="F8" s="6" t="s">
        <v>93</v>
      </c>
      <c r="G8" s="44">
        <v>60</v>
      </c>
      <c r="I8" s="58"/>
      <c r="J8" s="44">
        <v>180</v>
      </c>
      <c r="K8" s="44">
        <v>180</v>
      </c>
      <c r="M8" s="44">
        <v>180</v>
      </c>
      <c r="N8" s="44">
        <v>180</v>
      </c>
      <c r="O8" s="44">
        <v>180</v>
      </c>
      <c r="R8" s="44">
        <v>180</v>
      </c>
      <c r="S8" s="44">
        <v>180</v>
      </c>
      <c r="T8" s="44">
        <v>180</v>
      </c>
      <c r="U8" s="44">
        <v>180</v>
      </c>
      <c r="V8" s="44">
        <v>180</v>
      </c>
      <c r="W8" s="44">
        <v>180</v>
      </c>
      <c r="X8" s="44">
        <v>180</v>
      </c>
      <c r="Y8" s="44">
        <v>180</v>
      </c>
      <c r="Z8" s="44">
        <v>180</v>
      </c>
      <c r="AA8" s="44">
        <v>180</v>
      </c>
      <c r="AB8" s="44">
        <v>180</v>
      </c>
      <c r="AC8"/>
      <c r="AD8" s="44">
        <v>180</v>
      </c>
      <c r="AE8" s="44">
        <v>180</v>
      </c>
      <c r="AF8" s="44">
        <v>180</v>
      </c>
      <c r="AG8" s="44">
        <v>180</v>
      </c>
      <c r="AH8" s="44">
        <v>180</v>
      </c>
      <c r="AI8" s="44">
        <v>180</v>
      </c>
      <c r="AJ8" s="44">
        <v>180</v>
      </c>
      <c r="AK8"/>
      <c r="AL8" s="44">
        <v>180</v>
      </c>
      <c r="AM8" s="44">
        <v>180</v>
      </c>
      <c r="AN8" s="44">
        <v>180</v>
      </c>
      <c r="AO8" s="44">
        <v>180</v>
      </c>
      <c r="AP8"/>
      <c r="AQ8" s="44">
        <v>180</v>
      </c>
      <c r="AR8"/>
      <c r="AS8"/>
      <c r="AT8" s="44">
        <v>180</v>
      </c>
    </row>
    <row r="9" spans="1:46" x14ac:dyDescent="0.25">
      <c r="A9" s="5" t="s">
        <v>5</v>
      </c>
      <c r="B9" s="3" t="s">
        <v>473</v>
      </c>
      <c r="C9" s="3" t="s">
        <v>483</v>
      </c>
      <c r="D9" s="3" t="s">
        <v>521</v>
      </c>
      <c r="E9" s="6" t="s">
        <v>115</v>
      </c>
      <c r="F9" s="6" t="s">
        <v>93</v>
      </c>
      <c r="G9" s="44">
        <v>4.1666666999999998E-2</v>
      </c>
      <c r="I9" s="58"/>
      <c r="J9" s="44">
        <v>4.1666666999999998E-2</v>
      </c>
      <c r="K9" s="44">
        <v>4.1666666999999998E-2</v>
      </c>
      <c r="M9" s="44">
        <v>4.1666666999999998E-2</v>
      </c>
      <c r="N9" s="44">
        <v>4.1666666999999998E-2</v>
      </c>
      <c r="O9" s="44">
        <v>4.1666666999999998E-2</v>
      </c>
      <c r="R9" s="44">
        <v>4.1666666999999998E-2</v>
      </c>
      <c r="S9" s="44">
        <v>4.1666666999999998E-2</v>
      </c>
      <c r="T9" s="44">
        <v>4.1666666999999998E-2</v>
      </c>
      <c r="U9" s="44">
        <v>4.1666666999999998E-2</v>
      </c>
      <c r="V9" s="44">
        <v>4.1666666999999998E-2</v>
      </c>
      <c r="W9" s="44">
        <v>4.1666666999999998E-2</v>
      </c>
      <c r="X9" s="44">
        <v>4.1666666999999998E-2</v>
      </c>
      <c r="Y9" s="44">
        <v>4.1666666999999998E-2</v>
      </c>
      <c r="Z9" s="44">
        <v>4.1666666999999998E-2</v>
      </c>
      <c r="AA9" s="44">
        <v>4.1666666999999998E-2</v>
      </c>
      <c r="AB9" s="44">
        <v>4.1666666999999998E-2</v>
      </c>
      <c r="AC9"/>
      <c r="AD9" s="44">
        <v>4.1666666999999998E-2</v>
      </c>
      <c r="AE9" s="44">
        <v>4.1666666999999998E-2</v>
      </c>
      <c r="AF9" s="44">
        <v>4.1666666999999998E-2</v>
      </c>
      <c r="AG9" s="44">
        <v>4.1666666999999998E-2</v>
      </c>
      <c r="AH9" s="44">
        <v>4.1666666999999998E-2</v>
      </c>
      <c r="AI9" s="44">
        <v>4.1666666999999998E-2</v>
      </c>
      <c r="AJ9" s="44">
        <v>4.1666666999999998E-2</v>
      </c>
      <c r="AK9"/>
      <c r="AL9" s="44">
        <v>4.1666666999999998E-2</v>
      </c>
      <c r="AM9" s="44">
        <v>4.1666666999999998E-2</v>
      </c>
      <c r="AN9" s="44">
        <v>4.1666666999999998E-2</v>
      </c>
      <c r="AO9" s="44">
        <v>4.1666666999999998E-2</v>
      </c>
      <c r="AP9"/>
      <c r="AQ9" s="44">
        <v>4.1666666999999998E-2</v>
      </c>
      <c r="AR9"/>
      <c r="AS9"/>
      <c r="AT9" s="44">
        <v>4.1666666999999998E-2</v>
      </c>
    </row>
    <row r="10" spans="1:46" x14ac:dyDescent="0.25">
      <c r="A10" s="5" t="s">
        <v>20</v>
      </c>
      <c r="B10" s="3" t="s">
        <v>473</v>
      </c>
      <c r="C10" s="3" t="s">
        <v>483</v>
      </c>
      <c r="D10" s="3" t="s">
        <v>521</v>
      </c>
      <c r="E10" s="6" t="s">
        <v>123</v>
      </c>
      <c r="F10" s="6" t="s">
        <v>93</v>
      </c>
      <c r="G10" s="44">
        <v>5</v>
      </c>
      <c r="I10" s="58"/>
      <c r="J10" s="44">
        <v>4.1666666999999998E-2</v>
      </c>
      <c r="K10" s="44">
        <v>4.1666666999999998E-2</v>
      </c>
      <c r="M10" s="44">
        <v>4.1666666999999998E-2</v>
      </c>
      <c r="N10" s="44">
        <v>4.1666666999999998E-2</v>
      </c>
      <c r="O10" s="44">
        <v>4.1666666999999998E-2</v>
      </c>
      <c r="R10" s="44">
        <v>4.1666666999999998E-2</v>
      </c>
      <c r="S10" s="44">
        <v>4.1666666999999998E-2</v>
      </c>
      <c r="T10" s="44">
        <v>4.1666666999999998E-2</v>
      </c>
      <c r="U10" s="44">
        <v>4.1666666999999998E-2</v>
      </c>
      <c r="V10" s="44">
        <v>4.1666666999999998E-2</v>
      </c>
      <c r="W10" s="44">
        <v>4.1666666999999998E-2</v>
      </c>
      <c r="X10" s="44">
        <v>4.1666666999999998E-2</v>
      </c>
      <c r="Y10" s="44">
        <v>4.1666666999999998E-2</v>
      </c>
      <c r="Z10" s="44">
        <v>4.1666666999999998E-2</v>
      </c>
      <c r="AA10" s="44">
        <v>4.1666666999999998E-2</v>
      </c>
      <c r="AB10" s="44">
        <v>4.1666666999999998E-2</v>
      </c>
      <c r="AC10"/>
      <c r="AD10" s="44">
        <v>4.1666666999999998E-2</v>
      </c>
      <c r="AE10" s="44">
        <v>4.1666666999999998E-2</v>
      </c>
      <c r="AF10" s="44">
        <v>4.1666666999999998E-2</v>
      </c>
      <c r="AG10" s="44">
        <v>4.1666666999999998E-2</v>
      </c>
      <c r="AH10" s="44">
        <v>4.1666666999999998E-2</v>
      </c>
      <c r="AI10" s="44">
        <v>4.1666666999999998E-2</v>
      </c>
      <c r="AJ10" s="44">
        <v>4.1666666999999998E-2</v>
      </c>
      <c r="AK10"/>
      <c r="AL10" s="44">
        <v>4.1666666999999998E-2</v>
      </c>
      <c r="AM10" s="44">
        <v>4.1666666999999998E-2</v>
      </c>
      <c r="AN10" s="44">
        <v>4.1666666999999998E-2</v>
      </c>
      <c r="AO10" s="44">
        <v>4.1666666999999998E-2</v>
      </c>
      <c r="AP10"/>
      <c r="AQ10" s="44">
        <v>4.1666666999999998E-2</v>
      </c>
      <c r="AR10"/>
      <c r="AS10"/>
      <c r="AT10" s="44">
        <v>4.1666666999999998E-2</v>
      </c>
    </row>
    <row r="11" spans="1:46" x14ac:dyDescent="0.25">
      <c r="A11" s="7" t="s">
        <v>1</v>
      </c>
      <c r="B11" s="3" t="s">
        <v>473</v>
      </c>
      <c r="C11" s="3" t="s">
        <v>483</v>
      </c>
      <c r="D11" s="3" t="s">
        <v>521</v>
      </c>
      <c r="E11" s="8" t="s">
        <v>113</v>
      </c>
      <c r="F11" s="8" t="s">
        <v>93</v>
      </c>
      <c r="G11" s="44">
        <v>1</v>
      </c>
      <c r="I11" s="58"/>
      <c r="J11" s="44">
        <v>1</v>
      </c>
      <c r="K11" s="44">
        <v>1</v>
      </c>
      <c r="M11" s="44">
        <v>1</v>
      </c>
      <c r="N11" s="44">
        <v>1</v>
      </c>
      <c r="O11" s="44">
        <v>1</v>
      </c>
      <c r="R11" s="44">
        <v>1</v>
      </c>
      <c r="S11" s="44">
        <v>1</v>
      </c>
      <c r="T11" s="44">
        <v>1</v>
      </c>
      <c r="U11" s="44">
        <v>1</v>
      </c>
      <c r="V11" s="44">
        <v>1</v>
      </c>
      <c r="W11" s="44">
        <v>1</v>
      </c>
      <c r="X11" s="44">
        <v>1</v>
      </c>
      <c r="Y11" s="44">
        <v>1</v>
      </c>
      <c r="Z11" s="44">
        <v>1</v>
      </c>
      <c r="AA11" s="44">
        <v>1</v>
      </c>
      <c r="AB11" s="44">
        <v>1</v>
      </c>
      <c r="AC11"/>
      <c r="AD11" s="44">
        <v>1</v>
      </c>
      <c r="AE11" s="44">
        <v>1</v>
      </c>
      <c r="AF11" s="44">
        <v>1</v>
      </c>
      <c r="AG11" s="44">
        <v>1</v>
      </c>
      <c r="AH11" s="44">
        <v>1</v>
      </c>
      <c r="AI11" s="44">
        <v>1</v>
      </c>
      <c r="AJ11" s="44">
        <v>1</v>
      </c>
      <c r="AK11"/>
      <c r="AL11" s="44">
        <v>1</v>
      </c>
      <c r="AM11" s="44">
        <v>1</v>
      </c>
      <c r="AN11" s="44">
        <v>1</v>
      </c>
      <c r="AO11" s="44">
        <v>1</v>
      </c>
      <c r="AP11"/>
      <c r="AQ11" s="44">
        <v>1</v>
      </c>
      <c r="AR11"/>
      <c r="AS11"/>
      <c r="AT11" s="44">
        <v>1</v>
      </c>
    </row>
    <row r="12" spans="1:46" x14ac:dyDescent="0.25">
      <c r="A12" s="7" t="s">
        <v>450</v>
      </c>
      <c r="B12" s="3" t="s">
        <v>473</v>
      </c>
      <c r="C12" s="3" t="s">
        <v>483</v>
      </c>
      <c r="D12" s="3" t="s">
        <v>521</v>
      </c>
      <c r="E12" s="8" t="s">
        <v>451</v>
      </c>
      <c r="F12" s="8" t="s">
        <v>93</v>
      </c>
      <c r="G12" s="44">
        <v>0</v>
      </c>
      <c r="I12" s="58"/>
      <c r="J12" s="44">
        <v>0</v>
      </c>
      <c r="K12" s="44">
        <v>0</v>
      </c>
      <c r="M12" s="44">
        <v>0</v>
      </c>
      <c r="N12" s="44">
        <v>0</v>
      </c>
      <c r="O12" s="44">
        <v>0</v>
      </c>
      <c r="R12" s="44">
        <v>0</v>
      </c>
      <c r="S12" s="44">
        <v>0</v>
      </c>
      <c r="T12" s="44">
        <v>0</v>
      </c>
      <c r="U12" s="44">
        <v>0</v>
      </c>
      <c r="V12" s="44">
        <v>0</v>
      </c>
      <c r="W12" s="44">
        <v>0</v>
      </c>
      <c r="X12" s="44">
        <v>0</v>
      </c>
      <c r="Y12" s="44">
        <v>0</v>
      </c>
      <c r="Z12" s="44">
        <v>0</v>
      </c>
      <c r="AA12" s="44">
        <v>0</v>
      </c>
      <c r="AB12" s="44">
        <v>0</v>
      </c>
      <c r="AC12"/>
      <c r="AD12" s="44">
        <v>0</v>
      </c>
      <c r="AE12" s="44">
        <v>0</v>
      </c>
      <c r="AF12" s="44">
        <v>0</v>
      </c>
      <c r="AG12" s="44">
        <v>0</v>
      </c>
      <c r="AH12" s="44">
        <v>0</v>
      </c>
      <c r="AI12" s="44">
        <v>0</v>
      </c>
      <c r="AJ12" s="44">
        <v>0</v>
      </c>
      <c r="AK12"/>
      <c r="AL12" s="44">
        <v>0</v>
      </c>
      <c r="AM12" s="44">
        <v>0</v>
      </c>
      <c r="AN12" s="44">
        <v>0</v>
      </c>
      <c r="AO12" s="44">
        <v>0</v>
      </c>
      <c r="AP12"/>
      <c r="AQ12" s="44">
        <v>0</v>
      </c>
      <c r="AR12"/>
      <c r="AS12"/>
      <c r="AT12" s="44">
        <v>0</v>
      </c>
    </row>
    <row r="13" spans="1:46" x14ac:dyDescent="0.25">
      <c r="A13" s="7" t="s">
        <v>6</v>
      </c>
      <c r="B13" s="3" t="s">
        <v>473</v>
      </c>
      <c r="C13" s="3" t="s">
        <v>483</v>
      </c>
      <c r="D13" s="3" t="s">
        <v>521</v>
      </c>
      <c r="E13" s="8" t="s">
        <v>131</v>
      </c>
      <c r="F13" s="8" t="s">
        <v>94</v>
      </c>
      <c r="G13" s="44" t="s">
        <v>87</v>
      </c>
      <c r="I13" s="58"/>
      <c r="J13" s="44" t="s">
        <v>87</v>
      </c>
      <c r="K13" s="44" t="s">
        <v>87</v>
      </c>
      <c r="M13" s="44" t="s">
        <v>87</v>
      </c>
      <c r="N13" s="44" t="s">
        <v>87</v>
      </c>
      <c r="O13" s="44" t="s">
        <v>87</v>
      </c>
      <c r="R13" s="44" t="s">
        <v>87</v>
      </c>
      <c r="S13" s="44" t="s">
        <v>87</v>
      </c>
      <c r="T13" s="44" t="s">
        <v>87</v>
      </c>
      <c r="U13" s="44" t="s">
        <v>87</v>
      </c>
      <c r="V13" s="44" t="s">
        <v>87</v>
      </c>
      <c r="W13" s="44" t="s">
        <v>87</v>
      </c>
      <c r="X13" s="44" t="s">
        <v>87</v>
      </c>
      <c r="Y13" s="44" t="s">
        <v>87</v>
      </c>
      <c r="Z13" s="44" t="s">
        <v>87</v>
      </c>
      <c r="AA13" s="44" t="s">
        <v>87</v>
      </c>
      <c r="AB13" s="44" t="s">
        <v>87</v>
      </c>
      <c r="AC13"/>
      <c r="AD13" s="44" t="s">
        <v>87</v>
      </c>
      <c r="AE13" s="44" t="s">
        <v>87</v>
      </c>
      <c r="AF13" s="44" t="s">
        <v>87</v>
      </c>
      <c r="AG13" s="44" t="s">
        <v>87</v>
      </c>
      <c r="AH13" s="44" t="s">
        <v>87</v>
      </c>
      <c r="AI13" s="44" t="s">
        <v>87</v>
      </c>
      <c r="AJ13" s="44" t="s">
        <v>87</v>
      </c>
      <c r="AK13"/>
      <c r="AL13" s="44" t="s">
        <v>87</v>
      </c>
      <c r="AM13" s="44" t="s">
        <v>87</v>
      </c>
      <c r="AN13" s="44" t="s">
        <v>87</v>
      </c>
      <c r="AO13" s="44" t="s">
        <v>87</v>
      </c>
      <c r="AP13"/>
      <c r="AQ13" s="44" t="s">
        <v>87</v>
      </c>
      <c r="AR13"/>
      <c r="AS13"/>
      <c r="AT13" s="44" t="s">
        <v>87</v>
      </c>
    </row>
    <row r="14" spans="1:46" x14ac:dyDescent="0.25">
      <c r="A14" s="7" t="s">
        <v>7</v>
      </c>
      <c r="B14" s="3" t="s">
        <v>473</v>
      </c>
      <c r="C14" s="3" t="s">
        <v>483</v>
      </c>
      <c r="D14" s="3" t="s">
        <v>521</v>
      </c>
      <c r="E14" s="8" t="s">
        <v>116</v>
      </c>
      <c r="F14" s="8" t="s">
        <v>96</v>
      </c>
      <c r="G14" s="44">
        <v>5.0000000000000001E-9</v>
      </c>
      <c r="I14" s="58"/>
      <c r="J14" s="44">
        <v>5.0000000000000001E-9</v>
      </c>
      <c r="K14" s="44">
        <v>5.0000000000000001E-9</v>
      </c>
      <c r="M14" s="44">
        <v>5.0000000000000001E-9</v>
      </c>
      <c r="N14" s="44">
        <v>5.0000000000000001E-9</v>
      </c>
      <c r="O14" s="44">
        <v>5.0000000000000001E-9</v>
      </c>
      <c r="R14" s="44">
        <v>5.0000000000000001E-9</v>
      </c>
      <c r="S14" s="44">
        <v>5.0000000000000001E-9</v>
      </c>
      <c r="T14" s="44">
        <v>5.0000000000000001E-9</v>
      </c>
      <c r="U14" s="44">
        <v>5.0000000000000001E-9</v>
      </c>
      <c r="V14" s="44">
        <v>5.0000000000000001E-9</v>
      </c>
      <c r="W14" s="44">
        <v>5.0000000000000001E-9</v>
      </c>
      <c r="X14" s="44">
        <v>5.0000000000000001E-9</v>
      </c>
      <c r="Y14" s="44">
        <v>5.0000000000000001E-9</v>
      </c>
      <c r="Z14" s="44">
        <v>5.0000000000000001E-9</v>
      </c>
      <c r="AA14" s="44">
        <v>5.0000000000000001E-9</v>
      </c>
      <c r="AB14" s="44">
        <v>5.0000000000000001E-9</v>
      </c>
      <c r="AC14"/>
      <c r="AD14" s="44">
        <v>5.0000000000000001E-9</v>
      </c>
      <c r="AE14" s="44">
        <v>5.0000000000000001E-9</v>
      </c>
      <c r="AF14" s="44">
        <v>5.0000000000000001E-9</v>
      </c>
      <c r="AG14" s="44">
        <v>5.0000000000000001E-9</v>
      </c>
      <c r="AH14" s="44">
        <v>5.0000000000000001E-9</v>
      </c>
      <c r="AI14" s="44">
        <v>5.0000000000000001E-9</v>
      </c>
      <c r="AJ14" s="44">
        <v>5.0000000000000001E-9</v>
      </c>
      <c r="AK14"/>
      <c r="AL14" s="44">
        <v>5.0000000000000001E-9</v>
      </c>
      <c r="AM14" s="44">
        <v>5.0000000000000001E-9</v>
      </c>
      <c r="AN14" s="44">
        <v>5.0000000000000001E-9</v>
      </c>
      <c r="AO14" s="44">
        <v>5.0000000000000001E-9</v>
      </c>
      <c r="AP14"/>
      <c r="AQ14" s="44">
        <v>5.0000000000000001E-9</v>
      </c>
      <c r="AR14"/>
      <c r="AS14"/>
      <c r="AT14" s="44">
        <v>5.0000000000000001E-9</v>
      </c>
    </row>
    <row r="15" spans="1:46" x14ac:dyDescent="0.25">
      <c r="A15" s="7" t="s">
        <v>8</v>
      </c>
      <c r="B15" s="3" t="s">
        <v>473</v>
      </c>
      <c r="C15" s="3" t="s">
        <v>483</v>
      </c>
      <c r="D15" s="3" t="s">
        <v>521</v>
      </c>
      <c r="E15" s="8" t="s">
        <v>117</v>
      </c>
      <c r="F15" s="8" t="s">
        <v>466</v>
      </c>
      <c r="G15" s="44">
        <v>10</v>
      </c>
      <c r="I15" s="58"/>
      <c r="J15" s="44">
        <v>10</v>
      </c>
      <c r="K15" s="44">
        <v>10</v>
      </c>
      <c r="M15" s="44">
        <v>10</v>
      </c>
      <c r="N15" s="44">
        <v>10</v>
      </c>
      <c r="O15" s="44">
        <v>10</v>
      </c>
      <c r="R15" s="44">
        <v>10</v>
      </c>
      <c r="S15" s="44">
        <v>10</v>
      </c>
      <c r="T15" s="44">
        <v>10</v>
      </c>
      <c r="U15" s="44">
        <v>10</v>
      </c>
      <c r="V15" s="44">
        <v>10</v>
      </c>
      <c r="W15" s="44">
        <v>10</v>
      </c>
      <c r="X15" s="44">
        <v>10</v>
      </c>
      <c r="Y15" s="44">
        <v>10</v>
      </c>
      <c r="Z15" s="44">
        <v>10</v>
      </c>
      <c r="AA15" s="44">
        <v>10</v>
      </c>
      <c r="AB15" s="44">
        <v>10</v>
      </c>
      <c r="AC15"/>
      <c r="AD15" s="44">
        <v>10</v>
      </c>
      <c r="AE15" s="44">
        <v>10</v>
      </c>
      <c r="AF15" s="44">
        <v>10</v>
      </c>
      <c r="AG15" s="44">
        <v>10</v>
      </c>
      <c r="AH15" s="44">
        <v>10</v>
      </c>
      <c r="AI15" s="44">
        <v>10</v>
      </c>
      <c r="AJ15" s="44">
        <v>10</v>
      </c>
      <c r="AK15"/>
      <c r="AL15" s="44">
        <v>10</v>
      </c>
      <c r="AM15" s="44">
        <v>10</v>
      </c>
      <c r="AN15" s="44">
        <v>10</v>
      </c>
      <c r="AO15" s="44">
        <v>10</v>
      </c>
      <c r="AP15"/>
      <c r="AQ15" s="44">
        <v>10</v>
      </c>
      <c r="AR15"/>
      <c r="AS15"/>
      <c r="AT15" s="44">
        <v>10</v>
      </c>
    </row>
    <row r="16" spans="1:46" x14ac:dyDescent="0.25">
      <c r="A16" s="7" t="s">
        <v>463</v>
      </c>
      <c r="B16" s="3" t="s">
        <v>473</v>
      </c>
      <c r="C16" s="3" t="s">
        <v>483</v>
      </c>
      <c r="D16" s="3" t="s">
        <v>521</v>
      </c>
      <c r="E16" s="8" t="s">
        <v>458</v>
      </c>
      <c r="F16" s="8" t="s">
        <v>94</v>
      </c>
      <c r="G16" s="44" t="s">
        <v>87</v>
      </c>
      <c r="I16" s="58"/>
      <c r="J16" s="44" t="s">
        <v>87</v>
      </c>
      <c r="K16" s="44" t="s">
        <v>87</v>
      </c>
      <c r="M16" s="44" t="s">
        <v>87</v>
      </c>
      <c r="N16" s="44" t="s">
        <v>87</v>
      </c>
      <c r="O16" s="44" t="s">
        <v>87</v>
      </c>
      <c r="R16" s="44" t="s">
        <v>87</v>
      </c>
      <c r="S16" s="44" t="s">
        <v>87</v>
      </c>
      <c r="T16" s="44" t="s">
        <v>87</v>
      </c>
      <c r="U16" s="44" t="s">
        <v>87</v>
      </c>
      <c r="V16" s="44" t="s">
        <v>87</v>
      </c>
      <c r="W16" s="44" t="s">
        <v>87</v>
      </c>
      <c r="X16" s="44" t="s">
        <v>87</v>
      </c>
      <c r="Y16" s="44" t="s">
        <v>87</v>
      </c>
      <c r="Z16" s="44" t="s">
        <v>87</v>
      </c>
      <c r="AA16" s="44" t="s">
        <v>87</v>
      </c>
      <c r="AB16" s="44" t="s">
        <v>87</v>
      </c>
      <c r="AC16"/>
      <c r="AD16" s="44" t="s">
        <v>87</v>
      </c>
      <c r="AE16" s="44" t="s">
        <v>87</v>
      </c>
      <c r="AF16" s="44" t="s">
        <v>87</v>
      </c>
      <c r="AG16" s="44" t="s">
        <v>87</v>
      </c>
      <c r="AH16" s="44" t="s">
        <v>87</v>
      </c>
      <c r="AI16" s="44" t="s">
        <v>87</v>
      </c>
      <c r="AJ16" s="44" t="s">
        <v>87</v>
      </c>
      <c r="AK16"/>
      <c r="AL16" s="44" t="s">
        <v>87</v>
      </c>
      <c r="AM16" s="44" t="s">
        <v>87</v>
      </c>
      <c r="AN16" s="44" t="s">
        <v>87</v>
      </c>
      <c r="AO16" s="44" t="s">
        <v>87</v>
      </c>
      <c r="AP16"/>
      <c r="AQ16" s="44" t="s">
        <v>87</v>
      </c>
      <c r="AR16"/>
      <c r="AS16"/>
      <c r="AT16" s="44" t="s">
        <v>87</v>
      </c>
    </row>
    <row r="17" spans="1:46" x14ac:dyDescent="0.25">
      <c r="A17" s="7" t="s">
        <v>464</v>
      </c>
      <c r="B17" s="3" t="s">
        <v>473</v>
      </c>
      <c r="C17" s="3" t="s">
        <v>483</v>
      </c>
      <c r="D17" s="3" t="s">
        <v>521</v>
      </c>
      <c r="E17" s="8" t="s">
        <v>465</v>
      </c>
      <c r="F17" s="8" t="s">
        <v>94</v>
      </c>
      <c r="G17" s="44" t="s">
        <v>87</v>
      </c>
      <c r="I17" s="58"/>
      <c r="J17" s="44" t="s">
        <v>87</v>
      </c>
      <c r="K17" s="44" t="s">
        <v>87</v>
      </c>
      <c r="M17" s="44" t="s">
        <v>87</v>
      </c>
      <c r="N17" s="44" t="s">
        <v>87</v>
      </c>
      <c r="O17" s="44" t="s">
        <v>87</v>
      </c>
      <c r="R17" s="44" t="s">
        <v>87</v>
      </c>
      <c r="S17" s="44" t="s">
        <v>87</v>
      </c>
      <c r="T17" s="44" t="s">
        <v>87</v>
      </c>
      <c r="U17" s="44" t="s">
        <v>87</v>
      </c>
      <c r="V17" s="44" t="s">
        <v>87</v>
      </c>
      <c r="W17" s="44" t="s">
        <v>87</v>
      </c>
      <c r="X17" s="44" t="s">
        <v>87</v>
      </c>
      <c r="Y17" s="44" t="s">
        <v>87</v>
      </c>
      <c r="Z17" s="44" t="s">
        <v>87</v>
      </c>
      <c r="AA17" s="44" t="s">
        <v>87</v>
      </c>
      <c r="AB17" s="44" t="s">
        <v>87</v>
      </c>
      <c r="AC17"/>
      <c r="AD17" s="44" t="s">
        <v>87</v>
      </c>
      <c r="AE17" s="44" t="s">
        <v>87</v>
      </c>
      <c r="AF17" s="44" t="s">
        <v>87</v>
      </c>
      <c r="AG17" s="44" t="s">
        <v>87</v>
      </c>
      <c r="AH17" s="44" t="s">
        <v>87</v>
      </c>
      <c r="AI17" s="44" t="s">
        <v>87</v>
      </c>
      <c r="AJ17" s="44" t="s">
        <v>87</v>
      </c>
      <c r="AK17"/>
      <c r="AL17" s="44" t="s">
        <v>87</v>
      </c>
      <c r="AM17" s="44" t="s">
        <v>87</v>
      </c>
      <c r="AN17" s="44" t="s">
        <v>87</v>
      </c>
      <c r="AO17" s="44" t="s">
        <v>87</v>
      </c>
      <c r="AP17"/>
      <c r="AQ17" s="44" t="s">
        <v>87</v>
      </c>
      <c r="AR17"/>
      <c r="AS17"/>
      <c r="AT17" s="44" t="s">
        <v>87</v>
      </c>
    </row>
    <row r="18" spans="1:46" x14ac:dyDescent="0.25">
      <c r="A18" s="7" t="s">
        <v>467</v>
      </c>
      <c r="B18" s="3" t="s">
        <v>473</v>
      </c>
      <c r="C18" s="3" t="s">
        <v>483</v>
      </c>
      <c r="D18" s="3" t="s">
        <v>521</v>
      </c>
      <c r="E18" s="8" t="s">
        <v>468</v>
      </c>
      <c r="F18" s="8" t="s">
        <v>94</v>
      </c>
      <c r="G18" s="44" t="s">
        <v>87</v>
      </c>
      <c r="I18" s="58"/>
      <c r="J18" s="44" t="s">
        <v>87</v>
      </c>
      <c r="K18" s="44" t="s">
        <v>87</v>
      </c>
      <c r="M18" s="44" t="s">
        <v>87</v>
      </c>
      <c r="N18" s="44" t="s">
        <v>87</v>
      </c>
      <c r="O18" s="44" t="s">
        <v>87</v>
      </c>
      <c r="R18" s="44" t="s">
        <v>87</v>
      </c>
      <c r="S18" s="44" t="s">
        <v>87</v>
      </c>
      <c r="T18" s="44" t="s">
        <v>87</v>
      </c>
      <c r="U18" s="44" t="s">
        <v>87</v>
      </c>
      <c r="V18" s="44" t="s">
        <v>87</v>
      </c>
      <c r="W18" s="44" t="s">
        <v>87</v>
      </c>
      <c r="X18" s="44" t="s">
        <v>87</v>
      </c>
      <c r="Y18" s="44" t="s">
        <v>87</v>
      </c>
      <c r="Z18" s="44" t="s">
        <v>87</v>
      </c>
      <c r="AA18" s="44" t="s">
        <v>87</v>
      </c>
      <c r="AB18" s="44" t="s">
        <v>87</v>
      </c>
      <c r="AC18"/>
      <c r="AD18" s="44" t="s">
        <v>87</v>
      </c>
      <c r="AE18" s="44" t="s">
        <v>87</v>
      </c>
      <c r="AF18" s="44" t="s">
        <v>87</v>
      </c>
      <c r="AG18" s="44" t="s">
        <v>87</v>
      </c>
      <c r="AH18" s="44" t="s">
        <v>87</v>
      </c>
      <c r="AI18" s="44" t="s">
        <v>87</v>
      </c>
      <c r="AJ18" s="44" t="s">
        <v>87</v>
      </c>
      <c r="AK18"/>
      <c r="AL18" s="44" t="s">
        <v>87</v>
      </c>
      <c r="AM18" s="44" t="s">
        <v>87</v>
      </c>
      <c r="AN18" s="44" t="s">
        <v>87</v>
      </c>
      <c r="AO18" s="44" t="s">
        <v>87</v>
      </c>
      <c r="AP18"/>
      <c r="AQ18" s="44" t="s">
        <v>87</v>
      </c>
      <c r="AR18"/>
      <c r="AS18"/>
      <c r="AT18" s="44" t="s">
        <v>87</v>
      </c>
    </row>
    <row r="19" spans="1:46" x14ac:dyDescent="0.25">
      <c r="A19" s="7" t="s">
        <v>469</v>
      </c>
      <c r="B19" s="3" t="s">
        <v>473</v>
      </c>
      <c r="C19" s="3" t="s">
        <v>483</v>
      </c>
      <c r="D19" s="3" t="s">
        <v>521</v>
      </c>
      <c r="E19" s="8" t="s">
        <v>470</v>
      </c>
      <c r="F19" s="8" t="s">
        <v>296</v>
      </c>
      <c r="G19" s="44">
        <v>86400</v>
      </c>
      <c r="I19" s="58"/>
      <c r="J19" s="44">
        <v>86400</v>
      </c>
      <c r="K19" s="44">
        <v>86400</v>
      </c>
      <c r="M19" s="44">
        <v>86400</v>
      </c>
      <c r="N19" s="44">
        <v>86400</v>
      </c>
      <c r="O19" s="44">
        <v>86400</v>
      </c>
      <c r="R19" s="44">
        <v>86400</v>
      </c>
      <c r="S19" s="44">
        <v>86400</v>
      </c>
      <c r="T19" s="44">
        <v>86400</v>
      </c>
      <c r="U19" s="44">
        <v>86400</v>
      </c>
      <c r="V19" s="44">
        <v>86400</v>
      </c>
      <c r="W19" s="44">
        <v>86400</v>
      </c>
      <c r="X19" s="44">
        <v>86400</v>
      </c>
      <c r="Y19" s="44">
        <v>86400</v>
      </c>
      <c r="Z19" s="44">
        <v>86400</v>
      </c>
      <c r="AA19" s="44">
        <v>86400</v>
      </c>
      <c r="AB19" s="44">
        <v>86400</v>
      </c>
      <c r="AC19"/>
      <c r="AD19" s="44">
        <v>86400</v>
      </c>
      <c r="AE19" s="44">
        <v>86400</v>
      </c>
      <c r="AF19" s="44">
        <v>86400</v>
      </c>
      <c r="AG19" s="44">
        <v>86400</v>
      </c>
      <c r="AH19" s="44">
        <v>86400</v>
      </c>
      <c r="AI19" s="44">
        <v>86400</v>
      </c>
      <c r="AJ19" s="44">
        <v>86400</v>
      </c>
      <c r="AK19"/>
      <c r="AL19" s="44">
        <v>86400</v>
      </c>
      <c r="AM19" s="44">
        <v>86400</v>
      </c>
      <c r="AN19" s="44">
        <v>86400</v>
      </c>
      <c r="AO19" s="44">
        <v>86400</v>
      </c>
      <c r="AP19"/>
      <c r="AQ19" s="44">
        <v>86400</v>
      </c>
      <c r="AR19"/>
      <c r="AS19"/>
      <c r="AT19" s="44">
        <v>86400</v>
      </c>
    </row>
    <row r="20" spans="1:46" x14ac:dyDescent="0.25">
      <c r="A20" s="9" t="s">
        <v>10</v>
      </c>
      <c r="B20" s="3" t="s">
        <v>473</v>
      </c>
      <c r="C20" s="3" t="s">
        <v>483</v>
      </c>
      <c r="D20" s="3" t="s">
        <v>521</v>
      </c>
      <c r="E20" s="10" t="s">
        <v>133</v>
      </c>
      <c r="F20" s="10" t="s">
        <v>94</v>
      </c>
      <c r="G20" s="44" t="s">
        <v>87</v>
      </c>
      <c r="I20" s="58"/>
      <c r="J20" s="44" t="s">
        <v>86</v>
      </c>
      <c r="K20" s="44" t="s">
        <v>86</v>
      </c>
      <c r="M20" s="44" t="s">
        <v>86</v>
      </c>
      <c r="N20" s="44" t="s">
        <v>86</v>
      </c>
      <c r="O20" s="44" t="s">
        <v>86</v>
      </c>
      <c r="R20" s="44" t="s">
        <v>86</v>
      </c>
      <c r="S20" s="44" t="s">
        <v>86</v>
      </c>
      <c r="T20" s="44" t="s">
        <v>86</v>
      </c>
      <c r="U20" s="44" t="s">
        <v>86</v>
      </c>
      <c r="V20" s="44" t="s">
        <v>86</v>
      </c>
      <c r="W20" s="44" t="s">
        <v>86</v>
      </c>
      <c r="X20" s="44" t="s">
        <v>86</v>
      </c>
      <c r="Y20" s="44" t="s">
        <v>86</v>
      </c>
      <c r="Z20" s="44" t="s">
        <v>86</v>
      </c>
      <c r="AA20" s="44" t="s">
        <v>86</v>
      </c>
      <c r="AB20" s="44" t="s">
        <v>86</v>
      </c>
      <c r="AC20"/>
      <c r="AD20" s="44" t="s">
        <v>86</v>
      </c>
      <c r="AE20" s="44" t="s">
        <v>86</v>
      </c>
      <c r="AF20" s="44" t="s">
        <v>86</v>
      </c>
      <c r="AG20" s="44" t="s">
        <v>86</v>
      </c>
      <c r="AH20" s="44" t="s">
        <v>86</v>
      </c>
      <c r="AI20" s="44" t="s">
        <v>86</v>
      </c>
      <c r="AJ20" s="44" t="s">
        <v>86</v>
      </c>
      <c r="AK20"/>
      <c r="AL20" s="44" t="s">
        <v>86</v>
      </c>
      <c r="AM20" s="44" t="s">
        <v>86</v>
      </c>
      <c r="AN20" s="44" t="s">
        <v>86</v>
      </c>
      <c r="AO20" s="44" t="s">
        <v>86</v>
      </c>
      <c r="AP20"/>
      <c r="AQ20" s="44" t="s">
        <v>86</v>
      </c>
      <c r="AR20"/>
      <c r="AS20"/>
      <c r="AT20" s="44" t="s">
        <v>86</v>
      </c>
    </row>
    <row r="21" spans="1:46" x14ac:dyDescent="0.25">
      <c r="A21" s="9" t="s">
        <v>11</v>
      </c>
      <c r="B21" s="3" t="s">
        <v>473</v>
      </c>
      <c r="C21" s="3" t="s">
        <v>483</v>
      </c>
      <c r="D21" s="3" t="s">
        <v>521</v>
      </c>
      <c r="E21" s="10" t="s">
        <v>118</v>
      </c>
      <c r="F21" s="10" t="s">
        <v>95</v>
      </c>
      <c r="G21" s="44">
        <v>3</v>
      </c>
      <c r="I21" s="58"/>
      <c r="J21" s="44">
        <v>3</v>
      </c>
      <c r="K21" s="44">
        <v>3</v>
      </c>
      <c r="M21" s="44">
        <v>3</v>
      </c>
      <c r="N21" s="44">
        <v>3</v>
      </c>
      <c r="O21" s="44">
        <v>3</v>
      </c>
      <c r="R21" s="44">
        <v>3</v>
      </c>
      <c r="S21" s="44">
        <v>3</v>
      </c>
      <c r="T21" s="44">
        <v>3</v>
      </c>
      <c r="U21" s="44">
        <v>3</v>
      </c>
      <c r="V21" s="44">
        <v>3</v>
      </c>
      <c r="W21" s="44">
        <v>3</v>
      </c>
      <c r="X21" s="44">
        <v>3</v>
      </c>
      <c r="Y21" s="44">
        <v>3</v>
      </c>
      <c r="Z21" s="44">
        <v>3</v>
      </c>
      <c r="AA21" s="44">
        <v>3</v>
      </c>
      <c r="AB21" s="44">
        <v>3</v>
      </c>
      <c r="AC21"/>
      <c r="AD21" s="44">
        <v>3</v>
      </c>
      <c r="AE21" s="44">
        <v>3</v>
      </c>
      <c r="AF21" s="44">
        <v>3</v>
      </c>
      <c r="AG21" s="44">
        <v>3</v>
      </c>
      <c r="AH21" s="44">
        <v>3</v>
      </c>
      <c r="AI21" s="44">
        <v>3</v>
      </c>
      <c r="AJ21" s="44">
        <v>3</v>
      </c>
      <c r="AK21"/>
      <c r="AL21" s="44">
        <v>3</v>
      </c>
      <c r="AM21" s="44">
        <v>3</v>
      </c>
      <c r="AN21" s="44">
        <v>3</v>
      </c>
      <c r="AO21" s="44">
        <v>3</v>
      </c>
      <c r="AP21"/>
      <c r="AQ21" s="44">
        <v>3</v>
      </c>
      <c r="AR21"/>
      <c r="AS21"/>
      <c r="AT21" s="44">
        <v>3</v>
      </c>
    </row>
    <row r="22" spans="1:46" x14ac:dyDescent="0.25">
      <c r="A22" s="9" t="s">
        <v>362</v>
      </c>
      <c r="B22" s="3" t="s">
        <v>473</v>
      </c>
      <c r="C22" s="3" t="s">
        <v>483</v>
      </c>
      <c r="D22" s="3" t="s">
        <v>521</v>
      </c>
      <c r="E22" s="10" t="s">
        <v>363</v>
      </c>
      <c r="F22" s="10" t="s">
        <v>94</v>
      </c>
      <c r="G22" s="44" t="s">
        <v>87</v>
      </c>
      <c r="I22" s="58"/>
      <c r="J22" s="44" t="s">
        <v>87</v>
      </c>
      <c r="K22" s="44" t="s">
        <v>87</v>
      </c>
      <c r="M22" s="44" t="s">
        <v>87</v>
      </c>
      <c r="N22" s="44" t="s">
        <v>87</v>
      </c>
      <c r="O22" s="44" t="s">
        <v>87</v>
      </c>
      <c r="R22" s="44" t="s">
        <v>87</v>
      </c>
      <c r="S22" s="44" t="s">
        <v>87</v>
      </c>
      <c r="T22" s="44" t="s">
        <v>87</v>
      </c>
      <c r="U22" s="44" t="s">
        <v>87</v>
      </c>
      <c r="V22" s="44" t="s">
        <v>87</v>
      </c>
      <c r="W22" s="44" t="s">
        <v>87</v>
      </c>
      <c r="X22" s="44" t="s">
        <v>87</v>
      </c>
      <c r="Y22" s="44" t="s">
        <v>87</v>
      </c>
      <c r="Z22" s="44" t="s">
        <v>87</v>
      </c>
      <c r="AA22" s="44" t="s">
        <v>87</v>
      </c>
      <c r="AB22" s="44" t="s">
        <v>87</v>
      </c>
      <c r="AC22"/>
      <c r="AD22" s="44" t="s">
        <v>87</v>
      </c>
      <c r="AE22" s="44" t="s">
        <v>87</v>
      </c>
      <c r="AF22" s="44" t="s">
        <v>87</v>
      </c>
      <c r="AG22" s="44" t="s">
        <v>87</v>
      </c>
      <c r="AH22" s="44" t="s">
        <v>87</v>
      </c>
      <c r="AI22" s="44" t="s">
        <v>87</v>
      </c>
      <c r="AJ22" s="44" t="s">
        <v>87</v>
      </c>
      <c r="AK22"/>
      <c r="AL22" s="44" t="s">
        <v>87</v>
      </c>
      <c r="AM22" s="44" t="s">
        <v>87</v>
      </c>
      <c r="AN22" s="44" t="s">
        <v>87</v>
      </c>
      <c r="AO22" s="44" t="s">
        <v>87</v>
      </c>
      <c r="AP22"/>
      <c r="AQ22" s="44" t="s">
        <v>87</v>
      </c>
      <c r="AR22"/>
      <c r="AS22"/>
      <c r="AT22" s="44" t="s">
        <v>87</v>
      </c>
    </row>
    <row r="23" spans="1:46" x14ac:dyDescent="0.25">
      <c r="A23" s="9" t="s">
        <v>364</v>
      </c>
      <c r="B23" s="3" t="s">
        <v>473</v>
      </c>
      <c r="C23" s="3" t="s">
        <v>483</v>
      </c>
      <c r="D23" s="3" t="s">
        <v>521</v>
      </c>
      <c r="E23" s="10" t="s">
        <v>365</v>
      </c>
      <c r="F23" s="10" t="s">
        <v>94</v>
      </c>
      <c r="G23" s="44" t="s">
        <v>87</v>
      </c>
      <c r="I23" s="58"/>
      <c r="J23" s="44" t="s">
        <v>87</v>
      </c>
      <c r="K23" s="44" t="s">
        <v>87</v>
      </c>
      <c r="M23" s="44" t="s">
        <v>87</v>
      </c>
      <c r="N23" s="44" t="s">
        <v>87</v>
      </c>
      <c r="O23" s="44" t="s">
        <v>87</v>
      </c>
      <c r="R23" s="44" t="s">
        <v>87</v>
      </c>
      <c r="S23" s="44" t="s">
        <v>87</v>
      </c>
      <c r="T23" s="44" t="s">
        <v>87</v>
      </c>
      <c r="U23" s="44" t="s">
        <v>87</v>
      </c>
      <c r="V23" s="44" t="s">
        <v>87</v>
      </c>
      <c r="W23" s="44" t="s">
        <v>87</v>
      </c>
      <c r="X23" s="44" t="s">
        <v>87</v>
      </c>
      <c r="Y23" s="44" t="s">
        <v>87</v>
      </c>
      <c r="Z23" s="44" t="s">
        <v>87</v>
      </c>
      <c r="AA23" s="44" t="s">
        <v>87</v>
      </c>
      <c r="AB23" s="44" t="s">
        <v>87</v>
      </c>
      <c r="AC23"/>
      <c r="AD23" s="44" t="s">
        <v>87</v>
      </c>
      <c r="AE23" s="44" t="s">
        <v>87</v>
      </c>
      <c r="AF23" s="44" t="s">
        <v>87</v>
      </c>
      <c r="AG23" s="44" t="s">
        <v>87</v>
      </c>
      <c r="AH23" s="44" t="s">
        <v>87</v>
      </c>
      <c r="AI23" s="44" t="s">
        <v>87</v>
      </c>
      <c r="AJ23" s="44" t="s">
        <v>87</v>
      </c>
      <c r="AK23"/>
      <c r="AL23" s="44" t="s">
        <v>87</v>
      </c>
      <c r="AM23" s="44" t="s">
        <v>87</v>
      </c>
      <c r="AN23" s="44" t="s">
        <v>87</v>
      </c>
      <c r="AO23" s="44" t="s">
        <v>87</v>
      </c>
      <c r="AP23"/>
      <c r="AQ23" s="44" t="s">
        <v>87</v>
      </c>
      <c r="AR23"/>
      <c r="AS23"/>
      <c r="AT23" s="44" t="s">
        <v>87</v>
      </c>
    </row>
    <row r="24" spans="1:46" x14ac:dyDescent="0.25">
      <c r="A24" s="9" t="s">
        <v>376</v>
      </c>
      <c r="B24" s="3" t="s">
        <v>473</v>
      </c>
      <c r="C24" s="3" t="s">
        <v>483</v>
      </c>
      <c r="D24" s="3" t="s">
        <v>521</v>
      </c>
      <c r="E24" s="10" t="s">
        <v>377</v>
      </c>
      <c r="F24" s="10" t="s">
        <v>94</v>
      </c>
      <c r="G24" s="44" t="s">
        <v>87</v>
      </c>
      <c r="I24" s="58"/>
      <c r="J24" s="44" t="s">
        <v>87</v>
      </c>
      <c r="K24" s="44" t="s">
        <v>87</v>
      </c>
      <c r="M24" s="44" t="s">
        <v>87</v>
      </c>
      <c r="N24" s="44" t="s">
        <v>87</v>
      </c>
      <c r="O24" s="44" t="s">
        <v>87</v>
      </c>
      <c r="R24" s="44" t="s">
        <v>87</v>
      </c>
      <c r="S24" s="44" t="s">
        <v>87</v>
      </c>
      <c r="T24" s="44" t="s">
        <v>87</v>
      </c>
      <c r="U24" s="44" t="s">
        <v>87</v>
      </c>
      <c r="V24" s="44" t="s">
        <v>87</v>
      </c>
      <c r="W24" s="44" t="s">
        <v>87</v>
      </c>
      <c r="X24" s="44" t="s">
        <v>87</v>
      </c>
      <c r="Y24" s="44" t="s">
        <v>87</v>
      </c>
      <c r="Z24" s="44" t="s">
        <v>87</v>
      </c>
      <c r="AA24" s="44" t="s">
        <v>87</v>
      </c>
      <c r="AB24" s="44" t="s">
        <v>87</v>
      </c>
      <c r="AC24"/>
      <c r="AD24" s="44" t="s">
        <v>87</v>
      </c>
      <c r="AE24" s="44" t="s">
        <v>87</v>
      </c>
      <c r="AF24" s="44" t="s">
        <v>87</v>
      </c>
      <c r="AG24" s="44" t="s">
        <v>87</v>
      </c>
      <c r="AH24" s="44" t="s">
        <v>87</v>
      </c>
      <c r="AI24" s="44" t="s">
        <v>87</v>
      </c>
      <c r="AJ24" s="44" t="s">
        <v>87</v>
      </c>
      <c r="AK24"/>
      <c r="AL24" s="44" t="s">
        <v>87</v>
      </c>
      <c r="AM24" s="44" t="s">
        <v>87</v>
      </c>
      <c r="AN24" s="44" t="s">
        <v>87</v>
      </c>
      <c r="AO24" s="44" t="s">
        <v>87</v>
      </c>
      <c r="AP24"/>
      <c r="AQ24" s="44" t="s">
        <v>87</v>
      </c>
      <c r="AR24"/>
      <c r="AS24"/>
      <c r="AT24" s="44" t="s">
        <v>87</v>
      </c>
    </row>
    <row r="25" spans="1:46" x14ac:dyDescent="0.25">
      <c r="A25" s="9" t="s">
        <v>375</v>
      </c>
      <c r="B25" s="3" t="s">
        <v>473</v>
      </c>
      <c r="C25" s="3" t="s">
        <v>483</v>
      </c>
      <c r="D25" s="3" t="s">
        <v>521</v>
      </c>
      <c r="E25" s="10" t="s">
        <v>373</v>
      </c>
      <c r="F25" s="10" t="s">
        <v>94</v>
      </c>
      <c r="G25" s="44" t="s">
        <v>87</v>
      </c>
      <c r="I25" s="58"/>
      <c r="J25" s="44" t="s">
        <v>87</v>
      </c>
      <c r="K25" s="44" t="s">
        <v>87</v>
      </c>
      <c r="M25" s="44" t="s">
        <v>87</v>
      </c>
      <c r="N25" s="44" t="s">
        <v>87</v>
      </c>
      <c r="O25" s="44" t="s">
        <v>87</v>
      </c>
      <c r="R25" s="44" t="s">
        <v>87</v>
      </c>
      <c r="S25" s="44" t="s">
        <v>87</v>
      </c>
      <c r="T25" s="44" t="s">
        <v>87</v>
      </c>
      <c r="U25" s="44" t="s">
        <v>87</v>
      </c>
      <c r="V25" s="44" t="s">
        <v>87</v>
      </c>
      <c r="W25" s="44" t="s">
        <v>87</v>
      </c>
      <c r="X25" s="44" t="s">
        <v>87</v>
      </c>
      <c r="Y25" s="44" t="s">
        <v>87</v>
      </c>
      <c r="Z25" s="44" t="s">
        <v>87</v>
      </c>
      <c r="AA25" s="44" t="s">
        <v>87</v>
      </c>
      <c r="AB25" s="44" t="s">
        <v>87</v>
      </c>
      <c r="AC25"/>
      <c r="AD25" s="44" t="s">
        <v>87</v>
      </c>
      <c r="AE25" s="44" t="s">
        <v>87</v>
      </c>
      <c r="AF25" s="44" t="s">
        <v>87</v>
      </c>
      <c r="AG25" s="44" t="s">
        <v>87</v>
      </c>
      <c r="AH25" s="44" t="s">
        <v>87</v>
      </c>
      <c r="AI25" s="44" t="s">
        <v>87</v>
      </c>
      <c r="AJ25" s="44" t="s">
        <v>87</v>
      </c>
      <c r="AK25"/>
      <c r="AL25" s="44" t="s">
        <v>87</v>
      </c>
      <c r="AM25" s="44" t="s">
        <v>87</v>
      </c>
      <c r="AN25" s="44" t="s">
        <v>87</v>
      </c>
      <c r="AO25" s="44" t="s">
        <v>87</v>
      </c>
      <c r="AP25"/>
      <c r="AQ25" s="44" t="s">
        <v>87</v>
      </c>
      <c r="AR25"/>
      <c r="AS25"/>
      <c r="AT25" s="44" t="s">
        <v>87</v>
      </c>
    </row>
    <row r="26" spans="1:46" x14ac:dyDescent="0.25">
      <c r="A26" s="9" t="s">
        <v>374</v>
      </c>
      <c r="B26" s="3" t="s">
        <v>473</v>
      </c>
      <c r="C26" s="3" t="s">
        <v>483</v>
      </c>
      <c r="D26" s="3" t="s">
        <v>521</v>
      </c>
      <c r="E26" s="10" t="s">
        <v>372</v>
      </c>
      <c r="F26" s="10" t="s">
        <v>94</v>
      </c>
      <c r="G26" s="44" t="s">
        <v>87</v>
      </c>
      <c r="I26" s="58"/>
      <c r="J26" s="44" t="s">
        <v>87</v>
      </c>
      <c r="K26" s="44" t="s">
        <v>87</v>
      </c>
      <c r="M26" s="44" t="s">
        <v>87</v>
      </c>
      <c r="N26" s="44" t="s">
        <v>87</v>
      </c>
      <c r="O26" s="44" t="s">
        <v>87</v>
      </c>
      <c r="R26" s="44" t="s">
        <v>87</v>
      </c>
      <c r="S26" s="44" t="s">
        <v>87</v>
      </c>
      <c r="T26" s="44" t="s">
        <v>87</v>
      </c>
      <c r="U26" s="44" t="s">
        <v>87</v>
      </c>
      <c r="V26" s="44" t="s">
        <v>87</v>
      </c>
      <c r="W26" s="44" t="s">
        <v>87</v>
      </c>
      <c r="X26" s="44" t="s">
        <v>87</v>
      </c>
      <c r="Y26" s="44" t="s">
        <v>87</v>
      </c>
      <c r="Z26" s="44" t="s">
        <v>87</v>
      </c>
      <c r="AA26" s="44" t="s">
        <v>87</v>
      </c>
      <c r="AB26" s="44" t="s">
        <v>87</v>
      </c>
      <c r="AC26"/>
      <c r="AD26" s="44" t="s">
        <v>87</v>
      </c>
      <c r="AE26" s="44" t="s">
        <v>87</v>
      </c>
      <c r="AF26" s="44" t="s">
        <v>87</v>
      </c>
      <c r="AG26" s="44" t="s">
        <v>87</v>
      </c>
      <c r="AH26" s="44" t="s">
        <v>87</v>
      </c>
      <c r="AI26" s="44" t="s">
        <v>87</v>
      </c>
      <c r="AJ26" s="44" t="s">
        <v>87</v>
      </c>
      <c r="AK26"/>
      <c r="AL26" s="44" t="s">
        <v>87</v>
      </c>
      <c r="AM26" s="44" t="s">
        <v>87</v>
      </c>
      <c r="AN26" s="44" t="s">
        <v>87</v>
      </c>
      <c r="AO26" s="44" t="s">
        <v>87</v>
      </c>
      <c r="AP26"/>
      <c r="AQ26" s="44" t="s">
        <v>87</v>
      </c>
      <c r="AR26"/>
      <c r="AS26"/>
      <c r="AT26" s="44" t="s">
        <v>87</v>
      </c>
    </row>
    <row r="27" spans="1:46" x14ac:dyDescent="0.25">
      <c r="A27" s="9" t="s">
        <v>12</v>
      </c>
      <c r="B27" s="3" t="s">
        <v>473</v>
      </c>
      <c r="C27" s="3" t="s">
        <v>483</v>
      </c>
      <c r="D27" s="3" t="s">
        <v>521</v>
      </c>
      <c r="E27" s="10" t="s">
        <v>139</v>
      </c>
      <c r="F27" s="10" t="s">
        <v>94</v>
      </c>
      <c r="G27" s="44" t="s">
        <v>87</v>
      </c>
      <c r="I27" s="58"/>
      <c r="J27" s="44" t="s">
        <v>87</v>
      </c>
      <c r="K27" s="44" t="s">
        <v>87</v>
      </c>
      <c r="M27" s="44" t="s">
        <v>87</v>
      </c>
      <c r="N27" s="44" t="s">
        <v>87</v>
      </c>
      <c r="O27" s="44" t="s">
        <v>87</v>
      </c>
      <c r="R27" s="44" t="s">
        <v>87</v>
      </c>
      <c r="S27" s="44" t="s">
        <v>87</v>
      </c>
      <c r="T27" s="44" t="s">
        <v>87</v>
      </c>
      <c r="U27" s="44" t="s">
        <v>87</v>
      </c>
      <c r="V27" s="44" t="s">
        <v>87</v>
      </c>
      <c r="W27" s="44" t="s">
        <v>87</v>
      </c>
      <c r="X27" s="44" t="s">
        <v>87</v>
      </c>
      <c r="Y27" s="44" t="s">
        <v>87</v>
      </c>
      <c r="Z27" s="44" t="s">
        <v>87</v>
      </c>
      <c r="AA27" s="44" t="s">
        <v>87</v>
      </c>
      <c r="AB27" s="44" t="s">
        <v>87</v>
      </c>
      <c r="AC27"/>
      <c r="AD27" s="44" t="s">
        <v>87</v>
      </c>
      <c r="AE27" s="44" t="s">
        <v>87</v>
      </c>
      <c r="AF27" s="44" t="s">
        <v>87</v>
      </c>
      <c r="AG27" s="44" t="s">
        <v>87</v>
      </c>
      <c r="AH27" s="44" t="s">
        <v>87</v>
      </c>
      <c r="AI27" s="44" t="s">
        <v>87</v>
      </c>
      <c r="AJ27" s="44" t="s">
        <v>87</v>
      </c>
      <c r="AK27"/>
      <c r="AL27" s="44" t="s">
        <v>87</v>
      </c>
      <c r="AM27" s="44" t="s">
        <v>87</v>
      </c>
      <c r="AN27" s="44" t="s">
        <v>87</v>
      </c>
      <c r="AO27" s="44" t="s">
        <v>87</v>
      </c>
      <c r="AP27"/>
      <c r="AQ27" s="44" t="s">
        <v>87</v>
      </c>
      <c r="AR27"/>
      <c r="AS27"/>
      <c r="AT27" s="44" t="s">
        <v>87</v>
      </c>
    </row>
    <row r="28" spans="1:46" x14ac:dyDescent="0.25">
      <c r="A28" s="9" t="s">
        <v>13</v>
      </c>
      <c r="B28" s="3" t="s">
        <v>473</v>
      </c>
      <c r="C28" s="3" t="s">
        <v>483</v>
      </c>
      <c r="D28" s="3" t="s">
        <v>521</v>
      </c>
      <c r="E28" s="10" t="s">
        <v>119</v>
      </c>
      <c r="F28" s="10" t="s">
        <v>97</v>
      </c>
      <c r="G28" s="44">
        <v>0.33</v>
      </c>
      <c r="I28" s="58"/>
      <c r="J28" s="44">
        <v>0.33</v>
      </c>
      <c r="K28" s="44">
        <v>0.33</v>
      </c>
      <c r="M28" s="44">
        <v>0.33</v>
      </c>
      <c r="N28" s="44">
        <v>0.33</v>
      </c>
      <c r="O28" s="44">
        <v>0.33</v>
      </c>
      <c r="R28" s="44">
        <v>0.33</v>
      </c>
      <c r="S28" s="44">
        <v>0.33</v>
      </c>
      <c r="T28" s="44">
        <v>0.33</v>
      </c>
      <c r="U28" s="44">
        <v>0.33</v>
      </c>
      <c r="V28" s="44">
        <v>0.33</v>
      </c>
      <c r="W28" s="44">
        <v>0.33</v>
      </c>
      <c r="X28" s="44">
        <v>0.33</v>
      </c>
      <c r="Y28" s="44">
        <v>0.33</v>
      </c>
      <c r="Z28" s="44">
        <v>0.33</v>
      </c>
      <c r="AA28" s="44">
        <v>0.33</v>
      </c>
      <c r="AB28" s="44">
        <v>0.33</v>
      </c>
      <c r="AC28"/>
      <c r="AD28" s="44">
        <v>0.33</v>
      </c>
      <c r="AE28" s="44">
        <v>0.33</v>
      </c>
      <c r="AF28" s="44">
        <v>0.33</v>
      </c>
      <c r="AG28" s="44">
        <v>0.33</v>
      </c>
      <c r="AH28" s="44">
        <v>0.33</v>
      </c>
      <c r="AI28" s="44">
        <v>0.33</v>
      </c>
      <c r="AJ28" s="44">
        <v>0.33</v>
      </c>
      <c r="AK28"/>
      <c r="AL28" s="44">
        <v>0.33</v>
      </c>
      <c r="AM28" s="44">
        <v>0.33</v>
      </c>
      <c r="AN28" s="44">
        <v>0.33</v>
      </c>
      <c r="AO28" s="44">
        <v>0.33</v>
      </c>
      <c r="AP28"/>
      <c r="AQ28" s="44">
        <v>0.33</v>
      </c>
      <c r="AR28"/>
      <c r="AS28"/>
      <c r="AT28" s="44">
        <v>0.33</v>
      </c>
    </row>
    <row r="29" spans="1:46" x14ac:dyDescent="0.25">
      <c r="A29" s="9" t="s">
        <v>14</v>
      </c>
      <c r="B29" s="3" t="s">
        <v>473</v>
      </c>
      <c r="C29" s="3" t="s">
        <v>483</v>
      </c>
      <c r="D29" s="3" t="s">
        <v>521</v>
      </c>
      <c r="E29" s="10" t="s">
        <v>134</v>
      </c>
      <c r="F29" s="10" t="s">
        <v>94</v>
      </c>
      <c r="G29" s="44" t="s">
        <v>87</v>
      </c>
      <c r="I29" s="58"/>
      <c r="J29" s="44" t="s">
        <v>87</v>
      </c>
      <c r="K29" s="44" t="s">
        <v>87</v>
      </c>
      <c r="M29" s="44" t="s">
        <v>87</v>
      </c>
      <c r="N29" s="44" t="s">
        <v>87</v>
      </c>
      <c r="O29" s="44" t="s">
        <v>87</v>
      </c>
      <c r="R29" s="44" t="s">
        <v>87</v>
      </c>
      <c r="S29" s="44" t="s">
        <v>87</v>
      </c>
      <c r="T29" s="44" t="s">
        <v>87</v>
      </c>
      <c r="U29" s="44" t="s">
        <v>87</v>
      </c>
      <c r="V29" s="44" t="s">
        <v>87</v>
      </c>
      <c r="W29" s="44" t="s">
        <v>87</v>
      </c>
      <c r="X29" s="44" t="s">
        <v>87</v>
      </c>
      <c r="Y29" s="44" t="s">
        <v>87</v>
      </c>
      <c r="Z29" s="44" t="s">
        <v>87</v>
      </c>
      <c r="AA29" s="44" t="s">
        <v>87</v>
      </c>
      <c r="AB29" s="44" t="s">
        <v>87</v>
      </c>
      <c r="AC29"/>
      <c r="AD29" s="44" t="s">
        <v>87</v>
      </c>
      <c r="AE29" s="44" t="s">
        <v>87</v>
      </c>
      <c r="AF29" s="44" t="s">
        <v>87</v>
      </c>
      <c r="AG29" s="44" t="s">
        <v>87</v>
      </c>
      <c r="AH29" s="44" t="s">
        <v>87</v>
      </c>
      <c r="AI29" s="44" t="s">
        <v>87</v>
      </c>
      <c r="AJ29" s="44" t="s">
        <v>87</v>
      </c>
      <c r="AK29"/>
      <c r="AL29" s="44" t="s">
        <v>87</v>
      </c>
      <c r="AM29" s="44" t="s">
        <v>87</v>
      </c>
      <c r="AN29" s="44" t="s">
        <v>87</v>
      </c>
      <c r="AO29" s="44" t="s">
        <v>87</v>
      </c>
      <c r="AP29"/>
      <c r="AQ29" s="44" t="s">
        <v>87</v>
      </c>
      <c r="AR29"/>
      <c r="AS29"/>
      <c r="AT29" s="44" t="s">
        <v>87</v>
      </c>
    </row>
    <row r="30" spans="1:46" x14ac:dyDescent="0.25">
      <c r="A30" s="9" t="s">
        <v>9</v>
      </c>
      <c r="B30" s="3" t="s">
        <v>473</v>
      </c>
      <c r="C30" s="3" t="s">
        <v>483</v>
      </c>
      <c r="D30" s="3" t="s">
        <v>521</v>
      </c>
      <c r="E30" s="10" t="s">
        <v>132</v>
      </c>
      <c r="F30" s="10" t="s">
        <v>94</v>
      </c>
      <c r="G30" s="44" t="s">
        <v>87</v>
      </c>
      <c r="I30" s="58"/>
      <c r="J30" s="44" t="s">
        <v>87</v>
      </c>
      <c r="K30" s="44" t="s">
        <v>87</v>
      </c>
      <c r="M30" s="44" t="s">
        <v>87</v>
      </c>
      <c r="N30" s="44" t="s">
        <v>87</v>
      </c>
      <c r="O30" s="44" t="s">
        <v>87</v>
      </c>
      <c r="R30" s="44" t="s">
        <v>87</v>
      </c>
      <c r="S30" s="44" t="s">
        <v>87</v>
      </c>
      <c r="T30" s="44" t="s">
        <v>87</v>
      </c>
      <c r="U30" s="44" t="s">
        <v>87</v>
      </c>
      <c r="V30" s="44" t="s">
        <v>87</v>
      </c>
      <c r="W30" s="44" t="s">
        <v>87</v>
      </c>
      <c r="X30" s="44" t="s">
        <v>87</v>
      </c>
      <c r="Y30" s="44" t="s">
        <v>87</v>
      </c>
      <c r="Z30" s="44" t="s">
        <v>87</v>
      </c>
      <c r="AA30" s="44" t="s">
        <v>87</v>
      </c>
      <c r="AB30" s="44" t="s">
        <v>87</v>
      </c>
      <c r="AC30"/>
      <c r="AD30" s="44" t="s">
        <v>87</v>
      </c>
      <c r="AE30" s="44" t="s">
        <v>87</v>
      </c>
      <c r="AF30" s="44" t="s">
        <v>87</v>
      </c>
      <c r="AG30" s="44" t="s">
        <v>87</v>
      </c>
      <c r="AH30" s="44" t="s">
        <v>87</v>
      </c>
      <c r="AI30" s="44" t="s">
        <v>87</v>
      </c>
      <c r="AJ30" s="44" t="s">
        <v>87</v>
      </c>
      <c r="AK30"/>
      <c r="AL30" s="44" t="s">
        <v>87</v>
      </c>
      <c r="AM30" s="44" t="s">
        <v>87</v>
      </c>
      <c r="AN30" s="44" t="s">
        <v>87</v>
      </c>
      <c r="AO30" s="44" t="s">
        <v>87</v>
      </c>
      <c r="AP30"/>
      <c r="AQ30" s="44" t="s">
        <v>87</v>
      </c>
      <c r="AR30"/>
      <c r="AS30"/>
      <c r="AT30" s="44" t="s">
        <v>87</v>
      </c>
    </row>
    <row r="31" spans="1:46" x14ac:dyDescent="0.25">
      <c r="A31" s="9" t="s">
        <v>456</v>
      </c>
      <c r="B31" s="3" t="s">
        <v>473</v>
      </c>
      <c r="C31" s="3" t="s">
        <v>483</v>
      </c>
      <c r="D31" s="3" t="s">
        <v>521</v>
      </c>
      <c r="E31" s="10" t="s">
        <v>457</v>
      </c>
      <c r="F31" s="10" t="s">
        <v>94</v>
      </c>
      <c r="G31" s="44" t="s">
        <v>87</v>
      </c>
      <c r="I31" s="58"/>
      <c r="J31" s="44" t="s">
        <v>87</v>
      </c>
      <c r="K31" s="44" t="s">
        <v>87</v>
      </c>
      <c r="M31" s="44" t="s">
        <v>87</v>
      </c>
      <c r="N31" s="44" t="s">
        <v>87</v>
      </c>
      <c r="O31" s="44" t="s">
        <v>87</v>
      </c>
      <c r="R31" s="44" t="s">
        <v>87</v>
      </c>
      <c r="S31" s="44" t="s">
        <v>87</v>
      </c>
      <c r="T31" s="44" t="s">
        <v>87</v>
      </c>
      <c r="U31" s="44" t="s">
        <v>87</v>
      </c>
      <c r="V31" s="44" t="s">
        <v>87</v>
      </c>
      <c r="W31" s="44" t="s">
        <v>87</v>
      </c>
      <c r="X31" s="44" t="s">
        <v>87</v>
      </c>
      <c r="Y31" s="44" t="s">
        <v>87</v>
      </c>
      <c r="Z31" s="44" t="s">
        <v>87</v>
      </c>
      <c r="AA31" s="44" t="s">
        <v>87</v>
      </c>
      <c r="AB31" s="44" t="s">
        <v>87</v>
      </c>
      <c r="AC31"/>
      <c r="AD31" s="44" t="s">
        <v>87</v>
      </c>
      <c r="AE31" s="44" t="s">
        <v>87</v>
      </c>
      <c r="AF31" s="44" t="s">
        <v>87</v>
      </c>
      <c r="AG31" s="44" t="s">
        <v>87</v>
      </c>
      <c r="AH31" s="44" t="s">
        <v>87</v>
      </c>
      <c r="AI31" s="44" t="s">
        <v>87</v>
      </c>
      <c r="AJ31" s="44" t="s">
        <v>87</v>
      </c>
      <c r="AK31"/>
      <c r="AL31" s="44" t="s">
        <v>87</v>
      </c>
      <c r="AM31" s="44" t="s">
        <v>87</v>
      </c>
      <c r="AN31" s="44" t="s">
        <v>87</v>
      </c>
      <c r="AO31" s="44" t="s">
        <v>87</v>
      </c>
      <c r="AP31"/>
      <c r="AQ31" s="44" t="s">
        <v>87</v>
      </c>
      <c r="AR31"/>
      <c r="AS31"/>
      <c r="AT31" s="44" t="s">
        <v>87</v>
      </c>
    </row>
    <row r="32" spans="1:46" x14ac:dyDescent="0.25">
      <c r="A32" s="13" t="s">
        <v>21</v>
      </c>
      <c r="B32" s="3" t="s">
        <v>473</v>
      </c>
      <c r="C32" s="3" t="s">
        <v>483</v>
      </c>
      <c r="D32" s="3" t="s">
        <v>521</v>
      </c>
      <c r="E32" s="14" t="s">
        <v>137</v>
      </c>
      <c r="F32" s="14" t="s">
        <v>94</v>
      </c>
      <c r="G32" s="44" t="s">
        <v>86</v>
      </c>
      <c r="I32" s="58"/>
      <c r="J32" s="44" t="s">
        <v>86</v>
      </c>
      <c r="K32" s="44" t="s">
        <v>86</v>
      </c>
      <c r="M32" s="44" t="s">
        <v>86</v>
      </c>
      <c r="N32" s="44" t="s">
        <v>86</v>
      </c>
      <c r="O32" s="44" t="s">
        <v>86</v>
      </c>
      <c r="R32" s="44" t="s">
        <v>86</v>
      </c>
      <c r="S32" s="44" t="s">
        <v>86</v>
      </c>
      <c r="T32" s="44" t="s">
        <v>86</v>
      </c>
      <c r="U32" s="44" t="s">
        <v>86</v>
      </c>
      <c r="V32" s="44" t="s">
        <v>86</v>
      </c>
      <c r="W32" s="44" t="s">
        <v>86</v>
      </c>
      <c r="X32" s="44" t="s">
        <v>86</v>
      </c>
      <c r="Y32" s="44" t="s">
        <v>86</v>
      </c>
      <c r="Z32" s="44" t="s">
        <v>86</v>
      </c>
      <c r="AA32" s="44" t="s">
        <v>86</v>
      </c>
      <c r="AB32" s="44" t="s">
        <v>86</v>
      </c>
      <c r="AC32"/>
      <c r="AD32" s="44" t="s">
        <v>86</v>
      </c>
      <c r="AE32" s="44" t="s">
        <v>86</v>
      </c>
      <c r="AF32" s="44" t="s">
        <v>86</v>
      </c>
      <c r="AG32" s="44" t="s">
        <v>86</v>
      </c>
      <c r="AH32" s="44" t="s">
        <v>86</v>
      </c>
      <c r="AI32" s="44" t="s">
        <v>86</v>
      </c>
      <c r="AJ32" s="44" t="s">
        <v>86</v>
      </c>
      <c r="AK32"/>
      <c r="AL32" s="44" t="s">
        <v>86</v>
      </c>
      <c r="AM32" s="44" t="s">
        <v>86</v>
      </c>
      <c r="AN32" s="44" t="s">
        <v>86</v>
      </c>
      <c r="AO32" s="44" t="s">
        <v>86</v>
      </c>
      <c r="AP32"/>
      <c r="AQ32" s="44" t="s">
        <v>86</v>
      </c>
      <c r="AR32"/>
      <c r="AS32"/>
      <c r="AT32" s="44" t="s">
        <v>86</v>
      </c>
    </row>
    <row r="33" spans="1:46" x14ac:dyDescent="0.25">
      <c r="A33" s="13" t="s">
        <v>22</v>
      </c>
      <c r="B33" s="3" t="s">
        <v>473</v>
      </c>
      <c r="C33" s="3" t="s">
        <v>483</v>
      </c>
      <c r="D33" s="3" t="s">
        <v>521</v>
      </c>
      <c r="E33" s="14" t="s">
        <v>124</v>
      </c>
      <c r="F33" s="14" t="s">
        <v>91</v>
      </c>
      <c r="G33" s="44" t="s">
        <v>382</v>
      </c>
      <c r="I33" s="59"/>
      <c r="J33" s="45" t="s">
        <v>436</v>
      </c>
      <c r="K33" s="45" t="s">
        <v>436</v>
      </c>
      <c r="M33" s="45" t="s">
        <v>436</v>
      </c>
      <c r="N33" s="45" t="s">
        <v>436</v>
      </c>
      <c r="O33" s="45" t="s">
        <v>436</v>
      </c>
      <c r="R33" s="45" t="s">
        <v>436</v>
      </c>
      <c r="S33" s="45" t="s">
        <v>436</v>
      </c>
      <c r="T33" s="45" t="s">
        <v>436</v>
      </c>
      <c r="U33" s="45" t="s">
        <v>436</v>
      </c>
      <c r="V33" s="45" t="s">
        <v>436</v>
      </c>
      <c r="W33" s="45" t="s">
        <v>436</v>
      </c>
      <c r="X33" s="45" t="s">
        <v>436</v>
      </c>
      <c r="Y33" s="45" t="s">
        <v>436</v>
      </c>
      <c r="Z33" s="45" t="s">
        <v>436</v>
      </c>
      <c r="AA33" s="45" t="s">
        <v>436</v>
      </c>
      <c r="AB33" s="45" t="s">
        <v>436</v>
      </c>
      <c r="AC33"/>
      <c r="AD33" s="45" t="s">
        <v>436</v>
      </c>
      <c r="AE33" s="45" t="s">
        <v>436</v>
      </c>
      <c r="AF33" s="45" t="s">
        <v>436</v>
      </c>
      <c r="AG33" s="45" t="s">
        <v>436</v>
      </c>
      <c r="AH33" s="45" t="s">
        <v>436</v>
      </c>
      <c r="AI33" s="45" t="s">
        <v>436</v>
      </c>
      <c r="AJ33" s="45" t="s">
        <v>436</v>
      </c>
      <c r="AK33"/>
      <c r="AL33" s="45" t="s">
        <v>436</v>
      </c>
      <c r="AM33" s="45" t="s">
        <v>436</v>
      </c>
      <c r="AN33" s="45" t="s">
        <v>436</v>
      </c>
      <c r="AO33" s="45" t="s">
        <v>436</v>
      </c>
      <c r="AP33"/>
      <c r="AQ33" s="45" t="s">
        <v>436</v>
      </c>
      <c r="AR33"/>
      <c r="AS33"/>
      <c r="AT33" s="45" t="s">
        <v>436</v>
      </c>
    </row>
    <row r="34" spans="1:46" x14ac:dyDescent="0.25">
      <c r="A34" s="13" t="s">
        <v>23</v>
      </c>
      <c r="B34" s="3" t="s">
        <v>473</v>
      </c>
      <c r="C34" s="3" t="s">
        <v>483</v>
      </c>
      <c r="D34" s="3" t="s">
        <v>521</v>
      </c>
      <c r="E34" s="14" t="s">
        <v>125</v>
      </c>
      <c r="F34" s="14" t="s">
        <v>99</v>
      </c>
      <c r="G34" s="44">
        <v>9.9999999999999995E-7</v>
      </c>
      <c r="I34" s="58"/>
      <c r="J34" s="44">
        <v>9.9999999999999995E-7</v>
      </c>
      <c r="K34" s="44">
        <v>9.9999999999999995E-7</v>
      </c>
      <c r="M34" s="44">
        <v>9.9999999999999995E-7</v>
      </c>
      <c r="N34" s="44">
        <v>9.9999999999999995E-7</v>
      </c>
      <c r="O34" s="44">
        <v>9.9999999999999995E-7</v>
      </c>
      <c r="R34" s="44">
        <v>9.9999999999999995E-7</v>
      </c>
      <c r="S34" s="44">
        <v>9.9999999999999995E-7</v>
      </c>
      <c r="T34" s="44">
        <v>9.9999999999999995E-7</v>
      </c>
      <c r="U34" s="44">
        <v>9.9999999999999995E-7</v>
      </c>
      <c r="V34" s="44">
        <v>9.9999999999999995E-7</v>
      </c>
      <c r="W34" s="44">
        <v>9.9999999999999995E-7</v>
      </c>
      <c r="X34" s="44">
        <v>9.9999999999999995E-7</v>
      </c>
      <c r="Y34" s="44">
        <v>9.9999999999999995E-7</v>
      </c>
      <c r="Z34" s="44">
        <v>9.9999999999999995E-7</v>
      </c>
      <c r="AA34" s="44">
        <v>9.9999999999999995E-7</v>
      </c>
      <c r="AB34" s="44">
        <v>9.9999999999999995E-7</v>
      </c>
      <c r="AC34"/>
      <c r="AD34" s="44">
        <v>9.9999999999999995E-7</v>
      </c>
      <c r="AE34" s="44">
        <v>9.9999999999999995E-7</v>
      </c>
      <c r="AF34" s="44">
        <v>9.9999999999999995E-7</v>
      </c>
      <c r="AG34" s="44">
        <v>9.9999999999999995E-7</v>
      </c>
      <c r="AH34" s="44">
        <v>9.9999999999999995E-7</v>
      </c>
      <c r="AI34" s="44">
        <v>9.9999999999999995E-7</v>
      </c>
      <c r="AJ34" s="44">
        <v>9.9999999999999995E-7</v>
      </c>
      <c r="AK34"/>
      <c r="AL34" s="44">
        <v>9.9999999999999995E-7</v>
      </c>
      <c r="AM34" s="44">
        <v>9.9999999999999995E-7</v>
      </c>
      <c r="AN34" s="44">
        <v>9.9999999999999995E-7</v>
      </c>
      <c r="AO34" s="44">
        <v>9.9999999999999995E-7</v>
      </c>
      <c r="AP34"/>
      <c r="AQ34" s="44">
        <v>9.9999999999999995E-7</v>
      </c>
      <c r="AR34"/>
      <c r="AS34"/>
      <c r="AT34" s="44">
        <v>9.9999999999999995E-7</v>
      </c>
    </row>
    <row r="35" spans="1:46" x14ac:dyDescent="0.25">
      <c r="A35" s="13" t="s">
        <v>24</v>
      </c>
      <c r="B35" s="3" t="s">
        <v>473</v>
      </c>
      <c r="C35" s="3" t="s">
        <v>483</v>
      </c>
      <c r="D35" s="3" t="s">
        <v>521</v>
      </c>
      <c r="E35" s="14" t="s">
        <v>126</v>
      </c>
      <c r="F35" s="14" t="s">
        <v>99</v>
      </c>
      <c r="G35" s="44">
        <v>2.0000000000000001E-4</v>
      </c>
      <c r="I35" s="58"/>
      <c r="J35" s="44">
        <v>1E-3</v>
      </c>
      <c r="K35" s="44">
        <v>1E-3</v>
      </c>
      <c r="M35" s="44">
        <v>1E-3</v>
      </c>
      <c r="N35" s="44">
        <v>1E-3</v>
      </c>
      <c r="O35" s="44">
        <v>1E-3</v>
      </c>
      <c r="R35" s="44">
        <v>1E-3</v>
      </c>
      <c r="S35" s="44">
        <v>1E-3</v>
      </c>
      <c r="T35" s="44">
        <v>1E-3</v>
      </c>
      <c r="U35" s="44">
        <v>1E-3</v>
      </c>
      <c r="V35" s="44">
        <v>1E-3</v>
      </c>
      <c r="W35" s="44">
        <v>1E-3</v>
      </c>
      <c r="X35" s="44">
        <v>1E-3</v>
      </c>
      <c r="Y35" s="44">
        <v>1E-3</v>
      </c>
      <c r="Z35" s="44">
        <v>1E-3</v>
      </c>
      <c r="AA35" s="44">
        <v>1E-3</v>
      </c>
      <c r="AB35" s="44">
        <v>1E-3</v>
      </c>
      <c r="AC35"/>
      <c r="AD35" s="44">
        <v>1E-3</v>
      </c>
      <c r="AE35" s="44">
        <v>1E-3</v>
      </c>
      <c r="AF35" s="44">
        <v>1E-3</v>
      </c>
      <c r="AG35" s="44">
        <v>1E-3</v>
      </c>
      <c r="AH35" s="44">
        <v>1E-3</v>
      </c>
      <c r="AI35" s="44">
        <v>1E-3</v>
      </c>
      <c r="AJ35" s="44">
        <v>1E-3</v>
      </c>
      <c r="AK35"/>
      <c r="AL35" s="44">
        <v>1E-3</v>
      </c>
      <c r="AM35" s="44">
        <v>1E-3</v>
      </c>
      <c r="AN35" s="44">
        <v>1E-3</v>
      </c>
      <c r="AO35" s="44">
        <v>1E-3</v>
      </c>
      <c r="AP35"/>
      <c r="AQ35" s="44">
        <v>1E-3</v>
      </c>
      <c r="AR35"/>
      <c r="AS35"/>
      <c r="AT35" s="44">
        <v>1E-3</v>
      </c>
    </row>
    <row r="36" spans="1:46" x14ac:dyDescent="0.25">
      <c r="A36" s="13" t="s">
        <v>25</v>
      </c>
      <c r="B36" s="3" t="s">
        <v>473</v>
      </c>
      <c r="C36" s="3" t="s">
        <v>483</v>
      </c>
      <c r="D36" s="3" t="s">
        <v>521</v>
      </c>
      <c r="E36" s="14" t="s">
        <v>138</v>
      </c>
      <c r="F36" s="14" t="s">
        <v>94</v>
      </c>
      <c r="G36" s="44" t="s">
        <v>86</v>
      </c>
      <c r="I36" s="58"/>
      <c r="J36" s="44" t="s">
        <v>86</v>
      </c>
      <c r="K36" s="44" t="s">
        <v>86</v>
      </c>
      <c r="M36" s="44" t="s">
        <v>86</v>
      </c>
      <c r="N36" s="44" t="s">
        <v>86</v>
      </c>
      <c r="O36" s="44" t="s">
        <v>86</v>
      </c>
      <c r="R36" s="44" t="s">
        <v>86</v>
      </c>
      <c r="S36" s="44" t="s">
        <v>86</v>
      </c>
      <c r="T36" s="44" t="s">
        <v>86</v>
      </c>
      <c r="U36" s="44" t="s">
        <v>86</v>
      </c>
      <c r="V36" s="44" t="s">
        <v>86</v>
      </c>
      <c r="W36" s="44" t="s">
        <v>86</v>
      </c>
      <c r="X36" s="44" t="s">
        <v>86</v>
      </c>
      <c r="Y36" s="44" t="s">
        <v>86</v>
      </c>
      <c r="Z36" s="44" t="s">
        <v>86</v>
      </c>
      <c r="AA36" s="44" t="s">
        <v>86</v>
      </c>
      <c r="AB36" s="44" t="s">
        <v>86</v>
      </c>
      <c r="AC36"/>
      <c r="AD36" s="44" t="s">
        <v>86</v>
      </c>
      <c r="AE36" s="44" t="s">
        <v>86</v>
      </c>
      <c r="AF36" s="44" t="s">
        <v>86</v>
      </c>
      <c r="AG36" s="44" t="s">
        <v>86</v>
      </c>
      <c r="AH36" s="44" t="s">
        <v>86</v>
      </c>
      <c r="AI36" s="44" t="s">
        <v>86</v>
      </c>
      <c r="AJ36" s="44" t="s">
        <v>86</v>
      </c>
      <c r="AK36"/>
      <c r="AL36" s="44" t="s">
        <v>86</v>
      </c>
      <c r="AM36" s="44" t="s">
        <v>86</v>
      </c>
      <c r="AN36" s="44" t="s">
        <v>86</v>
      </c>
      <c r="AO36" s="44" t="s">
        <v>86</v>
      </c>
      <c r="AP36"/>
      <c r="AQ36" s="44" t="s">
        <v>86</v>
      </c>
      <c r="AR36"/>
      <c r="AS36"/>
      <c r="AT36" s="44" t="s">
        <v>86</v>
      </c>
    </row>
    <row r="37" spans="1:46" x14ac:dyDescent="0.25">
      <c r="A37" s="13" t="s">
        <v>26</v>
      </c>
      <c r="B37" s="3" t="s">
        <v>473</v>
      </c>
      <c r="C37" s="3" t="s">
        <v>483</v>
      </c>
      <c r="D37" s="3" t="s">
        <v>521</v>
      </c>
      <c r="E37" s="14" t="s">
        <v>127</v>
      </c>
      <c r="F37" s="14" t="s">
        <v>91</v>
      </c>
      <c r="G37" s="44" t="s">
        <v>88</v>
      </c>
      <c r="I37" s="58"/>
      <c r="J37" s="44" t="s">
        <v>88</v>
      </c>
      <c r="K37" s="44" t="s">
        <v>88</v>
      </c>
      <c r="M37" s="44" t="s">
        <v>88</v>
      </c>
      <c r="N37" s="44" t="s">
        <v>88</v>
      </c>
      <c r="O37" s="44" t="s">
        <v>88</v>
      </c>
      <c r="R37" s="44" t="s">
        <v>88</v>
      </c>
      <c r="S37" s="44" t="s">
        <v>88</v>
      </c>
      <c r="T37" s="44" t="s">
        <v>88</v>
      </c>
      <c r="U37" s="44" t="s">
        <v>88</v>
      </c>
      <c r="V37" s="44" t="s">
        <v>88</v>
      </c>
      <c r="W37" s="44" t="s">
        <v>88</v>
      </c>
      <c r="X37" s="44" t="s">
        <v>88</v>
      </c>
      <c r="Y37" s="44" t="s">
        <v>88</v>
      </c>
      <c r="Z37" s="44" t="s">
        <v>88</v>
      </c>
      <c r="AA37" s="44" t="s">
        <v>88</v>
      </c>
      <c r="AB37" s="44" t="s">
        <v>88</v>
      </c>
      <c r="AC37"/>
      <c r="AD37" s="44" t="s">
        <v>88</v>
      </c>
      <c r="AE37" s="44" t="s">
        <v>88</v>
      </c>
      <c r="AF37" s="44" t="s">
        <v>88</v>
      </c>
      <c r="AG37" s="44" t="s">
        <v>88</v>
      </c>
      <c r="AH37" s="44" t="s">
        <v>88</v>
      </c>
      <c r="AI37" s="44" t="s">
        <v>88</v>
      </c>
      <c r="AJ37" s="44" t="s">
        <v>88</v>
      </c>
      <c r="AK37"/>
      <c r="AL37" s="44" t="s">
        <v>88</v>
      </c>
      <c r="AM37" s="44" t="s">
        <v>88</v>
      </c>
      <c r="AN37" s="44" t="s">
        <v>88</v>
      </c>
      <c r="AO37" s="44" t="s">
        <v>88</v>
      </c>
      <c r="AP37"/>
      <c r="AQ37" s="44" t="s">
        <v>88</v>
      </c>
      <c r="AR37"/>
      <c r="AS37"/>
      <c r="AT37" s="44" t="s">
        <v>88</v>
      </c>
    </row>
    <row r="38" spans="1:46" x14ac:dyDescent="0.25">
      <c r="A38" s="13" t="s">
        <v>27</v>
      </c>
      <c r="B38" s="3" t="s">
        <v>473</v>
      </c>
      <c r="C38" s="3" t="s">
        <v>483</v>
      </c>
      <c r="D38" s="3" t="s">
        <v>521</v>
      </c>
      <c r="E38" s="14" t="s">
        <v>128</v>
      </c>
      <c r="F38" s="14" t="s">
        <v>94</v>
      </c>
      <c r="G38" s="44" t="s">
        <v>86</v>
      </c>
      <c r="I38" s="58"/>
      <c r="J38" s="44" t="s">
        <v>86</v>
      </c>
      <c r="K38" s="44" t="s">
        <v>86</v>
      </c>
      <c r="M38" s="44" t="s">
        <v>86</v>
      </c>
      <c r="N38" s="44" t="s">
        <v>86</v>
      </c>
      <c r="O38" s="44" t="s">
        <v>86</v>
      </c>
      <c r="R38" s="44" t="s">
        <v>86</v>
      </c>
      <c r="S38" s="44" t="s">
        <v>86</v>
      </c>
      <c r="T38" s="44" t="s">
        <v>86</v>
      </c>
      <c r="U38" s="44" t="s">
        <v>86</v>
      </c>
      <c r="V38" s="44" t="s">
        <v>86</v>
      </c>
      <c r="W38" s="44" t="s">
        <v>86</v>
      </c>
      <c r="X38" s="44" t="s">
        <v>86</v>
      </c>
      <c r="Y38" s="44" t="s">
        <v>86</v>
      </c>
      <c r="Z38" s="44" t="s">
        <v>86</v>
      </c>
      <c r="AA38" s="44" t="s">
        <v>86</v>
      </c>
      <c r="AB38" s="44" t="s">
        <v>86</v>
      </c>
      <c r="AC38"/>
      <c r="AD38" s="44" t="s">
        <v>86</v>
      </c>
      <c r="AE38" s="44" t="s">
        <v>86</v>
      </c>
      <c r="AF38" s="44" t="s">
        <v>86</v>
      </c>
      <c r="AG38" s="44" t="s">
        <v>86</v>
      </c>
      <c r="AH38" s="44" t="s">
        <v>86</v>
      </c>
      <c r="AI38" s="44" t="s">
        <v>86</v>
      </c>
      <c r="AJ38" s="44" t="s">
        <v>86</v>
      </c>
      <c r="AK38"/>
      <c r="AL38" s="44" t="s">
        <v>86</v>
      </c>
      <c r="AM38" s="44" t="s">
        <v>86</v>
      </c>
      <c r="AN38" s="44" t="s">
        <v>86</v>
      </c>
      <c r="AO38" s="44" t="s">
        <v>86</v>
      </c>
      <c r="AP38"/>
      <c r="AQ38" s="44" t="s">
        <v>86</v>
      </c>
      <c r="AR38"/>
      <c r="AS38"/>
      <c r="AT38" s="44" t="s">
        <v>86</v>
      </c>
    </row>
    <row r="39" spans="1:46" x14ac:dyDescent="0.25">
      <c r="A39" s="13" t="s">
        <v>28</v>
      </c>
      <c r="B39" s="3" t="s">
        <v>473</v>
      </c>
      <c r="C39" s="3" t="s">
        <v>483</v>
      </c>
      <c r="D39" s="3" t="s">
        <v>521</v>
      </c>
      <c r="E39" s="14" t="s">
        <v>140</v>
      </c>
      <c r="F39" s="14" t="s">
        <v>94</v>
      </c>
      <c r="G39" s="44" t="s">
        <v>87</v>
      </c>
      <c r="I39" s="58"/>
      <c r="J39" s="44" t="s">
        <v>87</v>
      </c>
      <c r="K39" s="44" t="s">
        <v>87</v>
      </c>
      <c r="M39" s="44" t="s">
        <v>87</v>
      </c>
      <c r="N39" s="44" t="s">
        <v>87</v>
      </c>
      <c r="O39" s="44" t="s">
        <v>87</v>
      </c>
      <c r="R39" s="44" t="s">
        <v>87</v>
      </c>
      <c r="S39" s="44" t="s">
        <v>87</v>
      </c>
      <c r="T39" s="44" t="s">
        <v>87</v>
      </c>
      <c r="U39" s="44" t="s">
        <v>87</v>
      </c>
      <c r="V39" s="44" t="s">
        <v>87</v>
      </c>
      <c r="W39" s="44" t="s">
        <v>87</v>
      </c>
      <c r="X39" s="44" t="s">
        <v>87</v>
      </c>
      <c r="Y39" s="44" t="s">
        <v>87</v>
      </c>
      <c r="Z39" s="44" t="s">
        <v>87</v>
      </c>
      <c r="AA39" s="44" t="s">
        <v>87</v>
      </c>
      <c r="AB39" s="44" t="s">
        <v>87</v>
      </c>
      <c r="AC39"/>
      <c r="AD39" s="44" t="s">
        <v>87</v>
      </c>
      <c r="AE39" s="44" t="s">
        <v>87</v>
      </c>
      <c r="AF39" s="44" t="s">
        <v>87</v>
      </c>
      <c r="AG39" s="44" t="s">
        <v>87</v>
      </c>
      <c r="AH39" s="44" t="s">
        <v>87</v>
      </c>
      <c r="AI39" s="44" t="s">
        <v>87</v>
      </c>
      <c r="AJ39" s="44" t="s">
        <v>87</v>
      </c>
      <c r="AK39"/>
      <c r="AL39" s="44" t="s">
        <v>87</v>
      </c>
      <c r="AM39" s="44" t="s">
        <v>87</v>
      </c>
      <c r="AN39" s="44" t="s">
        <v>87</v>
      </c>
      <c r="AO39" s="44" t="s">
        <v>87</v>
      </c>
      <c r="AP39"/>
      <c r="AQ39" s="44" t="s">
        <v>87</v>
      </c>
      <c r="AR39"/>
      <c r="AS39"/>
      <c r="AT39" s="44" t="s">
        <v>87</v>
      </c>
    </row>
    <row r="40" spans="1:46" x14ac:dyDescent="0.25">
      <c r="A40" s="13" t="s">
        <v>29</v>
      </c>
      <c r="B40" s="3" t="s">
        <v>473</v>
      </c>
      <c r="C40" s="3" t="s">
        <v>483</v>
      </c>
      <c r="D40" s="3" t="s">
        <v>521</v>
      </c>
      <c r="E40" s="14" t="s">
        <v>141</v>
      </c>
      <c r="F40" s="14" t="s">
        <v>95</v>
      </c>
      <c r="G40" s="44">
        <v>120</v>
      </c>
      <c r="I40" s="58"/>
      <c r="J40" s="44">
        <v>120</v>
      </c>
      <c r="K40" s="44">
        <v>120</v>
      </c>
      <c r="M40" s="44">
        <v>120</v>
      </c>
      <c r="N40" s="44">
        <v>120</v>
      </c>
      <c r="O40" s="44">
        <v>120</v>
      </c>
      <c r="R40" s="44">
        <v>120</v>
      </c>
      <c r="S40" s="44">
        <v>120</v>
      </c>
      <c r="T40" s="44">
        <v>120</v>
      </c>
      <c r="U40" s="44">
        <v>120</v>
      </c>
      <c r="V40" s="44">
        <v>120</v>
      </c>
      <c r="W40" s="44">
        <v>120</v>
      </c>
      <c r="X40" s="44">
        <v>120</v>
      </c>
      <c r="Y40" s="44">
        <v>120</v>
      </c>
      <c r="Z40" s="44">
        <v>120</v>
      </c>
      <c r="AA40" s="44">
        <v>120</v>
      </c>
      <c r="AB40" s="44">
        <v>120</v>
      </c>
      <c r="AC40"/>
      <c r="AD40" s="44">
        <v>120</v>
      </c>
      <c r="AE40" s="44">
        <v>120</v>
      </c>
      <c r="AF40" s="44">
        <v>120</v>
      </c>
      <c r="AG40" s="44">
        <v>120</v>
      </c>
      <c r="AH40" s="44">
        <v>120</v>
      </c>
      <c r="AI40" s="44">
        <v>120</v>
      </c>
      <c r="AJ40" s="44">
        <v>120</v>
      </c>
      <c r="AK40"/>
      <c r="AL40" s="44">
        <v>120</v>
      </c>
      <c r="AM40" s="44">
        <v>120</v>
      </c>
      <c r="AN40" s="44">
        <v>120</v>
      </c>
      <c r="AO40" s="44">
        <v>120</v>
      </c>
      <c r="AP40"/>
      <c r="AQ40" s="44">
        <v>120</v>
      </c>
      <c r="AR40"/>
      <c r="AS40"/>
      <c r="AT40" s="44">
        <v>120</v>
      </c>
    </row>
    <row r="41" spans="1:46" x14ac:dyDescent="0.25">
      <c r="A41" s="13" t="s">
        <v>30</v>
      </c>
      <c r="B41" s="3" t="s">
        <v>473</v>
      </c>
      <c r="C41" s="3" t="s">
        <v>483</v>
      </c>
      <c r="D41" s="3" t="s">
        <v>521</v>
      </c>
      <c r="E41" s="14" t="s">
        <v>142</v>
      </c>
      <c r="F41" s="14" t="s">
        <v>98</v>
      </c>
      <c r="G41" s="44">
        <v>0</v>
      </c>
      <c r="I41" s="58"/>
      <c r="J41" s="44">
        <v>0</v>
      </c>
      <c r="K41" s="44">
        <v>0</v>
      </c>
      <c r="M41" s="44">
        <v>0</v>
      </c>
      <c r="N41" s="44">
        <v>0</v>
      </c>
      <c r="O41" s="44">
        <v>0</v>
      </c>
      <c r="R41" s="44">
        <v>0</v>
      </c>
      <c r="S41" s="44">
        <v>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/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44">
        <v>0</v>
      </c>
      <c r="AK41"/>
      <c r="AL41" s="44">
        <v>0</v>
      </c>
      <c r="AM41" s="44">
        <v>0</v>
      </c>
      <c r="AN41" s="44">
        <v>0</v>
      </c>
      <c r="AO41" s="44">
        <v>0</v>
      </c>
      <c r="AP41"/>
      <c r="AQ41" s="44">
        <v>0</v>
      </c>
      <c r="AR41"/>
      <c r="AS41"/>
      <c r="AT41" s="44">
        <v>0</v>
      </c>
    </row>
    <row r="42" spans="1:46" x14ac:dyDescent="0.25">
      <c r="A42" s="13" t="s">
        <v>31</v>
      </c>
      <c r="B42" s="3" t="s">
        <v>473</v>
      </c>
      <c r="C42" s="3" t="s">
        <v>483</v>
      </c>
      <c r="D42" s="3" t="s">
        <v>521</v>
      </c>
      <c r="E42" s="14" t="s">
        <v>143</v>
      </c>
      <c r="F42" s="14" t="s">
        <v>98</v>
      </c>
      <c r="G42" s="44">
        <v>0</v>
      </c>
      <c r="I42" s="58"/>
      <c r="J42" s="44">
        <v>0</v>
      </c>
      <c r="K42" s="44">
        <v>0</v>
      </c>
      <c r="M42" s="44">
        <v>0</v>
      </c>
      <c r="N42" s="44">
        <v>0</v>
      </c>
      <c r="O42" s="44">
        <v>0</v>
      </c>
      <c r="R42" s="44">
        <v>0</v>
      </c>
      <c r="S42" s="44">
        <v>0</v>
      </c>
      <c r="T42" s="44">
        <v>0</v>
      </c>
      <c r="U42" s="44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44">
        <v>0</v>
      </c>
      <c r="AB42" s="44">
        <v>0</v>
      </c>
      <c r="AC42"/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/>
      <c r="AL42" s="44">
        <v>0</v>
      </c>
      <c r="AM42" s="44">
        <v>0</v>
      </c>
      <c r="AN42" s="44">
        <v>0</v>
      </c>
      <c r="AO42" s="44">
        <v>0</v>
      </c>
      <c r="AP42"/>
      <c r="AQ42" s="44">
        <v>0</v>
      </c>
      <c r="AR42"/>
      <c r="AS42"/>
      <c r="AT42" s="44">
        <v>0</v>
      </c>
    </row>
    <row r="43" spans="1:46" x14ac:dyDescent="0.25">
      <c r="A43" s="13" t="s">
        <v>32</v>
      </c>
      <c r="B43" s="3" t="s">
        <v>473</v>
      </c>
      <c r="C43" s="3" t="s">
        <v>483</v>
      </c>
      <c r="D43" s="3" t="s">
        <v>521</v>
      </c>
      <c r="E43" s="14" t="s">
        <v>144</v>
      </c>
      <c r="F43" s="14" t="s">
        <v>98</v>
      </c>
      <c r="G43" s="44">
        <v>-0.1</v>
      </c>
      <c r="I43" s="58"/>
      <c r="J43" s="44">
        <v>-0.1</v>
      </c>
      <c r="K43" s="44">
        <v>-0.1</v>
      </c>
      <c r="M43" s="44">
        <v>-0.1</v>
      </c>
      <c r="N43" s="44">
        <v>-0.1</v>
      </c>
      <c r="O43" s="44">
        <v>-0.1</v>
      </c>
      <c r="R43" s="44">
        <v>-0.1</v>
      </c>
      <c r="S43" s="44">
        <v>-0.1</v>
      </c>
      <c r="T43" s="44">
        <v>-0.1</v>
      </c>
      <c r="U43" s="44">
        <v>-0.1</v>
      </c>
      <c r="V43" s="44">
        <v>-0.1</v>
      </c>
      <c r="W43" s="44">
        <v>-0.1</v>
      </c>
      <c r="X43" s="44">
        <v>-0.1</v>
      </c>
      <c r="Y43" s="44">
        <v>-0.1</v>
      </c>
      <c r="Z43" s="44">
        <v>-0.1</v>
      </c>
      <c r="AA43" s="44">
        <v>-0.1</v>
      </c>
      <c r="AB43" s="44">
        <v>-0.1</v>
      </c>
      <c r="AC43"/>
      <c r="AD43" s="44">
        <v>-0.1</v>
      </c>
      <c r="AE43" s="44">
        <v>-0.1</v>
      </c>
      <c r="AF43" s="44">
        <v>-0.1</v>
      </c>
      <c r="AG43" s="44">
        <v>-0.1</v>
      </c>
      <c r="AH43" s="44">
        <v>-0.1</v>
      </c>
      <c r="AI43" s="44">
        <v>-0.1</v>
      </c>
      <c r="AJ43" s="44">
        <v>-0.1</v>
      </c>
      <c r="AK43"/>
      <c r="AL43" s="44">
        <v>-0.1</v>
      </c>
      <c r="AM43" s="44">
        <v>-0.1</v>
      </c>
      <c r="AN43" s="44">
        <v>-0.1</v>
      </c>
      <c r="AO43" s="44">
        <v>-0.1</v>
      </c>
      <c r="AP43"/>
      <c r="AQ43" s="44">
        <v>-0.1</v>
      </c>
      <c r="AR43"/>
      <c r="AS43"/>
      <c r="AT43" s="44">
        <v>-0.1</v>
      </c>
    </row>
    <row r="44" spans="1:46" x14ac:dyDescent="0.25">
      <c r="A44" s="13" t="s">
        <v>33</v>
      </c>
      <c r="B44" s="3" t="s">
        <v>473</v>
      </c>
      <c r="C44" s="3" t="s">
        <v>483</v>
      </c>
      <c r="D44" s="3" t="s">
        <v>521</v>
      </c>
      <c r="E44" s="14" t="s">
        <v>145</v>
      </c>
      <c r="F44" s="14" t="s">
        <v>98</v>
      </c>
      <c r="G44" s="44">
        <v>-0.2</v>
      </c>
      <c r="I44" s="58"/>
      <c r="J44" s="44">
        <v>-0.2</v>
      </c>
      <c r="K44" s="44">
        <v>-0.2</v>
      </c>
      <c r="M44" s="44">
        <v>-0.2</v>
      </c>
      <c r="N44" s="44">
        <v>-0.2</v>
      </c>
      <c r="O44" s="44">
        <v>-0.2</v>
      </c>
      <c r="R44" s="44">
        <v>-0.2</v>
      </c>
      <c r="S44" s="44">
        <v>-0.2</v>
      </c>
      <c r="T44" s="44">
        <v>-0.2</v>
      </c>
      <c r="U44" s="44">
        <v>-0.2</v>
      </c>
      <c r="V44" s="44">
        <v>-0.2</v>
      </c>
      <c r="W44" s="44">
        <v>-0.2</v>
      </c>
      <c r="X44" s="44">
        <v>-0.2</v>
      </c>
      <c r="Y44" s="44">
        <v>-0.2</v>
      </c>
      <c r="Z44" s="44">
        <v>-0.2</v>
      </c>
      <c r="AA44" s="44">
        <v>-0.2</v>
      </c>
      <c r="AB44" s="44">
        <v>-0.2</v>
      </c>
      <c r="AC44"/>
      <c r="AD44" s="44">
        <v>-0.2</v>
      </c>
      <c r="AE44" s="44">
        <v>-0.2</v>
      </c>
      <c r="AF44" s="44">
        <v>-0.2</v>
      </c>
      <c r="AG44" s="44">
        <v>-0.2</v>
      </c>
      <c r="AH44" s="44">
        <v>-0.2</v>
      </c>
      <c r="AI44" s="44">
        <v>-0.2</v>
      </c>
      <c r="AJ44" s="44">
        <v>-0.2</v>
      </c>
      <c r="AK44"/>
      <c r="AL44" s="44">
        <v>-0.2</v>
      </c>
      <c r="AM44" s="44">
        <v>-0.2</v>
      </c>
      <c r="AN44" s="44">
        <v>-0.2</v>
      </c>
      <c r="AO44" s="44">
        <v>-0.2</v>
      </c>
      <c r="AP44"/>
      <c r="AQ44" s="44">
        <v>-0.2</v>
      </c>
      <c r="AR44"/>
      <c r="AS44"/>
      <c r="AT44" s="44">
        <v>-0.2</v>
      </c>
    </row>
    <row r="45" spans="1:46" x14ac:dyDescent="0.25">
      <c r="A45" s="13" t="s">
        <v>34</v>
      </c>
      <c r="B45" s="3" t="s">
        <v>473</v>
      </c>
      <c r="C45" s="3" t="s">
        <v>483</v>
      </c>
      <c r="D45" s="3" t="s">
        <v>521</v>
      </c>
      <c r="E45" s="14" t="s">
        <v>146</v>
      </c>
      <c r="F45" s="14" t="s">
        <v>98</v>
      </c>
      <c r="G45" s="44">
        <v>0.4</v>
      </c>
      <c r="I45" s="58"/>
      <c r="J45" s="44">
        <v>0.4</v>
      </c>
      <c r="K45" s="44">
        <v>0.4</v>
      </c>
      <c r="M45" s="44">
        <v>0.4</v>
      </c>
      <c r="N45" s="44">
        <v>0.4</v>
      </c>
      <c r="O45" s="44">
        <v>0.4</v>
      </c>
      <c r="R45" s="44">
        <v>0.4</v>
      </c>
      <c r="S45" s="44">
        <v>0.4</v>
      </c>
      <c r="T45" s="44">
        <v>0.4</v>
      </c>
      <c r="U45" s="44">
        <v>0.4</v>
      </c>
      <c r="V45" s="44">
        <v>0.4</v>
      </c>
      <c r="W45" s="44">
        <v>0.4</v>
      </c>
      <c r="X45" s="44">
        <v>0.4</v>
      </c>
      <c r="Y45" s="44">
        <v>0.4</v>
      </c>
      <c r="Z45" s="44">
        <v>0.4</v>
      </c>
      <c r="AA45" s="44">
        <v>0.4</v>
      </c>
      <c r="AB45" s="44">
        <v>0.4</v>
      </c>
      <c r="AC45"/>
      <c r="AD45" s="44">
        <v>0.4</v>
      </c>
      <c r="AE45" s="44">
        <v>0.4</v>
      </c>
      <c r="AF45" s="44">
        <v>0.4</v>
      </c>
      <c r="AG45" s="44">
        <v>0.4</v>
      </c>
      <c r="AH45" s="44">
        <v>0.4</v>
      </c>
      <c r="AI45" s="44">
        <v>0.4</v>
      </c>
      <c r="AJ45" s="44">
        <v>0.4</v>
      </c>
      <c r="AK45"/>
      <c r="AL45" s="44">
        <v>0.4</v>
      </c>
      <c r="AM45" s="44">
        <v>0.4</v>
      </c>
      <c r="AN45" s="44">
        <v>0.4</v>
      </c>
      <c r="AO45" s="44">
        <v>0.4</v>
      </c>
      <c r="AP45"/>
      <c r="AQ45" s="44">
        <v>0.4</v>
      </c>
      <c r="AR45"/>
      <c r="AS45"/>
      <c r="AT45" s="44">
        <v>0.4</v>
      </c>
    </row>
    <row r="46" spans="1:46" x14ac:dyDescent="0.25">
      <c r="A46" s="13" t="s">
        <v>35</v>
      </c>
      <c r="B46" s="3" t="s">
        <v>473</v>
      </c>
      <c r="C46" s="3" t="s">
        <v>483</v>
      </c>
      <c r="D46" s="3" t="s">
        <v>521</v>
      </c>
      <c r="E46" s="14" t="s">
        <v>147</v>
      </c>
      <c r="F46" s="14" t="s">
        <v>101</v>
      </c>
      <c r="G46" s="44">
        <v>0</v>
      </c>
      <c r="I46" s="58"/>
      <c r="J46" s="44">
        <v>0</v>
      </c>
      <c r="K46" s="44">
        <v>0</v>
      </c>
      <c r="M46" s="44">
        <v>0</v>
      </c>
      <c r="N46" s="44">
        <v>0</v>
      </c>
      <c r="O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/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 s="44">
        <v>0</v>
      </c>
      <c r="AK46"/>
      <c r="AL46" s="44">
        <v>0</v>
      </c>
      <c r="AM46" s="44">
        <v>0</v>
      </c>
      <c r="AN46" s="44">
        <v>0</v>
      </c>
      <c r="AO46" s="44">
        <v>0</v>
      </c>
      <c r="AP46"/>
      <c r="AQ46" s="44">
        <v>0</v>
      </c>
      <c r="AR46"/>
      <c r="AS46"/>
      <c r="AT46" s="44">
        <v>0</v>
      </c>
    </row>
    <row r="47" spans="1:46" x14ac:dyDescent="0.25">
      <c r="A47" s="13" t="s">
        <v>437</v>
      </c>
      <c r="B47" s="3" t="s">
        <v>473</v>
      </c>
      <c r="C47" s="3" t="s">
        <v>483</v>
      </c>
      <c r="D47" s="3" t="s">
        <v>521</v>
      </c>
      <c r="E47" s="14" t="s">
        <v>439</v>
      </c>
      <c r="F47" s="14" t="s">
        <v>95</v>
      </c>
      <c r="G47" s="44">
        <v>1200</v>
      </c>
      <c r="I47" s="58"/>
      <c r="J47" s="44">
        <v>1200</v>
      </c>
      <c r="K47" s="44">
        <v>1200</v>
      </c>
      <c r="M47" s="44">
        <v>1200</v>
      </c>
      <c r="N47" s="44">
        <v>1200</v>
      </c>
      <c r="O47" s="44">
        <v>1200</v>
      </c>
      <c r="R47" s="44">
        <v>1200</v>
      </c>
      <c r="S47" s="44">
        <v>1200</v>
      </c>
      <c r="T47" s="44">
        <v>1200</v>
      </c>
      <c r="U47" s="44">
        <v>1200</v>
      </c>
      <c r="V47" s="44">
        <v>1200</v>
      </c>
      <c r="W47" s="44">
        <v>1200</v>
      </c>
      <c r="X47" s="44">
        <v>1200</v>
      </c>
      <c r="Y47" s="44">
        <v>1200</v>
      </c>
      <c r="Z47" s="44">
        <v>1200</v>
      </c>
      <c r="AA47" s="44">
        <v>1200</v>
      </c>
      <c r="AB47" s="44">
        <v>1200</v>
      </c>
      <c r="AC47"/>
      <c r="AD47" s="44">
        <v>1200</v>
      </c>
      <c r="AE47" s="44">
        <v>1200</v>
      </c>
      <c r="AF47" s="44">
        <v>1200</v>
      </c>
      <c r="AG47" s="44">
        <v>1200</v>
      </c>
      <c r="AH47" s="44">
        <v>1200</v>
      </c>
      <c r="AI47" s="44">
        <v>1200</v>
      </c>
      <c r="AJ47" s="44">
        <v>1200</v>
      </c>
      <c r="AK47"/>
      <c r="AL47" s="44">
        <v>1200</v>
      </c>
      <c r="AM47" s="44">
        <v>1200</v>
      </c>
      <c r="AN47" s="44">
        <v>1200</v>
      </c>
      <c r="AO47" s="44">
        <v>1200</v>
      </c>
      <c r="AP47"/>
      <c r="AQ47" s="44">
        <v>1200</v>
      </c>
      <c r="AR47"/>
      <c r="AS47"/>
      <c r="AT47" s="44">
        <v>1200</v>
      </c>
    </row>
    <row r="48" spans="1:46" x14ac:dyDescent="0.25">
      <c r="A48" s="13" t="s">
        <v>438</v>
      </c>
      <c r="B48" s="3" t="s">
        <v>473</v>
      </c>
      <c r="C48" s="3" t="s">
        <v>483</v>
      </c>
      <c r="D48" s="3" t="s">
        <v>521</v>
      </c>
      <c r="E48" s="14" t="s">
        <v>440</v>
      </c>
      <c r="F48" s="14" t="s">
        <v>95</v>
      </c>
      <c r="G48" s="44">
        <v>1200</v>
      </c>
      <c r="I48" s="58"/>
      <c r="J48" s="44">
        <v>1200</v>
      </c>
      <c r="K48" s="44">
        <v>1200</v>
      </c>
      <c r="M48" s="44">
        <v>1200</v>
      </c>
      <c r="N48" s="44">
        <v>1200</v>
      </c>
      <c r="O48" s="44">
        <v>1200</v>
      </c>
      <c r="R48" s="44">
        <v>1200</v>
      </c>
      <c r="S48" s="44">
        <v>1200</v>
      </c>
      <c r="T48" s="44">
        <v>1200</v>
      </c>
      <c r="U48" s="44">
        <v>1200</v>
      </c>
      <c r="V48" s="44">
        <v>1200</v>
      </c>
      <c r="W48" s="44">
        <v>1200</v>
      </c>
      <c r="X48" s="44">
        <v>1200</v>
      </c>
      <c r="Y48" s="44">
        <v>1200</v>
      </c>
      <c r="Z48" s="44">
        <v>1200</v>
      </c>
      <c r="AA48" s="44">
        <v>1200</v>
      </c>
      <c r="AB48" s="44">
        <v>1200</v>
      </c>
      <c r="AC48"/>
      <c r="AD48" s="44">
        <v>1200</v>
      </c>
      <c r="AE48" s="44">
        <v>1200</v>
      </c>
      <c r="AF48" s="44">
        <v>1200</v>
      </c>
      <c r="AG48" s="44">
        <v>1200</v>
      </c>
      <c r="AH48" s="44">
        <v>1200</v>
      </c>
      <c r="AI48" s="44">
        <v>1200</v>
      </c>
      <c r="AJ48" s="44">
        <v>1200</v>
      </c>
      <c r="AK48"/>
      <c r="AL48" s="44">
        <v>1200</v>
      </c>
      <c r="AM48" s="44">
        <v>1200</v>
      </c>
      <c r="AN48" s="44">
        <v>1200</v>
      </c>
      <c r="AO48" s="44">
        <v>1200</v>
      </c>
      <c r="AP48"/>
      <c r="AQ48" s="44">
        <v>1200</v>
      </c>
      <c r="AR48"/>
      <c r="AS48"/>
      <c r="AT48" s="44">
        <v>1200</v>
      </c>
    </row>
    <row r="49" spans="1:46" x14ac:dyDescent="0.25">
      <c r="A49" s="13" t="s">
        <v>459</v>
      </c>
      <c r="B49" s="3" t="s">
        <v>473</v>
      </c>
      <c r="C49" s="3" t="s">
        <v>483</v>
      </c>
      <c r="D49" s="3" t="s">
        <v>521</v>
      </c>
      <c r="E49" s="14" t="s">
        <v>460</v>
      </c>
      <c r="F49" s="14" t="s">
        <v>461</v>
      </c>
      <c r="G49" s="44" t="s">
        <v>462</v>
      </c>
      <c r="I49" s="58"/>
      <c r="J49" s="44" t="s">
        <v>462</v>
      </c>
      <c r="K49" s="44" t="s">
        <v>462</v>
      </c>
      <c r="M49" s="44" t="s">
        <v>462</v>
      </c>
      <c r="N49" s="44" t="s">
        <v>462</v>
      </c>
      <c r="O49" s="44" t="s">
        <v>462</v>
      </c>
      <c r="R49" s="44" t="s">
        <v>462</v>
      </c>
      <c r="S49" s="44" t="s">
        <v>462</v>
      </c>
      <c r="T49" s="44" t="s">
        <v>462</v>
      </c>
      <c r="U49" s="44" t="s">
        <v>462</v>
      </c>
      <c r="V49" s="44" t="s">
        <v>462</v>
      </c>
      <c r="W49" s="44" t="s">
        <v>462</v>
      </c>
      <c r="X49" s="44" t="s">
        <v>462</v>
      </c>
      <c r="Y49" s="44" t="s">
        <v>462</v>
      </c>
      <c r="Z49" s="44" t="s">
        <v>462</v>
      </c>
      <c r="AA49" s="44" t="s">
        <v>462</v>
      </c>
      <c r="AB49" s="44" t="s">
        <v>462</v>
      </c>
      <c r="AC49"/>
      <c r="AD49" s="44" t="s">
        <v>462</v>
      </c>
      <c r="AE49" s="44" t="s">
        <v>462</v>
      </c>
      <c r="AF49" s="44" t="s">
        <v>462</v>
      </c>
      <c r="AG49" s="44" t="s">
        <v>462</v>
      </c>
      <c r="AH49" s="44" t="s">
        <v>462</v>
      </c>
      <c r="AI49" s="44" t="s">
        <v>462</v>
      </c>
      <c r="AJ49" s="44" t="s">
        <v>462</v>
      </c>
      <c r="AK49"/>
      <c r="AL49" s="44" t="s">
        <v>462</v>
      </c>
      <c r="AM49" s="44" t="s">
        <v>462</v>
      </c>
      <c r="AN49" s="44" t="s">
        <v>462</v>
      </c>
      <c r="AO49" s="44" t="s">
        <v>462</v>
      </c>
      <c r="AP49"/>
      <c r="AQ49" s="44" t="s">
        <v>462</v>
      </c>
      <c r="AR49"/>
      <c r="AS49"/>
      <c r="AT49" s="44" t="s">
        <v>462</v>
      </c>
    </row>
    <row r="50" spans="1:46" x14ac:dyDescent="0.25">
      <c r="A50" s="13" t="s">
        <v>15</v>
      </c>
      <c r="B50" s="3" t="s">
        <v>473</v>
      </c>
      <c r="C50" s="3" t="s">
        <v>483</v>
      </c>
      <c r="D50" s="3" t="s">
        <v>521</v>
      </c>
      <c r="E50" s="14" t="s">
        <v>135</v>
      </c>
      <c r="F50" s="14" t="s">
        <v>94</v>
      </c>
      <c r="G50" s="44" t="s">
        <v>86</v>
      </c>
      <c r="I50" s="58"/>
      <c r="J50" s="44" t="s">
        <v>86</v>
      </c>
      <c r="K50" s="44" t="s">
        <v>86</v>
      </c>
      <c r="M50" s="44" t="s">
        <v>86</v>
      </c>
      <c r="N50" s="44" t="s">
        <v>86</v>
      </c>
      <c r="O50" s="44" t="s">
        <v>86</v>
      </c>
      <c r="R50" s="44" t="s">
        <v>86</v>
      </c>
      <c r="S50" s="44" t="s">
        <v>86</v>
      </c>
      <c r="T50" s="44" t="s">
        <v>86</v>
      </c>
      <c r="U50" s="44" t="s">
        <v>86</v>
      </c>
      <c r="V50" s="44" t="s">
        <v>86</v>
      </c>
      <c r="W50" s="44" t="s">
        <v>86</v>
      </c>
      <c r="X50" s="44" t="s">
        <v>86</v>
      </c>
      <c r="Y50" s="44" t="s">
        <v>86</v>
      </c>
      <c r="Z50" s="44" t="s">
        <v>86</v>
      </c>
      <c r="AA50" s="44" t="s">
        <v>86</v>
      </c>
      <c r="AB50" s="44" t="s">
        <v>86</v>
      </c>
      <c r="AC50"/>
      <c r="AD50" s="44" t="s">
        <v>86</v>
      </c>
      <c r="AE50" s="44" t="s">
        <v>86</v>
      </c>
      <c r="AF50" s="44" t="s">
        <v>86</v>
      </c>
      <c r="AG50" s="44" t="s">
        <v>86</v>
      </c>
      <c r="AH50" s="44" t="s">
        <v>86</v>
      </c>
      <c r="AI50" s="44" t="s">
        <v>86</v>
      </c>
      <c r="AJ50" s="44" t="s">
        <v>86</v>
      </c>
      <c r="AK50"/>
      <c r="AL50" s="44" t="s">
        <v>86</v>
      </c>
      <c r="AM50" s="44" t="s">
        <v>86</v>
      </c>
      <c r="AN50" s="44" t="s">
        <v>86</v>
      </c>
      <c r="AO50" s="44" t="s">
        <v>86</v>
      </c>
      <c r="AP50"/>
      <c r="AQ50" s="44" t="s">
        <v>86</v>
      </c>
      <c r="AR50"/>
      <c r="AS50"/>
      <c r="AT50" s="44" t="s">
        <v>86</v>
      </c>
    </row>
    <row r="51" spans="1:46" x14ac:dyDescent="0.25">
      <c r="A51" s="11" t="s">
        <v>16</v>
      </c>
      <c r="B51" s="3" t="s">
        <v>473</v>
      </c>
      <c r="C51" s="3" t="s">
        <v>483</v>
      </c>
      <c r="D51" s="3" t="s">
        <v>521</v>
      </c>
      <c r="E51" s="12" t="s">
        <v>136</v>
      </c>
      <c r="F51" s="12" t="s">
        <v>94</v>
      </c>
      <c r="G51" s="44" t="s">
        <v>86</v>
      </c>
      <c r="I51" s="58"/>
      <c r="J51" s="44" t="s">
        <v>86</v>
      </c>
      <c r="K51" s="44" t="s">
        <v>86</v>
      </c>
      <c r="M51" s="44" t="s">
        <v>86</v>
      </c>
      <c r="N51" s="44" t="s">
        <v>86</v>
      </c>
      <c r="O51" s="44" t="s">
        <v>86</v>
      </c>
      <c r="R51" s="44" t="s">
        <v>86</v>
      </c>
      <c r="S51" s="44" t="s">
        <v>86</v>
      </c>
      <c r="T51" s="44" t="s">
        <v>86</v>
      </c>
      <c r="U51" s="44" t="s">
        <v>86</v>
      </c>
      <c r="V51" s="44" t="s">
        <v>86</v>
      </c>
      <c r="W51" s="44" t="s">
        <v>86</v>
      </c>
      <c r="X51" s="44" t="s">
        <v>86</v>
      </c>
      <c r="Y51" s="44" t="s">
        <v>86</v>
      </c>
      <c r="Z51" s="44" t="s">
        <v>86</v>
      </c>
      <c r="AA51" s="44" t="s">
        <v>86</v>
      </c>
      <c r="AB51" s="44" t="s">
        <v>86</v>
      </c>
      <c r="AC51"/>
      <c r="AD51" s="44" t="s">
        <v>86</v>
      </c>
      <c r="AE51" s="44" t="s">
        <v>86</v>
      </c>
      <c r="AF51" s="44" t="s">
        <v>86</v>
      </c>
      <c r="AG51" s="44" t="s">
        <v>86</v>
      </c>
      <c r="AH51" s="44" t="s">
        <v>86</v>
      </c>
      <c r="AI51" s="44" t="s">
        <v>86</v>
      </c>
      <c r="AJ51" s="44" t="s">
        <v>86</v>
      </c>
      <c r="AK51"/>
      <c r="AL51" s="44" t="s">
        <v>86</v>
      </c>
      <c r="AM51" s="44" t="s">
        <v>86</v>
      </c>
      <c r="AN51" s="44" t="s">
        <v>86</v>
      </c>
      <c r="AO51" s="44" t="s">
        <v>86</v>
      </c>
      <c r="AP51"/>
      <c r="AQ51" s="44" t="s">
        <v>86</v>
      </c>
      <c r="AR51"/>
      <c r="AS51"/>
      <c r="AT51" s="44" t="s">
        <v>86</v>
      </c>
    </row>
    <row r="52" spans="1:46" x14ac:dyDescent="0.25">
      <c r="A52" s="11" t="s">
        <v>17</v>
      </c>
      <c r="B52" s="3" t="s">
        <v>473</v>
      </c>
      <c r="C52" s="3" t="s">
        <v>483</v>
      </c>
      <c r="D52" s="3" t="s">
        <v>521</v>
      </c>
      <c r="E52" s="12" t="s">
        <v>120</v>
      </c>
      <c r="F52" s="12" t="s">
        <v>98</v>
      </c>
      <c r="G52" s="44">
        <v>0</v>
      </c>
      <c r="I52" s="58"/>
      <c r="J52" s="44">
        <v>0</v>
      </c>
      <c r="K52" s="44">
        <v>0</v>
      </c>
      <c r="M52" s="44">
        <v>0</v>
      </c>
      <c r="N52" s="44">
        <v>0</v>
      </c>
      <c r="O52" s="44">
        <v>0</v>
      </c>
      <c r="R52" s="44">
        <v>0</v>
      </c>
      <c r="S52" s="44">
        <v>0</v>
      </c>
      <c r="T52" s="44">
        <v>0</v>
      </c>
      <c r="U52" s="44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/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4">
        <v>0</v>
      </c>
      <c r="AJ52" s="44">
        <v>0</v>
      </c>
      <c r="AK52"/>
      <c r="AL52" s="44">
        <v>0</v>
      </c>
      <c r="AM52" s="44">
        <v>0</v>
      </c>
      <c r="AN52" s="44">
        <v>0</v>
      </c>
      <c r="AO52" s="44">
        <v>0</v>
      </c>
      <c r="AP52"/>
      <c r="AQ52" s="44">
        <v>0</v>
      </c>
      <c r="AR52"/>
      <c r="AS52"/>
      <c r="AT52" s="44">
        <v>0</v>
      </c>
    </row>
    <row r="53" spans="1:46" x14ac:dyDescent="0.25">
      <c r="A53" s="11" t="s">
        <v>18</v>
      </c>
      <c r="B53" s="3" t="s">
        <v>473</v>
      </c>
      <c r="C53" s="3" t="s">
        <v>483</v>
      </c>
      <c r="D53" s="3" t="s">
        <v>521</v>
      </c>
      <c r="E53" s="12" t="s">
        <v>121</v>
      </c>
      <c r="F53" s="12" t="s">
        <v>98</v>
      </c>
      <c r="G53" s="44">
        <v>0.5</v>
      </c>
      <c r="I53" s="58"/>
      <c r="J53" s="44">
        <v>0.5</v>
      </c>
      <c r="K53" s="44">
        <v>0.5</v>
      </c>
      <c r="M53" s="44">
        <v>0.5</v>
      </c>
      <c r="N53" s="44">
        <v>0.5</v>
      </c>
      <c r="O53" s="44">
        <v>0.5</v>
      </c>
      <c r="R53" s="44">
        <v>0.5</v>
      </c>
      <c r="S53" s="44">
        <v>0.5</v>
      </c>
      <c r="T53" s="44">
        <v>0.5</v>
      </c>
      <c r="U53" s="44">
        <v>0.5</v>
      </c>
      <c r="V53" s="44">
        <v>0.5</v>
      </c>
      <c r="W53" s="44">
        <v>0.5</v>
      </c>
      <c r="X53" s="44">
        <v>0.5</v>
      </c>
      <c r="Y53" s="44">
        <v>0.5</v>
      </c>
      <c r="Z53" s="44">
        <v>0.5</v>
      </c>
      <c r="AA53" s="44">
        <v>0.5</v>
      </c>
      <c r="AB53" s="44">
        <v>0.5</v>
      </c>
      <c r="AC53"/>
      <c r="AD53" s="44">
        <v>0.5</v>
      </c>
      <c r="AE53" s="44">
        <v>0.5</v>
      </c>
      <c r="AF53" s="44">
        <v>0.5</v>
      </c>
      <c r="AG53" s="44">
        <v>0.5</v>
      </c>
      <c r="AH53" s="44">
        <v>0.5</v>
      </c>
      <c r="AI53" s="44">
        <v>0.5</v>
      </c>
      <c r="AJ53" s="44">
        <v>0.5</v>
      </c>
      <c r="AK53"/>
      <c r="AL53" s="44">
        <v>0.5</v>
      </c>
      <c r="AM53" s="44">
        <v>0.5</v>
      </c>
      <c r="AN53" s="44">
        <v>0.5</v>
      </c>
      <c r="AO53" s="44">
        <v>0.5</v>
      </c>
      <c r="AP53"/>
      <c r="AQ53" s="44">
        <v>0.5</v>
      </c>
      <c r="AR53"/>
      <c r="AS53"/>
      <c r="AT53" s="44">
        <v>0.5</v>
      </c>
    </row>
    <row r="54" spans="1:46" x14ac:dyDescent="0.25">
      <c r="A54" s="11" t="s">
        <v>19</v>
      </c>
      <c r="B54" s="3" t="s">
        <v>473</v>
      </c>
      <c r="C54" s="3" t="s">
        <v>483</v>
      </c>
      <c r="D54" s="3" t="s">
        <v>521</v>
      </c>
      <c r="E54" s="12" t="s">
        <v>122</v>
      </c>
      <c r="F54" s="12" t="s">
        <v>98</v>
      </c>
      <c r="G54" s="44">
        <v>0.05</v>
      </c>
      <c r="I54" s="58"/>
      <c r="J54" s="44">
        <v>0.05</v>
      </c>
      <c r="K54" s="44">
        <v>0.05</v>
      </c>
      <c r="M54" s="44">
        <v>0.05</v>
      </c>
      <c r="N54" s="44">
        <v>0.05</v>
      </c>
      <c r="O54" s="44">
        <v>0.05</v>
      </c>
      <c r="R54" s="44">
        <v>0.05</v>
      </c>
      <c r="S54" s="44">
        <v>0.05</v>
      </c>
      <c r="T54" s="44">
        <v>0.05</v>
      </c>
      <c r="U54" s="44">
        <v>0.05</v>
      </c>
      <c r="V54" s="44">
        <v>0.05</v>
      </c>
      <c r="W54" s="44">
        <v>0.05</v>
      </c>
      <c r="X54" s="44">
        <v>0.05</v>
      </c>
      <c r="Y54" s="44">
        <v>0.05</v>
      </c>
      <c r="Z54" s="44">
        <v>0.05</v>
      </c>
      <c r="AA54" s="44">
        <v>0.05</v>
      </c>
      <c r="AB54" s="44">
        <v>0.05</v>
      </c>
      <c r="AC54"/>
      <c r="AD54" s="44">
        <v>0.05</v>
      </c>
      <c r="AE54" s="44">
        <v>0.05</v>
      </c>
      <c r="AF54" s="44">
        <v>0.05</v>
      </c>
      <c r="AG54" s="44">
        <v>0.05</v>
      </c>
      <c r="AH54" s="44">
        <v>0.05</v>
      </c>
      <c r="AI54" s="44">
        <v>0.05</v>
      </c>
      <c r="AJ54" s="44">
        <v>0.05</v>
      </c>
      <c r="AK54"/>
      <c r="AL54" s="44">
        <v>0.05</v>
      </c>
      <c r="AM54" s="44">
        <v>0.05</v>
      </c>
      <c r="AN54" s="44">
        <v>0.05</v>
      </c>
      <c r="AO54" s="44">
        <v>0.05</v>
      </c>
      <c r="AP54"/>
      <c r="AQ54" s="44">
        <v>0.05</v>
      </c>
      <c r="AR54"/>
      <c r="AS54"/>
      <c r="AT54" s="44">
        <v>0.05</v>
      </c>
    </row>
    <row r="55" spans="1:46" x14ac:dyDescent="0.25">
      <c r="A55" s="15" t="s">
        <v>36</v>
      </c>
      <c r="B55" s="3" t="s">
        <v>473</v>
      </c>
      <c r="C55" s="3" t="s">
        <v>483</v>
      </c>
      <c r="D55" s="3" t="s">
        <v>521</v>
      </c>
      <c r="E55" s="16" t="s">
        <v>148</v>
      </c>
      <c r="F55" s="16" t="s">
        <v>98</v>
      </c>
      <c r="G55" s="44">
        <v>1E-3</v>
      </c>
      <c r="I55" s="58"/>
      <c r="J55" s="44">
        <v>1E-3</v>
      </c>
      <c r="K55" s="44">
        <v>1E-3</v>
      </c>
      <c r="M55" s="44">
        <v>1E-3</v>
      </c>
      <c r="N55" s="44">
        <v>1E-3</v>
      </c>
      <c r="O55" s="44">
        <v>1E-3</v>
      </c>
      <c r="R55" s="44">
        <v>1E-3</v>
      </c>
      <c r="S55" s="44">
        <v>1E-3</v>
      </c>
      <c r="T55" s="44">
        <v>1E-3</v>
      </c>
      <c r="U55" s="44">
        <v>1E-3</v>
      </c>
      <c r="V55" s="44">
        <v>1E-3</v>
      </c>
      <c r="W55" s="44">
        <v>1E-3</v>
      </c>
      <c r="X55" s="44">
        <v>1E-3</v>
      </c>
      <c r="Y55" s="44">
        <v>1E-3</v>
      </c>
      <c r="Z55" s="44">
        <v>1E-3</v>
      </c>
      <c r="AA55" s="44">
        <v>1E-3</v>
      </c>
      <c r="AB55" s="44">
        <v>1E-3</v>
      </c>
      <c r="AC55"/>
      <c r="AD55" s="44">
        <v>1E-3</v>
      </c>
      <c r="AE55" s="44">
        <v>1E-3</v>
      </c>
      <c r="AF55" s="44">
        <v>1E-3</v>
      </c>
      <c r="AG55" s="44">
        <v>1E-3</v>
      </c>
      <c r="AH55" s="44">
        <v>1E-3</v>
      </c>
      <c r="AI55" s="44">
        <v>1E-3</v>
      </c>
      <c r="AJ55" s="44">
        <v>1E-3</v>
      </c>
      <c r="AK55"/>
      <c r="AL55" s="44">
        <v>1E-3</v>
      </c>
      <c r="AM55" s="44">
        <v>1E-3</v>
      </c>
      <c r="AN55" s="44">
        <v>1E-3</v>
      </c>
      <c r="AO55" s="44">
        <v>1E-3</v>
      </c>
      <c r="AP55"/>
      <c r="AQ55" s="44">
        <v>1E-3</v>
      </c>
      <c r="AR55"/>
      <c r="AS55"/>
      <c r="AT55" s="44">
        <v>1E-3</v>
      </c>
    </row>
    <row r="56" spans="1:46" x14ac:dyDescent="0.25">
      <c r="A56" s="15" t="s">
        <v>379</v>
      </c>
      <c r="B56" s="3" t="s">
        <v>473</v>
      </c>
      <c r="C56" s="3" t="s">
        <v>483</v>
      </c>
      <c r="D56" s="3" t="s">
        <v>521</v>
      </c>
      <c r="E56" s="16" t="s">
        <v>380</v>
      </c>
      <c r="F56" s="16" t="s">
        <v>98</v>
      </c>
      <c r="G56" s="44">
        <v>0</v>
      </c>
      <c r="I56" s="58"/>
      <c r="J56" s="44">
        <v>0</v>
      </c>
      <c r="K56" s="44">
        <v>0</v>
      </c>
      <c r="M56" s="44">
        <v>0</v>
      </c>
      <c r="N56" s="44">
        <v>0</v>
      </c>
      <c r="O56" s="44">
        <v>0</v>
      </c>
      <c r="R56" s="44">
        <v>0</v>
      </c>
      <c r="S56" s="44">
        <v>0</v>
      </c>
      <c r="T56" s="44">
        <v>0</v>
      </c>
      <c r="U56" s="44">
        <v>0</v>
      </c>
      <c r="V56" s="44">
        <v>0</v>
      </c>
      <c r="W56" s="44">
        <v>0</v>
      </c>
      <c r="X56" s="44">
        <v>0</v>
      </c>
      <c r="Y56" s="44">
        <v>0</v>
      </c>
      <c r="Z56" s="44">
        <v>0</v>
      </c>
      <c r="AA56" s="44">
        <v>0</v>
      </c>
      <c r="AB56" s="44">
        <v>0</v>
      </c>
      <c r="AC56"/>
      <c r="AD56" s="44">
        <v>0</v>
      </c>
      <c r="AE56" s="44">
        <v>0</v>
      </c>
      <c r="AF56" s="44">
        <v>0</v>
      </c>
      <c r="AG56" s="44">
        <v>0</v>
      </c>
      <c r="AH56" s="44">
        <v>0</v>
      </c>
      <c r="AI56" s="44">
        <v>0</v>
      </c>
      <c r="AJ56" s="44">
        <v>0</v>
      </c>
      <c r="AK56"/>
      <c r="AL56" s="44">
        <v>0</v>
      </c>
      <c r="AM56" s="44">
        <v>0</v>
      </c>
      <c r="AN56" s="44">
        <v>0</v>
      </c>
      <c r="AO56" s="44">
        <v>0</v>
      </c>
      <c r="AP56"/>
      <c r="AQ56" s="44">
        <v>0</v>
      </c>
      <c r="AR56"/>
      <c r="AS56"/>
      <c r="AT56" s="44">
        <v>0</v>
      </c>
    </row>
    <row r="57" spans="1:46" x14ac:dyDescent="0.25">
      <c r="A57" s="15" t="s">
        <v>37</v>
      </c>
      <c r="B57" s="3" t="s">
        <v>473</v>
      </c>
      <c r="C57" s="3" t="s">
        <v>483</v>
      </c>
      <c r="D57" s="3" t="s">
        <v>521</v>
      </c>
      <c r="E57" s="16" t="s">
        <v>149</v>
      </c>
      <c r="F57" s="16" t="s">
        <v>195</v>
      </c>
      <c r="G57" s="44">
        <v>1E-4</v>
      </c>
      <c r="I57" s="58"/>
      <c r="J57" s="44">
        <v>1E-4</v>
      </c>
      <c r="K57" s="44">
        <v>1E-4</v>
      </c>
      <c r="M57" s="44">
        <v>1E-4</v>
      </c>
      <c r="N57" s="44">
        <v>1E-4</v>
      </c>
      <c r="O57" s="44">
        <v>1E-4</v>
      </c>
      <c r="R57" s="44">
        <v>1E-4</v>
      </c>
      <c r="S57" s="44">
        <v>1E-4</v>
      </c>
      <c r="T57" s="44">
        <v>1E-4</v>
      </c>
      <c r="U57" s="44">
        <v>1E-4</v>
      </c>
      <c r="V57" s="44">
        <v>1E-4</v>
      </c>
      <c r="W57" s="44">
        <v>1E-4</v>
      </c>
      <c r="X57" s="44">
        <v>1E-4</v>
      </c>
      <c r="Y57" s="44">
        <v>1E-4</v>
      </c>
      <c r="Z57" s="44">
        <v>1E-4</v>
      </c>
      <c r="AA57" s="44">
        <v>1E-4</v>
      </c>
      <c r="AB57" s="44">
        <v>1E-4</v>
      </c>
      <c r="AC57"/>
      <c r="AD57" s="44">
        <v>1E-4</v>
      </c>
      <c r="AE57" s="44">
        <v>1E-4</v>
      </c>
      <c r="AF57" s="44">
        <v>1E-4</v>
      </c>
      <c r="AG57" s="44">
        <v>1E-4</v>
      </c>
      <c r="AH57" s="44">
        <v>1E-4</v>
      </c>
      <c r="AI57" s="44">
        <v>1E-4</v>
      </c>
      <c r="AJ57" s="44">
        <v>1E-4</v>
      </c>
      <c r="AK57"/>
      <c r="AL57" s="44">
        <v>1E-4</v>
      </c>
      <c r="AM57" s="44">
        <v>1E-4</v>
      </c>
      <c r="AN57" s="44">
        <v>1E-4</v>
      </c>
      <c r="AO57" s="44">
        <v>1E-4</v>
      </c>
      <c r="AP57"/>
      <c r="AQ57" s="44">
        <v>1E-4</v>
      </c>
      <c r="AR57"/>
      <c r="AS57"/>
      <c r="AT57" s="44">
        <v>1E-4</v>
      </c>
    </row>
    <row r="58" spans="1:46" x14ac:dyDescent="0.25">
      <c r="A58" s="15" t="s">
        <v>38</v>
      </c>
      <c r="B58" s="3" t="s">
        <v>473</v>
      </c>
      <c r="C58" s="3" t="s">
        <v>483</v>
      </c>
      <c r="D58" s="3" t="s">
        <v>521</v>
      </c>
      <c r="E58" s="16" t="s">
        <v>150</v>
      </c>
      <c r="F58" s="16" t="s">
        <v>195</v>
      </c>
      <c r="G58" s="44">
        <v>1E-4</v>
      </c>
      <c r="I58" s="58"/>
      <c r="J58" s="44">
        <v>1E-4</v>
      </c>
      <c r="K58" s="44">
        <v>1E-4</v>
      </c>
      <c r="M58" s="44">
        <v>1E-4</v>
      </c>
      <c r="N58" s="44">
        <v>1E-4</v>
      </c>
      <c r="O58" s="44">
        <v>1E-4</v>
      </c>
      <c r="R58" s="44">
        <v>1E-4</v>
      </c>
      <c r="S58" s="44">
        <v>1E-4</v>
      </c>
      <c r="T58" s="44">
        <v>1E-4</v>
      </c>
      <c r="U58" s="44">
        <v>1E-4</v>
      </c>
      <c r="V58" s="44">
        <v>1E-4</v>
      </c>
      <c r="W58" s="44">
        <v>1E-4</v>
      </c>
      <c r="X58" s="44">
        <v>1E-4</v>
      </c>
      <c r="Y58" s="44">
        <v>1E-4</v>
      </c>
      <c r="Z58" s="44">
        <v>1E-4</v>
      </c>
      <c r="AA58" s="44">
        <v>1E-4</v>
      </c>
      <c r="AB58" s="44">
        <v>1E-4</v>
      </c>
      <c r="AC58"/>
      <c r="AD58" s="44">
        <v>1E-4</v>
      </c>
      <c r="AE58" s="44">
        <v>1E-4</v>
      </c>
      <c r="AF58" s="44">
        <v>1E-4</v>
      </c>
      <c r="AG58" s="44">
        <v>1E-4</v>
      </c>
      <c r="AH58" s="44">
        <v>1E-4</v>
      </c>
      <c r="AI58" s="44">
        <v>1E-4</v>
      </c>
      <c r="AJ58" s="44">
        <v>1E-4</v>
      </c>
      <c r="AK58"/>
      <c r="AL58" s="44">
        <v>1E-4</v>
      </c>
      <c r="AM58" s="44">
        <v>1E-4</v>
      </c>
      <c r="AN58" s="44">
        <v>1E-4</v>
      </c>
      <c r="AO58" s="44">
        <v>1E-4</v>
      </c>
      <c r="AP58"/>
      <c r="AQ58" s="44">
        <v>1E-4</v>
      </c>
      <c r="AR58"/>
      <c r="AS58"/>
      <c r="AT58" s="44">
        <v>1E-4</v>
      </c>
    </row>
    <row r="59" spans="1:46" x14ac:dyDescent="0.25">
      <c r="A59" s="17" t="s">
        <v>39</v>
      </c>
      <c r="B59" s="3" t="s">
        <v>473</v>
      </c>
      <c r="C59" s="3" t="s">
        <v>483</v>
      </c>
      <c r="D59" s="3" t="s">
        <v>521</v>
      </c>
      <c r="E59" s="18" t="s">
        <v>151</v>
      </c>
      <c r="F59" s="18" t="s">
        <v>98</v>
      </c>
      <c r="G59" s="44">
        <v>6.9999999999999999E-4</v>
      </c>
      <c r="I59" s="58"/>
      <c r="J59" s="44">
        <v>6.9999999999999999E-4</v>
      </c>
      <c r="K59" s="44">
        <v>6.9999999999999999E-4</v>
      </c>
      <c r="M59" s="44">
        <v>6.9999999999999999E-4</v>
      </c>
      <c r="N59" s="44">
        <v>6.9999999999999999E-4</v>
      </c>
      <c r="O59" s="44">
        <v>6.9999999999999999E-4</v>
      </c>
      <c r="R59" s="44">
        <v>6.9999999999999999E-4</v>
      </c>
      <c r="S59" s="44">
        <v>6.9999999999999999E-4</v>
      </c>
      <c r="T59" s="44">
        <v>6.9999999999999999E-4</v>
      </c>
      <c r="U59" s="44">
        <v>6.9999999999999999E-4</v>
      </c>
      <c r="V59" s="44">
        <v>6.9999999999999999E-4</v>
      </c>
      <c r="W59" s="44">
        <v>6.9999999999999999E-4</v>
      </c>
      <c r="X59" s="44">
        <v>6.9999999999999999E-4</v>
      </c>
      <c r="Y59" s="44">
        <v>6.9999999999999999E-4</v>
      </c>
      <c r="Z59" s="44">
        <v>6.9999999999999999E-4</v>
      </c>
      <c r="AA59" s="44">
        <v>6.9999999999999999E-4</v>
      </c>
      <c r="AB59" s="44">
        <v>6.9999999999999999E-4</v>
      </c>
      <c r="AC59"/>
      <c r="AD59" s="44">
        <v>6.9999999999999999E-4</v>
      </c>
      <c r="AE59" s="44">
        <v>6.9999999999999999E-4</v>
      </c>
      <c r="AF59" s="44">
        <v>6.9999999999999999E-4</v>
      </c>
      <c r="AG59" s="44">
        <v>6.9999999999999999E-4</v>
      </c>
      <c r="AH59" s="44">
        <v>6.9999999999999999E-4</v>
      </c>
      <c r="AI59" s="44">
        <v>6.9999999999999999E-4</v>
      </c>
      <c r="AJ59" s="44">
        <v>6.9999999999999999E-4</v>
      </c>
      <c r="AK59"/>
      <c r="AL59" s="44">
        <v>6.9999999999999999E-4</v>
      </c>
      <c r="AM59" s="44">
        <v>6.9999999999999999E-4</v>
      </c>
      <c r="AN59" s="44">
        <v>6.9999999999999999E-4</v>
      </c>
      <c r="AO59" s="44">
        <v>6.9999999999999999E-4</v>
      </c>
      <c r="AP59"/>
      <c r="AQ59" s="44">
        <v>6.9999999999999999E-4</v>
      </c>
      <c r="AR59"/>
      <c r="AS59"/>
      <c r="AT59" s="44">
        <v>6.9999999999999999E-4</v>
      </c>
    </row>
    <row r="60" spans="1:46" x14ac:dyDescent="0.25">
      <c r="A60" s="17" t="s">
        <v>40</v>
      </c>
      <c r="B60" s="3" t="s">
        <v>473</v>
      </c>
      <c r="C60" s="3" t="s">
        <v>483</v>
      </c>
      <c r="D60" s="3" t="s">
        <v>521</v>
      </c>
      <c r="E60" s="18" t="s">
        <v>152</v>
      </c>
      <c r="F60" s="18" t="s">
        <v>98</v>
      </c>
      <c r="G60" s="44">
        <v>1.22E-4</v>
      </c>
      <c r="I60" s="58"/>
      <c r="J60" s="44">
        <v>1.22E-4</v>
      </c>
      <c r="K60" s="44">
        <v>1.22E-4</v>
      </c>
      <c r="M60" s="44">
        <v>1.22E-4</v>
      </c>
      <c r="N60" s="44">
        <v>1.22E-4</v>
      </c>
      <c r="O60" s="44">
        <v>1.22E-4</v>
      </c>
      <c r="R60" s="44">
        <v>1.22E-4</v>
      </c>
      <c r="S60" s="44">
        <v>1.22E-4</v>
      </c>
      <c r="T60" s="44">
        <v>1.22E-4</v>
      </c>
      <c r="U60" s="44">
        <v>1.22E-4</v>
      </c>
      <c r="V60" s="44">
        <v>1.22E-4</v>
      </c>
      <c r="W60" s="44">
        <v>1.22E-4</v>
      </c>
      <c r="X60" s="44">
        <v>1.22E-4</v>
      </c>
      <c r="Y60" s="44">
        <v>1.22E-4</v>
      </c>
      <c r="Z60" s="44">
        <v>1.22E-4</v>
      </c>
      <c r="AA60" s="44">
        <v>1.22E-4</v>
      </c>
      <c r="AB60" s="44">
        <v>1.22E-4</v>
      </c>
      <c r="AC60"/>
      <c r="AD60" s="44">
        <v>1.22E-4</v>
      </c>
      <c r="AE60" s="44">
        <v>1.22E-4</v>
      </c>
      <c r="AF60" s="44">
        <v>1.22E-4</v>
      </c>
      <c r="AG60" s="44">
        <v>1.22E-4</v>
      </c>
      <c r="AH60" s="44">
        <v>1.22E-4</v>
      </c>
      <c r="AI60" s="44">
        <v>1.22E-4</v>
      </c>
      <c r="AJ60" s="44">
        <v>1.22E-4</v>
      </c>
      <c r="AK60"/>
      <c r="AL60" s="44">
        <v>1.22E-4</v>
      </c>
      <c r="AM60" s="44">
        <v>1.22E-4</v>
      </c>
      <c r="AN60" s="44">
        <v>1.22E-4</v>
      </c>
      <c r="AO60" s="44">
        <v>1.22E-4</v>
      </c>
      <c r="AP60"/>
      <c r="AQ60" s="44">
        <v>1.22E-4</v>
      </c>
      <c r="AR60"/>
      <c r="AS60"/>
      <c r="AT60" s="44">
        <v>1.22E-4</v>
      </c>
    </row>
    <row r="61" spans="1:46" x14ac:dyDescent="0.25">
      <c r="A61" s="17" t="s">
        <v>206</v>
      </c>
      <c r="B61" s="3" t="s">
        <v>473</v>
      </c>
      <c r="C61" s="3" t="s">
        <v>483</v>
      </c>
      <c r="D61" s="3" t="s">
        <v>521</v>
      </c>
      <c r="E61" s="18" t="s">
        <v>284</v>
      </c>
      <c r="F61" s="18" t="s">
        <v>98</v>
      </c>
      <c r="G61" s="44">
        <v>1</v>
      </c>
      <c r="I61" s="58"/>
      <c r="J61" s="44">
        <v>1</v>
      </c>
      <c r="K61" s="44">
        <v>1</v>
      </c>
      <c r="M61" s="44">
        <v>1</v>
      </c>
      <c r="N61" s="44">
        <v>1</v>
      </c>
      <c r="O61" s="44">
        <v>1</v>
      </c>
      <c r="R61" s="44">
        <v>1</v>
      </c>
      <c r="S61" s="44">
        <v>1</v>
      </c>
      <c r="T61" s="44">
        <v>1</v>
      </c>
      <c r="U61" s="44">
        <v>1</v>
      </c>
      <c r="V61" s="44">
        <v>1</v>
      </c>
      <c r="W61" s="44">
        <v>1</v>
      </c>
      <c r="X61" s="44">
        <v>1</v>
      </c>
      <c r="Y61" s="44">
        <v>1</v>
      </c>
      <c r="Z61" s="44">
        <v>1</v>
      </c>
      <c r="AA61" s="44">
        <v>1</v>
      </c>
      <c r="AB61" s="44">
        <v>1</v>
      </c>
      <c r="AC61"/>
      <c r="AD61" s="44">
        <v>1</v>
      </c>
      <c r="AE61" s="44">
        <v>1</v>
      </c>
      <c r="AF61" s="44">
        <v>1</v>
      </c>
      <c r="AG61" s="44">
        <v>1</v>
      </c>
      <c r="AH61" s="44">
        <v>1</v>
      </c>
      <c r="AI61" s="44">
        <v>1</v>
      </c>
      <c r="AJ61" s="44">
        <v>1</v>
      </c>
      <c r="AK61"/>
      <c r="AL61" s="44">
        <v>1</v>
      </c>
      <c r="AM61" s="44">
        <v>1</v>
      </c>
      <c r="AN61" s="44">
        <v>1</v>
      </c>
      <c r="AO61" s="44">
        <v>1</v>
      </c>
      <c r="AP61"/>
      <c r="AQ61" s="44">
        <v>1</v>
      </c>
      <c r="AR61"/>
      <c r="AS61"/>
      <c r="AT61" s="44">
        <v>1</v>
      </c>
    </row>
    <row r="62" spans="1:46" x14ac:dyDescent="0.25">
      <c r="A62" s="17" t="s">
        <v>41</v>
      </c>
      <c r="B62" s="3" t="s">
        <v>473</v>
      </c>
      <c r="C62" s="3" t="s">
        <v>483</v>
      </c>
      <c r="D62" s="3" t="s">
        <v>521</v>
      </c>
      <c r="E62" s="18" t="s">
        <v>155</v>
      </c>
      <c r="F62" s="18" t="s">
        <v>102</v>
      </c>
      <c r="G62" s="44">
        <v>0.95</v>
      </c>
      <c r="I62" s="58"/>
      <c r="J62" s="44">
        <v>0.95</v>
      </c>
      <c r="K62" s="44">
        <v>0.95</v>
      </c>
      <c r="M62" s="44">
        <v>0.95</v>
      </c>
      <c r="N62" s="44">
        <v>0.95</v>
      </c>
      <c r="O62" s="44">
        <v>0.95</v>
      </c>
      <c r="R62" s="44">
        <v>0.95</v>
      </c>
      <c r="S62" s="44">
        <v>0.95</v>
      </c>
      <c r="T62" s="44">
        <v>0.95</v>
      </c>
      <c r="U62" s="44">
        <v>0.95</v>
      </c>
      <c r="V62" s="44">
        <v>0.95</v>
      </c>
      <c r="W62" s="44">
        <v>0.95</v>
      </c>
      <c r="X62" s="44">
        <v>0.95</v>
      </c>
      <c r="Y62" s="44">
        <v>0.95</v>
      </c>
      <c r="Z62" s="44">
        <v>0.95</v>
      </c>
      <c r="AA62" s="44">
        <v>0.95</v>
      </c>
      <c r="AB62" s="44">
        <v>0.95</v>
      </c>
      <c r="AC62"/>
      <c r="AD62" s="44">
        <v>0.95</v>
      </c>
      <c r="AE62" s="44">
        <v>0.95</v>
      </c>
      <c r="AF62" s="44">
        <v>0.95</v>
      </c>
      <c r="AG62" s="44">
        <v>0.95</v>
      </c>
      <c r="AH62" s="44">
        <v>0.95</v>
      </c>
      <c r="AI62" s="44">
        <v>0.95</v>
      </c>
      <c r="AJ62" s="44">
        <v>0.95</v>
      </c>
      <c r="AK62"/>
      <c r="AL62" s="44">
        <v>0.95</v>
      </c>
      <c r="AM62" s="44">
        <v>0.95</v>
      </c>
      <c r="AN62" s="44">
        <v>0.95</v>
      </c>
      <c r="AO62" s="44">
        <v>0.95</v>
      </c>
      <c r="AP62"/>
      <c r="AQ62" s="44">
        <v>0.95</v>
      </c>
      <c r="AR62"/>
      <c r="AS62"/>
      <c r="AT62" s="44">
        <v>0.95</v>
      </c>
    </row>
    <row r="63" spans="1:46" x14ac:dyDescent="0.25">
      <c r="A63" s="17" t="s">
        <v>406</v>
      </c>
      <c r="B63" s="3" t="s">
        <v>473</v>
      </c>
      <c r="C63" s="3" t="s">
        <v>483</v>
      </c>
      <c r="D63" s="3" t="s">
        <v>521</v>
      </c>
      <c r="E63" s="18" t="s">
        <v>407</v>
      </c>
      <c r="F63" s="18" t="s">
        <v>94</v>
      </c>
      <c r="G63" s="44" t="s">
        <v>87</v>
      </c>
      <c r="I63" s="58"/>
      <c r="J63" s="44" t="s">
        <v>87</v>
      </c>
      <c r="K63" s="44" t="s">
        <v>87</v>
      </c>
      <c r="M63" s="44" t="s">
        <v>87</v>
      </c>
      <c r="N63" s="44" t="s">
        <v>87</v>
      </c>
      <c r="O63" s="44" t="s">
        <v>87</v>
      </c>
      <c r="R63" s="44" t="s">
        <v>87</v>
      </c>
      <c r="S63" s="44" t="s">
        <v>87</v>
      </c>
      <c r="T63" s="44" t="s">
        <v>87</v>
      </c>
      <c r="U63" s="44" t="s">
        <v>87</v>
      </c>
      <c r="V63" s="44" t="s">
        <v>87</v>
      </c>
      <c r="W63" s="44" t="s">
        <v>87</v>
      </c>
      <c r="X63" s="44" t="s">
        <v>87</v>
      </c>
      <c r="Y63" s="44" t="s">
        <v>87</v>
      </c>
      <c r="Z63" s="44" t="s">
        <v>87</v>
      </c>
      <c r="AA63" s="44" t="s">
        <v>87</v>
      </c>
      <c r="AB63" s="44" t="s">
        <v>87</v>
      </c>
      <c r="AC63"/>
      <c r="AD63" s="44" t="s">
        <v>87</v>
      </c>
      <c r="AE63" s="44" t="s">
        <v>87</v>
      </c>
      <c r="AF63" s="44" t="s">
        <v>87</v>
      </c>
      <c r="AG63" s="44" t="s">
        <v>87</v>
      </c>
      <c r="AH63" s="44" t="s">
        <v>87</v>
      </c>
      <c r="AI63" s="44" t="s">
        <v>87</v>
      </c>
      <c r="AJ63" s="44" t="s">
        <v>87</v>
      </c>
      <c r="AK63"/>
      <c r="AL63" s="44" t="s">
        <v>87</v>
      </c>
      <c r="AM63" s="44" t="s">
        <v>87</v>
      </c>
      <c r="AN63" s="44" t="s">
        <v>87</v>
      </c>
      <c r="AO63" s="44" t="s">
        <v>87</v>
      </c>
      <c r="AP63"/>
      <c r="AQ63" s="44" t="s">
        <v>87</v>
      </c>
      <c r="AR63"/>
      <c r="AS63"/>
      <c r="AT63" s="44" t="s">
        <v>87</v>
      </c>
    </row>
    <row r="64" spans="1:46" x14ac:dyDescent="0.25">
      <c r="A64" s="17" t="s">
        <v>90</v>
      </c>
      <c r="B64" s="3" t="s">
        <v>473</v>
      </c>
      <c r="C64" s="3" t="s">
        <v>483</v>
      </c>
      <c r="D64" s="3" t="s">
        <v>521</v>
      </c>
      <c r="E64" s="18" t="s">
        <v>153</v>
      </c>
      <c r="F64" s="18" t="s">
        <v>103</v>
      </c>
      <c r="G64" s="44">
        <v>5</v>
      </c>
      <c r="I64" s="58"/>
      <c r="J64" s="44">
        <v>5</v>
      </c>
      <c r="K64" s="44">
        <v>5</v>
      </c>
      <c r="M64" s="44">
        <v>5</v>
      </c>
      <c r="N64" s="44">
        <v>5</v>
      </c>
      <c r="O64" s="44">
        <v>5</v>
      </c>
      <c r="R64" s="44">
        <v>5</v>
      </c>
      <c r="S64" s="44">
        <v>5</v>
      </c>
      <c r="T64" s="44">
        <v>5</v>
      </c>
      <c r="U64" s="44">
        <v>5</v>
      </c>
      <c r="V64" s="44">
        <v>5</v>
      </c>
      <c r="W64" s="44">
        <v>5</v>
      </c>
      <c r="X64" s="44">
        <v>5</v>
      </c>
      <c r="Y64" s="44">
        <v>5</v>
      </c>
      <c r="Z64" s="44">
        <v>5</v>
      </c>
      <c r="AA64" s="44">
        <v>5</v>
      </c>
      <c r="AB64" s="44">
        <v>5</v>
      </c>
      <c r="AC64"/>
      <c r="AD64" s="44">
        <v>5</v>
      </c>
      <c r="AE64" s="44">
        <v>5</v>
      </c>
      <c r="AF64" s="44">
        <v>5</v>
      </c>
      <c r="AG64" s="44">
        <v>5</v>
      </c>
      <c r="AH64" s="44">
        <v>5</v>
      </c>
      <c r="AI64" s="44">
        <v>5</v>
      </c>
      <c r="AJ64" s="44">
        <v>5</v>
      </c>
      <c r="AK64"/>
      <c r="AL64" s="44">
        <v>5</v>
      </c>
      <c r="AM64" s="44">
        <v>5</v>
      </c>
      <c r="AN64" s="44">
        <v>5</v>
      </c>
      <c r="AO64" s="44">
        <v>5</v>
      </c>
      <c r="AP64"/>
      <c r="AQ64" s="44">
        <v>5</v>
      </c>
      <c r="AR64"/>
      <c r="AS64"/>
      <c r="AT64" s="44">
        <v>5</v>
      </c>
    </row>
    <row r="65" spans="1:46" x14ac:dyDescent="0.25">
      <c r="A65" s="17" t="s">
        <v>408</v>
      </c>
      <c r="B65" s="3" t="s">
        <v>473</v>
      </c>
      <c r="C65" s="3" t="s">
        <v>483</v>
      </c>
      <c r="D65" s="3" t="s">
        <v>521</v>
      </c>
      <c r="E65" s="18" t="s">
        <v>409</v>
      </c>
      <c r="F65" s="18" t="s">
        <v>94</v>
      </c>
      <c r="G65" s="44" t="s">
        <v>87</v>
      </c>
      <c r="I65" s="58"/>
      <c r="J65" s="44" t="s">
        <v>87</v>
      </c>
      <c r="K65" s="44" t="s">
        <v>87</v>
      </c>
      <c r="M65" s="44" t="s">
        <v>87</v>
      </c>
      <c r="N65" s="44" t="s">
        <v>87</v>
      </c>
      <c r="O65" s="44" t="s">
        <v>87</v>
      </c>
      <c r="R65" s="44" t="s">
        <v>87</v>
      </c>
      <c r="S65" s="44" t="s">
        <v>87</v>
      </c>
      <c r="T65" s="44" t="s">
        <v>87</v>
      </c>
      <c r="U65" s="44" t="s">
        <v>87</v>
      </c>
      <c r="V65" s="44" t="s">
        <v>87</v>
      </c>
      <c r="W65" s="44" t="s">
        <v>87</v>
      </c>
      <c r="X65" s="44" t="s">
        <v>87</v>
      </c>
      <c r="Y65" s="44" t="s">
        <v>87</v>
      </c>
      <c r="Z65" s="44" t="s">
        <v>87</v>
      </c>
      <c r="AA65" s="44" t="s">
        <v>87</v>
      </c>
      <c r="AB65" s="44" t="s">
        <v>87</v>
      </c>
      <c r="AC65"/>
      <c r="AD65" s="44" t="s">
        <v>87</v>
      </c>
      <c r="AE65" s="44" t="s">
        <v>87</v>
      </c>
      <c r="AF65" s="44" t="s">
        <v>87</v>
      </c>
      <c r="AG65" s="44" t="s">
        <v>87</v>
      </c>
      <c r="AH65" s="44" t="s">
        <v>87</v>
      </c>
      <c r="AI65" s="44" t="s">
        <v>87</v>
      </c>
      <c r="AJ65" s="44" t="s">
        <v>87</v>
      </c>
      <c r="AK65"/>
      <c r="AL65" s="44" t="s">
        <v>87</v>
      </c>
      <c r="AM65" s="44" t="s">
        <v>87</v>
      </c>
      <c r="AN65" s="44" t="s">
        <v>87</v>
      </c>
      <c r="AO65" s="44" t="s">
        <v>87</v>
      </c>
      <c r="AP65"/>
      <c r="AQ65" s="44" t="s">
        <v>87</v>
      </c>
      <c r="AR65"/>
      <c r="AS65"/>
      <c r="AT65" s="44" t="s">
        <v>87</v>
      </c>
    </row>
    <row r="66" spans="1:46" x14ac:dyDescent="0.25">
      <c r="A66" s="17" t="s">
        <v>42</v>
      </c>
      <c r="B66" s="3" t="s">
        <v>473</v>
      </c>
      <c r="C66" s="3" t="s">
        <v>483</v>
      </c>
      <c r="D66" s="3" t="s">
        <v>521</v>
      </c>
      <c r="E66" s="18" t="s">
        <v>154</v>
      </c>
      <c r="F66" s="18" t="s">
        <v>103</v>
      </c>
      <c r="G66" s="44">
        <v>50</v>
      </c>
      <c r="I66" s="58"/>
      <c r="J66" s="44">
        <v>50</v>
      </c>
      <c r="K66" s="44">
        <v>50</v>
      </c>
      <c r="M66" s="44">
        <v>50</v>
      </c>
      <c r="N66" s="44">
        <v>50</v>
      </c>
      <c r="O66" s="44">
        <v>50</v>
      </c>
      <c r="R66" s="44">
        <v>50</v>
      </c>
      <c r="S66" s="44">
        <v>50</v>
      </c>
      <c r="T66" s="44">
        <v>50</v>
      </c>
      <c r="U66" s="44">
        <v>50</v>
      </c>
      <c r="V66" s="44">
        <v>50</v>
      </c>
      <c r="W66" s="44">
        <v>50</v>
      </c>
      <c r="X66" s="44">
        <v>50</v>
      </c>
      <c r="Y66" s="44">
        <v>50</v>
      </c>
      <c r="Z66" s="44">
        <v>50</v>
      </c>
      <c r="AA66" s="44">
        <v>50</v>
      </c>
      <c r="AB66" s="44">
        <v>50</v>
      </c>
      <c r="AC66"/>
      <c r="AD66" s="44">
        <v>50</v>
      </c>
      <c r="AE66" s="44">
        <v>50</v>
      </c>
      <c r="AF66" s="44">
        <v>50</v>
      </c>
      <c r="AG66" s="44">
        <v>50</v>
      </c>
      <c r="AH66" s="44">
        <v>50</v>
      </c>
      <c r="AI66" s="44">
        <v>50</v>
      </c>
      <c r="AJ66" s="44">
        <v>50</v>
      </c>
      <c r="AK66"/>
      <c r="AL66" s="44">
        <v>50</v>
      </c>
      <c r="AM66" s="44">
        <v>50</v>
      </c>
      <c r="AN66" s="44">
        <v>50</v>
      </c>
      <c r="AO66" s="44">
        <v>50</v>
      </c>
      <c r="AP66"/>
      <c r="AQ66" s="44">
        <v>50</v>
      </c>
      <c r="AR66"/>
      <c r="AS66"/>
      <c r="AT66" s="44">
        <v>50</v>
      </c>
    </row>
    <row r="67" spans="1:46" x14ac:dyDescent="0.25">
      <c r="A67" s="17" t="s">
        <v>207</v>
      </c>
      <c r="B67" s="3" t="s">
        <v>473</v>
      </c>
      <c r="C67" s="3" t="s">
        <v>483</v>
      </c>
      <c r="D67" s="3" t="s">
        <v>521</v>
      </c>
      <c r="E67" s="18" t="s">
        <v>288</v>
      </c>
      <c r="F67" s="18" t="s">
        <v>106</v>
      </c>
      <c r="G67" s="44">
        <v>1453890.8941884842</v>
      </c>
      <c r="I67" s="58"/>
      <c r="J67" s="44">
        <v>1453890.8941884842</v>
      </c>
      <c r="K67" s="44">
        <v>1453890.8941884842</v>
      </c>
      <c r="M67" s="44">
        <v>1453890.8941884842</v>
      </c>
      <c r="N67" s="44">
        <v>1453890.8941884842</v>
      </c>
      <c r="O67" s="44">
        <v>1453890.8941884842</v>
      </c>
      <c r="R67" s="44">
        <v>1453890.8941884842</v>
      </c>
      <c r="S67" s="44">
        <v>1453890.8941884842</v>
      </c>
      <c r="T67" s="44">
        <v>1453890.8941884842</v>
      </c>
      <c r="U67" s="44">
        <v>1453890.8941884842</v>
      </c>
      <c r="V67" s="44">
        <v>1453890.8941884842</v>
      </c>
      <c r="W67" s="44">
        <v>1453890.8941884842</v>
      </c>
      <c r="X67" s="44">
        <v>1453890.8941884842</v>
      </c>
      <c r="Y67" s="44">
        <v>1453890.8941884842</v>
      </c>
      <c r="Z67" s="44">
        <v>1453890.8941884842</v>
      </c>
      <c r="AA67" s="44">
        <v>1453890.8941884842</v>
      </c>
      <c r="AB67" s="44">
        <v>1453890.8941884842</v>
      </c>
      <c r="AC67"/>
      <c r="AD67" s="44">
        <v>1453890.8941884842</v>
      </c>
      <c r="AE67" s="44">
        <v>1453890.8941884842</v>
      </c>
      <c r="AF67" s="44">
        <v>1453890.8941884842</v>
      </c>
      <c r="AG67" s="44">
        <v>1453890.8941884842</v>
      </c>
      <c r="AH67" s="44">
        <v>1453890.8941884842</v>
      </c>
      <c r="AI67" s="44">
        <v>1453890.8941884842</v>
      </c>
      <c r="AJ67" s="44">
        <v>1453890.8941884842</v>
      </c>
      <c r="AK67"/>
      <c r="AL67" s="44">
        <v>1453890.8941884842</v>
      </c>
      <c r="AM67" s="44">
        <v>1453890.8941884842</v>
      </c>
      <c r="AN67" s="44">
        <v>1453890.8941884842</v>
      </c>
      <c r="AO67" s="44">
        <v>1453890.8941884842</v>
      </c>
      <c r="AP67"/>
      <c r="AQ67" s="44">
        <v>1453890.8941884842</v>
      </c>
      <c r="AR67"/>
      <c r="AS67"/>
      <c r="AT67" s="44">
        <v>1453890.8941884842</v>
      </c>
    </row>
    <row r="68" spans="1:46" x14ac:dyDescent="0.25">
      <c r="A68" s="17" t="s">
        <v>43</v>
      </c>
      <c r="B68" s="3" t="s">
        <v>473</v>
      </c>
      <c r="C68" s="3" t="s">
        <v>483</v>
      </c>
      <c r="D68" s="3" t="s">
        <v>521</v>
      </c>
      <c r="E68" s="18" t="s">
        <v>381</v>
      </c>
      <c r="F68" s="18" t="s">
        <v>104</v>
      </c>
      <c r="G68" s="44">
        <v>1.3888888888888888E-5</v>
      </c>
      <c r="I68" s="58"/>
      <c r="J68" s="44">
        <v>1.3888888888888888E-5</v>
      </c>
      <c r="K68" s="44">
        <v>1.3888888888888888E-5</v>
      </c>
      <c r="M68" s="44">
        <v>1.3888888888888888E-5</v>
      </c>
      <c r="N68" s="44">
        <v>1.3888888888888888E-5</v>
      </c>
      <c r="O68" s="44">
        <v>1.3888888888888888E-5</v>
      </c>
      <c r="R68" s="44">
        <v>1.3888888888888888E-5</v>
      </c>
      <c r="S68" s="44">
        <v>1.3888888888888888E-5</v>
      </c>
      <c r="T68" s="44">
        <v>1.3888888888888888E-5</v>
      </c>
      <c r="U68" s="44">
        <v>1.3888888888888888E-5</v>
      </c>
      <c r="V68" s="44">
        <v>1.3888888888888888E-5</v>
      </c>
      <c r="W68" s="44">
        <v>1.3888888888888888E-5</v>
      </c>
      <c r="X68" s="44">
        <v>1.3888888888888888E-5</v>
      </c>
      <c r="Y68" s="44">
        <v>1.3888888888888888E-5</v>
      </c>
      <c r="Z68" s="44">
        <v>1.3888888888888888E-5</v>
      </c>
      <c r="AA68" s="44">
        <v>1.3888888888888888E-5</v>
      </c>
      <c r="AB68" s="44">
        <v>1.3888888888888888E-5</v>
      </c>
      <c r="AC68"/>
      <c r="AD68" s="44">
        <v>1.3888888888888888E-5</v>
      </c>
      <c r="AE68" s="44">
        <v>1.3888888888888888E-5</v>
      </c>
      <c r="AF68" s="44">
        <v>1.3888888888888888E-5</v>
      </c>
      <c r="AG68" s="44">
        <v>1.3888888888888888E-5</v>
      </c>
      <c r="AH68" s="44">
        <v>1.3888888888888888E-5</v>
      </c>
      <c r="AI68" s="44">
        <v>1.3888888888888888E-5</v>
      </c>
      <c r="AJ68" s="44">
        <v>1.3888888888888888E-5</v>
      </c>
      <c r="AK68"/>
      <c r="AL68" s="44">
        <v>1.3888888888888888E-5</v>
      </c>
      <c r="AM68" s="44">
        <v>1.3888888888888888E-5</v>
      </c>
      <c r="AN68" s="44">
        <v>1.3888888888888888E-5</v>
      </c>
      <c r="AO68" s="44">
        <v>1.3888888888888888E-5</v>
      </c>
      <c r="AP68"/>
      <c r="AQ68" s="44">
        <v>1.3888888888888888E-5</v>
      </c>
      <c r="AR68"/>
      <c r="AS68"/>
      <c r="AT68" s="44">
        <v>1.3888888888888888E-5</v>
      </c>
    </row>
    <row r="69" spans="1:46" x14ac:dyDescent="0.25">
      <c r="A69" s="17" t="s">
        <v>44</v>
      </c>
      <c r="B69" s="3" t="s">
        <v>473</v>
      </c>
      <c r="C69" s="3" t="s">
        <v>483</v>
      </c>
      <c r="D69" s="3" t="s">
        <v>521</v>
      </c>
      <c r="E69" s="18" t="s">
        <v>156</v>
      </c>
      <c r="F69" s="18" t="s">
        <v>105</v>
      </c>
      <c r="G69" s="44">
        <v>4.5763888888888888E-4</v>
      </c>
      <c r="I69" s="58"/>
      <c r="J69" s="44">
        <v>6.5011574074074071E-4</v>
      </c>
      <c r="K69" s="44">
        <v>6.5011574074074071E-4</v>
      </c>
      <c r="M69" s="44">
        <v>6.5011574074074071E-4</v>
      </c>
      <c r="N69" s="44">
        <v>6.5011574074074071E-4</v>
      </c>
      <c r="O69" s="44">
        <v>6.5011574074074071E-4</v>
      </c>
      <c r="R69" s="44">
        <v>6.5011574074074071E-4</v>
      </c>
      <c r="S69" s="44">
        <v>6.5011574074074071E-4</v>
      </c>
      <c r="T69" s="44">
        <v>6.5011574074074071E-4</v>
      </c>
      <c r="U69" s="44">
        <v>6.5011574074074071E-4</v>
      </c>
      <c r="V69" s="44">
        <v>6.5011574074074071E-4</v>
      </c>
      <c r="W69" s="44">
        <v>6.5011574074074071E-4</v>
      </c>
      <c r="X69" s="44">
        <v>6.5011574074074071E-4</v>
      </c>
      <c r="Y69" s="44">
        <v>6.5011574074074071E-4</v>
      </c>
      <c r="Z69" s="44">
        <v>6.5011574074074071E-4</v>
      </c>
      <c r="AA69" s="44">
        <v>6.5011574074074071E-4</v>
      </c>
      <c r="AB69" s="44">
        <v>6.5011574074074071E-4</v>
      </c>
      <c r="AC69"/>
      <c r="AD69" s="44">
        <v>6.5011574074074071E-4</v>
      </c>
      <c r="AE69" s="44">
        <v>6.5011574074074071E-4</v>
      </c>
      <c r="AF69" s="44">
        <v>6.5011574074074071E-4</v>
      </c>
      <c r="AG69" s="44">
        <v>6.5011574074074071E-4</v>
      </c>
      <c r="AH69" s="44">
        <v>6.5011574074074071E-4</v>
      </c>
      <c r="AI69" s="44">
        <v>6.5011574074074071E-4</v>
      </c>
      <c r="AJ69" s="44">
        <v>6.5011574074074071E-4</v>
      </c>
      <c r="AK69"/>
      <c r="AL69" s="44">
        <v>6.5011574074074071E-4</v>
      </c>
      <c r="AM69" s="44">
        <v>6.5011574074074071E-4</v>
      </c>
      <c r="AN69" s="44">
        <v>6.5011574074074071E-4</v>
      </c>
      <c r="AO69" s="44">
        <v>6.5011574074074071E-4</v>
      </c>
      <c r="AP69"/>
      <c r="AQ69" s="44">
        <v>6.5011574074074071E-4</v>
      </c>
      <c r="AR69"/>
      <c r="AS69"/>
      <c r="AT69" s="44">
        <v>6.5011574074074071E-4</v>
      </c>
    </row>
    <row r="70" spans="1:46" x14ac:dyDescent="0.25">
      <c r="A70" s="17" t="s">
        <v>45</v>
      </c>
      <c r="B70" s="3" t="s">
        <v>473</v>
      </c>
      <c r="C70" s="3" t="s">
        <v>483</v>
      </c>
      <c r="D70" s="3" t="s">
        <v>521</v>
      </c>
      <c r="E70" s="18" t="s">
        <v>157</v>
      </c>
      <c r="F70" s="18" t="s">
        <v>98</v>
      </c>
      <c r="G70" s="44">
        <v>3.63E-3</v>
      </c>
      <c r="I70" s="58"/>
      <c r="J70" s="44">
        <v>4.7400000000000003E-3</v>
      </c>
      <c r="K70" s="44">
        <v>4.7400000000000003E-3</v>
      </c>
      <c r="M70" s="44">
        <v>4.7400000000000003E-3</v>
      </c>
      <c r="N70" s="44">
        <v>4.7400000000000003E-3</v>
      </c>
      <c r="O70" s="44">
        <v>4.7400000000000003E-3</v>
      </c>
      <c r="R70" s="44">
        <v>4.7400000000000003E-3</v>
      </c>
      <c r="S70" s="44">
        <v>4.7400000000000003E-3</v>
      </c>
      <c r="T70" s="44">
        <v>4.7400000000000003E-3</v>
      </c>
      <c r="U70" s="44">
        <v>4.7400000000000003E-3</v>
      </c>
      <c r="V70" s="44">
        <v>4.7400000000000003E-3</v>
      </c>
      <c r="W70" s="44">
        <v>4.7400000000000003E-3</v>
      </c>
      <c r="X70" s="44">
        <v>4.7400000000000003E-3</v>
      </c>
      <c r="Y70" s="44">
        <v>4.7400000000000003E-3</v>
      </c>
      <c r="Z70" s="44">
        <v>4.7400000000000003E-3</v>
      </c>
      <c r="AA70" s="44">
        <v>4.7400000000000003E-3</v>
      </c>
      <c r="AB70" s="44">
        <v>4.7400000000000003E-3</v>
      </c>
      <c r="AC70"/>
      <c r="AD70" s="44">
        <v>4.7400000000000003E-3</v>
      </c>
      <c r="AE70" s="44">
        <v>4.7400000000000003E-3</v>
      </c>
      <c r="AF70" s="44">
        <v>4.7400000000000003E-3</v>
      </c>
      <c r="AG70" s="44">
        <v>4.7400000000000003E-3</v>
      </c>
      <c r="AH70" s="44">
        <v>4.7400000000000003E-3</v>
      </c>
      <c r="AI70" s="44">
        <v>4.7400000000000003E-3</v>
      </c>
      <c r="AJ70" s="44">
        <v>4.7400000000000003E-3</v>
      </c>
      <c r="AK70"/>
      <c r="AL70" s="44">
        <v>4.7400000000000003E-3</v>
      </c>
      <c r="AM70" s="44">
        <v>4.7400000000000003E-3</v>
      </c>
      <c r="AN70" s="44">
        <v>4.7400000000000003E-3</v>
      </c>
      <c r="AO70" s="44">
        <v>4.7400000000000003E-3</v>
      </c>
      <c r="AP70"/>
      <c r="AQ70" s="44">
        <v>4.7400000000000003E-3</v>
      </c>
      <c r="AR70"/>
      <c r="AS70"/>
      <c r="AT70" s="44">
        <v>4.7400000000000003E-3</v>
      </c>
    </row>
    <row r="71" spans="1:46" x14ac:dyDescent="0.25">
      <c r="A71" s="17" t="s">
        <v>46</v>
      </c>
      <c r="B71" s="3" t="s">
        <v>473</v>
      </c>
      <c r="C71" s="3" t="s">
        <v>483</v>
      </c>
      <c r="D71" s="3" t="s">
        <v>521</v>
      </c>
      <c r="E71" s="18" t="s">
        <v>158</v>
      </c>
      <c r="F71" s="18" t="s">
        <v>106</v>
      </c>
      <c r="G71" s="44">
        <v>491356.80000000005</v>
      </c>
      <c r="I71" s="58"/>
      <c r="J71" s="44">
        <v>282528</v>
      </c>
      <c r="K71" s="44">
        <v>282528</v>
      </c>
      <c r="M71" s="44">
        <v>282528</v>
      </c>
      <c r="N71" s="44">
        <v>282528</v>
      </c>
      <c r="O71" s="44">
        <v>282528</v>
      </c>
      <c r="R71" s="44">
        <v>282528</v>
      </c>
      <c r="S71" s="44">
        <v>282528</v>
      </c>
      <c r="T71" s="44">
        <v>282528</v>
      </c>
      <c r="U71" s="44">
        <v>282528</v>
      </c>
      <c r="V71" s="44">
        <v>282528</v>
      </c>
      <c r="W71" s="44">
        <v>282528</v>
      </c>
      <c r="X71" s="44">
        <v>282528</v>
      </c>
      <c r="Y71" s="44">
        <v>282528</v>
      </c>
      <c r="Z71" s="44">
        <v>282528</v>
      </c>
      <c r="AA71" s="44">
        <v>282528</v>
      </c>
      <c r="AB71" s="44">
        <v>282528</v>
      </c>
      <c r="AC71"/>
      <c r="AD71" s="44">
        <v>282528</v>
      </c>
      <c r="AE71" s="44">
        <v>282528</v>
      </c>
      <c r="AF71" s="44">
        <v>282528</v>
      </c>
      <c r="AG71" s="44">
        <v>282528</v>
      </c>
      <c r="AH71" s="44">
        <v>282528</v>
      </c>
      <c r="AI71" s="44">
        <v>282528</v>
      </c>
      <c r="AJ71" s="44">
        <v>282528</v>
      </c>
      <c r="AK71"/>
      <c r="AL71" s="44">
        <v>282528</v>
      </c>
      <c r="AM71" s="44">
        <v>282528</v>
      </c>
      <c r="AN71" s="44">
        <v>282528</v>
      </c>
      <c r="AO71" s="44">
        <v>282528</v>
      </c>
      <c r="AP71"/>
      <c r="AQ71" s="44">
        <v>282528</v>
      </c>
      <c r="AR71"/>
      <c r="AS71"/>
      <c r="AT71" s="44">
        <v>282528</v>
      </c>
    </row>
    <row r="72" spans="1:46" x14ac:dyDescent="0.25">
      <c r="A72" s="17" t="s">
        <v>47</v>
      </c>
      <c r="B72" s="3" t="s">
        <v>473</v>
      </c>
      <c r="C72" s="3" t="s">
        <v>483</v>
      </c>
      <c r="D72" s="3" t="s">
        <v>521</v>
      </c>
      <c r="E72" s="18" t="s">
        <v>159</v>
      </c>
      <c r="F72" s="18" t="s">
        <v>102</v>
      </c>
      <c r="G72" s="44">
        <v>0.57999999999999996</v>
      </c>
      <c r="I72" s="58"/>
      <c r="J72" s="44">
        <v>0.56999999999999995</v>
      </c>
      <c r="K72" s="44">
        <v>0.56999999999999995</v>
      </c>
      <c r="M72" s="44">
        <v>0.56999999999999995</v>
      </c>
      <c r="N72" s="44">
        <v>0.56999999999999995</v>
      </c>
      <c r="O72" s="44">
        <v>0.56999999999999995</v>
      </c>
      <c r="R72" s="44">
        <v>0.56999999999999995</v>
      </c>
      <c r="S72" s="44">
        <v>0.56999999999999995</v>
      </c>
      <c r="T72" s="44">
        <v>0.56999999999999995</v>
      </c>
      <c r="U72" s="44">
        <v>0.56999999999999995</v>
      </c>
      <c r="V72" s="44">
        <v>0.56999999999999995</v>
      </c>
      <c r="W72" s="44">
        <v>0.56999999999999995</v>
      </c>
      <c r="X72" s="44">
        <v>0.56999999999999995</v>
      </c>
      <c r="Y72" s="44">
        <v>0.56999999999999995</v>
      </c>
      <c r="Z72" s="44">
        <v>0.56999999999999995</v>
      </c>
      <c r="AA72" s="44">
        <v>0.56999999999999995</v>
      </c>
      <c r="AB72" s="44">
        <v>0.56999999999999995</v>
      </c>
      <c r="AC72"/>
      <c r="AD72" s="44">
        <v>0.56999999999999995</v>
      </c>
      <c r="AE72" s="44">
        <v>0.56999999999999995</v>
      </c>
      <c r="AF72" s="44">
        <v>0.56999999999999995</v>
      </c>
      <c r="AG72" s="44">
        <v>0.56999999999999995</v>
      </c>
      <c r="AH72" s="44">
        <v>0.56999999999999995</v>
      </c>
      <c r="AI72" s="44">
        <v>0.56999999999999995</v>
      </c>
      <c r="AJ72" s="44">
        <v>0.56999999999999995</v>
      </c>
      <c r="AK72"/>
      <c r="AL72" s="44">
        <v>0.56999999999999995</v>
      </c>
      <c r="AM72" s="44">
        <v>0.56999999999999995</v>
      </c>
      <c r="AN72" s="44">
        <v>0.56999999999999995</v>
      </c>
      <c r="AO72" s="44">
        <v>0.56999999999999995</v>
      </c>
      <c r="AP72"/>
      <c r="AQ72" s="44">
        <v>0.56999999999999995</v>
      </c>
      <c r="AR72"/>
      <c r="AS72"/>
      <c r="AT72" s="44">
        <v>0.56999999999999995</v>
      </c>
    </row>
    <row r="73" spans="1:46" x14ac:dyDescent="0.25">
      <c r="A73" s="17" t="s">
        <v>48</v>
      </c>
      <c r="B73" s="3" t="s">
        <v>473</v>
      </c>
      <c r="C73" s="3" t="s">
        <v>483</v>
      </c>
      <c r="D73" s="3" t="s">
        <v>521</v>
      </c>
      <c r="E73" s="18" t="s">
        <v>160</v>
      </c>
      <c r="F73" s="18" t="s">
        <v>100</v>
      </c>
      <c r="G73" s="44">
        <v>0.25862068965517243</v>
      </c>
      <c r="I73" s="58"/>
      <c r="J73" s="44">
        <v>0.16</v>
      </c>
      <c r="K73" s="44">
        <v>0.16</v>
      </c>
      <c r="M73" s="44">
        <v>0.16</v>
      </c>
      <c r="N73" s="44">
        <v>0.16</v>
      </c>
      <c r="O73" s="44">
        <v>0.16</v>
      </c>
      <c r="R73" s="44">
        <v>0.16</v>
      </c>
      <c r="S73" s="44">
        <v>0.16</v>
      </c>
      <c r="T73" s="44">
        <v>0.16</v>
      </c>
      <c r="U73" s="44">
        <v>0.16</v>
      </c>
      <c r="V73" s="44">
        <v>0.16</v>
      </c>
      <c r="W73" s="44">
        <v>0.16</v>
      </c>
      <c r="X73" s="44">
        <v>0.16</v>
      </c>
      <c r="Y73" s="44">
        <v>0.16</v>
      </c>
      <c r="Z73" s="44">
        <v>0.16</v>
      </c>
      <c r="AA73" s="44">
        <v>0.16</v>
      </c>
      <c r="AB73" s="44">
        <v>0.16</v>
      </c>
      <c r="AC73"/>
      <c r="AD73" s="44">
        <v>0.16</v>
      </c>
      <c r="AE73" s="44">
        <v>0.16</v>
      </c>
      <c r="AF73" s="44">
        <v>0.16</v>
      </c>
      <c r="AG73" s="44">
        <v>0.16</v>
      </c>
      <c r="AH73" s="44">
        <v>0.16</v>
      </c>
      <c r="AI73" s="44">
        <v>0.16</v>
      </c>
      <c r="AJ73" s="44">
        <v>0.16</v>
      </c>
      <c r="AK73"/>
      <c r="AL73" s="44">
        <v>0.16</v>
      </c>
      <c r="AM73" s="44">
        <v>0.16</v>
      </c>
      <c r="AN73" s="44">
        <v>0.16</v>
      </c>
      <c r="AO73" s="44">
        <v>0.16</v>
      </c>
      <c r="AP73"/>
      <c r="AQ73" s="44">
        <v>0.16</v>
      </c>
      <c r="AR73"/>
      <c r="AS73"/>
      <c r="AT73" s="44">
        <v>0.16</v>
      </c>
    </row>
    <row r="74" spans="1:46" x14ac:dyDescent="0.25">
      <c r="A74" s="17" t="s">
        <v>49</v>
      </c>
      <c r="B74" s="3" t="s">
        <v>473</v>
      </c>
      <c r="C74" s="3" t="s">
        <v>483</v>
      </c>
      <c r="D74" s="3" t="s">
        <v>521</v>
      </c>
      <c r="E74" s="18" t="s">
        <v>161</v>
      </c>
      <c r="F74" s="18" t="s">
        <v>107</v>
      </c>
      <c r="G74" s="44">
        <v>0</v>
      </c>
      <c r="I74" s="58"/>
      <c r="J74" s="44">
        <v>0</v>
      </c>
      <c r="K74" s="44">
        <v>0</v>
      </c>
      <c r="M74" s="44">
        <v>0</v>
      </c>
      <c r="N74" s="44">
        <v>0</v>
      </c>
      <c r="O74" s="44">
        <v>0</v>
      </c>
      <c r="R74" s="44">
        <v>0</v>
      </c>
      <c r="S74" s="44">
        <v>0</v>
      </c>
      <c r="T74" s="44">
        <v>0</v>
      </c>
      <c r="U74" s="44">
        <v>0</v>
      </c>
      <c r="V74" s="44">
        <v>0</v>
      </c>
      <c r="W74" s="44">
        <v>0</v>
      </c>
      <c r="X74" s="44">
        <v>0</v>
      </c>
      <c r="Y74" s="44">
        <v>0</v>
      </c>
      <c r="Z74" s="44">
        <v>0</v>
      </c>
      <c r="AA74" s="44">
        <v>0</v>
      </c>
      <c r="AB74" s="44">
        <v>0</v>
      </c>
      <c r="AC74"/>
      <c r="AD74" s="44">
        <v>0</v>
      </c>
      <c r="AE74" s="44">
        <v>0</v>
      </c>
      <c r="AF74" s="44">
        <v>0</v>
      </c>
      <c r="AG74" s="44">
        <v>0</v>
      </c>
      <c r="AH74" s="44">
        <v>0</v>
      </c>
      <c r="AI74" s="44">
        <v>0</v>
      </c>
      <c r="AJ74" s="44">
        <v>0</v>
      </c>
      <c r="AK74"/>
      <c r="AL74" s="44">
        <v>0</v>
      </c>
      <c r="AM74" s="44">
        <v>0</v>
      </c>
      <c r="AN74" s="44">
        <v>0</v>
      </c>
      <c r="AO74" s="44">
        <v>0</v>
      </c>
      <c r="AP74"/>
      <c r="AQ74" s="44">
        <v>0</v>
      </c>
      <c r="AR74"/>
      <c r="AS74"/>
      <c r="AT74" s="44">
        <v>0</v>
      </c>
    </row>
    <row r="75" spans="1:46" x14ac:dyDescent="0.25">
      <c r="A75" s="33" t="s">
        <v>50</v>
      </c>
      <c r="B75" s="3" t="s">
        <v>473</v>
      </c>
      <c r="C75" s="3" t="s">
        <v>483</v>
      </c>
      <c r="D75" s="3" t="s">
        <v>521</v>
      </c>
      <c r="E75" s="34" t="s">
        <v>419</v>
      </c>
      <c r="F75" s="34" t="s">
        <v>418</v>
      </c>
      <c r="G75" s="44">
        <v>745476480000</v>
      </c>
      <c r="I75" s="58"/>
      <c r="J75" s="44">
        <v>745476480000</v>
      </c>
      <c r="K75" s="44">
        <v>745476480000</v>
      </c>
      <c r="M75" s="44">
        <v>745476480000</v>
      </c>
      <c r="N75" s="44">
        <v>745476480000</v>
      </c>
      <c r="O75" s="44">
        <v>745476480000</v>
      </c>
      <c r="R75" s="44">
        <v>745476480000</v>
      </c>
      <c r="S75" s="44">
        <v>745476480000</v>
      </c>
      <c r="T75" s="44">
        <v>745476480000</v>
      </c>
      <c r="U75" s="44">
        <v>745476480000</v>
      </c>
      <c r="V75" s="44">
        <v>745476480000</v>
      </c>
      <c r="W75" s="44">
        <v>745476480000</v>
      </c>
      <c r="X75" s="44">
        <v>745476480000</v>
      </c>
      <c r="Y75" s="44">
        <v>745476480000</v>
      </c>
      <c r="Z75" s="44">
        <v>745476480000</v>
      </c>
      <c r="AA75" s="44">
        <v>745476480000</v>
      </c>
      <c r="AB75" s="44">
        <v>745476480000</v>
      </c>
      <c r="AC75"/>
      <c r="AD75" s="44">
        <v>745476480000</v>
      </c>
      <c r="AE75" s="44">
        <v>745476480000</v>
      </c>
      <c r="AF75" s="44">
        <v>745476480000</v>
      </c>
      <c r="AG75" s="44">
        <v>745476480000</v>
      </c>
      <c r="AH75" s="44">
        <v>745476480000</v>
      </c>
      <c r="AI75" s="44">
        <v>745476480000</v>
      </c>
      <c r="AJ75" s="44">
        <v>745476480000</v>
      </c>
      <c r="AK75"/>
      <c r="AL75" s="44">
        <v>745476480000</v>
      </c>
      <c r="AM75" s="44">
        <v>745476480000</v>
      </c>
      <c r="AN75" s="44">
        <v>745476480000</v>
      </c>
      <c r="AO75" s="44">
        <v>745476480000</v>
      </c>
      <c r="AP75"/>
      <c r="AQ75" s="44">
        <v>745476480000</v>
      </c>
      <c r="AR75"/>
      <c r="AS75"/>
      <c r="AT75" s="44">
        <v>745476480000</v>
      </c>
    </row>
    <row r="76" spans="1:46" x14ac:dyDescent="0.25">
      <c r="A76" s="33" t="s">
        <v>204</v>
      </c>
      <c r="B76" s="3" t="s">
        <v>473</v>
      </c>
      <c r="C76" s="3" t="s">
        <v>483</v>
      </c>
      <c r="D76" s="3" t="s">
        <v>521</v>
      </c>
      <c r="E76" s="34" t="s">
        <v>413</v>
      </c>
      <c r="F76" s="34" t="s">
        <v>202</v>
      </c>
      <c r="G76" s="44">
        <v>100</v>
      </c>
      <c r="I76" s="58"/>
      <c r="J76" s="44">
        <v>100</v>
      </c>
      <c r="K76" s="44">
        <v>100</v>
      </c>
      <c r="M76" s="44">
        <v>100</v>
      </c>
      <c r="N76" s="44">
        <v>100</v>
      </c>
      <c r="O76" s="44">
        <v>100</v>
      </c>
      <c r="R76" s="44">
        <v>100</v>
      </c>
      <c r="S76" s="44">
        <v>100</v>
      </c>
      <c r="T76" s="44">
        <v>100</v>
      </c>
      <c r="U76" s="44">
        <v>100</v>
      </c>
      <c r="V76" s="44">
        <v>100</v>
      </c>
      <c r="W76" s="44">
        <v>100</v>
      </c>
      <c r="X76" s="44">
        <v>100</v>
      </c>
      <c r="Y76" s="44">
        <v>100</v>
      </c>
      <c r="Z76" s="44">
        <v>100</v>
      </c>
      <c r="AA76" s="44">
        <v>100</v>
      </c>
      <c r="AB76" s="44">
        <v>100</v>
      </c>
      <c r="AC76"/>
      <c r="AD76" s="44">
        <v>100</v>
      </c>
      <c r="AE76" s="44">
        <v>100</v>
      </c>
      <c r="AF76" s="44">
        <v>100</v>
      </c>
      <c r="AG76" s="44">
        <v>100</v>
      </c>
      <c r="AH76" s="44">
        <v>100</v>
      </c>
      <c r="AI76" s="44">
        <v>100</v>
      </c>
      <c r="AJ76" s="44">
        <v>100</v>
      </c>
      <c r="AK76"/>
      <c r="AL76" s="44">
        <v>100</v>
      </c>
      <c r="AM76" s="44">
        <v>100</v>
      </c>
      <c r="AN76" s="44">
        <v>100</v>
      </c>
      <c r="AO76" s="44">
        <v>100</v>
      </c>
      <c r="AP76"/>
      <c r="AQ76" s="44">
        <v>100</v>
      </c>
      <c r="AR76"/>
      <c r="AS76"/>
      <c r="AT76" s="44">
        <v>100</v>
      </c>
    </row>
    <row r="77" spans="1:46" x14ac:dyDescent="0.25">
      <c r="A77" s="33" t="s">
        <v>414</v>
      </c>
      <c r="B77" s="3" t="s">
        <v>473</v>
      </c>
      <c r="C77" s="3" t="s">
        <v>483</v>
      </c>
      <c r="D77" s="3" t="s">
        <v>521</v>
      </c>
      <c r="E77" s="34" t="s">
        <v>420</v>
      </c>
      <c r="F77" s="34" t="s">
        <v>94</v>
      </c>
      <c r="G77" s="44" t="s">
        <v>86</v>
      </c>
      <c r="I77" s="58"/>
      <c r="J77" s="44" t="s">
        <v>86</v>
      </c>
      <c r="K77" s="44" t="s">
        <v>86</v>
      </c>
      <c r="M77" s="44" t="s">
        <v>86</v>
      </c>
      <c r="N77" s="44" t="s">
        <v>86</v>
      </c>
      <c r="O77" s="44" t="s">
        <v>86</v>
      </c>
      <c r="R77" s="44" t="s">
        <v>86</v>
      </c>
      <c r="S77" s="44" t="s">
        <v>86</v>
      </c>
      <c r="T77" s="44" t="s">
        <v>86</v>
      </c>
      <c r="U77" s="44" t="s">
        <v>86</v>
      </c>
      <c r="V77" s="44" t="s">
        <v>86</v>
      </c>
      <c r="W77" s="44" t="s">
        <v>86</v>
      </c>
      <c r="X77" s="44" t="s">
        <v>86</v>
      </c>
      <c r="Y77" s="44" t="s">
        <v>86</v>
      </c>
      <c r="Z77" s="44" t="s">
        <v>86</v>
      </c>
      <c r="AA77" s="44" t="s">
        <v>86</v>
      </c>
      <c r="AB77" s="44" t="s">
        <v>86</v>
      </c>
      <c r="AC77"/>
      <c r="AD77" s="44" t="s">
        <v>86</v>
      </c>
      <c r="AE77" s="44" t="s">
        <v>86</v>
      </c>
      <c r="AF77" s="44" t="s">
        <v>86</v>
      </c>
      <c r="AG77" s="44" t="s">
        <v>86</v>
      </c>
      <c r="AH77" s="44" t="s">
        <v>86</v>
      </c>
      <c r="AI77" s="44" t="s">
        <v>86</v>
      </c>
      <c r="AJ77" s="44" t="s">
        <v>86</v>
      </c>
      <c r="AK77"/>
      <c r="AL77" s="44" t="s">
        <v>86</v>
      </c>
      <c r="AM77" s="44" t="s">
        <v>86</v>
      </c>
      <c r="AN77" s="44" t="s">
        <v>86</v>
      </c>
      <c r="AO77" s="44" t="s">
        <v>86</v>
      </c>
      <c r="AP77"/>
      <c r="AQ77" s="44" t="s">
        <v>86</v>
      </c>
      <c r="AR77"/>
      <c r="AS77"/>
      <c r="AT77" s="44" t="s">
        <v>86</v>
      </c>
    </row>
    <row r="78" spans="1:46" x14ac:dyDescent="0.25">
      <c r="A78" s="33" t="s">
        <v>400</v>
      </c>
      <c r="B78" s="3" t="s">
        <v>473</v>
      </c>
      <c r="C78" s="3" t="s">
        <v>483</v>
      </c>
      <c r="D78" s="3" t="s">
        <v>521</v>
      </c>
      <c r="E78" s="34" t="s">
        <v>403</v>
      </c>
      <c r="F78" s="34" t="s">
        <v>106</v>
      </c>
      <c r="G78" s="44">
        <v>29203.200000000001</v>
      </c>
      <c r="I78" s="58"/>
      <c r="J78" s="44">
        <v>21600</v>
      </c>
      <c r="K78" s="44">
        <v>21600</v>
      </c>
      <c r="M78" s="44">
        <v>21600</v>
      </c>
      <c r="N78" s="44">
        <v>21600</v>
      </c>
      <c r="O78" s="44">
        <v>21600</v>
      </c>
      <c r="R78" s="44">
        <v>21600</v>
      </c>
      <c r="S78" s="44">
        <v>21600</v>
      </c>
      <c r="T78" s="44">
        <v>21600</v>
      </c>
      <c r="U78" s="44">
        <v>21600</v>
      </c>
      <c r="V78" s="44">
        <v>21600</v>
      </c>
      <c r="W78" s="44">
        <v>21600</v>
      </c>
      <c r="X78" s="44">
        <v>21600</v>
      </c>
      <c r="Y78" s="44">
        <v>21600</v>
      </c>
      <c r="Z78" s="44">
        <v>21600</v>
      </c>
      <c r="AA78" s="44">
        <v>21600</v>
      </c>
      <c r="AB78" s="44">
        <v>21600</v>
      </c>
      <c r="AC78"/>
      <c r="AD78" s="44">
        <v>21600</v>
      </c>
      <c r="AE78" s="44">
        <v>21600</v>
      </c>
      <c r="AF78" s="44">
        <v>21600</v>
      </c>
      <c r="AG78" s="44">
        <v>21600</v>
      </c>
      <c r="AH78" s="44">
        <v>21600</v>
      </c>
      <c r="AI78" s="44">
        <v>21600</v>
      </c>
      <c r="AJ78" s="44">
        <v>21600</v>
      </c>
      <c r="AK78"/>
      <c r="AL78" s="44">
        <v>21600</v>
      </c>
      <c r="AM78" s="44">
        <v>21600</v>
      </c>
      <c r="AN78" s="44">
        <v>21600</v>
      </c>
      <c r="AO78" s="44">
        <v>21600</v>
      </c>
      <c r="AP78"/>
      <c r="AQ78" s="44">
        <v>21600</v>
      </c>
      <c r="AR78"/>
      <c r="AS78"/>
      <c r="AT78" s="44">
        <v>21600</v>
      </c>
    </row>
    <row r="79" spans="1:46" x14ac:dyDescent="0.25">
      <c r="A79" s="33" t="s">
        <v>410</v>
      </c>
      <c r="B79" s="3" t="s">
        <v>473</v>
      </c>
      <c r="C79" s="3" t="s">
        <v>483</v>
      </c>
      <c r="D79" s="3" t="s">
        <v>521</v>
      </c>
      <c r="E79" s="34" t="s">
        <v>416</v>
      </c>
      <c r="F79" s="34" t="s">
        <v>100</v>
      </c>
      <c r="G79" s="44">
        <v>0.5</v>
      </c>
      <c r="I79" s="58"/>
      <c r="J79" s="44">
        <v>0.5</v>
      </c>
      <c r="K79" s="44">
        <v>0.5</v>
      </c>
      <c r="M79" s="44">
        <v>0.5</v>
      </c>
      <c r="N79" s="44">
        <v>0.5</v>
      </c>
      <c r="O79" s="44">
        <v>0.5</v>
      </c>
      <c r="R79" s="44">
        <v>0.5</v>
      </c>
      <c r="S79" s="44">
        <v>0.5</v>
      </c>
      <c r="T79" s="44">
        <v>0.5</v>
      </c>
      <c r="U79" s="44">
        <v>0.5</v>
      </c>
      <c r="V79" s="44">
        <v>0.5</v>
      </c>
      <c r="W79" s="44">
        <v>0.5</v>
      </c>
      <c r="X79" s="44">
        <v>0.5</v>
      </c>
      <c r="Y79" s="44">
        <v>0.5</v>
      </c>
      <c r="Z79" s="44">
        <v>0.5</v>
      </c>
      <c r="AA79" s="44">
        <v>0.5</v>
      </c>
      <c r="AB79" s="44">
        <v>0.5</v>
      </c>
      <c r="AC79"/>
      <c r="AD79" s="44">
        <v>0.5</v>
      </c>
      <c r="AE79" s="44">
        <v>0.5</v>
      </c>
      <c r="AF79" s="44">
        <v>0.5</v>
      </c>
      <c r="AG79" s="44">
        <v>0.5</v>
      </c>
      <c r="AH79" s="44">
        <v>0.5</v>
      </c>
      <c r="AI79" s="44">
        <v>0.5</v>
      </c>
      <c r="AJ79" s="44">
        <v>0.5</v>
      </c>
      <c r="AK79"/>
      <c r="AL79" s="44">
        <v>0.5</v>
      </c>
      <c r="AM79" s="44">
        <v>0.5</v>
      </c>
      <c r="AN79" s="44">
        <v>0.5</v>
      </c>
      <c r="AO79" s="44">
        <v>0.5</v>
      </c>
      <c r="AP79"/>
      <c r="AQ79" s="44">
        <v>0.5</v>
      </c>
      <c r="AR79"/>
      <c r="AS79"/>
      <c r="AT79" s="44">
        <v>0.5</v>
      </c>
    </row>
    <row r="80" spans="1:46" x14ac:dyDescent="0.25">
      <c r="A80" s="33" t="s">
        <v>401</v>
      </c>
      <c r="B80" s="3" t="s">
        <v>473</v>
      </c>
      <c r="C80" s="3" t="s">
        <v>483</v>
      </c>
      <c r="D80" s="3" t="s">
        <v>521</v>
      </c>
      <c r="E80" s="34" t="s">
        <v>415</v>
      </c>
      <c r="F80" s="34" t="s">
        <v>106</v>
      </c>
      <c r="G80" s="44">
        <v>387936</v>
      </c>
      <c r="I80" s="58"/>
      <c r="J80" s="44">
        <v>60479.999999999993</v>
      </c>
      <c r="K80" s="44">
        <v>60479.999999999993</v>
      </c>
      <c r="M80" s="44">
        <v>60479.999999999993</v>
      </c>
      <c r="N80" s="44">
        <v>60479.999999999993</v>
      </c>
      <c r="O80" s="44">
        <v>60479.999999999993</v>
      </c>
      <c r="R80" s="44">
        <v>60479.999999999993</v>
      </c>
      <c r="S80" s="44">
        <v>60479.999999999993</v>
      </c>
      <c r="T80" s="44">
        <v>60479.999999999993</v>
      </c>
      <c r="U80" s="44">
        <v>60479.999999999993</v>
      </c>
      <c r="V80" s="44">
        <v>60479.999999999993</v>
      </c>
      <c r="W80" s="44">
        <v>60479.999999999993</v>
      </c>
      <c r="X80" s="44">
        <v>60479.999999999993</v>
      </c>
      <c r="Y80" s="44">
        <v>60479.999999999993</v>
      </c>
      <c r="Z80" s="44">
        <v>60479.999999999993</v>
      </c>
      <c r="AA80" s="44">
        <v>60479.999999999993</v>
      </c>
      <c r="AB80" s="44">
        <v>60479.999999999993</v>
      </c>
      <c r="AC80"/>
      <c r="AD80" s="44">
        <v>60479.999999999993</v>
      </c>
      <c r="AE80" s="44">
        <v>60479.999999999993</v>
      </c>
      <c r="AF80" s="44">
        <v>60479.999999999993</v>
      </c>
      <c r="AG80" s="44">
        <v>60479.999999999993</v>
      </c>
      <c r="AH80" s="44">
        <v>60479.999999999993</v>
      </c>
      <c r="AI80" s="44">
        <v>60479.999999999993</v>
      </c>
      <c r="AJ80" s="44">
        <v>60479.999999999993</v>
      </c>
      <c r="AK80"/>
      <c r="AL80" s="44">
        <v>60479.999999999993</v>
      </c>
      <c r="AM80" s="44">
        <v>60479.999999999993</v>
      </c>
      <c r="AN80" s="44">
        <v>60479.999999999993</v>
      </c>
      <c r="AO80" s="44">
        <v>60479.999999999993</v>
      </c>
      <c r="AP80"/>
      <c r="AQ80" s="44">
        <v>60479.999999999993</v>
      </c>
      <c r="AR80"/>
      <c r="AS80"/>
      <c r="AT80" s="44">
        <v>60479.999999999993</v>
      </c>
    </row>
    <row r="81" spans="1:46" x14ac:dyDescent="0.25">
      <c r="A81" s="33" t="s">
        <v>411</v>
      </c>
      <c r="B81" s="3" t="s">
        <v>473</v>
      </c>
      <c r="C81" s="3" t="s">
        <v>483</v>
      </c>
      <c r="D81" s="3" t="s">
        <v>521</v>
      </c>
      <c r="E81" s="34" t="s">
        <v>417</v>
      </c>
      <c r="F81" s="34" t="s">
        <v>100</v>
      </c>
      <c r="G81" s="44">
        <v>0.85</v>
      </c>
      <c r="I81" s="58"/>
      <c r="J81" s="44">
        <v>0.85</v>
      </c>
      <c r="K81" s="44">
        <v>0.85</v>
      </c>
      <c r="M81" s="44">
        <v>0.85</v>
      </c>
      <c r="N81" s="44">
        <v>0.85</v>
      </c>
      <c r="O81" s="44">
        <v>0.85</v>
      </c>
      <c r="R81" s="44">
        <v>0.85</v>
      </c>
      <c r="S81" s="44">
        <v>0.85</v>
      </c>
      <c r="T81" s="44">
        <v>0.85</v>
      </c>
      <c r="U81" s="44">
        <v>0.85</v>
      </c>
      <c r="V81" s="44">
        <v>0.85</v>
      </c>
      <c r="W81" s="44">
        <v>0.85</v>
      </c>
      <c r="X81" s="44">
        <v>0.85</v>
      </c>
      <c r="Y81" s="44">
        <v>0.85</v>
      </c>
      <c r="Z81" s="44">
        <v>0.85</v>
      </c>
      <c r="AA81" s="44">
        <v>0.85</v>
      </c>
      <c r="AB81" s="44">
        <v>0.85</v>
      </c>
      <c r="AC81"/>
      <c r="AD81" s="44">
        <v>0.85</v>
      </c>
      <c r="AE81" s="44">
        <v>0.85</v>
      </c>
      <c r="AF81" s="44">
        <v>0.85</v>
      </c>
      <c r="AG81" s="44">
        <v>0.85</v>
      </c>
      <c r="AH81" s="44">
        <v>0.85</v>
      </c>
      <c r="AI81" s="44">
        <v>0.85</v>
      </c>
      <c r="AJ81" s="44">
        <v>0.85</v>
      </c>
      <c r="AK81"/>
      <c r="AL81" s="44">
        <v>0.85</v>
      </c>
      <c r="AM81" s="44">
        <v>0.85</v>
      </c>
      <c r="AN81" s="44">
        <v>0.85</v>
      </c>
      <c r="AO81" s="44">
        <v>0.85</v>
      </c>
      <c r="AP81"/>
      <c r="AQ81" s="44">
        <v>0.85</v>
      </c>
      <c r="AR81"/>
      <c r="AS81"/>
      <c r="AT81" s="44">
        <v>0.85</v>
      </c>
    </row>
    <row r="82" spans="1:46" x14ac:dyDescent="0.25">
      <c r="A82" s="33" t="s">
        <v>402</v>
      </c>
      <c r="B82" s="3" t="s">
        <v>473</v>
      </c>
      <c r="C82" s="3" t="s">
        <v>483</v>
      </c>
      <c r="D82" s="3" t="s">
        <v>521</v>
      </c>
      <c r="E82" s="34" t="s">
        <v>404</v>
      </c>
      <c r="F82" s="34" t="s">
        <v>106</v>
      </c>
      <c r="G82" s="44">
        <v>518400</v>
      </c>
      <c r="I82" s="58"/>
      <c r="J82" s="44">
        <v>518400</v>
      </c>
      <c r="K82" s="44">
        <v>518400</v>
      </c>
      <c r="M82" s="44">
        <v>518400</v>
      </c>
      <c r="N82" s="44">
        <v>518400</v>
      </c>
      <c r="O82" s="44">
        <v>518400</v>
      </c>
      <c r="R82" s="44">
        <v>518400</v>
      </c>
      <c r="S82" s="44">
        <v>518400</v>
      </c>
      <c r="T82" s="44">
        <v>518400</v>
      </c>
      <c r="U82" s="44">
        <v>518400</v>
      </c>
      <c r="V82" s="44">
        <v>518400</v>
      </c>
      <c r="W82" s="44">
        <v>518400</v>
      </c>
      <c r="X82" s="44">
        <v>518400</v>
      </c>
      <c r="Y82" s="44">
        <v>518400</v>
      </c>
      <c r="Z82" s="44">
        <v>518400</v>
      </c>
      <c r="AA82" s="44">
        <v>518400</v>
      </c>
      <c r="AB82" s="44">
        <v>518400</v>
      </c>
      <c r="AC82"/>
      <c r="AD82" s="44">
        <v>518400</v>
      </c>
      <c r="AE82" s="44">
        <v>518400</v>
      </c>
      <c r="AF82" s="44">
        <v>518400</v>
      </c>
      <c r="AG82" s="44">
        <v>518400</v>
      </c>
      <c r="AH82" s="44">
        <v>518400</v>
      </c>
      <c r="AI82" s="44">
        <v>518400</v>
      </c>
      <c r="AJ82" s="44">
        <v>518400</v>
      </c>
      <c r="AK82"/>
      <c r="AL82" s="44">
        <v>518400</v>
      </c>
      <c r="AM82" s="44">
        <v>518400</v>
      </c>
      <c r="AN82" s="44">
        <v>518400</v>
      </c>
      <c r="AO82" s="44">
        <v>518400</v>
      </c>
      <c r="AP82"/>
      <c r="AQ82" s="44">
        <v>518400</v>
      </c>
      <c r="AR82"/>
      <c r="AS82"/>
      <c r="AT82" s="44">
        <v>518400</v>
      </c>
    </row>
    <row r="83" spans="1:46" x14ac:dyDescent="0.25">
      <c r="A83" s="33" t="s">
        <v>412</v>
      </c>
      <c r="B83" s="3" t="s">
        <v>473</v>
      </c>
      <c r="C83" s="3" t="s">
        <v>483</v>
      </c>
      <c r="D83" s="3" t="s">
        <v>521</v>
      </c>
      <c r="E83" s="34" t="s">
        <v>405</v>
      </c>
      <c r="F83" s="34" t="s">
        <v>106</v>
      </c>
      <c r="G83" s="44">
        <v>5184000</v>
      </c>
      <c r="I83" s="58"/>
      <c r="J83" s="44">
        <v>5184000</v>
      </c>
      <c r="K83" s="44">
        <v>5184000</v>
      </c>
      <c r="M83" s="44">
        <v>5184000</v>
      </c>
      <c r="N83" s="44">
        <v>5184000</v>
      </c>
      <c r="O83" s="44">
        <v>5184000</v>
      </c>
      <c r="R83" s="44">
        <v>5184000</v>
      </c>
      <c r="S83" s="44">
        <v>5184000</v>
      </c>
      <c r="T83" s="44">
        <v>5184000</v>
      </c>
      <c r="U83" s="44">
        <v>5184000</v>
      </c>
      <c r="V83" s="44">
        <v>5184000</v>
      </c>
      <c r="W83" s="44">
        <v>5184000</v>
      </c>
      <c r="X83" s="44">
        <v>5184000</v>
      </c>
      <c r="Y83" s="44">
        <v>5184000</v>
      </c>
      <c r="Z83" s="44">
        <v>5184000</v>
      </c>
      <c r="AA83" s="44">
        <v>5184000</v>
      </c>
      <c r="AB83" s="44">
        <v>5184000</v>
      </c>
      <c r="AC83"/>
      <c r="AD83" s="44">
        <v>5184000</v>
      </c>
      <c r="AE83" s="44">
        <v>5184000</v>
      </c>
      <c r="AF83" s="44">
        <v>5184000</v>
      </c>
      <c r="AG83" s="44">
        <v>5184000</v>
      </c>
      <c r="AH83" s="44">
        <v>5184000</v>
      </c>
      <c r="AI83" s="44">
        <v>5184000</v>
      </c>
      <c r="AJ83" s="44">
        <v>5184000</v>
      </c>
      <c r="AK83"/>
      <c r="AL83" s="44">
        <v>5184000</v>
      </c>
      <c r="AM83" s="44">
        <v>5184000</v>
      </c>
      <c r="AN83" s="44">
        <v>5184000</v>
      </c>
      <c r="AO83" s="44">
        <v>5184000</v>
      </c>
      <c r="AP83"/>
      <c r="AQ83" s="44">
        <v>5184000</v>
      </c>
      <c r="AR83"/>
      <c r="AS83"/>
      <c r="AT83" s="44">
        <v>5184000</v>
      </c>
    </row>
    <row r="84" spans="1:46" x14ac:dyDescent="0.25">
      <c r="A84" s="17" t="s">
        <v>51</v>
      </c>
      <c r="B84" s="3" t="s">
        <v>473</v>
      </c>
      <c r="C84" s="3" t="s">
        <v>483</v>
      </c>
      <c r="D84" s="3" t="s">
        <v>521</v>
      </c>
      <c r="E84" s="18" t="s">
        <v>162</v>
      </c>
      <c r="F84" s="18" t="s">
        <v>108</v>
      </c>
      <c r="G84" s="44">
        <v>259200</v>
      </c>
      <c r="I84" s="58"/>
      <c r="J84" s="44">
        <v>50000</v>
      </c>
      <c r="K84" s="44">
        <v>50000</v>
      </c>
      <c r="M84" s="44">
        <v>50000</v>
      </c>
      <c r="N84" s="44">
        <v>50000</v>
      </c>
      <c r="O84" s="44">
        <v>50000</v>
      </c>
      <c r="R84" s="44">
        <v>50000</v>
      </c>
      <c r="S84" s="44">
        <v>50000</v>
      </c>
      <c r="T84" s="44">
        <v>50000</v>
      </c>
      <c r="U84" s="44">
        <v>50000</v>
      </c>
      <c r="V84" s="44">
        <v>50000</v>
      </c>
      <c r="W84" s="44">
        <v>50000</v>
      </c>
      <c r="X84" s="44">
        <v>50000</v>
      </c>
      <c r="Y84" s="44">
        <v>50000</v>
      </c>
      <c r="Z84" s="44">
        <v>50000</v>
      </c>
      <c r="AA84" s="44">
        <v>50000</v>
      </c>
      <c r="AB84" s="44">
        <v>50000</v>
      </c>
      <c r="AC84"/>
      <c r="AD84" s="44">
        <v>50000</v>
      </c>
      <c r="AE84" s="44">
        <v>50000</v>
      </c>
      <c r="AF84" s="44">
        <v>50000</v>
      </c>
      <c r="AG84" s="44">
        <v>50000</v>
      </c>
      <c r="AH84" s="44">
        <v>50000</v>
      </c>
      <c r="AI84" s="44">
        <v>50000</v>
      </c>
      <c r="AJ84" s="44">
        <v>50000</v>
      </c>
      <c r="AK84"/>
      <c r="AL84" s="44">
        <v>50000</v>
      </c>
      <c r="AM84" s="44">
        <v>50000</v>
      </c>
      <c r="AN84" s="44">
        <v>50000</v>
      </c>
      <c r="AO84" s="44">
        <v>50000</v>
      </c>
      <c r="AP84"/>
      <c r="AQ84" s="44">
        <v>50000</v>
      </c>
      <c r="AR84"/>
      <c r="AS84"/>
      <c r="AT84" s="44">
        <v>50000</v>
      </c>
    </row>
    <row r="85" spans="1:46" x14ac:dyDescent="0.25">
      <c r="A85" s="17" t="s">
        <v>52</v>
      </c>
      <c r="B85" s="3" t="s">
        <v>473</v>
      </c>
      <c r="C85" s="3" t="s">
        <v>483</v>
      </c>
      <c r="D85" s="3" t="s">
        <v>521</v>
      </c>
      <c r="E85" s="18" t="s">
        <v>163</v>
      </c>
      <c r="F85" s="18" t="s">
        <v>196</v>
      </c>
      <c r="G85" s="44">
        <v>140000</v>
      </c>
      <c r="I85" s="58"/>
      <c r="J85" s="44">
        <v>140000</v>
      </c>
      <c r="K85" s="44">
        <v>140000</v>
      </c>
      <c r="M85" s="44">
        <v>140000</v>
      </c>
      <c r="N85" s="44">
        <v>140000</v>
      </c>
      <c r="O85" s="44">
        <v>140000</v>
      </c>
      <c r="R85" s="44">
        <v>140000</v>
      </c>
      <c r="S85" s="44">
        <v>140000</v>
      </c>
      <c r="T85" s="44">
        <v>140000</v>
      </c>
      <c r="U85" s="44">
        <v>140000</v>
      </c>
      <c r="V85" s="44">
        <v>140000</v>
      </c>
      <c r="W85" s="44">
        <v>140000</v>
      </c>
      <c r="X85" s="44">
        <v>140000</v>
      </c>
      <c r="Y85" s="44">
        <v>140000</v>
      </c>
      <c r="Z85" s="44">
        <v>140000</v>
      </c>
      <c r="AA85" s="44">
        <v>140000</v>
      </c>
      <c r="AB85" s="44">
        <v>140000</v>
      </c>
      <c r="AC85"/>
      <c r="AD85" s="44">
        <v>140000</v>
      </c>
      <c r="AE85" s="44">
        <v>140000</v>
      </c>
      <c r="AF85" s="44">
        <v>140000</v>
      </c>
      <c r="AG85" s="44">
        <v>140000</v>
      </c>
      <c r="AH85" s="44">
        <v>140000</v>
      </c>
      <c r="AI85" s="44">
        <v>140000</v>
      </c>
      <c r="AJ85" s="44">
        <v>140000</v>
      </c>
      <c r="AK85"/>
      <c r="AL85" s="44">
        <v>140000</v>
      </c>
      <c r="AM85" s="44">
        <v>140000</v>
      </c>
      <c r="AN85" s="44">
        <v>140000</v>
      </c>
      <c r="AO85" s="44">
        <v>140000</v>
      </c>
      <c r="AP85"/>
      <c r="AQ85" s="44">
        <v>140000</v>
      </c>
      <c r="AR85"/>
      <c r="AS85"/>
      <c r="AT85" s="44">
        <v>140000</v>
      </c>
    </row>
    <row r="86" spans="1:46" x14ac:dyDescent="0.25">
      <c r="A86" s="17" t="s">
        <v>53</v>
      </c>
      <c r="B86" s="3" t="s">
        <v>473</v>
      </c>
      <c r="C86" s="3" t="s">
        <v>483</v>
      </c>
      <c r="D86" s="3" t="s">
        <v>521</v>
      </c>
      <c r="E86" s="18" t="s">
        <v>164</v>
      </c>
      <c r="F86" s="18" t="s">
        <v>197</v>
      </c>
      <c r="G86" s="44">
        <v>3.6636136999999999E-2</v>
      </c>
      <c r="I86" s="58"/>
      <c r="J86" s="44">
        <v>3.6636136999999999E-2</v>
      </c>
      <c r="K86" s="44">
        <v>3.6636136999999999E-2</v>
      </c>
      <c r="M86" s="44">
        <v>3.6636136999999999E-2</v>
      </c>
      <c r="N86" s="44">
        <v>3.6636136999999999E-2</v>
      </c>
      <c r="O86" s="44">
        <v>3.6636136999999999E-2</v>
      </c>
      <c r="R86" s="44">
        <v>3.6636136999999999E-2</v>
      </c>
      <c r="S86" s="44">
        <v>3.6636136999999999E-2</v>
      </c>
      <c r="T86" s="44">
        <v>3.6636136999999999E-2</v>
      </c>
      <c r="U86" s="44">
        <v>3.6636136999999999E-2</v>
      </c>
      <c r="V86" s="44">
        <v>3.6636136999999999E-2</v>
      </c>
      <c r="W86" s="44">
        <v>3.6636136999999999E-2</v>
      </c>
      <c r="X86" s="44">
        <v>3.6636136999999999E-2</v>
      </c>
      <c r="Y86" s="44">
        <v>3.6636136999999999E-2</v>
      </c>
      <c r="Z86" s="44">
        <v>3.6636136999999999E-2</v>
      </c>
      <c r="AA86" s="44">
        <v>3.6636136999999999E-2</v>
      </c>
      <c r="AB86" s="44">
        <v>3.6636136999999999E-2</v>
      </c>
      <c r="AC86"/>
      <c r="AD86" s="44">
        <v>3.6636136999999999E-2</v>
      </c>
      <c r="AE86" s="44">
        <v>3.6636136999999999E-2</v>
      </c>
      <c r="AF86" s="44">
        <v>3.6636136999999999E-2</v>
      </c>
      <c r="AG86" s="44">
        <v>3.6636136999999999E-2</v>
      </c>
      <c r="AH86" s="44">
        <v>3.6636136999999999E-2</v>
      </c>
      <c r="AI86" s="44">
        <v>3.6636136999999999E-2</v>
      </c>
      <c r="AJ86" s="44">
        <v>3.6636136999999999E-2</v>
      </c>
      <c r="AK86"/>
      <c r="AL86" s="44">
        <v>3.6636136999999999E-2</v>
      </c>
      <c r="AM86" s="44">
        <v>3.6636136999999999E-2</v>
      </c>
      <c r="AN86" s="44">
        <v>3.6636136999999999E-2</v>
      </c>
      <c r="AO86" s="44">
        <v>3.6636136999999999E-2</v>
      </c>
      <c r="AP86"/>
      <c r="AQ86" s="44">
        <v>3.6636136999999999E-2</v>
      </c>
      <c r="AR86"/>
      <c r="AS86"/>
      <c r="AT86" s="44">
        <v>3.6636136999999999E-2</v>
      </c>
    </row>
    <row r="87" spans="1:46" x14ac:dyDescent="0.25">
      <c r="A87" s="17" t="s">
        <v>54</v>
      </c>
      <c r="B87" s="3" t="s">
        <v>473</v>
      </c>
      <c r="C87" s="3" t="s">
        <v>483</v>
      </c>
      <c r="D87" s="3" t="s">
        <v>521</v>
      </c>
      <c r="E87" s="18" t="s">
        <v>165</v>
      </c>
      <c r="F87" s="18" t="s">
        <v>98</v>
      </c>
      <c r="G87" s="44">
        <v>4.4999999999999997E-3</v>
      </c>
      <c r="I87" s="58"/>
      <c r="J87" s="44">
        <v>4.4999999999999997E-3</v>
      </c>
      <c r="K87" s="44">
        <v>4.4999999999999997E-3</v>
      </c>
      <c r="M87" s="44">
        <v>4.4999999999999997E-3</v>
      </c>
      <c r="N87" s="44">
        <v>4.4999999999999997E-3</v>
      </c>
      <c r="O87" s="44">
        <v>4.4999999999999997E-3</v>
      </c>
      <c r="R87" s="44">
        <v>4.4999999999999997E-3</v>
      </c>
      <c r="S87" s="44">
        <v>4.4999999999999997E-3</v>
      </c>
      <c r="T87" s="44">
        <v>4.4999999999999997E-3</v>
      </c>
      <c r="U87" s="44">
        <v>4.4999999999999997E-3</v>
      </c>
      <c r="V87" s="44">
        <v>4.4999999999999997E-3</v>
      </c>
      <c r="W87" s="44">
        <v>4.4999999999999997E-3</v>
      </c>
      <c r="X87" s="44">
        <v>4.4999999999999997E-3</v>
      </c>
      <c r="Y87" s="44">
        <v>4.4999999999999997E-3</v>
      </c>
      <c r="Z87" s="44">
        <v>4.4999999999999997E-3</v>
      </c>
      <c r="AA87" s="44">
        <v>4.4999999999999997E-3</v>
      </c>
      <c r="AB87" s="44">
        <v>4.4999999999999997E-3</v>
      </c>
      <c r="AC87"/>
      <c r="AD87" s="44">
        <v>4.4999999999999997E-3</v>
      </c>
      <c r="AE87" s="44">
        <v>4.4999999999999997E-3</v>
      </c>
      <c r="AF87" s="44">
        <v>4.4999999999999997E-3</v>
      </c>
      <c r="AG87" s="44">
        <v>4.4999999999999997E-3</v>
      </c>
      <c r="AH87" s="44">
        <v>4.4999999999999997E-3</v>
      </c>
      <c r="AI87" s="44">
        <v>4.4999999999999997E-3</v>
      </c>
      <c r="AJ87" s="44">
        <v>4.4999999999999997E-3</v>
      </c>
      <c r="AK87"/>
      <c r="AL87" s="44">
        <v>4.4999999999999997E-3</v>
      </c>
      <c r="AM87" s="44">
        <v>4.4999999999999997E-3</v>
      </c>
      <c r="AN87" s="44">
        <v>4.4999999999999997E-3</v>
      </c>
      <c r="AO87" s="44">
        <v>4.4999999999999997E-3</v>
      </c>
      <c r="AP87"/>
      <c r="AQ87" s="44">
        <v>4.4999999999999997E-3</v>
      </c>
      <c r="AR87"/>
      <c r="AS87"/>
      <c r="AT87" s="44">
        <v>4.4999999999999997E-3</v>
      </c>
    </row>
    <row r="88" spans="1:46" x14ac:dyDescent="0.25">
      <c r="A88" s="17" t="s">
        <v>55</v>
      </c>
      <c r="B88" s="3" t="s">
        <v>473</v>
      </c>
      <c r="C88" s="3" t="s">
        <v>483</v>
      </c>
      <c r="D88" s="3" t="s">
        <v>521</v>
      </c>
      <c r="E88" s="18" t="s">
        <v>166</v>
      </c>
      <c r="F88" s="18" t="s">
        <v>100</v>
      </c>
      <c r="G88" s="44">
        <v>0.05</v>
      </c>
      <c r="I88" s="58"/>
      <c r="J88" s="44">
        <v>0.05</v>
      </c>
      <c r="K88" s="44">
        <v>0.05</v>
      </c>
      <c r="M88" s="44">
        <v>0.05</v>
      </c>
      <c r="N88" s="44">
        <v>0.05</v>
      </c>
      <c r="O88" s="44">
        <v>0.05</v>
      </c>
      <c r="R88" s="44">
        <v>0.05</v>
      </c>
      <c r="S88" s="44">
        <v>0.05</v>
      </c>
      <c r="T88" s="44">
        <v>0.05</v>
      </c>
      <c r="U88" s="44">
        <v>0.05</v>
      </c>
      <c r="V88" s="44">
        <v>0.05</v>
      </c>
      <c r="W88" s="44">
        <v>0.05</v>
      </c>
      <c r="X88" s="44">
        <v>0.05</v>
      </c>
      <c r="Y88" s="44">
        <v>0.05</v>
      </c>
      <c r="Z88" s="44">
        <v>0.05</v>
      </c>
      <c r="AA88" s="44">
        <v>0.05</v>
      </c>
      <c r="AB88" s="44">
        <v>0.05</v>
      </c>
      <c r="AC88"/>
      <c r="AD88" s="44">
        <v>0.05</v>
      </c>
      <c r="AE88" s="44">
        <v>0.05</v>
      </c>
      <c r="AF88" s="44">
        <v>0.05</v>
      </c>
      <c r="AG88" s="44">
        <v>0.05</v>
      </c>
      <c r="AH88" s="44">
        <v>0.05</v>
      </c>
      <c r="AI88" s="44">
        <v>0.05</v>
      </c>
      <c r="AJ88" s="44">
        <v>0.05</v>
      </c>
      <c r="AK88"/>
      <c r="AL88" s="44">
        <v>0.05</v>
      </c>
      <c r="AM88" s="44">
        <v>0.05</v>
      </c>
      <c r="AN88" s="44">
        <v>0.05</v>
      </c>
      <c r="AO88" s="44">
        <v>0.05</v>
      </c>
      <c r="AP88"/>
      <c r="AQ88" s="44">
        <v>0.05</v>
      </c>
      <c r="AR88"/>
      <c r="AS88"/>
      <c r="AT88" s="44">
        <v>0.05</v>
      </c>
    </row>
    <row r="89" spans="1:46" x14ac:dyDescent="0.25">
      <c r="A89" s="19" t="s">
        <v>213</v>
      </c>
      <c r="B89" s="3" t="s">
        <v>473</v>
      </c>
      <c r="C89" s="3" t="s">
        <v>483</v>
      </c>
      <c r="D89" s="3" t="s">
        <v>521</v>
      </c>
      <c r="E89" s="20" t="s">
        <v>290</v>
      </c>
      <c r="F89" s="20" t="s">
        <v>98</v>
      </c>
      <c r="G89" s="44">
        <v>6.0000000000000002E-6</v>
      </c>
      <c r="I89" s="58"/>
      <c r="J89" s="44">
        <v>6.0000000000000002E-6</v>
      </c>
      <c r="K89" s="44">
        <v>6.0000000000000002E-6</v>
      </c>
      <c r="M89" s="44">
        <v>6.0000000000000002E-6</v>
      </c>
      <c r="N89" s="44">
        <v>6.0000000000000002E-6</v>
      </c>
      <c r="O89" s="44">
        <v>6.0000000000000002E-6</v>
      </c>
      <c r="R89" s="44">
        <v>6.0000000000000002E-6</v>
      </c>
      <c r="S89" s="44">
        <v>6.0000000000000002E-6</v>
      </c>
      <c r="T89" s="44">
        <v>6.0000000000000002E-6</v>
      </c>
      <c r="U89" s="44">
        <v>6.0000000000000002E-6</v>
      </c>
      <c r="V89" s="44">
        <v>6.0000000000000002E-6</v>
      </c>
      <c r="W89" s="44">
        <v>6.0000000000000002E-6</v>
      </c>
      <c r="X89" s="44">
        <v>6.0000000000000002E-6</v>
      </c>
      <c r="Y89" s="44">
        <v>6.0000000000000002E-6</v>
      </c>
      <c r="Z89" s="44">
        <v>6.0000000000000002E-6</v>
      </c>
      <c r="AA89" s="44">
        <v>6.0000000000000002E-6</v>
      </c>
      <c r="AB89" s="44">
        <v>6.0000000000000002E-6</v>
      </c>
      <c r="AC89"/>
      <c r="AD89" s="44">
        <v>6.0000000000000002E-6</v>
      </c>
      <c r="AE89" s="44">
        <v>6.0000000000000002E-6</v>
      </c>
      <c r="AF89" s="44">
        <v>6.0000000000000002E-6</v>
      </c>
      <c r="AG89" s="44">
        <v>6.0000000000000002E-6</v>
      </c>
      <c r="AH89" s="44">
        <v>6.0000000000000002E-6</v>
      </c>
      <c r="AI89" s="44">
        <v>6.0000000000000002E-6</v>
      </c>
      <c r="AJ89" s="44">
        <v>6.0000000000000002E-6</v>
      </c>
      <c r="AK89"/>
      <c r="AL89" s="44">
        <v>6.0000000000000002E-6</v>
      </c>
      <c r="AM89" s="44">
        <v>6.0000000000000002E-6</v>
      </c>
      <c r="AN89" s="44">
        <v>6.0000000000000002E-6</v>
      </c>
      <c r="AO89" s="44">
        <v>6.0000000000000002E-6</v>
      </c>
      <c r="AP89"/>
      <c r="AQ89" s="44">
        <v>6.0000000000000002E-6</v>
      </c>
      <c r="AR89"/>
      <c r="AS89"/>
      <c r="AT89" s="44">
        <v>6.0000000000000002E-6</v>
      </c>
    </row>
    <row r="90" spans="1:46" x14ac:dyDescent="0.25">
      <c r="A90" s="19" t="s">
        <v>214</v>
      </c>
      <c r="B90" s="3" t="s">
        <v>473</v>
      </c>
      <c r="C90" s="3" t="s">
        <v>483</v>
      </c>
      <c r="D90" s="3" t="s">
        <v>521</v>
      </c>
      <c r="E90" s="20" t="s">
        <v>291</v>
      </c>
      <c r="F90" s="20" t="s">
        <v>98</v>
      </c>
      <c r="G90" s="44">
        <v>1E-3</v>
      </c>
      <c r="I90" s="58"/>
      <c r="J90" s="44">
        <v>1E-3</v>
      </c>
      <c r="K90" s="44">
        <v>1E-3</v>
      </c>
      <c r="M90" s="44">
        <v>1E-3</v>
      </c>
      <c r="N90" s="44">
        <v>1E-3</v>
      </c>
      <c r="O90" s="44">
        <v>1E-3</v>
      </c>
      <c r="R90" s="44">
        <v>1E-3</v>
      </c>
      <c r="S90" s="44">
        <v>1E-3</v>
      </c>
      <c r="T90" s="44">
        <v>1E-3</v>
      </c>
      <c r="U90" s="44">
        <v>1E-3</v>
      </c>
      <c r="V90" s="44">
        <v>1E-3</v>
      </c>
      <c r="W90" s="44">
        <v>1E-3</v>
      </c>
      <c r="X90" s="44">
        <v>1E-3</v>
      </c>
      <c r="Y90" s="44">
        <v>1E-3</v>
      </c>
      <c r="Z90" s="44">
        <v>1E-3</v>
      </c>
      <c r="AA90" s="44">
        <v>1E-3</v>
      </c>
      <c r="AB90" s="44">
        <v>1E-3</v>
      </c>
      <c r="AC90"/>
      <c r="AD90" s="44">
        <v>1E-3</v>
      </c>
      <c r="AE90" s="44">
        <v>1E-3</v>
      </c>
      <c r="AF90" s="44">
        <v>1E-3</v>
      </c>
      <c r="AG90" s="44">
        <v>1E-3</v>
      </c>
      <c r="AH90" s="44">
        <v>1E-3</v>
      </c>
      <c r="AI90" s="44">
        <v>1E-3</v>
      </c>
      <c r="AJ90" s="44">
        <v>1E-3</v>
      </c>
      <c r="AK90"/>
      <c r="AL90" s="44">
        <v>1E-3</v>
      </c>
      <c r="AM90" s="44">
        <v>1E-3</v>
      </c>
      <c r="AN90" s="44">
        <v>1E-3</v>
      </c>
      <c r="AO90" s="44">
        <v>1E-3</v>
      </c>
      <c r="AP90"/>
      <c r="AQ90" s="44">
        <v>1E-3</v>
      </c>
      <c r="AR90"/>
      <c r="AS90"/>
      <c r="AT90" s="44">
        <v>1E-3</v>
      </c>
    </row>
    <row r="91" spans="1:46" x14ac:dyDescent="0.25">
      <c r="A91" s="19" t="s">
        <v>215</v>
      </c>
      <c r="B91" s="3" t="s">
        <v>473</v>
      </c>
      <c r="C91" s="3" t="s">
        <v>483</v>
      </c>
      <c r="D91" s="3" t="s">
        <v>521</v>
      </c>
      <c r="E91" s="20" t="s">
        <v>295</v>
      </c>
      <c r="F91" s="20" t="s">
        <v>294</v>
      </c>
      <c r="G91" s="44">
        <v>374999999.99999994</v>
      </c>
      <c r="I91" s="58"/>
      <c r="J91" s="44">
        <v>374999999.99999994</v>
      </c>
      <c r="K91" s="44">
        <v>374999999.99999994</v>
      </c>
      <c r="M91" s="44">
        <v>374999999.99999994</v>
      </c>
      <c r="N91" s="44">
        <v>374999999.99999994</v>
      </c>
      <c r="O91" s="44">
        <v>374999999.99999994</v>
      </c>
      <c r="R91" s="44">
        <v>374999999.99999994</v>
      </c>
      <c r="S91" s="44">
        <v>374999999.99999994</v>
      </c>
      <c r="T91" s="44">
        <v>374999999.99999994</v>
      </c>
      <c r="U91" s="44">
        <v>374999999.99999994</v>
      </c>
      <c r="V91" s="44">
        <v>374999999.99999994</v>
      </c>
      <c r="W91" s="44">
        <v>374999999.99999994</v>
      </c>
      <c r="X91" s="44">
        <v>374999999.99999994</v>
      </c>
      <c r="Y91" s="44">
        <v>374999999.99999994</v>
      </c>
      <c r="Z91" s="44">
        <v>374999999.99999994</v>
      </c>
      <c r="AA91" s="44">
        <v>374999999.99999994</v>
      </c>
      <c r="AB91" s="44">
        <v>374999999.99999994</v>
      </c>
      <c r="AC91"/>
      <c r="AD91" s="44">
        <v>374999999.99999994</v>
      </c>
      <c r="AE91" s="44">
        <v>374999999.99999994</v>
      </c>
      <c r="AF91" s="44">
        <v>374999999.99999994</v>
      </c>
      <c r="AG91" s="44">
        <v>374999999.99999994</v>
      </c>
      <c r="AH91" s="44">
        <v>374999999.99999994</v>
      </c>
      <c r="AI91" s="44">
        <v>374999999.99999994</v>
      </c>
      <c r="AJ91" s="44">
        <v>374999999.99999994</v>
      </c>
      <c r="AK91"/>
      <c r="AL91" s="44">
        <v>374999999.99999994</v>
      </c>
      <c r="AM91" s="44">
        <v>374999999.99999994</v>
      </c>
      <c r="AN91" s="44">
        <v>374999999.99999994</v>
      </c>
      <c r="AO91" s="44">
        <v>374999999.99999994</v>
      </c>
      <c r="AP91"/>
      <c r="AQ91" s="44">
        <v>374999999.99999994</v>
      </c>
      <c r="AR91"/>
      <c r="AS91"/>
      <c r="AT91" s="44">
        <v>374999999.99999994</v>
      </c>
    </row>
    <row r="92" spans="1:46" x14ac:dyDescent="0.25">
      <c r="A92" s="19" t="s">
        <v>216</v>
      </c>
      <c r="B92" s="3" t="s">
        <v>473</v>
      </c>
      <c r="C92" s="3" t="s">
        <v>483</v>
      </c>
      <c r="D92" s="3" t="s">
        <v>521</v>
      </c>
      <c r="E92" s="20" t="s">
        <v>292</v>
      </c>
      <c r="F92" s="20" t="s">
        <v>297</v>
      </c>
      <c r="G92" s="44">
        <v>3.7037037037037038E-3</v>
      </c>
      <c r="I92" s="58"/>
      <c r="J92" s="44">
        <v>3.7037037037037038E-3</v>
      </c>
      <c r="K92" s="44">
        <v>3.7037037037037038E-3</v>
      </c>
      <c r="M92" s="44">
        <v>3.7037037037037038E-3</v>
      </c>
      <c r="N92" s="44">
        <v>3.7037037037037038E-3</v>
      </c>
      <c r="O92" s="44">
        <v>3.7037037037037038E-3</v>
      </c>
      <c r="R92" s="44">
        <v>3.7037037037037038E-3</v>
      </c>
      <c r="S92" s="44">
        <v>3.7037037037037038E-3</v>
      </c>
      <c r="T92" s="44">
        <v>3.7037037037037038E-3</v>
      </c>
      <c r="U92" s="44">
        <v>3.7037037037037038E-3</v>
      </c>
      <c r="V92" s="44">
        <v>3.7037037037037038E-3</v>
      </c>
      <c r="W92" s="44">
        <v>3.7037037037037038E-3</v>
      </c>
      <c r="X92" s="44">
        <v>3.7037037037037038E-3</v>
      </c>
      <c r="Y92" s="44">
        <v>3.7037037037037038E-3</v>
      </c>
      <c r="Z92" s="44">
        <v>3.7037037037037038E-3</v>
      </c>
      <c r="AA92" s="44">
        <v>3.7037037037037038E-3</v>
      </c>
      <c r="AB92" s="44">
        <v>3.7037037037037038E-3</v>
      </c>
      <c r="AC92"/>
      <c r="AD92" s="44">
        <v>3.7037037037037038E-3</v>
      </c>
      <c r="AE92" s="44">
        <v>3.7037037037037038E-3</v>
      </c>
      <c r="AF92" s="44">
        <v>3.7037037037037038E-3</v>
      </c>
      <c r="AG92" s="44">
        <v>3.7037037037037038E-3</v>
      </c>
      <c r="AH92" s="44">
        <v>3.7037037037037038E-3</v>
      </c>
      <c r="AI92" s="44">
        <v>3.7037037037037038E-3</v>
      </c>
      <c r="AJ92" s="44">
        <v>3.7037037037037038E-3</v>
      </c>
      <c r="AK92"/>
      <c r="AL92" s="44">
        <v>3.7037037037037038E-3</v>
      </c>
      <c r="AM92" s="44">
        <v>3.7037037037037038E-3</v>
      </c>
      <c r="AN92" s="44">
        <v>3.7037037037037038E-3</v>
      </c>
      <c r="AO92" s="44">
        <v>3.7037037037037038E-3</v>
      </c>
      <c r="AP92"/>
      <c r="AQ92" s="44">
        <v>3.7037037037037038E-3</v>
      </c>
      <c r="AR92"/>
      <c r="AS92"/>
      <c r="AT92" s="44">
        <v>3.7037037037037038E-3</v>
      </c>
    </row>
    <row r="93" spans="1:46" x14ac:dyDescent="0.25">
      <c r="A93" s="19" t="s">
        <v>217</v>
      </c>
      <c r="B93" s="3" t="s">
        <v>473</v>
      </c>
      <c r="C93" s="3" t="s">
        <v>483</v>
      </c>
      <c r="D93" s="3" t="s">
        <v>521</v>
      </c>
      <c r="E93" s="20" t="s">
        <v>293</v>
      </c>
      <c r="F93" s="20" t="s">
        <v>296</v>
      </c>
      <c r="G93" s="44">
        <v>165600</v>
      </c>
      <c r="I93" s="58"/>
      <c r="J93" s="44">
        <v>165600</v>
      </c>
      <c r="K93" s="44">
        <v>165600</v>
      </c>
      <c r="M93" s="44">
        <v>165600</v>
      </c>
      <c r="N93" s="44">
        <v>165600</v>
      </c>
      <c r="O93" s="44">
        <v>165600</v>
      </c>
      <c r="R93" s="44">
        <v>165600</v>
      </c>
      <c r="S93" s="44">
        <v>165600</v>
      </c>
      <c r="T93" s="44">
        <v>165600</v>
      </c>
      <c r="U93" s="44">
        <v>165600</v>
      </c>
      <c r="V93" s="44">
        <v>165600</v>
      </c>
      <c r="W93" s="44">
        <v>165600</v>
      </c>
      <c r="X93" s="44">
        <v>165600</v>
      </c>
      <c r="Y93" s="44">
        <v>165600</v>
      </c>
      <c r="Z93" s="44">
        <v>165600</v>
      </c>
      <c r="AA93" s="44">
        <v>165600</v>
      </c>
      <c r="AB93" s="44">
        <v>165600</v>
      </c>
      <c r="AC93"/>
      <c r="AD93" s="44">
        <v>165600</v>
      </c>
      <c r="AE93" s="44">
        <v>165600</v>
      </c>
      <c r="AF93" s="44">
        <v>165600</v>
      </c>
      <c r="AG93" s="44">
        <v>165600</v>
      </c>
      <c r="AH93" s="44">
        <v>165600</v>
      </c>
      <c r="AI93" s="44">
        <v>165600</v>
      </c>
      <c r="AJ93" s="44">
        <v>165600</v>
      </c>
      <c r="AK93"/>
      <c r="AL93" s="44">
        <v>165600</v>
      </c>
      <c r="AM93" s="44">
        <v>165600</v>
      </c>
      <c r="AN93" s="44">
        <v>165600</v>
      </c>
      <c r="AO93" s="44">
        <v>165600</v>
      </c>
      <c r="AP93"/>
      <c r="AQ93" s="44">
        <v>165600</v>
      </c>
      <c r="AR93"/>
      <c r="AS93"/>
      <c r="AT93" s="44">
        <v>165600</v>
      </c>
    </row>
    <row r="94" spans="1:46" x14ac:dyDescent="0.25">
      <c r="A94" s="13" t="s">
        <v>60</v>
      </c>
      <c r="B94" s="3" t="s">
        <v>473</v>
      </c>
      <c r="C94" s="3" t="s">
        <v>483</v>
      </c>
      <c r="D94" s="3" t="s">
        <v>521</v>
      </c>
      <c r="E94" s="14" t="s">
        <v>171</v>
      </c>
      <c r="F94" s="14" t="s">
        <v>109</v>
      </c>
      <c r="G94" s="44">
        <v>20</v>
      </c>
      <c r="I94" s="58"/>
      <c r="J94" s="44">
        <v>20</v>
      </c>
      <c r="K94" s="44">
        <v>20</v>
      </c>
      <c r="M94" s="44">
        <v>20</v>
      </c>
      <c r="N94" s="44">
        <v>20</v>
      </c>
      <c r="O94" s="44">
        <v>20</v>
      </c>
      <c r="R94" s="44">
        <v>20</v>
      </c>
      <c r="S94" s="44">
        <v>20</v>
      </c>
      <c r="T94" s="44">
        <v>20</v>
      </c>
      <c r="U94" s="44">
        <v>20</v>
      </c>
      <c r="V94" s="44">
        <v>20</v>
      </c>
      <c r="W94" s="44">
        <v>20</v>
      </c>
      <c r="X94" s="44">
        <v>20</v>
      </c>
      <c r="Y94" s="44">
        <v>20</v>
      </c>
      <c r="Z94" s="44">
        <v>20</v>
      </c>
      <c r="AA94" s="44">
        <v>20</v>
      </c>
      <c r="AB94" s="44">
        <v>20</v>
      </c>
      <c r="AC94"/>
      <c r="AD94" s="44">
        <v>20</v>
      </c>
      <c r="AE94" s="44">
        <v>20</v>
      </c>
      <c r="AF94" s="44">
        <v>20</v>
      </c>
      <c r="AG94" s="44">
        <v>20</v>
      </c>
      <c r="AH94" s="44">
        <v>20</v>
      </c>
      <c r="AI94" s="44">
        <v>20</v>
      </c>
      <c r="AJ94" s="44">
        <v>20</v>
      </c>
      <c r="AK94"/>
      <c r="AL94" s="44">
        <v>20</v>
      </c>
      <c r="AM94" s="44">
        <v>20</v>
      </c>
      <c r="AN94" s="44">
        <v>20</v>
      </c>
      <c r="AO94" s="44">
        <v>20</v>
      </c>
      <c r="AP94"/>
      <c r="AQ94" s="44">
        <v>20</v>
      </c>
      <c r="AR94"/>
      <c r="AS94"/>
      <c r="AT94" s="44">
        <v>20</v>
      </c>
    </row>
    <row r="95" spans="1:46" x14ac:dyDescent="0.25">
      <c r="A95" s="13" t="s">
        <v>208</v>
      </c>
      <c r="B95" s="3" t="s">
        <v>473</v>
      </c>
      <c r="C95" s="3" t="s">
        <v>483</v>
      </c>
      <c r="D95" s="3" t="s">
        <v>521</v>
      </c>
      <c r="E95" s="14" t="s">
        <v>289</v>
      </c>
      <c r="F95" s="14" t="s">
        <v>100</v>
      </c>
      <c r="G95" s="44">
        <v>1</v>
      </c>
      <c r="I95" s="58"/>
      <c r="J95" s="44">
        <v>1</v>
      </c>
      <c r="K95" s="44">
        <v>1</v>
      </c>
      <c r="M95" s="44">
        <v>1</v>
      </c>
      <c r="N95" s="44">
        <v>1</v>
      </c>
      <c r="O95" s="44">
        <v>1</v>
      </c>
      <c r="R95" s="44">
        <v>1</v>
      </c>
      <c r="S95" s="44">
        <v>1</v>
      </c>
      <c r="T95" s="44">
        <v>1</v>
      </c>
      <c r="U95" s="44">
        <v>1</v>
      </c>
      <c r="V95" s="44">
        <v>1</v>
      </c>
      <c r="W95" s="44">
        <v>1</v>
      </c>
      <c r="X95" s="44">
        <v>1</v>
      </c>
      <c r="Y95" s="44">
        <v>1</v>
      </c>
      <c r="Z95" s="44">
        <v>1</v>
      </c>
      <c r="AA95" s="44">
        <v>1</v>
      </c>
      <c r="AB95" s="44">
        <v>1</v>
      </c>
      <c r="AC95"/>
      <c r="AD95" s="44">
        <v>1</v>
      </c>
      <c r="AE95" s="44">
        <v>1</v>
      </c>
      <c r="AF95" s="44">
        <v>1</v>
      </c>
      <c r="AG95" s="44">
        <v>1</v>
      </c>
      <c r="AH95" s="44">
        <v>1</v>
      </c>
      <c r="AI95" s="44">
        <v>1</v>
      </c>
      <c r="AJ95" s="44">
        <v>1</v>
      </c>
      <c r="AK95"/>
      <c r="AL95" s="44">
        <v>1</v>
      </c>
      <c r="AM95" s="44">
        <v>1</v>
      </c>
      <c r="AN95" s="44">
        <v>1</v>
      </c>
      <c r="AO95" s="44">
        <v>1</v>
      </c>
      <c r="AP95"/>
      <c r="AQ95" s="44">
        <v>1</v>
      </c>
      <c r="AR95"/>
      <c r="AS95"/>
      <c r="AT95" s="44">
        <v>1</v>
      </c>
    </row>
    <row r="96" spans="1:46" x14ac:dyDescent="0.25">
      <c r="A96" s="13" t="s">
        <v>59</v>
      </c>
      <c r="B96" s="3" t="s">
        <v>473</v>
      </c>
      <c r="C96" s="3" t="s">
        <v>483</v>
      </c>
      <c r="D96" s="3" t="s">
        <v>521</v>
      </c>
      <c r="E96" s="14" t="s">
        <v>170</v>
      </c>
      <c r="F96" s="14" t="s">
        <v>102</v>
      </c>
      <c r="G96" s="44">
        <v>21</v>
      </c>
      <c r="I96" s="58"/>
      <c r="J96" s="44">
        <v>21</v>
      </c>
      <c r="K96" s="44">
        <v>21</v>
      </c>
      <c r="M96" s="44">
        <v>21</v>
      </c>
      <c r="N96" s="44">
        <v>21</v>
      </c>
      <c r="O96" s="44">
        <v>21</v>
      </c>
      <c r="R96" s="44">
        <v>21</v>
      </c>
      <c r="S96" s="44">
        <v>21</v>
      </c>
      <c r="T96" s="44">
        <v>21</v>
      </c>
      <c r="U96" s="44">
        <v>21</v>
      </c>
      <c r="V96" s="44">
        <v>21</v>
      </c>
      <c r="W96" s="44">
        <v>21</v>
      </c>
      <c r="X96" s="44">
        <v>21</v>
      </c>
      <c r="Y96" s="44">
        <v>21</v>
      </c>
      <c r="Z96" s="44">
        <v>21</v>
      </c>
      <c r="AA96" s="44">
        <v>21</v>
      </c>
      <c r="AB96" s="44">
        <v>21</v>
      </c>
      <c r="AC96"/>
      <c r="AD96" s="44">
        <v>21</v>
      </c>
      <c r="AE96" s="44">
        <v>21</v>
      </c>
      <c r="AF96" s="44">
        <v>21</v>
      </c>
      <c r="AG96" s="44">
        <v>21</v>
      </c>
      <c r="AH96" s="44">
        <v>21</v>
      </c>
      <c r="AI96" s="44">
        <v>21</v>
      </c>
      <c r="AJ96" s="44">
        <v>21</v>
      </c>
      <c r="AK96"/>
      <c r="AL96" s="44">
        <v>21</v>
      </c>
      <c r="AM96" s="44">
        <v>21</v>
      </c>
      <c r="AN96" s="44">
        <v>21</v>
      </c>
      <c r="AO96" s="44">
        <v>21</v>
      </c>
      <c r="AP96"/>
      <c r="AQ96" s="44">
        <v>21</v>
      </c>
      <c r="AR96"/>
      <c r="AS96"/>
      <c r="AT96" s="44">
        <v>21</v>
      </c>
    </row>
    <row r="97" spans="1:46" x14ac:dyDescent="0.25">
      <c r="A97" s="23" t="s">
        <v>65</v>
      </c>
      <c r="B97" s="3" t="s">
        <v>473</v>
      </c>
      <c r="C97" s="3" t="s">
        <v>483</v>
      </c>
      <c r="D97" s="3" t="s">
        <v>521</v>
      </c>
      <c r="E97" s="24" t="s">
        <v>176</v>
      </c>
      <c r="F97" s="24" t="s">
        <v>182</v>
      </c>
      <c r="G97" s="44">
        <v>0.64</v>
      </c>
      <c r="I97" s="58"/>
      <c r="J97" s="44">
        <v>0.64</v>
      </c>
      <c r="K97" s="44">
        <v>0.64</v>
      </c>
      <c r="M97" s="44">
        <v>0.64</v>
      </c>
      <c r="N97" s="44">
        <v>0.64</v>
      </c>
      <c r="O97" s="44">
        <v>0.64</v>
      </c>
      <c r="R97" s="44">
        <v>0.64</v>
      </c>
      <c r="S97" s="44">
        <v>0.64</v>
      </c>
      <c r="T97" s="44">
        <v>0.64</v>
      </c>
      <c r="U97" s="44">
        <v>0.64</v>
      </c>
      <c r="V97" s="44">
        <v>0.64</v>
      </c>
      <c r="W97" s="44">
        <v>0.64</v>
      </c>
      <c r="X97" s="44">
        <v>0.64</v>
      </c>
      <c r="Y97" s="44">
        <v>0.64</v>
      </c>
      <c r="Z97" s="44">
        <v>0.64</v>
      </c>
      <c r="AA97" s="44">
        <v>0.64</v>
      </c>
      <c r="AB97" s="44">
        <v>0.64</v>
      </c>
      <c r="AC97"/>
      <c r="AD97" s="44">
        <v>0.64</v>
      </c>
      <c r="AE97" s="44">
        <v>0.64</v>
      </c>
      <c r="AF97" s="44">
        <v>0.64</v>
      </c>
      <c r="AG97" s="44">
        <v>0.64</v>
      </c>
      <c r="AH97" s="44">
        <v>0.64</v>
      </c>
      <c r="AI97" s="44">
        <v>0.64</v>
      </c>
      <c r="AJ97" s="44">
        <v>0.64</v>
      </c>
      <c r="AK97"/>
      <c r="AL97" s="44">
        <v>0.64</v>
      </c>
      <c r="AM97" s="44">
        <v>0.64</v>
      </c>
      <c r="AN97" s="44">
        <v>0.64</v>
      </c>
      <c r="AO97" s="44">
        <v>0.64</v>
      </c>
      <c r="AP97"/>
      <c r="AQ97" s="44">
        <v>0.64</v>
      </c>
      <c r="AR97"/>
      <c r="AS97"/>
      <c r="AT97" s="44">
        <v>0.64</v>
      </c>
    </row>
    <row r="98" spans="1:46" x14ac:dyDescent="0.25">
      <c r="A98" s="23" t="s">
        <v>366</v>
      </c>
      <c r="B98" s="3" t="s">
        <v>473</v>
      </c>
      <c r="C98" s="3" t="s">
        <v>483</v>
      </c>
      <c r="D98" s="3" t="s">
        <v>521</v>
      </c>
      <c r="E98" s="24" t="s">
        <v>369</v>
      </c>
      <c r="F98" s="24" t="s">
        <v>182</v>
      </c>
      <c r="G98" s="44">
        <v>8</v>
      </c>
      <c r="I98" s="58"/>
      <c r="J98" s="44">
        <v>8</v>
      </c>
      <c r="K98" s="44">
        <v>8</v>
      </c>
      <c r="M98" s="44">
        <v>8</v>
      </c>
      <c r="N98" s="44">
        <v>8</v>
      </c>
      <c r="O98" s="44">
        <v>8</v>
      </c>
      <c r="R98" s="44">
        <v>8</v>
      </c>
      <c r="S98" s="44">
        <v>8</v>
      </c>
      <c r="T98" s="44">
        <v>8</v>
      </c>
      <c r="U98" s="44">
        <v>8</v>
      </c>
      <c r="V98" s="44">
        <v>8</v>
      </c>
      <c r="W98" s="44">
        <v>8</v>
      </c>
      <c r="X98" s="44">
        <v>8</v>
      </c>
      <c r="Y98" s="44">
        <v>8</v>
      </c>
      <c r="Z98" s="44">
        <v>8</v>
      </c>
      <c r="AA98" s="44">
        <v>8</v>
      </c>
      <c r="AB98" s="44">
        <v>8</v>
      </c>
      <c r="AC98"/>
      <c r="AD98" s="44">
        <v>8</v>
      </c>
      <c r="AE98" s="44">
        <v>8</v>
      </c>
      <c r="AF98" s="44">
        <v>8</v>
      </c>
      <c r="AG98" s="44">
        <v>8</v>
      </c>
      <c r="AH98" s="44">
        <v>8</v>
      </c>
      <c r="AI98" s="44">
        <v>8</v>
      </c>
      <c r="AJ98" s="44">
        <v>8</v>
      </c>
      <c r="AK98"/>
      <c r="AL98" s="44">
        <v>8</v>
      </c>
      <c r="AM98" s="44">
        <v>8</v>
      </c>
      <c r="AN98" s="44">
        <v>8</v>
      </c>
      <c r="AO98" s="44">
        <v>8</v>
      </c>
      <c r="AP98"/>
      <c r="AQ98" s="44">
        <v>8</v>
      </c>
      <c r="AR98"/>
      <c r="AS98"/>
      <c r="AT98" s="44">
        <v>8</v>
      </c>
    </row>
    <row r="99" spans="1:46" x14ac:dyDescent="0.25">
      <c r="A99" s="23" t="s">
        <v>367</v>
      </c>
      <c r="B99" s="3" t="s">
        <v>473</v>
      </c>
      <c r="C99" s="3" t="s">
        <v>483</v>
      </c>
      <c r="D99" s="3" t="s">
        <v>521</v>
      </c>
      <c r="E99" s="24" t="s">
        <v>370</v>
      </c>
      <c r="F99" s="24" t="s">
        <v>182</v>
      </c>
      <c r="G99" s="44">
        <v>10</v>
      </c>
      <c r="I99" s="58"/>
      <c r="J99" s="44">
        <v>10</v>
      </c>
      <c r="K99" s="44">
        <v>10</v>
      </c>
      <c r="M99" s="44">
        <v>10</v>
      </c>
      <c r="N99" s="44">
        <v>10</v>
      </c>
      <c r="O99" s="44">
        <v>10</v>
      </c>
      <c r="R99" s="44">
        <v>10</v>
      </c>
      <c r="S99" s="44">
        <v>10</v>
      </c>
      <c r="T99" s="44">
        <v>10</v>
      </c>
      <c r="U99" s="44">
        <v>10</v>
      </c>
      <c r="V99" s="44">
        <v>10</v>
      </c>
      <c r="W99" s="44">
        <v>10</v>
      </c>
      <c r="X99" s="44">
        <v>10</v>
      </c>
      <c r="Y99" s="44">
        <v>10</v>
      </c>
      <c r="Z99" s="44">
        <v>10</v>
      </c>
      <c r="AA99" s="44">
        <v>10</v>
      </c>
      <c r="AB99" s="44">
        <v>10</v>
      </c>
      <c r="AC99"/>
      <c r="AD99" s="44">
        <v>10</v>
      </c>
      <c r="AE99" s="44">
        <v>10</v>
      </c>
      <c r="AF99" s="44">
        <v>10</v>
      </c>
      <c r="AG99" s="44">
        <v>10</v>
      </c>
      <c r="AH99" s="44">
        <v>10</v>
      </c>
      <c r="AI99" s="44">
        <v>10</v>
      </c>
      <c r="AJ99" s="44">
        <v>10</v>
      </c>
      <c r="AK99"/>
      <c r="AL99" s="44">
        <v>10</v>
      </c>
      <c r="AM99" s="44">
        <v>10</v>
      </c>
      <c r="AN99" s="44">
        <v>10</v>
      </c>
      <c r="AO99" s="44">
        <v>10</v>
      </c>
      <c r="AP99"/>
      <c r="AQ99" s="44">
        <v>10</v>
      </c>
      <c r="AR99"/>
      <c r="AS99"/>
      <c r="AT99" s="44">
        <v>10</v>
      </c>
    </row>
    <row r="100" spans="1:46" x14ac:dyDescent="0.25">
      <c r="A100" s="23" t="s">
        <v>368</v>
      </c>
      <c r="B100" s="3" t="s">
        <v>473</v>
      </c>
      <c r="C100" s="3" t="s">
        <v>483</v>
      </c>
      <c r="D100" s="3" t="s">
        <v>521</v>
      </c>
      <c r="E100" s="24" t="s">
        <v>371</v>
      </c>
      <c r="F100" s="24" t="s">
        <v>182</v>
      </c>
      <c r="G100" s="44">
        <v>8</v>
      </c>
      <c r="I100" s="58"/>
      <c r="J100" s="44">
        <v>8</v>
      </c>
      <c r="K100" s="44">
        <v>8</v>
      </c>
      <c r="M100" s="44">
        <v>8</v>
      </c>
      <c r="N100" s="44">
        <v>8</v>
      </c>
      <c r="O100" s="44">
        <v>8</v>
      </c>
      <c r="R100" s="44">
        <v>8</v>
      </c>
      <c r="S100" s="44">
        <v>8</v>
      </c>
      <c r="T100" s="44">
        <v>8</v>
      </c>
      <c r="U100" s="44">
        <v>8</v>
      </c>
      <c r="V100" s="44">
        <v>8</v>
      </c>
      <c r="W100" s="44">
        <v>8</v>
      </c>
      <c r="X100" s="44">
        <v>8</v>
      </c>
      <c r="Y100" s="44">
        <v>8</v>
      </c>
      <c r="Z100" s="44">
        <v>8</v>
      </c>
      <c r="AA100" s="44">
        <v>8</v>
      </c>
      <c r="AB100" s="44">
        <v>8</v>
      </c>
      <c r="AC100"/>
      <c r="AD100" s="44">
        <v>8</v>
      </c>
      <c r="AE100" s="44">
        <v>8</v>
      </c>
      <c r="AF100" s="44">
        <v>8</v>
      </c>
      <c r="AG100" s="44">
        <v>8</v>
      </c>
      <c r="AH100" s="44">
        <v>8</v>
      </c>
      <c r="AI100" s="44">
        <v>8</v>
      </c>
      <c r="AJ100" s="44">
        <v>8</v>
      </c>
      <c r="AK100"/>
      <c r="AL100" s="44">
        <v>8</v>
      </c>
      <c r="AM100" s="44">
        <v>8</v>
      </c>
      <c r="AN100" s="44">
        <v>8</v>
      </c>
      <c r="AO100" s="44">
        <v>8</v>
      </c>
      <c r="AP100"/>
      <c r="AQ100" s="44">
        <v>8</v>
      </c>
      <c r="AR100"/>
      <c r="AS100"/>
      <c r="AT100" s="44">
        <v>8</v>
      </c>
    </row>
    <row r="101" spans="1:46" x14ac:dyDescent="0.25">
      <c r="A101" s="23" t="s">
        <v>383</v>
      </c>
      <c r="B101" s="3" t="s">
        <v>473</v>
      </c>
      <c r="C101" s="3" t="s">
        <v>483</v>
      </c>
      <c r="D101" s="3" t="s">
        <v>521</v>
      </c>
      <c r="E101" s="24" t="s">
        <v>384</v>
      </c>
      <c r="F101" s="24" t="s">
        <v>102</v>
      </c>
      <c r="G101" s="44">
        <v>1</v>
      </c>
      <c r="I101" s="58"/>
      <c r="J101" s="44">
        <v>1</v>
      </c>
      <c r="K101" s="44">
        <v>1</v>
      </c>
      <c r="M101" s="44">
        <v>1</v>
      </c>
      <c r="N101" s="44">
        <v>1</v>
      </c>
      <c r="O101" s="44">
        <v>1</v>
      </c>
      <c r="R101" s="44">
        <v>1</v>
      </c>
      <c r="S101" s="44">
        <v>1</v>
      </c>
      <c r="T101" s="44">
        <v>1</v>
      </c>
      <c r="U101" s="44">
        <v>1</v>
      </c>
      <c r="V101" s="44">
        <v>1</v>
      </c>
      <c r="W101" s="44">
        <v>1</v>
      </c>
      <c r="X101" s="44">
        <v>1</v>
      </c>
      <c r="Y101" s="44">
        <v>1</v>
      </c>
      <c r="Z101" s="44">
        <v>1</v>
      </c>
      <c r="AA101" s="44">
        <v>1</v>
      </c>
      <c r="AB101" s="44">
        <v>1</v>
      </c>
      <c r="AC101"/>
      <c r="AD101" s="44">
        <v>1</v>
      </c>
      <c r="AE101" s="44">
        <v>1</v>
      </c>
      <c r="AF101" s="44">
        <v>1</v>
      </c>
      <c r="AG101" s="44">
        <v>1</v>
      </c>
      <c r="AH101" s="44">
        <v>1</v>
      </c>
      <c r="AI101" s="44">
        <v>1</v>
      </c>
      <c r="AJ101" s="44">
        <v>1</v>
      </c>
      <c r="AK101"/>
      <c r="AL101" s="44">
        <v>1</v>
      </c>
      <c r="AM101" s="44">
        <v>1</v>
      </c>
      <c r="AN101" s="44">
        <v>1</v>
      </c>
      <c r="AO101" s="44">
        <v>1</v>
      </c>
      <c r="AP101"/>
      <c r="AQ101" s="44">
        <v>1</v>
      </c>
      <c r="AR101"/>
      <c r="AS101"/>
      <c r="AT101" s="44">
        <v>1</v>
      </c>
    </row>
    <row r="102" spans="1:46" x14ac:dyDescent="0.25">
      <c r="A102" s="23" t="s">
        <v>385</v>
      </c>
      <c r="B102" s="3" t="s">
        <v>473</v>
      </c>
      <c r="C102" s="3" t="s">
        <v>483</v>
      </c>
      <c r="D102" s="3" t="s">
        <v>521</v>
      </c>
      <c r="E102" s="24" t="s">
        <v>386</v>
      </c>
      <c r="F102" s="24" t="s">
        <v>399</v>
      </c>
      <c r="G102" s="44">
        <v>0.5</v>
      </c>
      <c r="I102" s="58"/>
      <c r="J102" s="44">
        <v>0.5</v>
      </c>
      <c r="K102" s="44">
        <v>0.5</v>
      </c>
      <c r="M102" s="44">
        <v>0.5</v>
      </c>
      <c r="N102" s="44">
        <v>0.5</v>
      </c>
      <c r="O102" s="44">
        <v>0.5</v>
      </c>
      <c r="R102" s="44">
        <v>0.5</v>
      </c>
      <c r="S102" s="44">
        <v>0.5</v>
      </c>
      <c r="T102" s="44">
        <v>0.5</v>
      </c>
      <c r="U102" s="44">
        <v>0.5</v>
      </c>
      <c r="V102" s="44">
        <v>0.5</v>
      </c>
      <c r="W102" s="44">
        <v>0.5</v>
      </c>
      <c r="X102" s="44">
        <v>0.5</v>
      </c>
      <c r="Y102" s="44">
        <v>0.5</v>
      </c>
      <c r="Z102" s="44">
        <v>0.5</v>
      </c>
      <c r="AA102" s="44">
        <v>0.5</v>
      </c>
      <c r="AB102" s="44">
        <v>0.5</v>
      </c>
      <c r="AC102"/>
      <c r="AD102" s="44">
        <v>0.5</v>
      </c>
      <c r="AE102" s="44">
        <v>0.5</v>
      </c>
      <c r="AF102" s="44">
        <v>0.5</v>
      </c>
      <c r="AG102" s="44">
        <v>0.5</v>
      </c>
      <c r="AH102" s="44">
        <v>0.5</v>
      </c>
      <c r="AI102" s="44">
        <v>0.5</v>
      </c>
      <c r="AJ102" s="44">
        <v>0.5</v>
      </c>
      <c r="AK102"/>
      <c r="AL102" s="44">
        <v>0.5</v>
      </c>
      <c r="AM102" s="44">
        <v>0.5</v>
      </c>
      <c r="AN102" s="44">
        <v>0.5</v>
      </c>
      <c r="AO102" s="44">
        <v>0.5</v>
      </c>
      <c r="AP102"/>
      <c r="AQ102" s="44">
        <v>0.5</v>
      </c>
      <c r="AR102"/>
      <c r="AS102"/>
      <c r="AT102" s="44">
        <v>0.5</v>
      </c>
    </row>
    <row r="103" spans="1:46" x14ac:dyDescent="0.25">
      <c r="A103" s="23" t="s">
        <v>512</v>
      </c>
      <c r="B103" s="3" t="s">
        <v>473</v>
      </c>
      <c r="C103" s="3" t="s">
        <v>483</v>
      </c>
      <c r="D103" s="3" t="s">
        <v>521</v>
      </c>
      <c r="E103" s="24" t="s">
        <v>513</v>
      </c>
      <c r="F103" s="24" t="s">
        <v>486</v>
      </c>
      <c r="G103" s="44">
        <f t="shared" ref="G103" si="0">G101</f>
        <v>1</v>
      </c>
      <c r="I103" s="58"/>
      <c r="J103" s="44">
        <f t="shared" ref="J103:AT103" si="1">10/0.1</f>
        <v>100</v>
      </c>
      <c r="K103" s="44">
        <f t="shared" si="1"/>
        <v>100</v>
      </c>
      <c r="M103" s="44">
        <f t="shared" si="1"/>
        <v>100</v>
      </c>
      <c r="N103" s="44">
        <f t="shared" si="1"/>
        <v>100</v>
      </c>
      <c r="O103" s="44">
        <f t="shared" si="1"/>
        <v>100</v>
      </c>
      <c r="R103" s="44">
        <f t="shared" si="1"/>
        <v>100</v>
      </c>
      <c r="S103" s="44">
        <f t="shared" si="1"/>
        <v>100</v>
      </c>
      <c r="T103" s="44">
        <f t="shared" si="1"/>
        <v>100</v>
      </c>
      <c r="U103" s="44">
        <f t="shared" si="1"/>
        <v>100</v>
      </c>
      <c r="V103" s="44">
        <f t="shared" si="1"/>
        <v>100</v>
      </c>
      <c r="W103" s="44">
        <f t="shared" si="1"/>
        <v>100</v>
      </c>
      <c r="X103" s="44">
        <f t="shared" si="1"/>
        <v>100</v>
      </c>
      <c r="Y103" s="44">
        <f t="shared" si="1"/>
        <v>100</v>
      </c>
      <c r="Z103" s="44">
        <f t="shared" si="1"/>
        <v>100</v>
      </c>
      <c r="AA103" s="44">
        <f t="shared" si="1"/>
        <v>100</v>
      </c>
      <c r="AB103" s="44">
        <f t="shared" si="1"/>
        <v>100</v>
      </c>
      <c r="AC103"/>
      <c r="AD103" s="44">
        <f t="shared" si="1"/>
        <v>100</v>
      </c>
      <c r="AE103" s="44">
        <f t="shared" si="1"/>
        <v>100</v>
      </c>
      <c r="AF103" s="44">
        <f t="shared" si="1"/>
        <v>100</v>
      </c>
      <c r="AG103" s="44">
        <f t="shared" si="1"/>
        <v>100</v>
      </c>
      <c r="AH103" s="44">
        <f t="shared" si="1"/>
        <v>100</v>
      </c>
      <c r="AI103" s="44">
        <f t="shared" si="1"/>
        <v>100</v>
      </c>
      <c r="AJ103" s="44">
        <f t="shared" si="1"/>
        <v>100</v>
      </c>
      <c r="AK103"/>
      <c r="AL103" s="44">
        <f t="shared" si="1"/>
        <v>100</v>
      </c>
      <c r="AM103" s="44">
        <f t="shared" si="1"/>
        <v>100</v>
      </c>
      <c r="AN103" s="44">
        <f t="shared" si="1"/>
        <v>100</v>
      </c>
      <c r="AO103" s="44">
        <f t="shared" si="1"/>
        <v>100</v>
      </c>
      <c r="AP103"/>
      <c r="AQ103" s="44">
        <f t="shared" si="1"/>
        <v>100</v>
      </c>
      <c r="AR103"/>
      <c r="AS103"/>
      <c r="AT103" s="44">
        <f t="shared" si="1"/>
        <v>100</v>
      </c>
    </row>
    <row r="104" spans="1:46" x14ac:dyDescent="0.25">
      <c r="A104" s="23" t="s">
        <v>514</v>
      </c>
      <c r="B104" s="3" t="s">
        <v>473</v>
      </c>
      <c r="C104" s="3" t="s">
        <v>483</v>
      </c>
      <c r="D104" s="3" t="s">
        <v>521</v>
      </c>
      <c r="E104" s="24" t="s">
        <v>513</v>
      </c>
      <c r="F104" s="24" t="s">
        <v>486</v>
      </c>
      <c r="G104" s="44">
        <f>3*G101</f>
        <v>3</v>
      </c>
      <c r="I104" s="58"/>
      <c r="J104" s="44">
        <f t="shared" ref="J104:AT104" si="2">150/0.1</f>
        <v>1500</v>
      </c>
      <c r="K104" s="44">
        <f t="shared" si="2"/>
        <v>1500</v>
      </c>
      <c r="M104" s="44">
        <f t="shared" si="2"/>
        <v>1500</v>
      </c>
      <c r="N104" s="44">
        <f t="shared" si="2"/>
        <v>1500</v>
      </c>
      <c r="O104" s="44">
        <f t="shared" si="2"/>
        <v>1500</v>
      </c>
      <c r="R104" s="44">
        <f t="shared" si="2"/>
        <v>1500</v>
      </c>
      <c r="S104" s="44">
        <f t="shared" si="2"/>
        <v>1500</v>
      </c>
      <c r="T104" s="44">
        <f t="shared" si="2"/>
        <v>1500</v>
      </c>
      <c r="U104" s="44">
        <f t="shared" si="2"/>
        <v>1500</v>
      </c>
      <c r="V104" s="44">
        <f t="shared" si="2"/>
        <v>1500</v>
      </c>
      <c r="W104" s="44">
        <f t="shared" si="2"/>
        <v>1500</v>
      </c>
      <c r="X104" s="44">
        <f t="shared" si="2"/>
        <v>1500</v>
      </c>
      <c r="Y104" s="44">
        <f t="shared" si="2"/>
        <v>1500</v>
      </c>
      <c r="Z104" s="44">
        <f t="shared" si="2"/>
        <v>1500</v>
      </c>
      <c r="AA104" s="44">
        <f t="shared" si="2"/>
        <v>1500</v>
      </c>
      <c r="AB104" s="44">
        <f t="shared" si="2"/>
        <v>1500</v>
      </c>
      <c r="AC104"/>
      <c r="AD104" s="44">
        <f t="shared" si="2"/>
        <v>1500</v>
      </c>
      <c r="AE104" s="44">
        <f t="shared" si="2"/>
        <v>1500</v>
      </c>
      <c r="AF104" s="44">
        <f t="shared" si="2"/>
        <v>1500</v>
      </c>
      <c r="AG104" s="44">
        <f t="shared" si="2"/>
        <v>1500</v>
      </c>
      <c r="AH104" s="44">
        <f t="shared" si="2"/>
        <v>1500</v>
      </c>
      <c r="AI104" s="44">
        <f t="shared" si="2"/>
        <v>1500</v>
      </c>
      <c r="AJ104" s="44">
        <f t="shared" si="2"/>
        <v>1500</v>
      </c>
      <c r="AK104"/>
      <c r="AL104" s="44">
        <f t="shared" si="2"/>
        <v>1500</v>
      </c>
      <c r="AM104" s="44">
        <f t="shared" si="2"/>
        <v>1500</v>
      </c>
      <c r="AN104" s="44">
        <f t="shared" si="2"/>
        <v>1500</v>
      </c>
      <c r="AO104" s="44">
        <f t="shared" si="2"/>
        <v>1500</v>
      </c>
      <c r="AP104"/>
      <c r="AQ104" s="44">
        <f t="shared" si="2"/>
        <v>1500</v>
      </c>
      <c r="AR104"/>
      <c r="AS104"/>
      <c r="AT104" s="44">
        <f t="shared" si="2"/>
        <v>1500</v>
      </c>
    </row>
    <row r="105" spans="1:46" x14ac:dyDescent="0.25">
      <c r="A105" s="23" t="s">
        <v>515</v>
      </c>
      <c r="B105" s="3" t="s">
        <v>473</v>
      </c>
      <c r="C105" s="3" t="s">
        <v>483</v>
      </c>
      <c r="D105" s="3" t="s">
        <v>521</v>
      </c>
      <c r="E105" s="24" t="s">
        <v>513</v>
      </c>
      <c r="F105" s="24" t="s">
        <v>486</v>
      </c>
      <c r="G105" s="44">
        <f t="shared" ref="G105" si="3">G96</f>
        <v>21</v>
      </c>
      <c r="I105" s="58"/>
      <c r="J105" s="44">
        <f t="shared" ref="J105:AT105" si="4">20/0.1</f>
        <v>200</v>
      </c>
      <c r="K105" s="44">
        <f t="shared" si="4"/>
        <v>200</v>
      </c>
      <c r="M105" s="44">
        <f t="shared" si="4"/>
        <v>200</v>
      </c>
      <c r="N105" s="44">
        <f t="shared" si="4"/>
        <v>200</v>
      </c>
      <c r="O105" s="44">
        <f t="shared" si="4"/>
        <v>200</v>
      </c>
      <c r="R105" s="44">
        <f t="shared" si="4"/>
        <v>200</v>
      </c>
      <c r="S105" s="44">
        <f t="shared" si="4"/>
        <v>200</v>
      </c>
      <c r="T105" s="44">
        <f t="shared" si="4"/>
        <v>200</v>
      </c>
      <c r="U105" s="44">
        <f t="shared" si="4"/>
        <v>200</v>
      </c>
      <c r="V105" s="44">
        <f t="shared" si="4"/>
        <v>200</v>
      </c>
      <c r="W105" s="44">
        <f t="shared" si="4"/>
        <v>200</v>
      </c>
      <c r="X105" s="44">
        <f t="shared" si="4"/>
        <v>200</v>
      </c>
      <c r="Y105" s="44">
        <f t="shared" si="4"/>
        <v>200</v>
      </c>
      <c r="Z105" s="44">
        <f t="shared" si="4"/>
        <v>200</v>
      </c>
      <c r="AA105" s="44">
        <f t="shared" si="4"/>
        <v>200</v>
      </c>
      <c r="AB105" s="44">
        <f t="shared" si="4"/>
        <v>200</v>
      </c>
      <c r="AC105"/>
      <c r="AD105" s="44">
        <f t="shared" si="4"/>
        <v>200</v>
      </c>
      <c r="AE105" s="44">
        <f t="shared" si="4"/>
        <v>200</v>
      </c>
      <c r="AF105" s="44">
        <f t="shared" si="4"/>
        <v>200</v>
      </c>
      <c r="AG105" s="44">
        <f t="shared" si="4"/>
        <v>200</v>
      </c>
      <c r="AH105" s="44">
        <f t="shared" si="4"/>
        <v>200</v>
      </c>
      <c r="AI105" s="44">
        <f t="shared" si="4"/>
        <v>200</v>
      </c>
      <c r="AJ105" s="44">
        <f t="shared" si="4"/>
        <v>200</v>
      </c>
      <c r="AK105"/>
      <c r="AL105" s="44">
        <f t="shared" si="4"/>
        <v>200</v>
      </c>
      <c r="AM105" s="44">
        <f t="shared" si="4"/>
        <v>200</v>
      </c>
      <c r="AN105" s="44">
        <f t="shared" si="4"/>
        <v>200</v>
      </c>
      <c r="AO105" s="44">
        <f t="shared" si="4"/>
        <v>200</v>
      </c>
      <c r="AP105"/>
      <c r="AQ105" s="44">
        <f t="shared" si="4"/>
        <v>200</v>
      </c>
      <c r="AR105"/>
      <c r="AS105"/>
      <c r="AT105" s="44">
        <f t="shared" si="4"/>
        <v>200</v>
      </c>
    </row>
    <row r="106" spans="1:46" x14ac:dyDescent="0.25">
      <c r="A106" s="23" t="s">
        <v>516</v>
      </c>
      <c r="B106" s="3" t="s">
        <v>473</v>
      </c>
      <c r="C106" s="3" t="s">
        <v>483</v>
      </c>
      <c r="D106" s="3" t="s">
        <v>521</v>
      </c>
      <c r="E106" s="24" t="s">
        <v>513</v>
      </c>
      <c r="F106" s="24" t="s">
        <v>486</v>
      </c>
      <c r="G106" s="44">
        <f>10*G96</f>
        <v>210</v>
      </c>
      <c r="I106" s="58"/>
      <c r="J106" s="44">
        <f t="shared" ref="J106:AT106" si="5">400/0.1</f>
        <v>4000</v>
      </c>
      <c r="K106" s="44">
        <f t="shared" si="5"/>
        <v>4000</v>
      </c>
      <c r="M106" s="44">
        <f t="shared" si="5"/>
        <v>4000</v>
      </c>
      <c r="N106" s="44">
        <f t="shared" si="5"/>
        <v>4000</v>
      </c>
      <c r="O106" s="44">
        <f t="shared" si="5"/>
        <v>4000</v>
      </c>
      <c r="R106" s="44">
        <f t="shared" si="5"/>
        <v>4000</v>
      </c>
      <c r="S106" s="44">
        <f t="shared" si="5"/>
        <v>4000</v>
      </c>
      <c r="T106" s="44">
        <f t="shared" si="5"/>
        <v>4000</v>
      </c>
      <c r="U106" s="44">
        <f t="shared" si="5"/>
        <v>4000</v>
      </c>
      <c r="V106" s="44">
        <f t="shared" si="5"/>
        <v>4000</v>
      </c>
      <c r="W106" s="44">
        <f t="shared" si="5"/>
        <v>4000</v>
      </c>
      <c r="X106" s="44">
        <f t="shared" si="5"/>
        <v>4000</v>
      </c>
      <c r="Y106" s="44">
        <f t="shared" si="5"/>
        <v>4000</v>
      </c>
      <c r="Z106" s="44">
        <f t="shared" si="5"/>
        <v>4000</v>
      </c>
      <c r="AA106" s="44">
        <f t="shared" si="5"/>
        <v>4000</v>
      </c>
      <c r="AB106" s="44">
        <f t="shared" si="5"/>
        <v>4000</v>
      </c>
      <c r="AC106"/>
      <c r="AD106" s="44">
        <f t="shared" si="5"/>
        <v>4000</v>
      </c>
      <c r="AE106" s="44">
        <f t="shared" si="5"/>
        <v>4000</v>
      </c>
      <c r="AF106" s="44">
        <f t="shared" si="5"/>
        <v>4000</v>
      </c>
      <c r="AG106" s="44">
        <f t="shared" si="5"/>
        <v>4000</v>
      </c>
      <c r="AH106" s="44">
        <f t="shared" si="5"/>
        <v>4000</v>
      </c>
      <c r="AI106" s="44">
        <f t="shared" si="5"/>
        <v>4000</v>
      </c>
      <c r="AJ106" s="44">
        <f t="shared" si="5"/>
        <v>4000</v>
      </c>
      <c r="AK106"/>
      <c r="AL106" s="44">
        <f t="shared" si="5"/>
        <v>4000</v>
      </c>
      <c r="AM106" s="44">
        <f t="shared" si="5"/>
        <v>4000</v>
      </c>
      <c r="AN106" s="44">
        <f t="shared" si="5"/>
        <v>4000</v>
      </c>
      <c r="AO106" s="44">
        <f t="shared" si="5"/>
        <v>4000</v>
      </c>
      <c r="AP106"/>
      <c r="AQ106" s="44">
        <f t="shared" si="5"/>
        <v>4000</v>
      </c>
      <c r="AR106"/>
      <c r="AS106"/>
      <c r="AT106" s="44">
        <f t="shared" si="5"/>
        <v>4000</v>
      </c>
    </row>
    <row r="107" spans="1:46" x14ac:dyDescent="0.25">
      <c r="A107" s="23" t="s">
        <v>387</v>
      </c>
      <c r="B107" s="3" t="s">
        <v>473</v>
      </c>
      <c r="C107" s="3" t="s">
        <v>483</v>
      </c>
      <c r="D107" s="3" t="s">
        <v>521</v>
      </c>
      <c r="E107" s="24" t="s">
        <v>388</v>
      </c>
      <c r="F107" s="24" t="s">
        <v>106</v>
      </c>
      <c r="G107" s="44">
        <v>0</v>
      </c>
      <c r="I107" s="58"/>
      <c r="J107" s="44">
        <f t="shared" ref="J107:AT107" si="6">10/0.1</f>
        <v>100</v>
      </c>
      <c r="K107" s="44">
        <f t="shared" si="6"/>
        <v>100</v>
      </c>
      <c r="M107" s="44">
        <f t="shared" si="6"/>
        <v>100</v>
      </c>
      <c r="N107" s="44">
        <f t="shared" si="6"/>
        <v>100</v>
      </c>
      <c r="O107" s="44">
        <f t="shared" si="6"/>
        <v>100</v>
      </c>
      <c r="R107" s="44">
        <f t="shared" si="6"/>
        <v>100</v>
      </c>
      <c r="S107" s="44">
        <f t="shared" si="6"/>
        <v>100</v>
      </c>
      <c r="T107" s="44">
        <f t="shared" si="6"/>
        <v>100</v>
      </c>
      <c r="U107" s="44">
        <f t="shared" si="6"/>
        <v>100</v>
      </c>
      <c r="V107" s="44">
        <f t="shared" si="6"/>
        <v>100</v>
      </c>
      <c r="W107" s="44">
        <f t="shared" si="6"/>
        <v>100</v>
      </c>
      <c r="X107" s="44">
        <f t="shared" si="6"/>
        <v>100</v>
      </c>
      <c r="Y107" s="44">
        <f t="shared" si="6"/>
        <v>100</v>
      </c>
      <c r="Z107" s="44">
        <f t="shared" si="6"/>
        <v>100</v>
      </c>
      <c r="AA107" s="44">
        <f t="shared" si="6"/>
        <v>100</v>
      </c>
      <c r="AB107" s="44">
        <f t="shared" si="6"/>
        <v>100</v>
      </c>
      <c r="AC107"/>
      <c r="AD107" s="44">
        <f t="shared" si="6"/>
        <v>100</v>
      </c>
      <c r="AE107" s="44">
        <f t="shared" si="6"/>
        <v>100</v>
      </c>
      <c r="AF107" s="44">
        <f t="shared" si="6"/>
        <v>100</v>
      </c>
      <c r="AG107" s="44">
        <f t="shared" si="6"/>
        <v>100</v>
      </c>
      <c r="AH107" s="44">
        <f t="shared" si="6"/>
        <v>100</v>
      </c>
      <c r="AI107" s="44">
        <f t="shared" si="6"/>
        <v>100</v>
      </c>
      <c r="AJ107" s="44">
        <f t="shared" si="6"/>
        <v>100</v>
      </c>
      <c r="AK107"/>
      <c r="AL107" s="44">
        <f t="shared" si="6"/>
        <v>100</v>
      </c>
      <c r="AM107" s="44">
        <f t="shared" si="6"/>
        <v>100</v>
      </c>
      <c r="AN107" s="44">
        <f t="shared" si="6"/>
        <v>100</v>
      </c>
      <c r="AO107" s="44">
        <f t="shared" si="6"/>
        <v>100</v>
      </c>
      <c r="AP107"/>
      <c r="AQ107" s="44">
        <f t="shared" si="6"/>
        <v>100</v>
      </c>
      <c r="AR107"/>
      <c r="AS107"/>
      <c r="AT107" s="44">
        <f t="shared" si="6"/>
        <v>100</v>
      </c>
    </row>
    <row r="108" spans="1:46" x14ac:dyDescent="0.25">
      <c r="A108" s="23" t="s">
        <v>389</v>
      </c>
      <c r="B108" s="3" t="s">
        <v>473</v>
      </c>
      <c r="C108" s="3" t="s">
        <v>483</v>
      </c>
      <c r="D108" s="3" t="s">
        <v>521</v>
      </c>
      <c r="E108" s="24" t="s">
        <v>390</v>
      </c>
      <c r="F108" s="24" t="s">
        <v>106</v>
      </c>
      <c r="G108" s="44">
        <v>1589759.9999999998</v>
      </c>
      <c r="I108" s="58"/>
      <c r="J108" s="44">
        <f t="shared" ref="J108:AT108" si="7">150/0.1</f>
        <v>1500</v>
      </c>
      <c r="K108" s="44">
        <f t="shared" si="7"/>
        <v>1500</v>
      </c>
      <c r="M108" s="44">
        <f t="shared" si="7"/>
        <v>1500</v>
      </c>
      <c r="N108" s="44">
        <f t="shared" si="7"/>
        <v>1500</v>
      </c>
      <c r="O108" s="44">
        <f t="shared" si="7"/>
        <v>1500</v>
      </c>
      <c r="R108" s="44">
        <f t="shared" si="7"/>
        <v>1500</v>
      </c>
      <c r="S108" s="44">
        <f t="shared" si="7"/>
        <v>1500</v>
      </c>
      <c r="T108" s="44">
        <f t="shared" si="7"/>
        <v>1500</v>
      </c>
      <c r="U108" s="44">
        <f t="shared" si="7"/>
        <v>1500</v>
      </c>
      <c r="V108" s="44">
        <f t="shared" si="7"/>
        <v>1500</v>
      </c>
      <c r="W108" s="44">
        <f t="shared" si="7"/>
        <v>1500</v>
      </c>
      <c r="X108" s="44">
        <f t="shared" si="7"/>
        <v>1500</v>
      </c>
      <c r="Y108" s="44">
        <f t="shared" si="7"/>
        <v>1500</v>
      </c>
      <c r="Z108" s="44">
        <f t="shared" si="7"/>
        <v>1500</v>
      </c>
      <c r="AA108" s="44">
        <f t="shared" si="7"/>
        <v>1500</v>
      </c>
      <c r="AB108" s="44">
        <f t="shared" si="7"/>
        <v>1500</v>
      </c>
      <c r="AC108"/>
      <c r="AD108" s="44">
        <f t="shared" si="7"/>
        <v>1500</v>
      </c>
      <c r="AE108" s="44">
        <f t="shared" si="7"/>
        <v>1500</v>
      </c>
      <c r="AF108" s="44">
        <f t="shared" si="7"/>
        <v>1500</v>
      </c>
      <c r="AG108" s="44">
        <f t="shared" si="7"/>
        <v>1500</v>
      </c>
      <c r="AH108" s="44">
        <f t="shared" si="7"/>
        <v>1500</v>
      </c>
      <c r="AI108" s="44">
        <f t="shared" si="7"/>
        <v>1500</v>
      </c>
      <c r="AJ108" s="44">
        <f t="shared" si="7"/>
        <v>1500</v>
      </c>
      <c r="AK108"/>
      <c r="AL108" s="44">
        <f t="shared" si="7"/>
        <v>1500</v>
      </c>
      <c r="AM108" s="44">
        <f t="shared" si="7"/>
        <v>1500</v>
      </c>
      <c r="AN108" s="44">
        <f t="shared" si="7"/>
        <v>1500</v>
      </c>
      <c r="AO108" s="44">
        <f t="shared" si="7"/>
        <v>1500</v>
      </c>
      <c r="AP108"/>
      <c r="AQ108" s="44">
        <f t="shared" si="7"/>
        <v>1500</v>
      </c>
      <c r="AR108"/>
      <c r="AS108"/>
      <c r="AT108" s="44">
        <f t="shared" si="7"/>
        <v>1500</v>
      </c>
    </row>
    <row r="109" spans="1:46" x14ac:dyDescent="0.25">
      <c r="A109" s="23" t="s">
        <v>391</v>
      </c>
      <c r="B109" s="3" t="s">
        <v>473</v>
      </c>
      <c r="C109" s="3" t="s">
        <v>483</v>
      </c>
      <c r="D109" s="3" t="s">
        <v>521</v>
      </c>
      <c r="E109" s="24" t="s">
        <v>392</v>
      </c>
      <c r="F109" s="24" t="s">
        <v>106</v>
      </c>
      <c r="G109" s="44">
        <v>6171428.5714285718</v>
      </c>
      <c r="I109" s="58"/>
      <c r="J109" s="44">
        <f t="shared" ref="J109:AT109" si="8">20/0.1</f>
        <v>200</v>
      </c>
      <c r="K109" s="44">
        <f t="shared" si="8"/>
        <v>200</v>
      </c>
      <c r="M109" s="44">
        <f t="shared" si="8"/>
        <v>200</v>
      </c>
      <c r="N109" s="44">
        <f t="shared" si="8"/>
        <v>200</v>
      </c>
      <c r="O109" s="44">
        <f t="shared" si="8"/>
        <v>200</v>
      </c>
      <c r="R109" s="44">
        <f t="shared" si="8"/>
        <v>200</v>
      </c>
      <c r="S109" s="44">
        <f t="shared" si="8"/>
        <v>200</v>
      </c>
      <c r="T109" s="44">
        <f t="shared" si="8"/>
        <v>200</v>
      </c>
      <c r="U109" s="44">
        <f t="shared" si="8"/>
        <v>200</v>
      </c>
      <c r="V109" s="44">
        <f t="shared" si="8"/>
        <v>200</v>
      </c>
      <c r="W109" s="44">
        <f t="shared" si="8"/>
        <v>200</v>
      </c>
      <c r="X109" s="44">
        <f t="shared" si="8"/>
        <v>200</v>
      </c>
      <c r="Y109" s="44">
        <f t="shared" si="8"/>
        <v>200</v>
      </c>
      <c r="Z109" s="44">
        <f t="shared" si="8"/>
        <v>200</v>
      </c>
      <c r="AA109" s="44">
        <f t="shared" si="8"/>
        <v>200</v>
      </c>
      <c r="AB109" s="44">
        <f t="shared" si="8"/>
        <v>200</v>
      </c>
      <c r="AC109"/>
      <c r="AD109" s="44">
        <f t="shared" si="8"/>
        <v>200</v>
      </c>
      <c r="AE109" s="44">
        <f t="shared" si="8"/>
        <v>200</v>
      </c>
      <c r="AF109" s="44">
        <f t="shared" si="8"/>
        <v>200</v>
      </c>
      <c r="AG109" s="44">
        <f t="shared" si="8"/>
        <v>200</v>
      </c>
      <c r="AH109" s="44">
        <f t="shared" si="8"/>
        <v>200</v>
      </c>
      <c r="AI109" s="44">
        <f t="shared" si="8"/>
        <v>200</v>
      </c>
      <c r="AJ109" s="44">
        <f t="shared" si="8"/>
        <v>200</v>
      </c>
      <c r="AK109"/>
      <c r="AL109" s="44">
        <f t="shared" si="8"/>
        <v>200</v>
      </c>
      <c r="AM109" s="44">
        <f t="shared" si="8"/>
        <v>200</v>
      </c>
      <c r="AN109" s="44">
        <f t="shared" si="8"/>
        <v>200</v>
      </c>
      <c r="AO109" s="44">
        <f t="shared" si="8"/>
        <v>200</v>
      </c>
      <c r="AP109"/>
      <c r="AQ109" s="44">
        <f t="shared" si="8"/>
        <v>200</v>
      </c>
      <c r="AR109"/>
      <c r="AS109"/>
      <c r="AT109" s="44">
        <f t="shared" si="8"/>
        <v>200</v>
      </c>
    </row>
    <row r="110" spans="1:46" x14ac:dyDescent="0.25">
      <c r="A110" s="23" t="s">
        <v>393</v>
      </c>
      <c r="B110" s="3" t="s">
        <v>473</v>
      </c>
      <c r="C110" s="3" t="s">
        <v>483</v>
      </c>
      <c r="D110" s="3" t="s">
        <v>521</v>
      </c>
      <c r="E110" s="24" t="s">
        <v>394</v>
      </c>
      <c r="F110" s="24" t="s">
        <v>106</v>
      </c>
      <c r="G110" s="44">
        <v>6171428.5714285718</v>
      </c>
      <c r="I110" s="58"/>
      <c r="J110" s="44">
        <f t="shared" ref="J110:AT110" si="9">400/0.1</f>
        <v>4000</v>
      </c>
      <c r="K110" s="44">
        <f t="shared" si="9"/>
        <v>4000</v>
      </c>
      <c r="M110" s="44">
        <f t="shared" si="9"/>
        <v>4000</v>
      </c>
      <c r="N110" s="44">
        <f t="shared" si="9"/>
        <v>4000</v>
      </c>
      <c r="O110" s="44">
        <f t="shared" si="9"/>
        <v>4000</v>
      </c>
      <c r="R110" s="44">
        <f t="shared" si="9"/>
        <v>4000</v>
      </c>
      <c r="S110" s="44">
        <f t="shared" si="9"/>
        <v>4000</v>
      </c>
      <c r="T110" s="44">
        <f t="shared" si="9"/>
        <v>4000</v>
      </c>
      <c r="U110" s="44">
        <f t="shared" si="9"/>
        <v>4000</v>
      </c>
      <c r="V110" s="44">
        <f t="shared" si="9"/>
        <v>4000</v>
      </c>
      <c r="W110" s="44">
        <f t="shared" si="9"/>
        <v>4000</v>
      </c>
      <c r="X110" s="44">
        <f t="shared" si="9"/>
        <v>4000</v>
      </c>
      <c r="Y110" s="44">
        <f t="shared" si="9"/>
        <v>4000</v>
      </c>
      <c r="Z110" s="44">
        <f t="shared" si="9"/>
        <v>4000</v>
      </c>
      <c r="AA110" s="44">
        <f t="shared" si="9"/>
        <v>4000</v>
      </c>
      <c r="AB110" s="44">
        <f t="shared" si="9"/>
        <v>4000</v>
      </c>
      <c r="AC110"/>
      <c r="AD110" s="44">
        <f t="shared" si="9"/>
        <v>4000</v>
      </c>
      <c r="AE110" s="44">
        <f t="shared" si="9"/>
        <v>4000</v>
      </c>
      <c r="AF110" s="44">
        <f t="shared" si="9"/>
        <v>4000</v>
      </c>
      <c r="AG110" s="44">
        <f t="shared" si="9"/>
        <v>4000</v>
      </c>
      <c r="AH110" s="44">
        <f t="shared" si="9"/>
        <v>4000</v>
      </c>
      <c r="AI110" s="44">
        <f t="shared" si="9"/>
        <v>4000</v>
      </c>
      <c r="AJ110" s="44">
        <f t="shared" si="9"/>
        <v>4000</v>
      </c>
      <c r="AK110"/>
      <c r="AL110" s="44">
        <f t="shared" si="9"/>
        <v>4000</v>
      </c>
      <c r="AM110" s="44">
        <f t="shared" si="9"/>
        <v>4000</v>
      </c>
      <c r="AN110" s="44">
        <f t="shared" si="9"/>
        <v>4000</v>
      </c>
      <c r="AO110" s="44">
        <f t="shared" si="9"/>
        <v>4000</v>
      </c>
      <c r="AP110"/>
      <c r="AQ110" s="44">
        <f t="shared" si="9"/>
        <v>4000</v>
      </c>
      <c r="AR110"/>
      <c r="AS110"/>
      <c r="AT110" s="44">
        <f t="shared" si="9"/>
        <v>4000</v>
      </c>
    </row>
    <row r="111" spans="1:46" x14ac:dyDescent="0.25">
      <c r="A111" s="23" t="s">
        <v>421</v>
      </c>
      <c r="B111" s="3" t="s">
        <v>473</v>
      </c>
      <c r="C111" s="3" t="s">
        <v>483</v>
      </c>
      <c r="D111" s="3" t="s">
        <v>521</v>
      </c>
      <c r="E111" s="24" t="s">
        <v>422</v>
      </c>
      <c r="F111" s="24" t="s">
        <v>433</v>
      </c>
      <c r="G111" s="44">
        <v>100</v>
      </c>
      <c r="I111" s="58"/>
      <c r="J111" s="44">
        <v>100</v>
      </c>
      <c r="K111" s="44">
        <v>100</v>
      </c>
      <c r="M111" s="44">
        <v>100</v>
      </c>
      <c r="N111" s="44">
        <v>100</v>
      </c>
      <c r="O111" s="44">
        <v>100</v>
      </c>
      <c r="R111" s="44">
        <v>100</v>
      </c>
      <c r="S111" s="44">
        <v>100</v>
      </c>
      <c r="T111" s="44">
        <v>100</v>
      </c>
      <c r="U111" s="44">
        <v>100</v>
      </c>
      <c r="V111" s="44">
        <v>100</v>
      </c>
      <c r="W111" s="44">
        <v>100</v>
      </c>
      <c r="X111" s="44">
        <v>100</v>
      </c>
      <c r="Y111" s="44">
        <v>100</v>
      </c>
      <c r="Z111" s="44">
        <v>100</v>
      </c>
      <c r="AA111" s="44">
        <v>100</v>
      </c>
      <c r="AB111" s="44">
        <v>100</v>
      </c>
      <c r="AC111"/>
      <c r="AD111" s="44">
        <v>100</v>
      </c>
      <c r="AE111" s="44">
        <v>100</v>
      </c>
      <c r="AF111" s="44">
        <v>100</v>
      </c>
      <c r="AG111" s="44">
        <v>100</v>
      </c>
      <c r="AH111" s="44">
        <v>100</v>
      </c>
      <c r="AI111" s="44">
        <v>100</v>
      </c>
      <c r="AJ111" s="44">
        <v>100</v>
      </c>
      <c r="AK111"/>
      <c r="AL111" s="44">
        <v>100</v>
      </c>
      <c r="AM111" s="44">
        <v>100</v>
      </c>
      <c r="AN111" s="44">
        <v>100</v>
      </c>
      <c r="AO111" s="44">
        <v>100</v>
      </c>
      <c r="AP111"/>
      <c r="AQ111" s="44">
        <v>100</v>
      </c>
      <c r="AR111"/>
      <c r="AS111"/>
      <c r="AT111" s="44">
        <v>100</v>
      </c>
    </row>
    <row r="112" spans="1:46" ht="14.45" customHeight="1" x14ac:dyDescent="0.25">
      <c r="A112" s="23" t="s">
        <v>423</v>
      </c>
      <c r="B112" s="3" t="s">
        <v>473</v>
      </c>
      <c r="C112" s="3" t="s">
        <v>483</v>
      </c>
      <c r="D112" s="3" t="s">
        <v>521</v>
      </c>
      <c r="E112" s="24" t="s">
        <v>424</v>
      </c>
      <c r="F112" s="24" t="s">
        <v>434</v>
      </c>
      <c r="G112" s="44">
        <v>280800</v>
      </c>
      <c r="I112" s="58"/>
      <c r="J112" s="44">
        <v>280800</v>
      </c>
      <c r="K112" s="44">
        <v>280800</v>
      </c>
      <c r="M112" s="44">
        <v>280800</v>
      </c>
      <c r="N112" s="44">
        <v>280800</v>
      </c>
      <c r="O112" s="44">
        <v>280800</v>
      </c>
      <c r="R112" s="44">
        <v>280800</v>
      </c>
      <c r="S112" s="44">
        <v>280800</v>
      </c>
      <c r="T112" s="44">
        <v>280800</v>
      </c>
      <c r="U112" s="44">
        <v>280800</v>
      </c>
      <c r="V112" s="44">
        <v>280800</v>
      </c>
      <c r="W112" s="44">
        <v>280800</v>
      </c>
      <c r="X112" s="44">
        <v>280800</v>
      </c>
      <c r="Y112" s="44">
        <v>280800</v>
      </c>
      <c r="Z112" s="44">
        <v>280800</v>
      </c>
      <c r="AA112" s="44">
        <v>280800</v>
      </c>
      <c r="AB112" s="44">
        <v>280800</v>
      </c>
      <c r="AC112"/>
      <c r="AD112" s="44">
        <v>280800</v>
      </c>
      <c r="AE112" s="44">
        <v>280800</v>
      </c>
      <c r="AF112" s="44">
        <v>280800</v>
      </c>
      <c r="AG112" s="44">
        <v>280800</v>
      </c>
      <c r="AH112" s="44">
        <v>280800</v>
      </c>
      <c r="AI112" s="44">
        <v>280800</v>
      </c>
      <c r="AJ112" s="44">
        <v>280800</v>
      </c>
      <c r="AK112"/>
      <c r="AL112" s="44">
        <v>280800</v>
      </c>
      <c r="AM112" s="44">
        <v>280800</v>
      </c>
      <c r="AN112" s="44">
        <v>280800</v>
      </c>
      <c r="AO112" s="44">
        <v>280800</v>
      </c>
      <c r="AP112"/>
      <c r="AQ112" s="44">
        <v>280800</v>
      </c>
      <c r="AR112"/>
      <c r="AS112"/>
      <c r="AT112" s="44">
        <v>280800</v>
      </c>
    </row>
    <row r="113" spans="1:46" x14ac:dyDescent="0.25">
      <c r="A113" s="23" t="s">
        <v>425</v>
      </c>
      <c r="B113" s="3" t="s">
        <v>473</v>
      </c>
      <c r="C113" s="3" t="s">
        <v>483</v>
      </c>
      <c r="D113" s="3" t="s">
        <v>521</v>
      </c>
      <c r="E113" s="24" t="s">
        <v>426</v>
      </c>
      <c r="F113" s="24" t="s">
        <v>435</v>
      </c>
      <c r="G113" s="44">
        <v>1.2847222222222224E-5</v>
      </c>
      <c r="I113" s="58"/>
      <c r="J113" s="44">
        <f t="shared" ref="J113:AT113" si="10">1.11 / 10</f>
        <v>0.11100000000000002</v>
      </c>
      <c r="K113" s="44">
        <f t="shared" si="10"/>
        <v>0.11100000000000002</v>
      </c>
      <c r="M113" s="44">
        <f t="shared" si="10"/>
        <v>0.11100000000000002</v>
      </c>
      <c r="N113" s="44">
        <f t="shared" si="10"/>
        <v>0.11100000000000002</v>
      </c>
      <c r="O113" s="44">
        <f t="shared" si="10"/>
        <v>0.11100000000000002</v>
      </c>
      <c r="R113" s="44">
        <f t="shared" si="10"/>
        <v>0.11100000000000002</v>
      </c>
      <c r="S113" s="44">
        <f t="shared" si="10"/>
        <v>0.11100000000000002</v>
      </c>
      <c r="T113" s="44">
        <f t="shared" si="10"/>
        <v>0.11100000000000002</v>
      </c>
      <c r="U113" s="44">
        <f t="shared" si="10"/>
        <v>0.11100000000000002</v>
      </c>
      <c r="V113" s="44">
        <f t="shared" si="10"/>
        <v>0.11100000000000002</v>
      </c>
      <c r="W113" s="44">
        <f t="shared" si="10"/>
        <v>0.11100000000000002</v>
      </c>
      <c r="X113" s="44">
        <f t="shared" si="10"/>
        <v>0.11100000000000002</v>
      </c>
      <c r="Y113" s="44">
        <f t="shared" si="10"/>
        <v>0.11100000000000002</v>
      </c>
      <c r="Z113" s="44">
        <f t="shared" si="10"/>
        <v>0.11100000000000002</v>
      </c>
      <c r="AA113" s="44">
        <f t="shared" si="10"/>
        <v>0.11100000000000002</v>
      </c>
      <c r="AB113" s="44">
        <f t="shared" si="10"/>
        <v>0.11100000000000002</v>
      </c>
      <c r="AC113"/>
      <c r="AD113" s="44">
        <f t="shared" si="10"/>
        <v>0.11100000000000002</v>
      </c>
      <c r="AE113" s="44">
        <f t="shared" si="10"/>
        <v>0.11100000000000002</v>
      </c>
      <c r="AF113" s="44">
        <f t="shared" si="10"/>
        <v>0.11100000000000002</v>
      </c>
      <c r="AG113" s="44">
        <f t="shared" si="10"/>
        <v>0.11100000000000002</v>
      </c>
      <c r="AH113" s="44">
        <f t="shared" si="10"/>
        <v>0.11100000000000002</v>
      </c>
      <c r="AI113" s="44">
        <f t="shared" si="10"/>
        <v>0.11100000000000002</v>
      </c>
      <c r="AJ113" s="44">
        <f t="shared" si="10"/>
        <v>0.11100000000000002</v>
      </c>
      <c r="AK113"/>
      <c r="AL113" s="44">
        <f t="shared" si="10"/>
        <v>0.11100000000000002</v>
      </c>
      <c r="AM113" s="44">
        <f t="shared" si="10"/>
        <v>0.11100000000000002</v>
      </c>
      <c r="AN113" s="44">
        <f t="shared" si="10"/>
        <v>0.11100000000000002</v>
      </c>
      <c r="AO113" s="44">
        <f t="shared" si="10"/>
        <v>0.11100000000000002</v>
      </c>
      <c r="AP113"/>
      <c r="AQ113" s="44">
        <f t="shared" si="10"/>
        <v>0.11100000000000002</v>
      </c>
      <c r="AR113"/>
      <c r="AS113"/>
      <c r="AT113" s="44">
        <f t="shared" si="10"/>
        <v>0.11100000000000002</v>
      </c>
    </row>
    <row r="114" spans="1:46" x14ac:dyDescent="0.25">
      <c r="A114" s="23" t="s">
        <v>427</v>
      </c>
      <c r="B114" s="3" t="s">
        <v>473</v>
      </c>
      <c r="C114" s="3" t="s">
        <v>483</v>
      </c>
      <c r="D114" s="3" t="s">
        <v>521</v>
      </c>
      <c r="E114" s="24" t="s">
        <v>428</v>
      </c>
      <c r="F114" s="24" t="s">
        <v>433</v>
      </c>
      <c r="G114" s="44">
        <v>100</v>
      </c>
      <c r="I114" s="58"/>
      <c r="J114" s="44">
        <v>100</v>
      </c>
      <c r="K114" s="44">
        <v>100</v>
      </c>
      <c r="M114" s="44">
        <v>100</v>
      </c>
      <c r="N114" s="44">
        <v>100</v>
      </c>
      <c r="O114" s="44">
        <v>100</v>
      </c>
      <c r="R114" s="44">
        <v>100</v>
      </c>
      <c r="S114" s="44">
        <v>100</v>
      </c>
      <c r="T114" s="44">
        <v>100</v>
      </c>
      <c r="U114" s="44">
        <v>100</v>
      </c>
      <c r="V114" s="44">
        <v>100</v>
      </c>
      <c r="W114" s="44">
        <v>100</v>
      </c>
      <c r="X114" s="44">
        <v>100</v>
      </c>
      <c r="Y114" s="44">
        <v>100</v>
      </c>
      <c r="Z114" s="44">
        <v>100</v>
      </c>
      <c r="AA114" s="44">
        <v>100</v>
      </c>
      <c r="AB114" s="44">
        <v>100</v>
      </c>
      <c r="AC114"/>
      <c r="AD114" s="44">
        <v>100</v>
      </c>
      <c r="AE114" s="44">
        <v>100</v>
      </c>
      <c r="AF114" s="44">
        <v>100</v>
      </c>
      <c r="AG114" s="44">
        <v>100</v>
      </c>
      <c r="AH114" s="44">
        <v>100</v>
      </c>
      <c r="AI114" s="44">
        <v>100</v>
      </c>
      <c r="AJ114" s="44">
        <v>100</v>
      </c>
      <c r="AK114"/>
      <c r="AL114" s="44">
        <v>100</v>
      </c>
      <c r="AM114" s="44">
        <v>100</v>
      </c>
      <c r="AN114" s="44">
        <v>100</v>
      </c>
      <c r="AO114" s="44">
        <v>100</v>
      </c>
      <c r="AP114"/>
      <c r="AQ114" s="44">
        <v>100</v>
      </c>
      <c r="AR114"/>
      <c r="AS114"/>
      <c r="AT114" s="44">
        <v>100</v>
      </c>
    </row>
    <row r="115" spans="1:46" ht="14.45" customHeight="1" x14ac:dyDescent="0.25">
      <c r="A115" s="23" t="s">
        <v>429</v>
      </c>
      <c r="B115" s="3" t="s">
        <v>473</v>
      </c>
      <c r="C115" s="3" t="s">
        <v>483</v>
      </c>
      <c r="D115" s="3" t="s">
        <v>521</v>
      </c>
      <c r="E115" s="24" t="s">
        <v>430</v>
      </c>
      <c r="F115" s="24" t="s">
        <v>434</v>
      </c>
      <c r="G115" s="44">
        <v>459648</v>
      </c>
      <c r="I115" s="58"/>
      <c r="J115" s="44">
        <v>459648</v>
      </c>
      <c r="K115" s="44">
        <v>459648</v>
      </c>
      <c r="M115" s="44">
        <v>459648</v>
      </c>
      <c r="N115" s="44">
        <v>459648</v>
      </c>
      <c r="O115" s="44">
        <v>459648</v>
      </c>
      <c r="R115" s="44">
        <v>459648</v>
      </c>
      <c r="S115" s="44">
        <v>459648</v>
      </c>
      <c r="T115" s="44">
        <v>459648</v>
      </c>
      <c r="U115" s="44">
        <v>459648</v>
      </c>
      <c r="V115" s="44">
        <v>459648</v>
      </c>
      <c r="W115" s="44">
        <v>459648</v>
      </c>
      <c r="X115" s="44">
        <v>459648</v>
      </c>
      <c r="Y115" s="44">
        <v>459648</v>
      </c>
      <c r="Z115" s="44">
        <v>459648</v>
      </c>
      <c r="AA115" s="44">
        <v>459648</v>
      </c>
      <c r="AB115" s="44">
        <v>459648</v>
      </c>
      <c r="AC115"/>
      <c r="AD115" s="44">
        <v>459648</v>
      </c>
      <c r="AE115" s="44">
        <v>459648</v>
      </c>
      <c r="AF115" s="44">
        <v>459648</v>
      </c>
      <c r="AG115" s="44">
        <v>459648</v>
      </c>
      <c r="AH115" s="44">
        <v>459648</v>
      </c>
      <c r="AI115" s="44">
        <v>459648</v>
      </c>
      <c r="AJ115" s="44">
        <v>459648</v>
      </c>
      <c r="AK115"/>
      <c r="AL115" s="44">
        <v>459648</v>
      </c>
      <c r="AM115" s="44">
        <v>459648</v>
      </c>
      <c r="AN115" s="44">
        <v>459648</v>
      </c>
      <c r="AO115" s="44">
        <v>459648</v>
      </c>
      <c r="AP115"/>
      <c r="AQ115" s="44">
        <v>459648</v>
      </c>
      <c r="AR115"/>
      <c r="AS115"/>
      <c r="AT115" s="44">
        <v>459648</v>
      </c>
    </row>
    <row r="116" spans="1:46" x14ac:dyDescent="0.25">
      <c r="A116" s="23" t="s">
        <v>431</v>
      </c>
      <c r="B116" s="3" t="s">
        <v>473</v>
      </c>
      <c r="C116" s="3" t="s">
        <v>483</v>
      </c>
      <c r="D116" s="3" t="s">
        <v>521</v>
      </c>
      <c r="E116" s="24" t="s">
        <v>432</v>
      </c>
      <c r="F116" s="24" t="s">
        <v>435</v>
      </c>
      <c r="G116" s="44">
        <v>1.2847222222222224E-5</v>
      </c>
      <c r="I116" s="58"/>
      <c r="J116" s="44">
        <f t="shared" ref="J116:AT116" si="11">1.11/8</f>
        <v>0.13875000000000001</v>
      </c>
      <c r="K116" s="44">
        <f t="shared" si="11"/>
        <v>0.13875000000000001</v>
      </c>
      <c r="M116" s="44">
        <f t="shared" si="11"/>
        <v>0.13875000000000001</v>
      </c>
      <c r="N116" s="44">
        <f t="shared" si="11"/>
        <v>0.13875000000000001</v>
      </c>
      <c r="O116" s="44">
        <f t="shared" si="11"/>
        <v>0.13875000000000001</v>
      </c>
      <c r="R116" s="44">
        <f t="shared" si="11"/>
        <v>0.13875000000000001</v>
      </c>
      <c r="S116" s="44">
        <f t="shared" si="11"/>
        <v>0.13875000000000001</v>
      </c>
      <c r="T116" s="44">
        <f t="shared" si="11"/>
        <v>0.13875000000000001</v>
      </c>
      <c r="U116" s="44">
        <f t="shared" si="11"/>
        <v>0.13875000000000001</v>
      </c>
      <c r="V116" s="44">
        <f t="shared" si="11"/>
        <v>0.13875000000000001</v>
      </c>
      <c r="W116" s="44">
        <f t="shared" si="11"/>
        <v>0.13875000000000001</v>
      </c>
      <c r="X116" s="44">
        <f t="shared" si="11"/>
        <v>0.13875000000000001</v>
      </c>
      <c r="Y116" s="44">
        <f t="shared" si="11"/>
        <v>0.13875000000000001</v>
      </c>
      <c r="Z116" s="44">
        <f t="shared" si="11"/>
        <v>0.13875000000000001</v>
      </c>
      <c r="AA116" s="44">
        <f t="shared" si="11"/>
        <v>0.13875000000000001</v>
      </c>
      <c r="AB116" s="44">
        <f t="shared" si="11"/>
        <v>0.13875000000000001</v>
      </c>
      <c r="AC116"/>
      <c r="AD116" s="44">
        <f t="shared" si="11"/>
        <v>0.13875000000000001</v>
      </c>
      <c r="AE116" s="44">
        <f t="shared" si="11"/>
        <v>0.13875000000000001</v>
      </c>
      <c r="AF116" s="44">
        <f t="shared" si="11"/>
        <v>0.13875000000000001</v>
      </c>
      <c r="AG116" s="44">
        <f t="shared" si="11"/>
        <v>0.13875000000000001</v>
      </c>
      <c r="AH116" s="44">
        <f t="shared" si="11"/>
        <v>0.13875000000000001</v>
      </c>
      <c r="AI116" s="44">
        <f t="shared" si="11"/>
        <v>0.13875000000000001</v>
      </c>
      <c r="AJ116" s="44">
        <f t="shared" si="11"/>
        <v>0.13875000000000001</v>
      </c>
      <c r="AK116"/>
      <c r="AL116" s="44">
        <f t="shared" si="11"/>
        <v>0.13875000000000001</v>
      </c>
      <c r="AM116" s="44">
        <f t="shared" si="11"/>
        <v>0.13875000000000001</v>
      </c>
      <c r="AN116" s="44">
        <f t="shared" si="11"/>
        <v>0.13875000000000001</v>
      </c>
      <c r="AO116" s="44">
        <f t="shared" si="11"/>
        <v>0.13875000000000001</v>
      </c>
      <c r="AP116"/>
      <c r="AQ116" s="44">
        <f t="shared" si="11"/>
        <v>0.13875000000000001</v>
      </c>
      <c r="AR116"/>
      <c r="AS116"/>
      <c r="AT116" s="44">
        <f t="shared" si="11"/>
        <v>0.13875000000000001</v>
      </c>
    </row>
    <row r="117" spans="1:46" x14ac:dyDescent="0.25">
      <c r="A117" s="23" t="s">
        <v>395</v>
      </c>
      <c r="B117" s="3" t="s">
        <v>473</v>
      </c>
      <c r="C117" s="3" t="s">
        <v>483</v>
      </c>
      <c r="D117" s="3" t="s">
        <v>521</v>
      </c>
      <c r="E117" s="24" t="s">
        <v>396</v>
      </c>
      <c r="F117" s="24" t="s">
        <v>106</v>
      </c>
      <c r="G117" s="44">
        <v>21600</v>
      </c>
      <c r="I117" s="58"/>
      <c r="J117" s="44">
        <v>21600</v>
      </c>
      <c r="K117" s="44">
        <v>21600</v>
      </c>
      <c r="M117" s="44">
        <v>21600</v>
      </c>
      <c r="N117" s="44">
        <v>21600</v>
      </c>
      <c r="O117" s="44">
        <v>21600</v>
      </c>
      <c r="R117" s="44">
        <v>21600</v>
      </c>
      <c r="S117" s="44">
        <v>21600</v>
      </c>
      <c r="T117" s="44">
        <v>21600</v>
      </c>
      <c r="U117" s="44">
        <v>21600</v>
      </c>
      <c r="V117" s="44">
        <v>21600</v>
      </c>
      <c r="W117" s="44">
        <v>21600</v>
      </c>
      <c r="X117" s="44">
        <v>21600</v>
      </c>
      <c r="Y117" s="44">
        <v>21600</v>
      </c>
      <c r="Z117" s="44">
        <v>21600</v>
      </c>
      <c r="AA117" s="44">
        <v>21600</v>
      </c>
      <c r="AB117" s="44">
        <v>21600</v>
      </c>
      <c r="AC117"/>
      <c r="AD117" s="44">
        <v>21600</v>
      </c>
      <c r="AE117" s="44">
        <v>21600</v>
      </c>
      <c r="AF117" s="44">
        <v>21600</v>
      </c>
      <c r="AG117" s="44">
        <v>21600</v>
      </c>
      <c r="AH117" s="44">
        <v>21600</v>
      </c>
      <c r="AI117" s="44">
        <v>21600</v>
      </c>
      <c r="AJ117" s="44">
        <v>21600</v>
      </c>
      <c r="AK117"/>
      <c r="AL117" s="44">
        <v>21600</v>
      </c>
      <c r="AM117" s="44">
        <v>21600</v>
      </c>
      <c r="AN117" s="44">
        <v>21600</v>
      </c>
      <c r="AO117" s="44">
        <v>21600</v>
      </c>
      <c r="AP117"/>
      <c r="AQ117" s="44">
        <v>21600</v>
      </c>
      <c r="AR117"/>
      <c r="AS117"/>
      <c r="AT117" s="44">
        <v>21600</v>
      </c>
    </row>
    <row r="118" spans="1:46" x14ac:dyDescent="0.25">
      <c r="A118" s="23" t="s">
        <v>397</v>
      </c>
      <c r="B118" s="3" t="s">
        <v>473</v>
      </c>
      <c r="C118" s="3" t="s">
        <v>483</v>
      </c>
      <c r="D118" s="3" t="s">
        <v>521</v>
      </c>
      <c r="E118" s="24" t="s">
        <v>398</v>
      </c>
      <c r="F118" s="24" t="s">
        <v>106</v>
      </c>
      <c r="G118" s="44">
        <v>172800</v>
      </c>
      <c r="I118" s="58"/>
      <c r="J118" s="44">
        <v>43200</v>
      </c>
      <c r="K118" s="44">
        <v>43200</v>
      </c>
      <c r="M118" s="44">
        <v>43200</v>
      </c>
      <c r="N118" s="44">
        <v>43200</v>
      </c>
      <c r="O118" s="44">
        <v>43200</v>
      </c>
      <c r="R118" s="44">
        <v>43200</v>
      </c>
      <c r="S118" s="44">
        <v>43200</v>
      </c>
      <c r="T118" s="44">
        <v>43200</v>
      </c>
      <c r="U118" s="44">
        <v>43200</v>
      </c>
      <c r="V118" s="44">
        <v>43200</v>
      </c>
      <c r="W118" s="44">
        <v>43200</v>
      </c>
      <c r="X118" s="44">
        <v>43200</v>
      </c>
      <c r="Y118" s="44">
        <v>43200</v>
      </c>
      <c r="Z118" s="44">
        <v>43200</v>
      </c>
      <c r="AA118" s="44">
        <v>43200</v>
      </c>
      <c r="AB118" s="44">
        <v>43200</v>
      </c>
      <c r="AC118"/>
      <c r="AD118" s="44">
        <v>43200</v>
      </c>
      <c r="AE118" s="44">
        <v>43200</v>
      </c>
      <c r="AF118" s="44">
        <v>43200</v>
      </c>
      <c r="AG118" s="44">
        <v>43200</v>
      </c>
      <c r="AH118" s="44">
        <v>43200</v>
      </c>
      <c r="AI118" s="44">
        <v>43200</v>
      </c>
      <c r="AJ118" s="44">
        <v>43200</v>
      </c>
      <c r="AK118"/>
      <c r="AL118" s="44">
        <v>43200</v>
      </c>
      <c r="AM118" s="44">
        <v>43200</v>
      </c>
      <c r="AN118" s="44">
        <v>43200</v>
      </c>
      <c r="AO118" s="44">
        <v>43200</v>
      </c>
      <c r="AP118"/>
      <c r="AQ118" s="44">
        <v>43200</v>
      </c>
      <c r="AR118"/>
      <c r="AS118"/>
      <c r="AT118" s="44">
        <v>43200</v>
      </c>
    </row>
    <row r="119" spans="1:46" x14ac:dyDescent="0.25">
      <c r="A119" s="13" t="s">
        <v>61</v>
      </c>
      <c r="B119" s="3" t="s">
        <v>473</v>
      </c>
      <c r="C119" s="3" t="s">
        <v>483</v>
      </c>
      <c r="D119" s="3" t="s">
        <v>521</v>
      </c>
      <c r="E119" s="14" t="s">
        <v>172</v>
      </c>
      <c r="F119" s="14" t="s">
        <v>111</v>
      </c>
      <c r="G119" s="44">
        <v>0.8</v>
      </c>
      <c r="I119" s="58"/>
      <c r="J119" s="44">
        <v>0.8</v>
      </c>
      <c r="K119" s="44">
        <v>0.8</v>
      </c>
      <c r="M119" s="44">
        <v>0.8</v>
      </c>
      <c r="N119" s="44">
        <v>0.8</v>
      </c>
      <c r="O119" s="44">
        <v>0.8</v>
      </c>
      <c r="R119" s="44">
        <v>0.8</v>
      </c>
      <c r="S119" s="44">
        <v>0.8</v>
      </c>
      <c r="T119" s="44">
        <v>0.8</v>
      </c>
      <c r="U119" s="44">
        <v>0.8</v>
      </c>
      <c r="V119" s="44">
        <v>0.8</v>
      </c>
      <c r="W119" s="44">
        <v>0.8</v>
      </c>
      <c r="X119" s="44">
        <v>0.8</v>
      </c>
      <c r="Y119" s="44">
        <v>0.8</v>
      </c>
      <c r="Z119" s="44">
        <v>0.8</v>
      </c>
      <c r="AA119" s="44">
        <v>0.8</v>
      </c>
      <c r="AB119" s="44">
        <v>0.8</v>
      </c>
      <c r="AC119"/>
      <c r="AD119" s="44">
        <v>0.8</v>
      </c>
      <c r="AE119" s="44">
        <v>0.8</v>
      </c>
      <c r="AF119" s="44">
        <v>0.8</v>
      </c>
      <c r="AG119" s="44">
        <v>0.8</v>
      </c>
      <c r="AH119" s="44">
        <v>0.8</v>
      </c>
      <c r="AI119" s="44">
        <v>0.8</v>
      </c>
      <c r="AJ119" s="44">
        <v>0.8</v>
      </c>
      <c r="AK119"/>
      <c r="AL119" s="44">
        <v>0.8</v>
      </c>
      <c r="AM119" s="44">
        <v>0.8</v>
      </c>
      <c r="AN119" s="44">
        <v>0.8</v>
      </c>
      <c r="AO119" s="44">
        <v>0.8</v>
      </c>
      <c r="AP119"/>
      <c r="AQ119" s="44">
        <v>0.8</v>
      </c>
      <c r="AR119"/>
      <c r="AS119"/>
      <c r="AT119" s="44">
        <v>0.8</v>
      </c>
    </row>
    <row r="120" spans="1:46" x14ac:dyDescent="0.25">
      <c r="A120" s="13" t="s">
        <v>62</v>
      </c>
      <c r="B120" s="3" t="s">
        <v>473</v>
      </c>
      <c r="C120" s="3" t="s">
        <v>483</v>
      </c>
      <c r="D120" s="3" t="s">
        <v>521</v>
      </c>
      <c r="E120" s="14" t="s">
        <v>173</v>
      </c>
      <c r="F120" s="14" t="s">
        <v>198</v>
      </c>
      <c r="G120" s="44">
        <v>2.0833333333333335E-4</v>
      </c>
      <c r="I120" s="58">
        <f>1250 * 0.000001 / 6</f>
        <v>2.0833333333333335E-4</v>
      </c>
      <c r="J120" s="44">
        <f>0.000208333333333333 / 2</f>
        <v>1.041666666666665E-4</v>
      </c>
      <c r="K120" s="44">
        <f>0.000208333333333333 / 2</f>
        <v>1.041666666666665E-4</v>
      </c>
      <c r="L120" s="1" t="s">
        <v>600</v>
      </c>
      <c r="M120" s="44">
        <v>2.0833333333333335E-4</v>
      </c>
      <c r="N120" s="44">
        <v>2.0833333333333335E-4</v>
      </c>
      <c r="O120" s="44">
        <v>2.0833333333333335E-4</v>
      </c>
      <c r="R120" s="44">
        <v>2.0833333333333335E-4</v>
      </c>
      <c r="S120" s="44">
        <v>2.0833333333333335E-4</v>
      </c>
      <c r="T120" s="44">
        <v>2.0833333333333335E-4</v>
      </c>
      <c r="U120" s="44">
        <v>2.0833333333333335E-4</v>
      </c>
      <c r="V120" s="44">
        <v>2.0833333333333335E-4</v>
      </c>
      <c r="W120" s="44">
        <v>2.0833333333333335E-4</v>
      </c>
      <c r="X120" s="44">
        <v>2.0833333333333335E-4</v>
      </c>
      <c r="Y120" s="44">
        <v>2.0833333333333335E-4</v>
      </c>
      <c r="Z120" s="44">
        <v>2.0833333333333335E-4</v>
      </c>
      <c r="AA120" s="44">
        <v>2.0833333333333335E-4</v>
      </c>
      <c r="AB120" s="44">
        <v>2.0833333333333335E-4</v>
      </c>
      <c r="AC120"/>
      <c r="AD120" s="44">
        <v>2.0833333333333335E-4</v>
      </c>
      <c r="AE120" s="44">
        <v>2.0833333333333335E-4</v>
      </c>
      <c r="AF120" s="44">
        <v>2.0833333333333335E-4</v>
      </c>
      <c r="AG120" s="44">
        <v>2.0833333333333335E-4</v>
      </c>
      <c r="AH120" s="44">
        <v>2.0833333333333335E-4</v>
      </c>
      <c r="AI120" s="44">
        <v>2.0833333333333335E-4</v>
      </c>
      <c r="AJ120" s="44">
        <v>2.0833333333333335E-4</v>
      </c>
      <c r="AK120"/>
      <c r="AL120" s="44">
        <v>2.0833333333333335E-4</v>
      </c>
      <c r="AM120" s="44">
        <v>2.0833333333333335E-4</v>
      </c>
      <c r="AN120" s="44">
        <v>2.0833333333333335E-4</v>
      </c>
      <c r="AO120" s="44">
        <v>2.0833333333333335E-4</v>
      </c>
      <c r="AP120"/>
      <c r="AQ120" s="44">
        <v>2.0833333333333335E-4</v>
      </c>
      <c r="AR120"/>
      <c r="AS120"/>
      <c r="AT120" s="44">
        <v>2.0833333333333335E-4</v>
      </c>
    </row>
    <row r="121" spans="1:46" x14ac:dyDescent="0.25">
      <c r="A121" s="13" t="s">
        <v>63</v>
      </c>
      <c r="B121" s="3" t="s">
        <v>473</v>
      </c>
      <c r="C121" s="3" t="s">
        <v>483</v>
      </c>
      <c r="D121" s="3" t="s">
        <v>521</v>
      </c>
      <c r="E121" s="14" t="s">
        <v>174</v>
      </c>
      <c r="F121" s="14" t="s">
        <v>110</v>
      </c>
      <c r="G121" s="44">
        <v>5.7899999999999998E-7</v>
      </c>
      <c r="I121" s="58"/>
      <c r="J121" s="44">
        <v>5.7899999999999998E-7</v>
      </c>
      <c r="K121" s="44">
        <v>5.7899999999999998E-7</v>
      </c>
      <c r="M121" s="44">
        <v>5.7899999999999998E-7</v>
      </c>
      <c r="N121" s="44">
        <v>5.7899999999999998E-7</v>
      </c>
      <c r="O121" s="44">
        <v>5.7899999999999998E-7</v>
      </c>
      <c r="R121" s="44">
        <v>5.7899999999999998E-7</v>
      </c>
      <c r="S121" s="44">
        <v>5.7899999999999998E-7</v>
      </c>
      <c r="T121" s="44">
        <v>5.7899999999999998E-7</v>
      </c>
      <c r="U121" s="44">
        <v>5.7899999999999998E-7</v>
      </c>
      <c r="V121" s="44">
        <v>5.7899999999999998E-7</v>
      </c>
      <c r="W121" s="44">
        <v>5.7899999999999998E-7</v>
      </c>
      <c r="X121" s="44">
        <v>5.7899999999999998E-7</v>
      </c>
      <c r="Y121" s="44">
        <v>5.7899999999999998E-7</v>
      </c>
      <c r="Z121" s="44">
        <v>5.7899999999999998E-7</v>
      </c>
      <c r="AA121" s="44">
        <v>5.7899999999999998E-7</v>
      </c>
      <c r="AB121" s="44">
        <v>5.7899999999999998E-7</v>
      </c>
      <c r="AC121"/>
      <c r="AD121" s="44">
        <v>5.7899999999999998E-7</v>
      </c>
      <c r="AE121" s="44">
        <v>5.7899999999999998E-7</v>
      </c>
      <c r="AF121" s="44">
        <v>5.7899999999999998E-7</v>
      </c>
      <c r="AG121" s="44">
        <v>5.7899999999999998E-7</v>
      </c>
      <c r="AH121" s="44">
        <v>5.7899999999999998E-7</v>
      </c>
      <c r="AI121" s="44">
        <v>5.7899999999999998E-7</v>
      </c>
      <c r="AJ121" s="44">
        <v>5.7899999999999998E-7</v>
      </c>
      <c r="AK121"/>
      <c r="AL121" s="44">
        <v>5.7899999999999998E-7</v>
      </c>
      <c r="AM121" s="44">
        <v>5.7899999999999998E-7</v>
      </c>
      <c r="AN121" s="44">
        <v>5.7899999999999998E-7</v>
      </c>
      <c r="AO121" s="44">
        <v>5.7899999999999998E-7</v>
      </c>
      <c r="AP121"/>
      <c r="AQ121" s="44">
        <v>5.7899999999999998E-7</v>
      </c>
      <c r="AR121"/>
      <c r="AS121"/>
      <c r="AT121" s="44">
        <v>5.7899999999999998E-7</v>
      </c>
    </row>
    <row r="122" spans="1:46" x14ac:dyDescent="0.25">
      <c r="A122" s="13" t="s">
        <v>64</v>
      </c>
      <c r="B122" s="3" t="s">
        <v>473</v>
      </c>
      <c r="C122" s="3" t="s">
        <v>483</v>
      </c>
      <c r="D122" s="3" t="s">
        <v>521</v>
      </c>
      <c r="E122" s="14" t="s">
        <v>175</v>
      </c>
      <c r="F122" s="14" t="s">
        <v>198</v>
      </c>
      <c r="G122" s="44">
        <v>2.0833333333333335E-4</v>
      </c>
      <c r="I122" s="58"/>
      <c r="J122" s="44">
        <v>2.0833333333333335E-4</v>
      </c>
      <c r="K122" s="44">
        <v>2.0833333333333335E-4</v>
      </c>
      <c r="M122" s="44">
        <v>2.0833333333333335E-4</v>
      </c>
      <c r="N122" s="44">
        <v>2.0833333333333335E-4</v>
      </c>
      <c r="O122" s="44">
        <v>2.0833333333333335E-4</v>
      </c>
      <c r="R122" s="44">
        <v>2.0833333333333335E-4</v>
      </c>
      <c r="S122" s="44">
        <v>2.0833333333333335E-4</v>
      </c>
      <c r="T122" s="44">
        <v>2.0833333333333335E-4</v>
      </c>
      <c r="U122" s="44">
        <v>2.0833333333333335E-4</v>
      </c>
      <c r="V122" s="44">
        <v>2.0833333333333335E-4</v>
      </c>
      <c r="W122" s="44">
        <v>2.0833333333333335E-4</v>
      </c>
      <c r="X122" s="44">
        <v>2.0833333333333335E-4</v>
      </c>
      <c r="Y122" s="44">
        <v>2.0833333333333335E-4</v>
      </c>
      <c r="Z122" s="44">
        <v>2.0833333333333335E-4</v>
      </c>
      <c r="AA122" s="44">
        <v>2.0833333333333335E-4</v>
      </c>
      <c r="AB122" s="44">
        <v>2.0833333333333335E-4</v>
      </c>
      <c r="AC122"/>
      <c r="AD122" s="44">
        <v>2.0833333333333335E-4</v>
      </c>
      <c r="AE122" s="44">
        <v>2.0833333333333335E-4</v>
      </c>
      <c r="AF122" s="44">
        <v>2.0833333333333335E-4</v>
      </c>
      <c r="AG122" s="44">
        <v>2.0833333333333335E-4</v>
      </c>
      <c r="AH122" s="44">
        <v>2.0833333333333335E-4</v>
      </c>
      <c r="AI122" s="44">
        <v>2.0833333333333335E-4</v>
      </c>
      <c r="AJ122" s="44">
        <v>2.0833333333333335E-4</v>
      </c>
      <c r="AK122"/>
      <c r="AL122" s="44">
        <v>2.0833333333333335E-4</v>
      </c>
      <c r="AM122" s="44">
        <v>2.0833333333333335E-4</v>
      </c>
      <c r="AN122" s="44">
        <v>2.0833333333333335E-4</v>
      </c>
      <c r="AO122" s="44">
        <v>2.0833333333333335E-4</v>
      </c>
      <c r="AP122"/>
      <c r="AQ122" s="44">
        <v>2.0833333333333335E-4</v>
      </c>
      <c r="AR122"/>
      <c r="AS122"/>
      <c r="AT122" s="44">
        <v>2.0833333333333335E-4</v>
      </c>
    </row>
    <row r="123" spans="1:46" x14ac:dyDescent="0.25">
      <c r="A123" s="13" t="s">
        <v>452</v>
      </c>
      <c r="B123" s="3" t="s">
        <v>473</v>
      </c>
      <c r="C123" s="3" t="s">
        <v>483</v>
      </c>
      <c r="D123" s="3" t="s">
        <v>521</v>
      </c>
      <c r="E123" s="14" t="s">
        <v>453</v>
      </c>
      <c r="F123" s="14" t="s">
        <v>198</v>
      </c>
      <c r="G123" s="44">
        <v>1.0000000000000001E-5</v>
      </c>
      <c r="I123" s="58"/>
      <c r="J123" s="44">
        <v>0</v>
      </c>
      <c r="K123" s="44">
        <v>0</v>
      </c>
      <c r="M123" s="44">
        <v>0</v>
      </c>
      <c r="N123" s="44">
        <v>0</v>
      </c>
      <c r="O123" s="44">
        <v>0</v>
      </c>
      <c r="R123" s="44">
        <v>0</v>
      </c>
      <c r="S123" s="44">
        <v>0</v>
      </c>
      <c r="T123" s="44">
        <v>0</v>
      </c>
      <c r="U123" s="44">
        <v>0</v>
      </c>
      <c r="V123" s="44">
        <v>0</v>
      </c>
      <c r="W123" s="44">
        <v>0</v>
      </c>
      <c r="X123" s="44">
        <v>0</v>
      </c>
      <c r="Y123" s="44">
        <v>0</v>
      </c>
      <c r="Z123" s="44">
        <v>0</v>
      </c>
      <c r="AA123" s="44">
        <v>0</v>
      </c>
      <c r="AB123" s="44">
        <v>0</v>
      </c>
      <c r="AC123"/>
      <c r="AD123" s="44">
        <v>0</v>
      </c>
      <c r="AE123" s="44">
        <v>0</v>
      </c>
      <c r="AF123" s="44">
        <v>0</v>
      </c>
      <c r="AG123" s="44">
        <v>0</v>
      </c>
      <c r="AH123" s="44">
        <v>0</v>
      </c>
      <c r="AI123" s="44">
        <v>0</v>
      </c>
      <c r="AJ123" s="44">
        <v>0</v>
      </c>
      <c r="AK123"/>
      <c r="AL123" s="44">
        <v>0</v>
      </c>
      <c r="AM123" s="44">
        <v>0</v>
      </c>
      <c r="AN123" s="44">
        <v>0</v>
      </c>
      <c r="AO123" s="44">
        <v>0</v>
      </c>
      <c r="AP123"/>
      <c r="AQ123" s="44">
        <v>0</v>
      </c>
      <c r="AR123"/>
      <c r="AS123"/>
      <c r="AT123" s="44">
        <v>0</v>
      </c>
    </row>
    <row r="124" spans="1:46" x14ac:dyDescent="0.25">
      <c r="A124" s="13" t="s">
        <v>454</v>
      </c>
      <c r="B124" s="3" t="s">
        <v>473</v>
      </c>
      <c r="C124" s="3" t="s">
        <v>483</v>
      </c>
      <c r="D124" s="3" t="s">
        <v>521</v>
      </c>
      <c r="E124" s="14" t="s">
        <v>455</v>
      </c>
      <c r="F124" s="14" t="s">
        <v>198</v>
      </c>
      <c r="G124" s="44">
        <v>1.0000000000000001E-5</v>
      </c>
      <c r="I124" s="58"/>
      <c r="J124" s="44">
        <v>0</v>
      </c>
      <c r="K124" s="44">
        <v>0</v>
      </c>
      <c r="M124" s="44">
        <v>0</v>
      </c>
      <c r="N124" s="44">
        <v>0</v>
      </c>
      <c r="O124" s="44">
        <v>0</v>
      </c>
      <c r="R124" s="44">
        <v>0</v>
      </c>
      <c r="S124" s="44">
        <v>0</v>
      </c>
      <c r="T124" s="44">
        <v>0</v>
      </c>
      <c r="U124" s="44">
        <v>0</v>
      </c>
      <c r="V124" s="44">
        <v>0</v>
      </c>
      <c r="W124" s="44">
        <v>0</v>
      </c>
      <c r="X124" s="44">
        <v>0</v>
      </c>
      <c r="Y124" s="44">
        <v>0</v>
      </c>
      <c r="Z124" s="44">
        <v>0</v>
      </c>
      <c r="AA124" s="44">
        <v>0</v>
      </c>
      <c r="AB124" s="44">
        <v>0</v>
      </c>
      <c r="AC124"/>
      <c r="AD124" s="44">
        <v>0</v>
      </c>
      <c r="AE124" s="44">
        <v>0</v>
      </c>
      <c r="AF124" s="44">
        <v>0</v>
      </c>
      <c r="AG124" s="44">
        <v>0</v>
      </c>
      <c r="AH124" s="44">
        <v>0</v>
      </c>
      <c r="AI124" s="44">
        <v>0</v>
      </c>
      <c r="AJ124" s="44">
        <v>0</v>
      </c>
      <c r="AK124"/>
      <c r="AL124" s="44">
        <v>0</v>
      </c>
      <c r="AM124" s="44">
        <v>0</v>
      </c>
      <c r="AN124" s="44">
        <v>0</v>
      </c>
      <c r="AO124" s="44">
        <v>0</v>
      </c>
      <c r="AP124"/>
      <c r="AQ124" s="44">
        <v>0</v>
      </c>
      <c r="AR124"/>
      <c r="AS124"/>
      <c r="AT124" s="44">
        <v>0</v>
      </c>
    </row>
    <row r="125" spans="1:46" x14ac:dyDescent="0.25">
      <c r="A125" s="38" t="s">
        <v>444</v>
      </c>
      <c r="B125" s="3" t="s">
        <v>473</v>
      </c>
      <c r="C125" s="3" t="s">
        <v>483</v>
      </c>
      <c r="D125" s="3" t="s">
        <v>521</v>
      </c>
      <c r="E125" s="39" t="s">
        <v>178</v>
      </c>
      <c r="F125" s="39" t="s">
        <v>179</v>
      </c>
      <c r="G125" s="44">
        <v>1.9999999999999999E-7</v>
      </c>
      <c r="I125" s="58"/>
      <c r="J125" s="44">
        <v>0</v>
      </c>
      <c r="K125" s="44">
        <v>0</v>
      </c>
      <c r="M125" s="44">
        <v>5.9999999999999997E-7</v>
      </c>
      <c r="N125" s="44">
        <v>5.9999999999999997E-7</v>
      </c>
      <c r="O125" s="44">
        <v>5.9999999999999997E-7</v>
      </c>
      <c r="R125" s="44">
        <v>5.9999999999999997E-7</v>
      </c>
      <c r="S125" s="44">
        <v>5.9999999999999997E-7</v>
      </c>
      <c r="T125" s="44">
        <v>5.9999999999999997E-7</v>
      </c>
      <c r="U125" s="44">
        <v>5.9999999999999997E-7</v>
      </c>
      <c r="V125" s="44">
        <v>5.9999999999999997E-7</v>
      </c>
      <c r="W125" s="44">
        <v>5.9999999999999997E-7</v>
      </c>
      <c r="X125" s="44">
        <v>5.9999999999999997E-7</v>
      </c>
      <c r="Y125" s="44">
        <v>5.9999999999999997E-7</v>
      </c>
      <c r="Z125" s="44">
        <v>5.9999999999999997E-7</v>
      </c>
      <c r="AA125" s="44">
        <v>5.9999999999999997E-7</v>
      </c>
      <c r="AB125" s="44">
        <v>5.9999999999999997E-7</v>
      </c>
      <c r="AC125"/>
      <c r="AD125" s="44">
        <v>5.9999999999999997E-7</v>
      </c>
      <c r="AE125" s="44">
        <v>5.9999999999999997E-7</v>
      </c>
      <c r="AF125" s="44">
        <v>5.9999999999999997E-7</v>
      </c>
      <c r="AG125" s="44">
        <v>5.9999999999999997E-7</v>
      </c>
      <c r="AH125" s="44">
        <v>5.9999999999999997E-7</v>
      </c>
      <c r="AI125" s="44">
        <v>5.9999999999999997E-7</v>
      </c>
      <c r="AJ125" s="44">
        <v>5.9999999999999997E-7</v>
      </c>
      <c r="AK125"/>
      <c r="AL125" s="44">
        <v>5.9999999999999997E-7</v>
      </c>
      <c r="AM125" s="44">
        <v>5.9999999999999997E-7</v>
      </c>
      <c r="AN125" s="44">
        <v>5.9999999999999997E-7</v>
      </c>
      <c r="AO125" s="44">
        <v>5.9999999999999997E-7</v>
      </c>
      <c r="AP125"/>
      <c r="AQ125" s="44">
        <v>5.9999999999999997E-7</v>
      </c>
      <c r="AR125"/>
      <c r="AS125"/>
      <c r="AT125" s="44">
        <v>9.9999999999999995E-8</v>
      </c>
    </row>
    <row r="126" spans="1:46" x14ac:dyDescent="0.25">
      <c r="A126" s="38" t="s">
        <v>67</v>
      </c>
      <c r="B126" s="3" t="s">
        <v>473</v>
      </c>
      <c r="C126" s="3" t="s">
        <v>483</v>
      </c>
      <c r="D126" s="3" t="s">
        <v>521</v>
      </c>
      <c r="E126" s="39" t="s">
        <v>445</v>
      </c>
      <c r="F126" s="39" t="s">
        <v>446</v>
      </c>
      <c r="G126" s="44">
        <f>1000 * 0.000001 / 12</f>
        <v>8.3333333333333331E-5</v>
      </c>
      <c r="I126" s="58"/>
      <c r="J126" s="44">
        <f t="shared" ref="J126:AT126" si="12">1000 * 0.000001 / 12</f>
        <v>8.3333333333333331E-5</v>
      </c>
      <c r="K126" s="44">
        <f t="shared" si="12"/>
        <v>8.3333333333333331E-5</v>
      </c>
      <c r="M126" s="44">
        <f t="shared" si="12"/>
        <v>8.3333333333333331E-5</v>
      </c>
      <c r="N126" s="44">
        <f t="shared" si="12"/>
        <v>8.3333333333333331E-5</v>
      </c>
      <c r="O126" s="44">
        <f t="shared" si="12"/>
        <v>8.3333333333333331E-5</v>
      </c>
      <c r="R126" s="44">
        <f t="shared" si="12"/>
        <v>8.3333333333333331E-5</v>
      </c>
      <c r="S126" s="44">
        <f t="shared" si="12"/>
        <v>8.3333333333333331E-5</v>
      </c>
      <c r="T126" s="44">
        <f t="shared" si="12"/>
        <v>8.3333333333333331E-5</v>
      </c>
      <c r="U126" s="44">
        <f t="shared" si="12"/>
        <v>8.3333333333333331E-5</v>
      </c>
      <c r="V126" s="44">
        <f t="shared" si="12"/>
        <v>8.3333333333333331E-5</v>
      </c>
      <c r="W126" s="44">
        <f t="shared" si="12"/>
        <v>8.3333333333333331E-5</v>
      </c>
      <c r="X126" s="44">
        <f t="shared" si="12"/>
        <v>8.3333333333333331E-5</v>
      </c>
      <c r="Y126" s="44">
        <f t="shared" si="12"/>
        <v>8.3333333333333331E-5</v>
      </c>
      <c r="Z126" s="44">
        <f t="shared" si="12"/>
        <v>8.3333333333333331E-5</v>
      </c>
      <c r="AA126" s="44">
        <f t="shared" si="12"/>
        <v>8.3333333333333331E-5</v>
      </c>
      <c r="AB126" s="44">
        <f t="shared" si="12"/>
        <v>8.3333333333333331E-5</v>
      </c>
      <c r="AC126"/>
      <c r="AD126" s="44">
        <f t="shared" si="12"/>
        <v>8.3333333333333331E-5</v>
      </c>
      <c r="AE126" s="44">
        <f t="shared" si="12"/>
        <v>8.3333333333333331E-5</v>
      </c>
      <c r="AF126" s="44">
        <f t="shared" si="12"/>
        <v>8.3333333333333331E-5</v>
      </c>
      <c r="AG126" s="44">
        <f t="shared" si="12"/>
        <v>8.3333333333333331E-5</v>
      </c>
      <c r="AH126" s="44">
        <f t="shared" si="12"/>
        <v>8.3333333333333331E-5</v>
      </c>
      <c r="AI126" s="44">
        <f t="shared" si="12"/>
        <v>8.3333333333333331E-5</v>
      </c>
      <c r="AJ126" s="44">
        <f t="shared" si="12"/>
        <v>8.3333333333333331E-5</v>
      </c>
      <c r="AK126"/>
      <c r="AL126" s="44">
        <f t="shared" si="12"/>
        <v>8.3333333333333331E-5</v>
      </c>
      <c r="AM126" s="44">
        <f t="shared" si="12"/>
        <v>8.3333333333333331E-5</v>
      </c>
      <c r="AN126" s="44">
        <f t="shared" si="12"/>
        <v>8.3333333333333331E-5</v>
      </c>
      <c r="AO126" s="44">
        <f t="shared" si="12"/>
        <v>8.3333333333333331E-5</v>
      </c>
      <c r="AP126"/>
      <c r="AQ126" s="44">
        <f t="shared" si="12"/>
        <v>8.3333333333333331E-5</v>
      </c>
      <c r="AR126"/>
      <c r="AS126"/>
      <c r="AT126" s="44">
        <f t="shared" si="12"/>
        <v>8.3333333333333331E-5</v>
      </c>
    </row>
    <row r="127" spans="1:46" x14ac:dyDescent="0.25">
      <c r="A127" s="38" t="s">
        <v>448</v>
      </c>
      <c r="B127" s="3" t="s">
        <v>473</v>
      </c>
      <c r="C127" s="3" t="s">
        <v>483</v>
      </c>
      <c r="D127" s="3" t="s">
        <v>521</v>
      </c>
      <c r="E127" s="39" t="s">
        <v>449</v>
      </c>
      <c r="F127" s="39" t="s">
        <v>94</v>
      </c>
      <c r="G127" s="44" t="s">
        <v>87</v>
      </c>
      <c r="I127" s="58"/>
      <c r="J127" s="44" t="s">
        <v>86</v>
      </c>
      <c r="K127" s="44" t="s">
        <v>86</v>
      </c>
      <c r="M127" s="44" t="s">
        <v>86</v>
      </c>
      <c r="N127" s="44" t="s">
        <v>86</v>
      </c>
      <c r="O127" s="44" t="s">
        <v>86</v>
      </c>
      <c r="R127" s="44" t="s">
        <v>86</v>
      </c>
      <c r="S127" s="44" t="s">
        <v>86</v>
      </c>
      <c r="T127" s="44" t="s">
        <v>86</v>
      </c>
      <c r="U127" s="44" t="s">
        <v>86</v>
      </c>
      <c r="V127" s="44" t="s">
        <v>86</v>
      </c>
      <c r="W127" s="44" t="s">
        <v>86</v>
      </c>
      <c r="X127" s="44" t="s">
        <v>86</v>
      </c>
      <c r="Y127" s="44" t="s">
        <v>86</v>
      </c>
      <c r="Z127" s="44" t="s">
        <v>86</v>
      </c>
      <c r="AA127" s="44" t="s">
        <v>86</v>
      </c>
      <c r="AB127" s="44" t="s">
        <v>86</v>
      </c>
      <c r="AC127"/>
      <c r="AD127" s="44" t="s">
        <v>86</v>
      </c>
      <c r="AE127" s="44" t="s">
        <v>86</v>
      </c>
      <c r="AF127" s="44" t="s">
        <v>86</v>
      </c>
      <c r="AG127" s="44" t="s">
        <v>86</v>
      </c>
      <c r="AH127" s="44" t="s">
        <v>86</v>
      </c>
      <c r="AI127" s="44" t="s">
        <v>86</v>
      </c>
      <c r="AJ127" s="44" t="s">
        <v>86</v>
      </c>
      <c r="AK127"/>
      <c r="AL127" s="44" t="s">
        <v>86</v>
      </c>
      <c r="AM127" s="44" t="s">
        <v>86</v>
      </c>
      <c r="AN127" s="44" t="s">
        <v>86</v>
      </c>
      <c r="AO127" s="44" t="s">
        <v>86</v>
      </c>
      <c r="AP127"/>
      <c r="AQ127" s="44" t="s">
        <v>86</v>
      </c>
      <c r="AR127"/>
      <c r="AS127"/>
      <c r="AT127" s="44" t="s">
        <v>86</v>
      </c>
    </row>
    <row r="128" spans="1:46" x14ac:dyDescent="0.25">
      <c r="A128" s="21" t="s">
        <v>66</v>
      </c>
      <c r="B128" s="3" t="s">
        <v>473</v>
      </c>
      <c r="C128" s="3" t="s">
        <v>483</v>
      </c>
      <c r="D128" s="3" t="s">
        <v>521</v>
      </c>
      <c r="E128" s="22" t="s">
        <v>177</v>
      </c>
      <c r="F128" s="22" t="s">
        <v>199</v>
      </c>
      <c r="G128" s="44">
        <v>5.0000000000000001E-4</v>
      </c>
      <c r="I128" s="58"/>
      <c r="J128" s="44">
        <v>5.0000000000000001E-4</v>
      </c>
      <c r="K128" s="44">
        <v>5.0000000000000001E-4</v>
      </c>
      <c r="M128" s="44">
        <v>5.0000000000000001E-4</v>
      </c>
      <c r="N128" s="44">
        <v>5.0000000000000001E-4</v>
      </c>
      <c r="O128" s="44">
        <v>5.0000000000000001E-4</v>
      </c>
      <c r="R128" s="44">
        <v>5.0000000000000001E-4</v>
      </c>
      <c r="S128" s="44">
        <v>5.0000000000000001E-4</v>
      </c>
      <c r="T128" s="44">
        <v>5.0000000000000001E-4</v>
      </c>
      <c r="U128" s="44">
        <v>5.0000000000000001E-4</v>
      </c>
      <c r="V128" s="44">
        <v>5.0000000000000001E-4</v>
      </c>
      <c r="W128" s="44">
        <v>5.0000000000000001E-4</v>
      </c>
      <c r="X128" s="44">
        <v>5.0000000000000001E-4</v>
      </c>
      <c r="Y128" s="44">
        <v>5.0000000000000001E-4</v>
      </c>
      <c r="Z128" s="44">
        <v>5.0000000000000001E-4</v>
      </c>
      <c r="AA128" s="44">
        <v>5.0000000000000001E-4</v>
      </c>
      <c r="AB128" s="44">
        <v>5.0000000000000001E-4</v>
      </c>
      <c r="AC128"/>
      <c r="AD128" s="44">
        <v>5.0000000000000001E-4</v>
      </c>
      <c r="AE128" s="44">
        <v>5.0000000000000001E-4</v>
      </c>
      <c r="AF128" s="44">
        <v>5.0000000000000001E-4</v>
      </c>
      <c r="AG128" s="44">
        <v>5.0000000000000001E-4</v>
      </c>
      <c r="AH128" s="44">
        <v>5.0000000000000001E-4</v>
      </c>
      <c r="AI128" s="44">
        <v>5.0000000000000001E-4</v>
      </c>
      <c r="AJ128" s="44">
        <v>5.0000000000000001E-4</v>
      </c>
      <c r="AK128"/>
      <c r="AL128" s="44">
        <v>5.0000000000000001E-4</v>
      </c>
      <c r="AM128" s="44">
        <v>5.0000000000000001E-4</v>
      </c>
      <c r="AN128" s="44">
        <v>5.0000000000000001E-4</v>
      </c>
      <c r="AO128" s="44">
        <v>5.0000000000000001E-4</v>
      </c>
      <c r="AP128"/>
      <c r="AQ128" s="44">
        <v>5.0000000000000001E-4</v>
      </c>
      <c r="AR128"/>
      <c r="AS128"/>
      <c r="AT128" s="44">
        <v>5.0000000000000001E-4</v>
      </c>
    </row>
    <row r="129" spans="1:46" x14ac:dyDescent="0.25">
      <c r="A129" s="21" t="s">
        <v>441</v>
      </c>
      <c r="B129" s="3" t="s">
        <v>473</v>
      </c>
      <c r="C129" s="3" t="s">
        <v>483</v>
      </c>
      <c r="D129" s="3" t="s">
        <v>521</v>
      </c>
      <c r="E129" s="22" t="s">
        <v>442</v>
      </c>
      <c r="F129" s="22" t="s">
        <v>443</v>
      </c>
      <c r="G129" s="44">
        <v>1.0000000000000001E-9</v>
      </c>
      <c r="I129" s="58"/>
      <c r="J129" s="44">
        <f>0.00000000000003/2/2/2</f>
        <v>3.7499999999999998E-15</v>
      </c>
      <c r="K129" s="44">
        <f>0.00000000000003/2/2/2</f>
        <v>3.7499999999999998E-15</v>
      </c>
      <c r="L129" s="1" t="s">
        <v>601</v>
      </c>
      <c r="M129" s="44">
        <v>4.9999999999999999E-13</v>
      </c>
      <c r="N129" s="44">
        <v>4.9999999999999999E-13</v>
      </c>
      <c r="O129" s="44">
        <v>4.9999999999999999E-13</v>
      </c>
      <c r="R129" s="44">
        <v>4.9999999999999999E-13</v>
      </c>
      <c r="S129" s="44">
        <v>4.9999999999999999E-13</v>
      </c>
      <c r="T129" s="44">
        <v>4.9999999999999999E-13</v>
      </c>
      <c r="U129" s="44">
        <v>4.9999999999999999E-13</v>
      </c>
      <c r="V129" s="44">
        <v>4.9999999999999999E-13</v>
      </c>
      <c r="W129" s="44">
        <v>4.9999999999999999E-13</v>
      </c>
      <c r="X129" s="44">
        <v>4.9999999999999999E-13</v>
      </c>
      <c r="Y129" s="44">
        <v>4.9999999999999999E-13</v>
      </c>
      <c r="Z129" s="44">
        <v>4.9999999999999999E-13</v>
      </c>
      <c r="AA129" s="44">
        <v>4.9999999999999999E-13</v>
      </c>
      <c r="AB129" s="44">
        <v>4.9999999999999999E-13</v>
      </c>
      <c r="AC129"/>
      <c r="AD129" s="44">
        <v>4.9999999999999999E-13</v>
      </c>
      <c r="AE129" s="44">
        <v>4.9999999999999999E-13</v>
      </c>
      <c r="AF129" s="44">
        <v>4.9999999999999999E-13</v>
      </c>
      <c r="AG129" s="44">
        <v>4.9999999999999999E-13</v>
      </c>
      <c r="AH129" s="44">
        <v>4.9999999999999999E-13</v>
      </c>
      <c r="AI129" s="44">
        <v>4.9999999999999999E-13</v>
      </c>
      <c r="AJ129" s="44">
        <v>4.9999999999999999E-13</v>
      </c>
      <c r="AK129"/>
      <c r="AL129" s="44">
        <v>4.9999999999999999E-13</v>
      </c>
      <c r="AM129" s="44">
        <v>4.9999999999999999E-13</v>
      </c>
      <c r="AN129" s="44">
        <v>4.9999999999999999E-13</v>
      </c>
      <c r="AO129" s="44">
        <v>4.9999999999999999E-13</v>
      </c>
      <c r="AP129"/>
      <c r="AQ129" s="44">
        <v>4.9999999999999999E-13</v>
      </c>
      <c r="AR129"/>
      <c r="AS129"/>
      <c r="AT129" s="44">
        <v>4.9999999999999999E-13</v>
      </c>
    </row>
    <row r="130" spans="1:46" x14ac:dyDescent="0.25">
      <c r="A130" s="21" t="s">
        <v>228</v>
      </c>
      <c r="B130" s="3" t="s">
        <v>473</v>
      </c>
      <c r="C130" s="3" t="s">
        <v>483</v>
      </c>
      <c r="D130" s="3" t="s">
        <v>521</v>
      </c>
      <c r="E130" s="22" t="s">
        <v>311</v>
      </c>
      <c r="F130" s="22" t="s">
        <v>109</v>
      </c>
      <c r="G130" s="44">
        <v>10</v>
      </c>
      <c r="I130" s="58"/>
      <c r="J130" s="44">
        <v>10</v>
      </c>
      <c r="K130" s="44">
        <v>10</v>
      </c>
      <c r="M130" s="44">
        <v>10</v>
      </c>
      <c r="N130" s="44">
        <v>10</v>
      </c>
      <c r="O130" s="44">
        <v>10</v>
      </c>
      <c r="R130" s="44">
        <v>10</v>
      </c>
      <c r="S130" s="44">
        <v>10</v>
      </c>
      <c r="T130" s="44">
        <v>10</v>
      </c>
      <c r="U130" s="44">
        <v>10</v>
      </c>
      <c r="V130" s="44">
        <v>10</v>
      </c>
      <c r="W130" s="44">
        <v>10</v>
      </c>
      <c r="X130" s="44">
        <v>10</v>
      </c>
      <c r="Y130" s="44">
        <v>10</v>
      </c>
      <c r="Z130" s="44">
        <v>10</v>
      </c>
      <c r="AA130" s="44">
        <v>10</v>
      </c>
      <c r="AB130" s="44">
        <v>10</v>
      </c>
      <c r="AC130"/>
      <c r="AD130" s="44">
        <v>10</v>
      </c>
      <c r="AE130" s="44">
        <v>10</v>
      </c>
      <c r="AF130" s="44">
        <v>10</v>
      </c>
      <c r="AG130" s="44">
        <v>10</v>
      </c>
      <c r="AH130" s="44">
        <v>10</v>
      </c>
      <c r="AI130" s="44">
        <v>10</v>
      </c>
      <c r="AJ130" s="44">
        <v>10</v>
      </c>
      <c r="AK130"/>
      <c r="AL130" s="44">
        <v>10</v>
      </c>
      <c r="AM130" s="44">
        <v>10</v>
      </c>
      <c r="AN130" s="44">
        <v>10</v>
      </c>
      <c r="AO130" s="44">
        <v>10</v>
      </c>
      <c r="AP130"/>
      <c r="AQ130" s="44">
        <v>10</v>
      </c>
      <c r="AR130"/>
      <c r="AS130"/>
      <c r="AT130" s="44">
        <v>10</v>
      </c>
    </row>
    <row r="131" spans="1:46" x14ac:dyDescent="0.25">
      <c r="A131" s="21" t="s">
        <v>229</v>
      </c>
      <c r="B131" s="3" t="s">
        <v>473</v>
      </c>
      <c r="C131" s="3" t="s">
        <v>483</v>
      </c>
      <c r="D131" s="3" t="s">
        <v>521</v>
      </c>
      <c r="E131" s="22" t="s">
        <v>312</v>
      </c>
      <c r="F131" s="22" t="s">
        <v>301</v>
      </c>
      <c r="G131" s="44">
        <v>-0.04</v>
      </c>
      <c r="I131" s="58"/>
      <c r="J131" s="44">
        <v>-0.04</v>
      </c>
      <c r="K131" s="44">
        <v>-0.04</v>
      </c>
      <c r="M131" s="44">
        <v>-0.04</v>
      </c>
      <c r="N131" s="44">
        <v>-0.04</v>
      </c>
      <c r="O131" s="44">
        <v>-0.04</v>
      </c>
      <c r="R131" s="44">
        <v>-0.04</v>
      </c>
      <c r="S131" s="44">
        <v>-0.04</v>
      </c>
      <c r="T131" s="44">
        <v>-0.04</v>
      </c>
      <c r="U131" s="44">
        <v>-0.04</v>
      </c>
      <c r="V131" s="44">
        <v>-0.04</v>
      </c>
      <c r="W131" s="44">
        <v>-0.04</v>
      </c>
      <c r="X131" s="44">
        <v>-0.04</v>
      </c>
      <c r="Y131" s="44">
        <v>-0.04</v>
      </c>
      <c r="Z131" s="44">
        <v>-0.04</v>
      </c>
      <c r="AA131" s="44">
        <v>-0.04</v>
      </c>
      <c r="AB131" s="44">
        <v>-0.04</v>
      </c>
      <c r="AC131"/>
      <c r="AD131" s="44">
        <v>-0.04</v>
      </c>
      <c r="AE131" s="44">
        <v>-0.04</v>
      </c>
      <c r="AF131" s="44">
        <v>-0.04</v>
      </c>
      <c r="AG131" s="44">
        <v>-0.04</v>
      </c>
      <c r="AH131" s="44">
        <v>-0.04</v>
      </c>
      <c r="AI131" s="44">
        <v>-0.04</v>
      </c>
      <c r="AJ131" s="44">
        <v>-0.04</v>
      </c>
      <c r="AK131"/>
      <c r="AL131" s="44">
        <v>-0.04</v>
      </c>
      <c r="AM131" s="44">
        <v>-0.04</v>
      </c>
      <c r="AN131" s="44">
        <v>-0.04</v>
      </c>
      <c r="AO131" s="44">
        <v>-0.04</v>
      </c>
      <c r="AP131"/>
      <c r="AQ131" s="44">
        <v>-0.04</v>
      </c>
      <c r="AR131"/>
      <c r="AS131"/>
      <c r="AT131" s="44">
        <v>-0.04</v>
      </c>
    </row>
    <row r="132" spans="1:46" x14ac:dyDescent="0.25">
      <c r="A132" s="21" t="s">
        <v>230</v>
      </c>
      <c r="B132" s="3" t="s">
        <v>473</v>
      </c>
      <c r="C132" s="3" t="s">
        <v>483</v>
      </c>
      <c r="D132" s="3" t="s">
        <v>521</v>
      </c>
      <c r="E132" s="22" t="s">
        <v>313</v>
      </c>
      <c r="F132" s="22" t="s">
        <v>100</v>
      </c>
      <c r="G132" s="44">
        <v>2.9</v>
      </c>
      <c r="I132" s="58"/>
      <c r="J132" s="44">
        <v>2.9</v>
      </c>
      <c r="K132" s="44">
        <v>2.9</v>
      </c>
      <c r="M132" s="44">
        <v>2.9</v>
      </c>
      <c r="N132" s="44">
        <v>2.9</v>
      </c>
      <c r="O132" s="44">
        <v>2.9</v>
      </c>
      <c r="R132" s="44">
        <v>2.9</v>
      </c>
      <c r="S132" s="44">
        <v>2.9</v>
      </c>
      <c r="T132" s="44">
        <v>2.9</v>
      </c>
      <c r="U132" s="44">
        <v>2.9</v>
      </c>
      <c r="V132" s="44">
        <v>2.9</v>
      </c>
      <c r="W132" s="44">
        <v>2.9</v>
      </c>
      <c r="X132" s="44">
        <v>2.9</v>
      </c>
      <c r="Y132" s="44">
        <v>2.9</v>
      </c>
      <c r="Z132" s="44">
        <v>2.9</v>
      </c>
      <c r="AA132" s="44">
        <v>2.9</v>
      </c>
      <c r="AB132" s="44">
        <v>2.9</v>
      </c>
      <c r="AC132"/>
      <c r="AD132" s="44">
        <v>2.9</v>
      </c>
      <c r="AE132" s="44">
        <v>2.9</v>
      </c>
      <c r="AF132" s="44">
        <v>2.9</v>
      </c>
      <c r="AG132" s="44">
        <v>2.9</v>
      </c>
      <c r="AH132" s="44">
        <v>2.9</v>
      </c>
      <c r="AI132" s="44">
        <v>2.9</v>
      </c>
      <c r="AJ132" s="44">
        <v>2.9</v>
      </c>
      <c r="AK132"/>
      <c r="AL132" s="44">
        <v>2.9</v>
      </c>
      <c r="AM132" s="44">
        <v>2.9</v>
      </c>
      <c r="AN132" s="44">
        <v>2.9</v>
      </c>
      <c r="AO132" s="44">
        <v>2.9</v>
      </c>
      <c r="AP132"/>
      <c r="AQ132" s="44">
        <v>2.9</v>
      </c>
      <c r="AR132"/>
      <c r="AS132"/>
      <c r="AT132" s="44">
        <v>2.9</v>
      </c>
    </row>
    <row r="133" spans="1:46" x14ac:dyDescent="0.25">
      <c r="A133" s="21" t="s">
        <v>231</v>
      </c>
      <c r="B133" s="3" t="s">
        <v>473</v>
      </c>
      <c r="C133" s="3" t="s">
        <v>483</v>
      </c>
      <c r="D133" s="3" t="s">
        <v>521</v>
      </c>
      <c r="E133" s="22" t="s">
        <v>314</v>
      </c>
      <c r="F133" s="22" t="s">
        <v>95</v>
      </c>
      <c r="G133" s="44">
        <v>1</v>
      </c>
      <c r="I133" s="58"/>
      <c r="J133" s="44">
        <v>1</v>
      </c>
      <c r="K133" s="44">
        <v>1</v>
      </c>
      <c r="M133" s="44">
        <v>1</v>
      </c>
      <c r="N133" s="44">
        <v>1</v>
      </c>
      <c r="O133" s="44">
        <v>1</v>
      </c>
      <c r="R133" s="44">
        <v>1</v>
      </c>
      <c r="S133" s="44">
        <v>1</v>
      </c>
      <c r="T133" s="44">
        <v>1</v>
      </c>
      <c r="U133" s="44">
        <v>1</v>
      </c>
      <c r="V133" s="44">
        <v>1</v>
      </c>
      <c r="W133" s="44">
        <v>1</v>
      </c>
      <c r="X133" s="44">
        <v>1</v>
      </c>
      <c r="Y133" s="44">
        <v>1</v>
      </c>
      <c r="Z133" s="44">
        <v>1</v>
      </c>
      <c r="AA133" s="44">
        <v>1</v>
      </c>
      <c r="AB133" s="44">
        <v>1</v>
      </c>
      <c r="AC133"/>
      <c r="AD133" s="44">
        <v>1</v>
      </c>
      <c r="AE133" s="44">
        <v>1</v>
      </c>
      <c r="AF133" s="44">
        <v>1</v>
      </c>
      <c r="AG133" s="44">
        <v>1</v>
      </c>
      <c r="AH133" s="44">
        <v>1</v>
      </c>
      <c r="AI133" s="44">
        <v>1</v>
      </c>
      <c r="AJ133" s="44">
        <v>1</v>
      </c>
      <c r="AK133"/>
      <c r="AL133" s="44">
        <v>1</v>
      </c>
      <c r="AM133" s="44">
        <v>1</v>
      </c>
      <c r="AN133" s="44">
        <v>1</v>
      </c>
      <c r="AO133" s="44">
        <v>1</v>
      </c>
      <c r="AP133"/>
      <c r="AQ133" s="44">
        <v>1</v>
      </c>
      <c r="AR133"/>
      <c r="AS133"/>
      <c r="AT133" s="44">
        <v>1</v>
      </c>
    </row>
    <row r="134" spans="1:46" x14ac:dyDescent="0.25">
      <c r="A134" s="21" t="s">
        <v>68</v>
      </c>
      <c r="B134" s="3" t="s">
        <v>473</v>
      </c>
      <c r="C134" s="3" t="s">
        <v>483</v>
      </c>
      <c r="D134" s="3" t="s">
        <v>521</v>
      </c>
      <c r="E134" s="22" t="s">
        <v>178</v>
      </c>
      <c r="F134" s="22" t="s">
        <v>179</v>
      </c>
      <c r="G134" s="44">
        <v>6.0000000000000002E-5</v>
      </c>
      <c r="I134" s="58"/>
      <c r="J134" s="44">
        <v>1.9999999999999999E-7</v>
      </c>
      <c r="K134" s="44">
        <v>1.9999999999999999E-7</v>
      </c>
      <c r="M134" s="44">
        <v>1.9999999999999999E-7</v>
      </c>
      <c r="N134" s="44">
        <v>1.9999999999999999E-7</v>
      </c>
      <c r="O134" s="44">
        <v>1.9999999999999999E-7</v>
      </c>
      <c r="R134" s="44">
        <v>1.9999999999999999E-7</v>
      </c>
      <c r="S134" s="44">
        <v>1.9999999999999999E-7</v>
      </c>
      <c r="T134" s="44">
        <v>1.9999999999999999E-7</v>
      </c>
      <c r="U134" s="44">
        <v>1.9999999999999999E-7</v>
      </c>
      <c r="V134" s="44">
        <v>1.9999999999999999E-7</v>
      </c>
      <c r="W134" s="44">
        <v>1.9999999999999999E-7</v>
      </c>
      <c r="X134" s="44">
        <v>1.9999999999999999E-7</v>
      </c>
      <c r="Y134" s="44">
        <v>1.9999999999999999E-7</v>
      </c>
      <c r="Z134" s="44">
        <v>1.9999999999999999E-7</v>
      </c>
      <c r="AA134" s="44">
        <v>1.9999999999999999E-7</v>
      </c>
      <c r="AB134" s="44">
        <v>1.9999999999999999E-7</v>
      </c>
      <c r="AC134"/>
      <c r="AD134" s="44">
        <v>1.9999999999999999E-7</v>
      </c>
      <c r="AE134" s="44">
        <v>1.9999999999999999E-7</v>
      </c>
      <c r="AF134" s="44">
        <v>1.9999999999999999E-7</v>
      </c>
      <c r="AG134" s="44">
        <v>1.9999999999999999E-7</v>
      </c>
      <c r="AH134" s="44">
        <v>1.9999999999999999E-7</v>
      </c>
      <c r="AI134" s="44">
        <v>1.9999999999999999E-7</v>
      </c>
      <c r="AJ134" s="44">
        <v>1.9999999999999999E-7</v>
      </c>
      <c r="AK134"/>
      <c r="AL134" s="44">
        <v>1.9999999999999999E-7</v>
      </c>
      <c r="AM134" s="44">
        <v>1.9999999999999999E-7</v>
      </c>
      <c r="AN134" s="44">
        <v>1.9999999999999999E-7</v>
      </c>
      <c r="AO134" s="44">
        <v>1.9999999999999999E-7</v>
      </c>
      <c r="AP134"/>
      <c r="AQ134" s="44">
        <v>1.9999999999999999E-7</v>
      </c>
      <c r="AR134"/>
      <c r="AS134"/>
      <c r="AT134" s="44">
        <v>1.9999999999999999E-7</v>
      </c>
    </row>
    <row r="135" spans="1:46" x14ac:dyDescent="0.25">
      <c r="A135" s="21" t="s">
        <v>522</v>
      </c>
      <c r="B135" s="3" t="s">
        <v>473</v>
      </c>
      <c r="C135" s="3" t="s">
        <v>483</v>
      </c>
      <c r="D135" s="3" t="s">
        <v>521</v>
      </c>
      <c r="E135" s="22" t="s">
        <v>315</v>
      </c>
      <c r="F135" s="22" t="s">
        <v>109</v>
      </c>
      <c r="G135" s="44">
        <v>1.9999999999999999E-7</v>
      </c>
      <c r="I135" s="60"/>
      <c r="J135" s="55">
        <v>0</v>
      </c>
      <c r="K135" s="55">
        <v>0</v>
      </c>
      <c r="M135" s="44">
        <v>1.9999999999999999E-7</v>
      </c>
      <c r="N135" s="44">
        <v>1.9999999999999999E-7</v>
      </c>
      <c r="O135" s="44">
        <v>1.9999999999999999E-7</v>
      </c>
      <c r="R135" s="44">
        <v>1.9999999999999999E-7</v>
      </c>
      <c r="S135" s="44">
        <v>1.9999999999999999E-7</v>
      </c>
      <c r="T135" s="44">
        <v>1.9999999999999999E-7</v>
      </c>
      <c r="U135" s="44">
        <v>1.9999999999999999E-7</v>
      </c>
      <c r="V135" s="44">
        <v>1.9999999999999999E-7</v>
      </c>
      <c r="W135" s="44">
        <v>1.9999999999999999E-7</v>
      </c>
      <c r="X135" s="44">
        <v>1.9999999999999999E-7</v>
      </c>
      <c r="Y135" s="44">
        <v>1.9999999999999999E-7</v>
      </c>
      <c r="Z135" s="44">
        <v>1.9999999999999999E-7</v>
      </c>
      <c r="AA135" s="44">
        <v>1.9999999999999999E-7</v>
      </c>
      <c r="AB135" s="44">
        <v>1.9999999999999999E-7</v>
      </c>
      <c r="AC135"/>
      <c r="AD135" s="44">
        <v>1.9999999999999999E-7</v>
      </c>
      <c r="AE135" s="44">
        <v>1.9999999999999999E-7</v>
      </c>
      <c r="AF135" s="44">
        <v>1.9999999999999999E-7</v>
      </c>
      <c r="AG135" s="44">
        <v>1.9999999999999999E-7</v>
      </c>
      <c r="AH135" s="44">
        <v>1.9999999999999999E-7</v>
      </c>
      <c r="AI135" s="44">
        <v>1.9999999999999999E-7</v>
      </c>
      <c r="AJ135" s="44">
        <v>1.9999999999999999E-7</v>
      </c>
      <c r="AK135"/>
      <c r="AL135" s="44">
        <v>1.9999999999999999E-7</v>
      </c>
      <c r="AM135" s="44">
        <v>1.9999999999999999E-7</v>
      </c>
      <c r="AN135" s="44">
        <v>1.9999999999999999E-7</v>
      </c>
      <c r="AO135" s="44">
        <v>1.9999999999999999E-7</v>
      </c>
      <c r="AP135"/>
      <c r="AQ135" s="44">
        <v>1.9999999999999999E-7</v>
      </c>
      <c r="AR135"/>
      <c r="AS135"/>
      <c r="AT135" s="44">
        <v>1.9999999999999999E-7</v>
      </c>
    </row>
    <row r="136" spans="1:46" x14ac:dyDescent="0.25">
      <c r="A136" s="21" t="s">
        <v>232</v>
      </c>
      <c r="B136" s="3" t="s">
        <v>473</v>
      </c>
      <c r="C136" s="3" t="s">
        <v>483</v>
      </c>
      <c r="D136" s="3" t="s">
        <v>521</v>
      </c>
      <c r="E136" s="22" t="s">
        <v>315</v>
      </c>
      <c r="F136" s="22" t="s">
        <v>109</v>
      </c>
      <c r="G136" s="44">
        <v>10</v>
      </c>
      <c r="I136" s="58"/>
      <c r="J136" s="44">
        <v>10</v>
      </c>
      <c r="K136" s="44">
        <v>10</v>
      </c>
      <c r="M136" s="44">
        <v>10</v>
      </c>
      <c r="N136" s="44">
        <v>10</v>
      </c>
      <c r="O136" s="44">
        <v>10</v>
      </c>
      <c r="R136" s="44">
        <v>10</v>
      </c>
      <c r="S136" s="44">
        <v>10</v>
      </c>
      <c r="T136" s="44">
        <v>10</v>
      </c>
      <c r="U136" s="44">
        <v>10</v>
      </c>
      <c r="V136" s="44">
        <v>10</v>
      </c>
      <c r="W136" s="44">
        <v>10</v>
      </c>
      <c r="X136" s="44">
        <v>10</v>
      </c>
      <c r="Y136" s="44">
        <v>10</v>
      </c>
      <c r="Z136" s="44">
        <v>10</v>
      </c>
      <c r="AA136" s="44">
        <v>10</v>
      </c>
      <c r="AB136" s="44">
        <v>10</v>
      </c>
      <c r="AC136"/>
      <c r="AD136" s="44">
        <v>10</v>
      </c>
      <c r="AE136" s="44">
        <v>10</v>
      </c>
      <c r="AF136" s="44">
        <v>10</v>
      </c>
      <c r="AG136" s="44">
        <v>10</v>
      </c>
      <c r="AH136" s="44">
        <v>10</v>
      </c>
      <c r="AI136" s="44">
        <v>10</v>
      </c>
      <c r="AJ136" s="44">
        <v>10</v>
      </c>
      <c r="AK136"/>
      <c r="AL136" s="44">
        <v>10</v>
      </c>
      <c r="AM136" s="44">
        <v>10</v>
      </c>
      <c r="AN136" s="44">
        <v>10</v>
      </c>
      <c r="AO136" s="44">
        <v>10</v>
      </c>
      <c r="AP136"/>
      <c r="AQ136" s="44">
        <v>10</v>
      </c>
      <c r="AR136"/>
      <c r="AS136"/>
      <c r="AT136" s="44">
        <v>10</v>
      </c>
    </row>
    <row r="137" spans="1:46" x14ac:dyDescent="0.25">
      <c r="A137" s="21" t="s">
        <v>233</v>
      </c>
      <c r="B137" s="3" t="s">
        <v>473</v>
      </c>
      <c r="C137" s="3" t="s">
        <v>483</v>
      </c>
      <c r="D137" s="3" t="s">
        <v>521</v>
      </c>
      <c r="E137" s="22" t="s">
        <v>316</v>
      </c>
      <c r="F137" s="22" t="s">
        <v>301</v>
      </c>
      <c r="G137" s="44">
        <v>-0.04</v>
      </c>
      <c r="I137" s="58"/>
      <c r="J137" s="44">
        <v>-0.04</v>
      </c>
      <c r="K137" s="44">
        <v>-0.04</v>
      </c>
      <c r="M137" s="44">
        <v>-0.04</v>
      </c>
      <c r="N137" s="44">
        <v>-0.04</v>
      </c>
      <c r="O137" s="44">
        <v>-0.04</v>
      </c>
      <c r="R137" s="44">
        <v>-0.04</v>
      </c>
      <c r="S137" s="44">
        <v>-0.04</v>
      </c>
      <c r="T137" s="44">
        <v>-0.04</v>
      </c>
      <c r="U137" s="44">
        <v>-0.04</v>
      </c>
      <c r="V137" s="44">
        <v>-0.04</v>
      </c>
      <c r="W137" s="44">
        <v>-0.04</v>
      </c>
      <c r="X137" s="44">
        <v>-0.04</v>
      </c>
      <c r="Y137" s="44">
        <v>-0.04</v>
      </c>
      <c r="Z137" s="44">
        <v>-0.04</v>
      </c>
      <c r="AA137" s="44">
        <v>-0.04</v>
      </c>
      <c r="AB137" s="44">
        <v>-0.04</v>
      </c>
      <c r="AC137"/>
      <c r="AD137" s="44">
        <v>-0.04</v>
      </c>
      <c r="AE137" s="44">
        <v>-0.04</v>
      </c>
      <c r="AF137" s="44">
        <v>-0.04</v>
      </c>
      <c r="AG137" s="44">
        <v>-0.04</v>
      </c>
      <c r="AH137" s="44">
        <v>-0.04</v>
      </c>
      <c r="AI137" s="44">
        <v>-0.04</v>
      </c>
      <c r="AJ137" s="44">
        <v>-0.04</v>
      </c>
      <c r="AK137"/>
      <c r="AL137" s="44">
        <v>-0.04</v>
      </c>
      <c r="AM137" s="44">
        <v>-0.04</v>
      </c>
      <c r="AN137" s="44">
        <v>-0.04</v>
      </c>
      <c r="AO137" s="44">
        <v>-0.04</v>
      </c>
      <c r="AP137"/>
      <c r="AQ137" s="44">
        <v>-0.04</v>
      </c>
      <c r="AR137"/>
      <c r="AS137"/>
      <c r="AT137" s="44">
        <v>-0.04</v>
      </c>
    </row>
    <row r="138" spans="1:46" x14ac:dyDescent="0.25">
      <c r="A138" s="21" t="s">
        <v>234</v>
      </c>
      <c r="B138" s="3" t="s">
        <v>473</v>
      </c>
      <c r="C138" s="3" t="s">
        <v>483</v>
      </c>
      <c r="D138" s="3" t="s">
        <v>521</v>
      </c>
      <c r="E138" s="22" t="s">
        <v>317</v>
      </c>
      <c r="F138" s="22" t="s">
        <v>100</v>
      </c>
      <c r="G138" s="44">
        <v>2.9</v>
      </c>
      <c r="I138" s="58"/>
      <c r="J138" s="44">
        <v>2.9</v>
      </c>
      <c r="K138" s="44">
        <v>2.9</v>
      </c>
      <c r="M138" s="44">
        <v>2.9</v>
      </c>
      <c r="N138" s="44">
        <v>2.9</v>
      </c>
      <c r="O138" s="44">
        <v>2.9</v>
      </c>
      <c r="R138" s="44">
        <v>2.9</v>
      </c>
      <c r="S138" s="44">
        <v>2.9</v>
      </c>
      <c r="T138" s="44">
        <v>2.9</v>
      </c>
      <c r="U138" s="44">
        <v>2.9</v>
      </c>
      <c r="V138" s="44">
        <v>2.9</v>
      </c>
      <c r="W138" s="44">
        <v>2.9</v>
      </c>
      <c r="X138" s="44">
        <v>2.9</v>
      </c>
      <c r="Y138" s="44">
        <v>2.9</v>
      </c>
      <c r="Z138" s="44">
        <v>2.9</v>
      </c>
      <c r="AA138" s="44">
        <v>2.9</v>
      </c>
      <c r="AB138" s="44">
        <v>2.9</v>
      </c>
      <c r="AC138"/>
      <c r="AD138" s="44">
        <v>2.9</v>
      </c>
      <c r="AE138" s="44">
        <v>2.9</v>
      </c>
      <c r="AF138" s="44">
        <v>2.9</v>
      </c>
      <c r="AG138" s="44">
        <v>2.9</v>
      </c>
      <c r="AH138" s="44">
        <v>2.9</v>
      </c>
      <c r="AI138" s="44">
        <v>2.9</v>
      </c>
      <c r="AJ138" s="44">
        <v>2.9</v>
      </c>
      <c r="AK138"/>
      <c r="AL138" s="44">
        <v>2.9</v>
      </c>
      <c r="AM138" s="44">
        <v>2.9</v>
      </c>
      <c r="AN138" s="44">
        <v>2.9</v>
      </c>
      <c r="AO138" s="44">
        <v>2.9</v>
      </c>
      <c r="AP138"/>
      <c r="AQ138" s="44">
        <v>2.9</v>
      </c>
      <c r="AR138"/>
      <c r="AS138"/>
      <c r="AT138" s="44">
        <v>2.9</v>
      </c>
    </row>
    <row r="139" spans="1:46" x14ac:dyDescent="0.25">
      <c r="A139" s="21" t="s">
        <v>235</v>
      </c>
      <c r="B139" s="3" t="s">
        <v>473</v>
      </c>
      <c r="C139" s="3" t="s">
        <v>483</v>
      </c>
      <c r="D139" s="3" t="s">
        <v>521</v>
      </c>
      <c r="E139" s="22" t="s">
        <v>318</v>
      </c>
      <c r="F139" s="22" t="s">
        <v>95</v>
      </c>
      <c r="G139" s="44">
        <v>1</v>
      </c>
      <c r="I139" s="58"/>
      <c r="J139" s="44">
        <v>1</v>
      </c>
      <c r="K139" s="44">
        <v>1</v>
      </c>
      <c r="M139" s="44">
        <v>1</v>
      </c>
      <c r="N139" s="44">
        <v>1</v>
      </c>
      <c r="O139" s="44">
        <v>1</v>
      </c>
      <c r="R139" s="44">
        <v>1</v>
      </c>
      <c r="S139" s="44">
        <v>1</v>
      </c>
      <c r="T139" s="44">
        <v>1</v>
      </c>
      <c r="U139" s="44">
        <v>1</v>
      </c>
      <c r="V139" s="44">
        <v>1</v>
      </c>
      <c r="W139" s="44">
        <v>1</v>
      </c>
      <c r="X139" s="44">
        <v>1</v>
      </c>
      <c r="Y139" s="44">
        <v>1</v>
      </c>
      <c r="Z139" s="44">
        <v>1</v>
      </c>
      <c r="AA139" s="44">
        <v>1</v>
      </c>
      <c r="AB139" s="44">
        <v>1</v>
      </c>
      <c r="AC139"/>
      <c r="AD139" s="44">
        <v>1</v>
      </c>
      <c r="AE139" s="44">
        <v>1</v>
      </c>
      <c r="AF139" s="44">
        <v>1</v>
      </c>
      <c r="AG139" s="44">
        <v>1</v>
      </c>
      <c r="AH139" s="44">
        <v>1</v>
      </c>
      <c r="AI139" s="44">
        <v>1</v>
      </c>
      <c r="AJ139" s="44">
        <v>1</v>
      </c>
      <c r="AK139"/>
      <c r="AL139" s="44">
        <v>1</v>
      </c>
      <c r="AM139" s="44">
        <v>1</v>
      </c>
      <c r="AN139" s="44">
        <v>1</v>
      </c>
      <c r="AO139" s="44">
        <v>1</v>
      </c>
      <c r="AP139"/>
      <c r="AQ139" s="44">
        <v>1</v>
      </c>
      <c r="AR139"/>
      <c r="AS139"/>
      <c r="AT139" s="44">
        <v>1</v>
      </c>
    </row>
    <row r="140" spans="1:46" x14ac:dyDescent="0.25">
      <c r="A140" s="21" t="s">
        <v>69</v>
      </c>
      <c r="B140" s="3" t="s">
        <v>473</v>
      </c>
      <c r="C140" s="3" t="s">
        <v>483</v>
      </c>
      <c r="D140" s="3" t="s">
        <v>521</v>
      </c>
      <c r="E140" s="22" t="s">
        <v>180</v>
      </c>
      <c r="F140" s="22" t="s">
        <v>100</v>
      </c>
      <c r="G140" s="44">
        <v>0</v>
      </c>
      <c r="I140" s="58"/>
      <c r="J140" s="44">
        <v>0</v>
      </c>
      <c r="K140" s="44">
        <v>0</v>
      </c>
      <c r="M140" s="44">
        <v>0</v>
      </c>
      <c r="N140" s="44">
        <v>0</v>
      </c>
      <c r="O140" s="44">
        <v>0</v>
      </c>
      <c r="R140" s="44">
        <v>0</v>
      </c>
      <c r="S140" s="44">
        <v>0</v>
      </c>
      <c r="T140" s="44">
        <v>0</v>
      </c>
      <c r="U140" s="44">
        <v>0</v>
      </c>
      <c r="V140" s="44">
        <v>0</v>
      </c>
      <c r="W140" s="44">
        <v>0</v>
      </c>
      <c r="X140" s="44">
        <v>0</v>
      </c>
      <c r="Y140" s="44">
        <v>0</v>
      </c>
      <c r="Z140" s="44">
        <v>0</v>
      </c>
      <c r="AA140" s="44">
        <v>0</v>
      </c>
      <c r="AB140" s="44">
        <v>0</v>
      </c>
      <c r="AC140"/>
      <c r="AD140" s="44">
        <v>0</v>
      </c>
      <c r="AE140" s="44">
        <v>0</v>
      </c>
      <c r="AF140" s="44">
        <v>0</v>
      </c>
      <c r="AG140" s="44">
        <v>0</v>
      </c>
      <c r="AH140" s="44">
        <v>0</v>
      </c>
      <c r="AI140" s="44">
        <v>0</v>
      </c>
      <c r="AJ140" s="44">
        <v>0</v>
      </c>
      <c r="AK140"/>
      <c r="AL140" s="44">
        <v>0</v>
      </c>
      <c r="AM140" s="44">
        <v>0</v>
      </c>
      <c r="AN140" s="44">
        <v>0</v>
      </c>
      <c r="AO140" s="44">
        <v>0</v>
      </c>
      <c r="AP140"/>
      <c r="AQ140" s="44">
        <v>0</v>
      </c>
      <c r="AR140"/>
      <c r="AS140"/>
      <c r="AT140" s="44">
        <v>0</v>
      </c>
    </row>
    <row r="141" spans="1:46" x14ac:dyDescent="0.25">
      <c r="A141" s="40" t="s">
        <v>70</v>
      </c>
      <c r="B141" s="3" t="s">
        <v>473</v>
      </c>
      <c r="C141" s="3" t="s">
        <v>483</v>
      </c>
      <c r="D141" s="3" t="s">
        <v>521</v>
      </c>
      <c r="E141" s="41" t="s">
        <v>181</v>
      </c>
      <c r="F141" s="41" t="s">
        <v>198</v>
      </c>
      <c r="G141" s="44">
        <v>1.6666666666666666E-4</v>
      </c>
      <c r="I141" s="58"/>
      <c r="J141" s="44">
        <v>5.0000000000000004E-6</v>
      </c>
      <c r="K141" s="44">
        <v>5.0000000000000004E-6</v>
      </c>
      <c r="M141" s="44">
        <v>5.0000000000000004E-6</v>
      </c>
      <c r="N141" s="44">
        <v>5.0000000000000004E-6</v>
      </c>
      <c r="O141" s="44">
        <v>5.0000000000000004E-6</v>
      </c>
      <c r="R141" s="44">
        <v>5.0000000000000004E-6</v>
      </c>
      <c r="S141" s="44">
        <v>5.0000000000000004E-6</v>
      </c>
      <c r="T141" s="44">
        <v>5.0000000000000004E-6</v>
      </c>
      <c r="U141" s="44">
        <v>5.0000000000000004E-6</v>
      </c>
      <c r="V141" s="44">
        <v>5.0000000000000004E-6</v>
      </c>
      <c r="W141" s="44">
        <v>5.0000000000000004E-6</v>
      </c>
      <c r="X141" s="44">
        <v>5.0000000000000004E-6</v>
      </c>
      <c r="Y141" s="44">
        <v>5.0000000000000004E-6</v>
      </c>
      <c r="Z141" s="44">
        <v>5.0000000000000004E-6</v>
      </c>
      <c r="AA141" s="44">
        <v>5.0000000000000004E-6</v>
      </c>
      <c r="AB141" s="44">
        <v>5.0000000000000004E-6</v>
      </c>
      <c r="AC141"/>
      <c r="AD141" s="44">
        <v>5.0000000000000004E-6</v>
      </c>
      <c r="AE141" s="44">
        <v>5.0000000000000004E-6</v>
      </c>
      <c r="AF141" s="44">
        <v>5.0000000000000004E-6</v>
      </c>
      <c r="AG141" s="44">
        <v>5.0000000000000004E-6</v>
      </c>
      <c r="AH141" s="44">
        <v>5.0000000000000004E-6</v>
      </c>
      <c r="AI141" s="44">
        <v>5.0000000000000004E-6</v>
      </c>
      <c r="AJ141" s="44">
        <v>5.0000000000000004E-6</v>
      </c>
      <c r="AK141"/>
      <c r="AL141" s="44">
        <v>5.0000000000000004E-6</v>
      </c>
      <c r="AM141" s="44">
        <v>5.0000000000000004E-6</v>
      </c>
      <c r="AN141" s="44">
        <v>5.0000000000000004E-6</v>
      </c>
      <c r="AO141" s="44">
        <v>5.0000000000000004E-6</v>
      </c>
      <c r="AP141"/>
      <c r="AQ141" s="44">
        <v>5.0000000000000004E-6</v>
      </c>
      <c r="AR141"/>
      <c r="AS141"/>
      <c r="AT141" s="44">
        <v>5.0000000000000004E-6</v>
      </c>
    </row>
    <row r="142" spans="1:46" x14ac:dyDescent="0.25">
      <c r="A142" s="23" t="s">
        <v>56</v>
      </c>
      <c r="B142" s="3" t="s">
        <v>473</v>
      </c>
      <c r="C142" s="3" t="s">
        <v>483</v>
      </c>
      <c r="D142" s="3" t="s">
        <v>521</v>
      </c>
      <c r="E142" s="24" t="s">
        <v>167</v>
      </c>
      <c r="F142" s="24" t="s">
        <v>198</v>
      </c>
      <c r="G142" s="44">
        <v>0</v>
      </c>
      <c r="I142" s="58"/>
      <c r="J142" s="44">
        <v>0</v>
      </c>
      <c r="K142" s="44">
        <v>0</v>
      </c>
      <c r="M142" s="44">
        <v>0</v>
      </c>
      <c r="N142" s="44">
        <v>0</v>
      </c>
      <c r="O142" s="44">
        <v>0</v>
      </c>
      <c r="R142" s="44">
        <v>0</v>
      </c>
      <c r="S142" s="44">
        <v>0</v>
      </c>
      <c r="T142" s="44">
        <v>0</v>
      </c>
      <c r="U142" s="44">
        <v>0</v>
      </c>
      <c r="V142" s="44">
        <v>0</v>
      </c>
      <c r="W142" s="44">
        <v>0</v>
      </c>
      <c r="X142" s="44">
        <v>0</v>
      </c>
      <c r="Y142" s="44">
        <v>0</v>
      </c>
      <c r="Z142" s="44">
        <v>0</v>
      </c>
      <c r="AA142" s="44">
        <v>0</v>
      </c>
      <c r="AB142" s="44">
        <v>0</v>
      </c>
      <c r="AC142"/>
      <c r="AD142" s="44">
        <v>0</v>
      </c>
      <c r="AE142" s="44">
        <v>0</v>
      </c>
      <c r="AF142" s="44">
        <v>0</v>
      </c>
      <c r="AG142" s="44">
        <v>0</v>
      </c>
      <c r="AH142" s="44">
        <v>0</v>
      </c>
      <c r="AI142" s="44">
        <v>0</v>
      </c>
      <c r="AJ142" s="44">
        <v>0</v>
      </c>
      <c r="AK142"/>
      <c r="AL142" s="44">
        <v>0</v>
      </c>
      <c r="AM142" s="44">
        <v>0</v>
      </c>
      <c r="AN142" s="44">
        <v>0</v>
      </c>
      <c r="AO142" s="44">
        <v>0</v>
      </c>
      <c r="AP142"/>
      <c r="AQ142" s="44">
        <v>0</v>
      </c>
      <c r="AR142"/>
      <c r="AS142"/>
      <c r="AT142" s="44">
        <v>0</v>
      </c>
    </row>
    <row r="143" spans="1:46" x14ac:dyDescent="0.25">
      <c r="A143" s="23" t="s">
        <v>57</v>
      </c>
      <c r="B143" s="3" t="s">
        <v>473</v>
      </c>
      <c r="C143" s="3" t="s">
        <v>483</v>
      </c>
      <c r="D143" s="3" t="s">
        <v>521</v>
      </c>
      <c r="E143" s="24" t="s">
        <v>168</v>
      </c>
      <c r="F143" s="24" t="s">
        <v>198</v>
      </c>
      <c r="G143" s="44">
        <v>2E-3</v>
      </c>
      <c r="I143" s="58"/>
      <c r="J143" s="44">
        <v>2E-3</v>
      </c>
      <c r="K143" s="44">
        <v>2E-3</v>
      </c>
      <c r="M143" s="44">
        <v>2E-3</v>
      </c>
      <c r="N143" s="44">
        <v>2E-3</v>
      </c>
      <c r="O143" s="44">
        <v>2E-3</v>
      </c>
      <c r="R143" s="44">
        <v>2E-3</v>
      </c>
      <c r="S143" s="44">
        <v>2E-3</v>
      </c>
      <c r="T143" s="44">
        <v>2E-3</v>
      </c>
      <c r="U143" s="44">
        <v>2E-3</v>
      </c>
      <c r="V143" s="44">
        <v>2E-3</v>
      </c>
      <c r="W143" s="44">
        <v>2E-3</v>
      </c>
      <c r="X143" s="44">
        <v>2E-3</v>
      </c>
      <c r="Y143" s="44">
        <v>2E-3</v>
      </c>
      <c r="Z143" s="44">
        <v>2E-3</v>
      </c>
      <c r="AA143" s="44">
        <v>2E-3</v>
      </c>
      <c r="AB143" s="44">
        <v>2E-3</v>
      </c>
      <c r="AC143"/>
      <c r="AD143" s="44">
        <v>2E-3</v>
      </c>
      <c r="AE143" s="44">
        <v>2E-3</v>
      </c>
      <c r="AF143" s="44">
        <v>2E-3</v>
      </c>
      <c r="AG143" s="44">
        <v>2E-3</v>
      </c>
      <c r="AH143" s="44">
        <v>2E-3</v>
      </c>
      <c r="AI143" s="44">
        <v>2E-3</v>
      </c>
      <c r="AJ143" s="44">
        <v>2E-3</v>
      </c>
      <c r="AK143"/>
      <c r="AL143" s="44">
        <v>2E-3</v>
      </c>
      <c r="AM143" s="44">
        <v>2E-3</v>
      </c>
      <c r="AN143" s="44">
        <v>2E-3</v>
      </c>
      <c r="AO143" s="44">
        <v>2E-3</v>
      </c>
      <c r="AP143"/>
      <c r="AQ143" s="44">
        <v>2E-3</v>
      </c>
      <c r="AR143"/>
      <c r="AS143"/>
      <c r="AT143" s="44">
        <v>2E-3</v>
      </c>
    </row>
    <row r="144" spans="1:46" x14ac:dyDescent="0.25">
      <c r="A144" s="23" t="s">
        <v>58</v>
      </c>
      <c r="B144" s="3" t="s">
        <v>473</v>
      </c>
      <c r="C144" s="3" t="s">
        <v>483</v>
      </c>
      <c r="D144" s="3" t="s">
        <v>521</v>
      </c>
      <c r="E144" s="24" t="s">
        <v>169</v>
      </c>
      <c r="F144" s="24" t="s">
        <v>198</v>
      </c>
      <c r="G144" s="44">
        <v>3.9999999999999998E-6</v>
      </c>
      <c r="I144" s="58"/>
      <c r="J144" s="44">
        <v>3.9999999999999998E-6</v>
      </c>
      <c r="K144" s="44">
        <v>3.9999999999999998E-6</v>
      </c>
      <c r="M144" s="44">
        <v>3.9999999999999998E-6</v>
      </c>
      <c r="N144" s="44">
        <v>3.9999999999999998E-6</v>
      </c>
      <c r="O144" s="44">
        <v>3.9999999999999998E-6</v>
      </c>
      <c r="R144" s="44">
        <v>3.9999999999999998E-6</v>
      </c>
      <c r="S144" s="44">
        <v>3.9999999999999998E-6</v>
      </c>
      <c r="T144" s="44">
        <v>3.9999999999999998E-6</v>
      </c>
      <c r="U144" s="44">
        <v>3.9999999999999998E-6</v>
      </c>
      <c r="V144" s="44">
        <v>3.9999999999999998E-6</v>
      </c>
      <c r="W144" s="44">
        <v>3.9999999999999998E-6</v>
      </c>
      <c r="X144" s="44">
        <v>3.9999999999999998E-6</v>
      </c>
      <c r="Y144" s="44">
        <v>3.9999999999999998E-6</v>
      </c>
      <c r="Z144" s="44">
        <v>3.9999999999999998E-6</v>
      </c>
      <c r="AA144" s="44">
        <v>3.9999999999999998E-6</v>
      </c>
      <c r="AB144" s="44">
        <v>3.9999999999999998E-6</v>
      </c>
      <c r="AC144"/>
      <c r="AD144" s="44">
        <v>3.9999999999999998E-6</v>
      </c>
      <c r="AE144" s="44">
        <v>3.9999999999999998E-6</v>
      </c>
      <c r="AF144" s="44">
        <v>3.9999999999999998E-6</v>
      </c>
      <c r="AG144" s="44">
        <v>3.9999999999999998E-6</v>
      </c>
      <c r="AH144" s="44">
        <v>3.9999999999999998E-6</v>
      </c>
      <c r="AI144" s="44">
        <v>3.9999999999999998E-6</v>
      </c>
      <c r="AJ144" s="44">
        <v>3.9999999999999998E-6</v>
      </c>
      <c r="AK144"/>
      <c r="AL144" s="44">
        <v>3.9999999999999998E-6</v>
      </c>
      <c r="AM144" s="44">
        <v>3.9999999999999998E-6</v>
      </c>
      <c r="AN144" s="44">
        <v>3.9999999999999998E-6</v>
      </c>
      <c r="AO144" s="44">
        <v>3.9999999999999998E-6</v>
      </c>
      <c r="AP144"/>
      <c r="AQ144" s="44">
        <v>3.9999999999999998E-6</v>
      </c>
      <c r="AR144"/>
      <c r="AS144"/>
      <c r="AT144" s="44">
        <v>3.9999999999999998E-6</v>
      </c>
    </row>
    <row r="145" spans="1:46" x14ac:dyDescent="0.25">
      <c r="A145" s="23" t="s">
        <v>71</v>
      </c>
      <c r="B145" s="3" t="s">
        <v>473</v>
      </c>
      <c r="C145" s="3" t="s">
        <v>483</v>
      </c>
      <c r="D145" s="3" t="s">
        <v>521</v>
      </c>
      <c r="E145" s="24" t="s">
        <v>183</v>
      </c>
      <c r="F145" s="24" t="s">
        <v>200</v>
      </c>
      <c r="G145" s="44">
        <v>3.7699999999999999E-10</v>
      </c>
      <c r="I145" s="58"/>
      <c r="J145" s="44">
        <v>3.7699999999999999E-10</v>
      </c>
      <c r="K145" s="44">
        <v>3.7699999999999999E-10</v>
      </c>
      <c r="M145" s="44">
        <v>3.7699999999999999E-10</v>
      </c>
      <c r="N145" s="44">
        <v>3.7699999999999999E-10</v>
      </c>
      <c r="O145" s="44">
        <v>3.7699999999999999E-10</v>
      </c>
      <c r="R145" s="44">
        <v>3.7699999999999999E-10</v>
      </c>
      <c r="S145" s="44">
        <v>3.7699999999999999E-10</v>
      </c>
      <c r="T145" s="44">
        <v>3.7699999999999999E-10</v>
      </c>
      <c r="U145" s="44">
        <v>3.7699999999999999E-10</v>
      </c>
      <c r="V145" s="44">
        <v>3.7699999999999999E-10</v>
      </c>
      <c r="W145" s="44">
        <v>3.7699999999999999E-10</v>
      </c>
      <c r="X145" s="44">
        <v>3.7699999999999999E-10</v>
      </c>
      <c r="Y145" s="44">
        <v>3.7699999999999999E-10</v>
      </c>
      <c r="Z145" s="44">
        <v>3.7699999999999999E-10</v>
      </c>
      <c r="AA145" s="44">
        <v>3.7699999999999999E-10</v>
      </c>
      <c r="AB145" s="44">
        <v>3.7699999999999999E-10</v>
      </c>
      <c r="AC145"/>
      <c r="AD145" s="44">
        <v>3.7699999999999999E-10</v>
      </c>
      <c r="AE145" s="44">
        <v>3.7699999999999999E-10</v>
      </c>
      <c r="AF145" s="44">
        <v>3.7699999999999999E-10</v>
      </c>
      <c r="AG145" s="44">
        <v>3.7699999999999999E-10</v>
      </c>
      <c r="AH145" s="44">
        <v>3.7699999999999999E-10</v>
      </c>
      <c r="AI145" s="44">
        <v>3.7699999999999999E-10</v>
      </c>
      <c r="AJ145" s="44">
        <v>3.7699999999999999E-10</v>
      </c>
      <c r="AK145"/>
      <c r="AL145" s="44">
        <v>3.7699999999999999E-10</v>
      </c>
      <c r="AM145" s="44">
        <v>3.7699999999999999E-10</v>
      </c>
      <c r="AN145" s="44">
        <v>3.7699999999999999E-10</v>
      </c>
      <c r="AO145" s="44">
        <v>3.7699999999999999E-10</v>
      </c>
      <c r="AP145"/>
      <c r="AQ145" s="44">
        <v>3.7699999999999999E-10</v>
      </c>
      <c r="AR145"/>
      <c r="AS145"/>
      <c r="AT145" s="44">
        <v>3.7699999999999999E-10</v>
      </c>
    </row>
    <row r="146" spans="1:46" x14ac:dyDescent="0.25">
      <c r="A146" s="23" t="s">
        <v>236</v>
      </c>
      <c r="B146" s="3" t="s">
        <v>473</v>
      </c>
      <c r="C146" s="3" t="s">
        <v>483</v>
      </c>
      <c r="D146" s="3" t="s">
        <v>521</v>
      </c>
      <c r="E146" s="24" t="s">
        <v>303</v>
      </c>
      <c r="F146" s="24" t="s">
        <v>109</v>
      </c>
      <c r="G146" s="44">
        <v>20</v>
      </c>
      <c r="I146" s="58"/>
      <c r="J146" s="44">
        <v>20</v>
      </c>
      <c r="K146" s="44">
        <v>20</v>
      </c>
      <c r="M146" s="44">
        <v>20</v>
      </c>
      <c r="N146" s="44">
        <v>20</v>
      </c>
      <c r="O146" s="44">
        <v>20</v>
      </c>
      <c r="R146" s="44">
        <v>20</v>
      </c>
      <c r="S146" s="44">
        <v>20</v>
      </c>
      <c r="T146" s="44">
        <v>20</v>
      </c>
      <c r="U146" s="44">
        <v>20</v>
      </c>
      <c r="V146" s="44">
        <v>20</v>
      </c>
      <c r="W146" s="44">
        <v>20</v>
      </c>
      <c r="X146" s="44">
        <v>20</v>
      </c>
      <c r="Y146" s="44">
        <v>20</v>
      </c>
      <c r="Z146" s="44">
        <v>20</v>
      </c>
      <c r="AA146" s="44">
        <v>20</v>
      </c>
      <c r="AB146" s="44">
        <v>20</v>
      </c>
      <c r="AC146"/>
      <c r="AD146" s="44">
        <v>20</v>
      </c>
      <c r="AE146" s="44">
        <v>20</v>
      </c>
      <c r="AF146" s="44">
        <v>20</v>
      </c>
      <c r="AG146" s="44">
        <v>20</v>
      </c>
      <c r="AH146" s="44">
        <v>20</v>
      </c>
      <c r="AI146" s="44">
        <v>20</v>
      </c>
      <c r="AJ146" s="44">
        <v>20</v>
      </c>
      <c r="AK146"/>
      <c r="AL146" s="44">
        <v>20</v>
      </c>
      <c r="AM146" s="44">
        <v>20</v>
      </c>
      <c r="AN146" s="44">
        <v>20</v>
      </c>
      <c r="AO146" s="44">
        <v>20</v>
      </c>
      <c r="AP146"/>
      <c r="AQ146" s="44">
        <v>20</v>
      </c>
      <c r="AR146"/>
      <c r="AS146"/>
      <c r="AT146" s="44">
        <v>20</v>
      </c>
    </row>
    <row r="147" spans="1:46" x14ac:dyDescent="0.25">
      <c r="A147" s="23" t="s">
        <v>237</v>
      </c>
      <c r="B147" s="3" t="s">
        <v>473</v>
      </c>
      <c r="C147" s="3" t="s">
        <v>483</v>
      </c>
      <c r="D147" s="3" t="s">
        <v>521</v>
      </c>
      <c r="E147" s="24" t="s">
        <v>304</v>
      </c>
      <c r="F147" s="24" t="s">
        <v>301</v>
      </c>
      <c r="G147" s="44">
        <v>-0.06</v>
      </c>
      <c r="I147" s="58"/>
      <c r="J147" s="44">
        <v>-0.06</v>
      </c>
      <c r="K147" s="44">
        <v>-0.06</v>
      </c>
      <c r="M147" s="44">
        <v>-0.06</v>
      </c>
      <c r="N147" s="44">
        <v>-0.06</v>
      </c>
      <c r="O147" s="44">
        <v>-0.06</v>
      </c>
      <c r="R147" s="44">
        <v>-0.06</v>
      </c>
      <c r="S147" s="44">
        <v>-0.06</v>
      </c>
      <c r="T147" s="44">
        <v>-0.06</v>
      </c>
      <c r="U147" s="44">
        <v>-0.06</v>
      </c>
      <c r="V147" s="44">
        <v>-0.06</v>
      </c>
      <c r="W147" s="44">
        <v>-0.06</v>
      </c>
      <c r="X147" s="44">
        <v>-0.06</v>
      </c>
      <c r="Y147" s="44">
        <v>-0.06</v>
      </c>
      <c r="Z147" s="44">
        <v>-0.06</v>
      </c>
      <c r="AA147" s="44">
        <v>-0.06</v>
      </c>
      <c r="AB147" s="44">
        <v>-0.06</v>
      </c>
      <c r="AC147"/>
      <c r="AD147" s="44">
        <v>-0.06</v>
      </c>
      <c r="AE147" s="44">
        <v>-0.06</v>
      </c>
      <c r="AF147" s="44">
        <v>-0.06</v>
      </c>
      <c r="AG147" s="44">
        <v>-0.06</v>
      </c>
      <c r="AH147" s="44">
        <v>-0.06</v>
      </c>
      <c r="AI147" s="44">
        <v>-0.06</v>
      </c>
      <c r="AJ147" s="44">
        <v>-0.06</v>
      </c>
      <c r="AK147"/>
      <c r="AL147" s="44">
        <v>-0.06</v>
      </c>
      <c r="AM147" s="44">
        <v>-0.06</v>
      </c>
      <c r="AN147" s="44">
        <v>-0.06</v>
      </c>
      <c r="AO147" s="44">
        <v>-0.06</v>
      </c>
      <c r="AP147"/>
      <c r="AQ147" s="44">
        <v>-0.06</v>
      </c>
      <c r="AR147"/>
      <c r="AS147"/>
      <c r="AT147" s="44">
        <v>-0.06</v>
      </c>
    </row>
    <row r="148" spans="1:46" x14ac:dyDescent="0.25">
      <c r="A148" s="23" t="s">
        <v>238</v>
      </c>
      <c r="B148" s="3" t="s">
        <v>473</v>
      </c>
      <c r="C148" s="3" t="s">
        <v>483</v>
      </c>
      <c r="D148" s="3" t="s">
        <v>521</v>
      </c>
      <c r="E148" s="24" t="s">
        <v>305</v>
      </c>
      <c r="F148" s="24" t="s">
        <v>100</v>
      </c>
      <c r="G148" s="44">
        <v>0.89100000000000001</v>
      </c>
      <c r="I148" s="58"/>
      <c r="J148" s="44">
        <v>0.89100000000000001</v>
      </c>
      <c r="K148" s="44">
        <v>0.89100000000000001</v>
      </c>
      <c r="M148" s="44">
        <v>0.89100000000000001</v>
      </c>
      <c r="N148" s="44">
        <v>0.89100000000000001</v>
      </c>
      <c r="O148" s="44">
        <v>0.89100000000000001</v>
      </c>
      <c r="R148" s="44">
        <v>0.89100000000000001</v>
      </c>
      <c r="S148" s="44">
        <v>0.89100000000000001</v>
      </c>
      <c r="T148" s="44">
        <v>0.89100000000000001</v>
      </c>
      <c r="U148" s="44">
        <v>0.89100000000000001</v>
      </c>
      <c r="V148" s="44">
        <v>0.89100000000000001</v>
      </c>
      <c r="W148" s="44">
        <v>0.89100000000000001</v>
      </c>
      <c r="X148" s="44">
        <v>0.89100000000000001</v>
      </c>
      <c r="Y148" s="44">
        <v>0.89100000000000001</v>
      </c>
      <c r="Z148" s="44">
        <v>0.89100000000000001</v>
      </c>
      <c r="AA148" s="44">
        <v>0.89100000000000001</v>
      </c>
      <c r="AB148" s="44">
        <v>0.89100000000000001</v>
      </c>
      <c r="AC148"/>
      <c r="AD148" s="44">
        <v>0.89100000000000001</v>
      </c>
      <c r="AE148" s="44">
        <v>0.89100000000000001</v>
      </c>
      <c r="AF148" s="44">
        <v>0.89100000000000001</v>
      </c>
      <c r="AG148" s="44">
        <v>0.89100000000000001</v>
      </c>
      <c r="AH148" s="44">
        <v>0.89100000000000001</v>
      </c>
      <c r="AI148" s="44">
        <v>0.89100000000000001</v>
      </c>
      <c r="AJ148" s="44">
        <v>0.89100000000000001</v>
      </c>
      <c r="AK148"/>
      <c r="AL148" s="44">
        <v>0.89100000000000001</v>
      </c>
      <c r="AM148" s="44">
        <v>0.89100000000000001</v>
      </c>
      <c r="AN148" s="44">
        <v>0.89100000000000001</v>
      </c>
      <c r="AO148" s="44">
        <v>0.89100000000000001</v>
      </c>
      <c r="AP148"/>
      <c r="AQ148" s="44">
        <v>0.89100000000000001</v>
      </c>
      <c r="AR148"/>
      <c r="AS148"/>
      <c r="AT148" s="44">
        <v>0.89100000000000001</v>
      </c>
    </row>
    <row r="149" spans="1:46" x14ac:dyDescent="0.25">
      <c r="A149" s="23" t="s">
        <v>239</v>
      </c>
      <c r="B149" s="3" t="s">
        <v>473</v>
      </c>
      <c r="C149" s="3" t="s">
        <v>483</v>
      </c>
      <c r="D149" s="3" t="s">
        <v>521</v>
      </c>
      <c r="E149" s="24" t="s">
        <v>306</v>
      </c>
      <c r="F149" s="24" t="s">
        <v>95</v>
      </c>
      <c r="G149" s="44">
        <v>1</v>
      </c>
      <c r="I149" s="58"/>
      <c r="J149" s="44">
        <v>1</v>
      </c>
      <c r="K149" s="44">
        <v>1</v>
      </c>
      <c r="M149" s="44">
        <v>1</v>
      </c>
      <c r="N149" s="44">
        <v>1</v>
      </c>
      <c r="O149" s="44">
        <v>1</v>
      </c>
      <c r="R149" s="44">
        <v>1</v>
      </c>
      <c r="S149" s="44">
        <v>1</v>
      </c>
      <c r="T149" s="44">
        <v>1</v>
      </c>
      <c r="U149" s="44">
        <v>1</v>
      </c>
      <c r="V149" s="44">
        <v>1</v>
      </c>
      <c r="W149" s="44">
        <v>1</v>
      </c>
      <c r="X149" s="44">
        <v>1</v>
      </c>
      <c r="Y149" s="44">
        <v>1</v>
      </c>
      <c r="Z149" s="44">
        <v>1</v>
      </c>
      <c r="AA149" s="44">
        <v>1</v>
      </c>
      <c r="AB149" s="44">
        <v>1</v>
      </c>
      <c r="AC149"/>
      <c r="AD149" s="44">
        <v>1</v>
      </c>
      <c r="AE149" s="44">
        <v>1</v>
      </c>
      <c r="AF149" s="44">
        <v>1</v>
      </c>
      <c r="AG149" s="44">
        <v>1</v>
      </c>
      <c r="AH149" s="44">
        <v>1</v>
      </c>
      <c r="AI149" s="44">
        <v>1</v>
      </c>
      <c r="AJ149" s="44">
        <v>1</v>
      </c>
      <c r="AK149"/>
      <c r="AL149" s="44">
        <v>1</v>
      </c>
      <c r="AM149" s="44">
        <v>1</v>
      </c>
      <c r="AN149" s="44">
        <v>1</v>
      </c>
      <c r="AO149" s="44">
        <v>1</v>
      </c>
      <c r="AP149"/>
      <c r="AQ149" s="44">
        <v>1</v>
      </c>
      <c r="AR149"/>
      <c r="AS149"/>
      <c r="AT149" s="44">
        <v>1</v>
      </c>
    </row>
    <row r="150" spans="1:46" x14ac:dyDescent="0.25">
      <c r="A150" s="23" t="s">
        <v>72</v>
      </c>
      <c r="B150" s="3" t="s">
        <v>473</v>
      </c>
      <c r="C150" s="3" t="s">
        <v>483</v>
      </c>
      <c r="D150" s="3" t="s">
        <v>521</v>
      </c>
      <c r="E150" s="24" t="s">
        <v>184</v>
      </c>
      <c r="F150" s="24" t="s">
        <v>198</v>
      </c>
      <c r="G150" s="44">
        <v>4.0000000000000003E-5</v>
      </c>
      <c r="I150" s="58"/>
      <c r="J150" s="44">
        <v>4.0000000000000003E-5</v>
      </c>
      <c r="K150" s="44">
        <v>4.0000000000000003E-5</v>
      </c>
      <c r="M150" s="44">
        <v>4.0000000000000003E-5</v>
      </c>
      <c r="N150" s="44">
        <v>4.0000000000000003E-5</v>
      </c>
      <c r="O150" s="44">
        <v>4.0000000000000003E-5</v>
      </c>
      <c r="R150" s="44">
        <v>4.0000000000000003E-5</v>
      </c>
      <c r="S150" s="44">
        <v>4.0000000000000003E-5</v>
      </c>
      <c r="T150" s="44">
        <v>4.0000000000000003E-5</v>
      </c>
      <c r="U150" s="44">
        <v>4.0000000000000003E-5</v>
      </c>
      <c r="V150" s="44">
        <v>4.0000000000000003E-5</v>
      </c>
      <c r="W150" s="44">
        <v>4.0000000000000003E-5</v>
      </c>
      <c r="X150" s="44">
        <v>4.0000000000000003E-5</v>
      </c>
      <c r="Y150" s="44">
        <v>4.0000000000000003E-5</v>
      </c>
      <c r="Z150" s="44">
        <v>4.0000000000000003E-5</v>
      </c>
      <c r="AA150" s="44">
        <v>4.0000000000000003E-5</v>
      </c>
      <c r="AB150" s="44">
        <v>4.0000000000000003E-5</v>
      </c>
      <c r="AC150"/>
      <c r="AD150" s="44">
        <v>4.0000000000000003E-5</v>
      </c>
      <c r="AE150" s="44">
        <v>4.0000000000000003E-5</v>
      </c>
      <c r="AF150" s="44">
        <v>4.0000000000000003E-5</v>
      </c>
      <c r="AG150" s="44">
        <v>4.0000000000000003E-5</v>
      </c>
      <c r="AH150" s="44">
        <v>4.0000000000000003E-5</v>
      </c>
      <c r="AI150" s="44">
        <v>4.0000000000000003E-5</v>
      </c>
      <c r="AJ150" s="44">
        <v>4.0000000000000003E-5</v>
      </c>
      <c r="AK150"/>
      <c r="AL150" s="44">
        <v>4.0000000000000003E-5</v>
      </c>
      <c r="AM150" s="44">
        <v>4.0000000000000003E-5</v>
      </c>
      <c r="AN150" s="44">
        <v>4.0000000000000003E-5</v>
      </c>
      <c r="AO150" s="44">
        <v>4.0000000000000003E-5</v>
      </c>
      <c r="AP150"/>
      <c r="AQ150" s="44">
        <v>4.0000000000000003E-5</v>
      </c>
      <c r="AR150"/>
      <c r="AS150"/>
      <c r="AT150" s="44">
        <v>4.0000000000000003E-5</v>
      </c>
    </row>
    <row r="151" spans="1:46" x14ac:dyDescent="0.25">
      <c r="A151" s="13" t="s">
        <v>73</v>
      </c>
      <c r="B151" s="3" t="s">
        <v>473</v>
      </c>
      <c r="C151" s="3" t="s">
        <v>483</v>
      </c>
      <c r="D151" s="3" t="s">
        <v>521</v>
      </c>
      <c r="E151" s="14" t="s">
        <v>186</v>
      </c>
      <c r="F151" s="14" t="s">
        <v>200</v>
      </c>
      <c r="G151" s="44">
        <v>5.8333333333333335E-9</v>
      </c>
      <c r="I151" s="58"/>
      <c r="J151" s="44">
        <v>5.8333333333333335E-9</v>
      </c>
      <c r="K151" s="44">
        <v>5.8333333333333335E-9</v>
      </c>
      <c r="M151" s="44">
        <v>5.8333333333333335E-9</v>
      </c>
      <c r="N151" s="44">
        <v>5.8333333333333335E-9</v>
      </c>
      <c r="O151" s="44">
        <v>5.8333333333333335E-9</v>
      </c>
      <c r="R151" s="44">
        <v>5.8333333333333335E-9</v>
      </c>
      <c r="S151" s="44">
        <v>5.8333333333333335E-9</v>
      </c>
      <c r="T151" s="44">
        <v>5.8333333333333335E-9</v>
      </c>
      <c r="U151" s="44">
        <v>5.8333333333333335E-9</v>
      </c>
      <c r="V151" s="44">
        <v>5.8333333333333335E-9</v>
      </c>
      <c r="W151" s="44">
        <v>5.8333333333333335E-9</v>
      </c>
      <c r="X151" s="44">
        <v>5.8333333333333335E-9</v>
      </c>
      <c r="Y151" s="44">
        <v>5.8333333333333335E-9</v>
      </c>
      <c r="Z151" s="44">
        <v>5.8333333333333335E-9</v>
      </c>
      <c r="AA151" s="44">
        <v>5.8333333333333335E-9</v>
      </c>
      <c r="AB151" s="44">
        <v>5.8333333333333335E-9</v>
      </c>
      <c r="AC151"/>
      <c r="AD151" s="44">
        <v>5.8333333333333335E-9</v>
      </c>
      <c r="AE151" s="44">
        <v>5.8333333333333335E-9</v>
      </c>
      <c r="AF151" s="44">
        <v>5.8333333333333335E-9</v>
      </c>
      <c r="AG151" s="44">
        <v>5.8333333333333335E-9</v>
      </c>
      <c r="AH151" s="44">
        <v>5.8333333333333335E-9</v>
      </c>
      <c r="AI151" s="44">
        <v>5.8333333333333335E-9</v>
      </c>
      <c r="AJ151" s="44">
        <v>5.8333333333333335E-9</v>
      </c>
      <c r="AK151"/>
      <c r="AL151" s="44">
        <v>5.8333333333333335E-9</v>
      </c>
      <c r="AM151" s="44">
        <v>5.8333333333333335E-9</v>
      </c>
      <c r="AN151" s="44">
        <v>5.8333333333333335E-9</v>
      </c>
      <c r="AO151" s="44">
        <v>5.8333333333333335E-9</v>
      </c>
      <c r="AP151"/>
      <c r="AQ151" s="44">
        <v>5.8333333333333335E-9</v>
      </c>
      <c r="AR151"/>
      <c r="AS151"/>
      <c r="AT151" s="44">
        <v>5.8333333333333335E-9</v>
      </c>
    </row>
    <row r="152" spans="1:46" x14ac:dyDescent="0.25">
      <c r="A152" s="13" t="s">
        <v>240</v>
      </c>
      <c r="B152" s="3" t="s">
        <v>473</v>
      </c>
      <c r="C152" s="3" t="s">
        <v>483</v>
      </c>
      <c r="D152" s="3" t="s">
        <v>521</v>
      </c>
      <c r="E152" s="14" t="s">
        <v>307</v>
      </c>
      <c r="F152" s="14" t="s">
        <v>109</v>
      </c>
      <c r="G152" s="44">
        <v>20</v>
      </c>
      <c r="I152" s="58"/>
      <c r="J152" s="44">
        <v>20</v>
      </c>
      <c r="K152" s="44">
        <v>20</v>
      </c>
      <c r="M152" s="44">
        <v>20</v>
      </c>
      <c r="N152" s="44">
        <v>20</v>
      </c>
      <c r="O152" s="44">
        <v>20</v>
      </c>
      <c r="R152" s="44">
        <v>20</v>
      </c>
      <c r="S152" s="44">
        <v>20</v>
      </c>
      <c r="T152" s="44">
        <v>20</v>
      </c>
      <c r="U152" s="44">
        <v>20</v>
      </c>
      <c r="V152" s="44">
        <v>20</v>
      </c>
      <c r="W152" s="44">
        <v>20</v>
      </c>
      <c r="X152" s="44">
        <v>20</v>
      </c>
      <c r="Y152" s="44">
        <v>20</v>
      </c>
      <c r="Z152" s="44">
        <v>20</v>
      </c>
      <c r="AA152" s="44">
        <v>20</v>
      </c>
      <c r="AB152" s="44">
        <v>20</v>
      </c>
      <c r="AC152"/>
      <c r="AD152" s="44">
        <v>20</v>
      </c>
      <c r="AE152" s="44">
        <v>20</v>
      </c>
      <c r="AF152" s="44">
        <v>20</v>
      </c>
      <c r="AG152" s="44">
        <v>20</v>
      </c>
      <c r="AH152" s="44">
        <v>20</v>
      </c>
      <c r="AI152" s="44">
        <v>20</v>
      </c>
      <c r="AJ152" s="44">
        <v>20</v>
      </c>
      <c r="AK152"/>
      <c r="AL152" s="44">
        <v>20</v>
      </c>
      <c r="AM152" s="44">
        <v>20</v>
      </c>
      <c r="AN152" s="44">
        <v>20</v>
      </c>
      <c r="AO152" s="44">
        <v>20</v>
      </c>
      <c r="AP152"/>
      <c r="AQ152" s="44">
        <v>20</v>
      </c>
      <c r="AR152"/>
      <c r="AS152"/>
      <c r="AT152" s="44">
        <v>20</v>
      </c>
    </row>
    <row r="153" spans="1:46" x14ac:dyDescent="0.25">
      <c r="A153" s="13" t="s">
        <v>241</v>
      </c>
      <c r="B153" s="3" t="s">
        <v>473</v>
      </c>
      <c r="C153" s="3" t="s">
        <v>483</v>
      </c>
      <c r="D153" s="3" t="s">
        <v>521</v>
      </c>
      <c r="E153" s="14" t="s">
        <v>308</v>
      </c>
      <c r="F153" s="14" t="s">
        <v>301</v>
      </c>
      <c r="G153" s="44">
        <v>-0.06</v>
      </c>
      <c r="I153" s="58"/>
      <c r="J153" s="44">
        <v>-0.06</v>
      </c>
      <c r="K153" s="44">
        <v>-0.06</v>
      </c>
      <c r="M153" s="44">
        <v>-0.06</v>
      </c>
      <c r="N153" s="44">
        <v>-0.06</v>
      </c>
      <c r="O153" s="44">
        <v>-0.06</v>
      </c>
      <c r="R153" s="44">
        <v>-0.06</v>
      </c>
      <c r="S153" s="44">
        <v>-0.06</v>
      </c>
      <c r="T153" s="44">
        <v>-0.06</v>
      </c>
      <c r="U153" s="44">
        <v>-0.06</v>
      </c>
      <c r="V153" s="44">
        <v>-0.06</v>
      </c>
      <c r="W153" s="44">
        <v>-0.06</v>
      </c>
      <c r="X153" s="44">
        <v>-0.06</v>
      </c>
      <c r="Y153" s="44">
        <v>-0.06</v>
      </c>
      <c r="Z153" s="44">
        <v>-0.06</v>
      </c>
      <c r="AA153" s="44">
        <v>-0.06</v>
      </c>
      <c r="AB153" s="44">
        <v>-0.06</v>
      </c>
      <c r="AC153"/>
      <c r="AD153" s="44">
        <v>-0.06</v>
      </c>
      <c r="AE153" s="44">
        <v>-0.06</v>
      </c>
      <c r="AF153" s="44">
        <v>-0.06</v>
      </c>
      <c r="AG153" s="44">
        <v>-0.06</v>
      </c>
      <c r="AH153" s="44">
        <v>-0.06</v>
      </c>
      <c r="AI153" s="44">
        <v>-0.06</v>
      </c>
      <c r="AJ153" s="44">
        <v>-0.06</v>
      </c>
      <c r="AK153"/>
      <c r="AL153" s="44">
        <v>-0.06</v>
      </c>
      <c r="AM153" s="44">
        <v>-0.06</v>
      </c>
      <c r="AN153" s="44">
        <v>-0.06</v>
      </c>
      <c r="AO153" s="44">
        <v>-0.06</v>
      </c>
      <c r="AP153"/>
      <c r="AQ153" s="44">
        <v>-0.06</v>
      </c>
      <c r="AR153"/>
      <c r="AS153"/>
      <c r="AT153" s="44">
        <v>-0.06</v>
      </c>
    </row>
    <row r="154" spans="1:46" x14ac:dyDescent="0.25">
      <c r="A154" s="13" t="s">
        <v>242</v>
      </c>
      <c r="B154" s="3" t="s">
        <v>473</v>
      </c>
      <c r="C154" s="3" t="s">
        <v>483</v>
      </c>
      <c r="D154" s="3" t="s">
        <v>521</v>
      </c>
      <c r="E154" s="14" t="s">
        <v>309</v>
      </c>
      <c r="F154" s="14" t="s">
        <v>100</v>
      </c>
      <c r="G154" s="44">
        <v>0.89100000000000001</v>
      </c>
      <c r="I154" s="58"/>
      <c r="J154" s="44">
        <v>0.89100000000000001</v>
      </c>
      <c r="K154" s="44">
        <v>0.89100000000000001</v>
      </c>
      <c r="M154" s="44">
        <v>0.89100000000000001</v>
      </c>
      <c r="N154" s="44">
        <v>0.89100000000000001</v>
      </c>
      <c r="O154" s="44">
        <v>0.89100000000000001</v>
      </c>
      <c r="R154" s="44">
        <v>0.89100000000000001</v>
      </c>
      <c r="S154" s="44">
        <v>0.89100000000000001</v>
      </c>
      <c r="T154" s="44">
        <v>0.89100000000000001</v>
      </c>
      <c r="U154" s="44">
        <v>0.89100000000000001</v>
      </c>
      <c r="V154" s="44">
        <v>0.89100000000000001</v>
      </c>
      <c r="W154" s="44">
        <v>0.89100000000000001</v>
      </c>
      <c r="X154" s="44">
        <v>0.89100000000000001</v>
      </c>
      <c r="Y154" s="44">
        <v>0.89100000000000001</v>
      </c>
      <c r="Z154" s="44">
        <v>0.89100000000000001</v>
      </c>
      <c r="AA154" s="44">
        <v>0.89100000000000001</v>
      </c>
      <c r="AB154" s="44">
        <v>0.89100000000000001</v>
      </c>
      <c r="AC154"/>
      <c r="AD154" s="44">
        <v>0.89100000000000001</v>
      </c>
      <c r="AE154" s="44">
        <v>0.89100000000000001</v>
      </c>
      <c r="AF154" s="44">
        <v>0.89100000000000001</v>
      </c>
      <c r="AG154" s="44">
        <v>0.89100000000000001</v>
      </c>
      <c r="AH154" s="44">
        <v>0.89100000000000001</v>
      </c>
      <c r="AI154" s="44">
        <v>0.89100000000000001</v>
      </c>
      <c r="AJ154" s="44">
        <v>0.89100000000000001</v>
      </c>
      <c r="AK154"/>
      <c r="AL154" s="44">
        <v>0.89100000000000001</v>
      </c>
      <c r="AM154" s="44">
        <v>0.89100000000000001</v>
      </c>
      <c r="AN154" s="44">
        <v>0.89100000000000001</v>
      </c>
      <c r="AO154" s="44">
        <v>0.89100000000000001</v>
      </c>
      <c r="AP154"/>
      <c r="AQ154" s="44">
        <v>0.89100000000000001</v>
      </c>
      <c r="AR154"/>
      <c r="AS154"/>
      <c r="AT154" s="44">
        <v>0.89100000000000001</v>
      </c>
    </row>
    <row r="155" spans="1:46" x14ac:dyDescent="0.25">
      <c r="A155" s="13" t="s">
        <v>243</v>
      </c>
      <c r="B155" s="3" t="s">
        <v>473</v>
      </c>
      <c r="C155" s="3" t="s">
        <v>483</v>
      </c>
      <c r="D155" s="3" t="s">
        <v>521</v>
      </c>
      <c r="E155" s="14" t="s">
        <v>310</v>
      </c>
      <c r="F155" s="14" t="s">
        <v>95</v>
      </c>
      <c r="G155" s="44">
        <v>1</v>
      </c>
      <c r="I155" s="58"/>
      <c r="J155" s="44">
        <v>1</v>
      </c>
      <c r="K155" s="44">
        <v>1</v>
      </c>
      <c r="M155" s="44">
        <v>1</v>
      </c>
      <c r="N155" s="44">
        <v>1</v>
      </c>
      <c r="O155" s="44">
        <v>1</v>
      </c>
      <c r="R155" s="44">
        <v>1</v>
      </c>
      <c r="S155" s="44">
        <v>1</v>
      </c>
      <c r="T155" s="44">
        <v>1</v>
      </c>
      <c r="U155" s="44">
        <v>1</v>
      </c>
      <c r="V155" s="44">
        <v>1</v>
      </c>
      <c r="W155" s="44">
        <v>1</v>
      </c>
      <c r="X155" s="44">
        <v>1</v>
      </c>
      <c r="Y155" s="44">
        <v>1</v>
      </c>
      <c r="Z155" s="44">
        <v>1</v>
      </c>
      <c r="AA155" s="44">
        <v>1</v>
      </c>
      <c r="AB155" s="44">
        <v>1</v>
      </c>
      <c r="AC155"/>
      <c r="AD155" s="44">
        <v>1</v>
      </c>
      <c r="AE155" s="44">
        <v>1</v>
      </c>
      <c r="AF155" s="44">
        <v>1</v>
      </c>
      <c r="AG155" s="44">
        <v>1</v>
      </c>
      <c r="AH155" s="44">
        <v>1</v>
      </c>
      <c r="AI155" s="44">
        <v>1</v>
      </c>
      <c r="AJ155" s="44">
        <v>1</v>
      </c>
      <c r="AK155"/>
      <c r="AL155" s="44">
        <v>1</v>
      </c>
      <c r="AM155" s="44">
        <v>1</v>
      </c>
      <c r="AN155" s="44">
        <v>1</v>
      </c>
      <c r="AO155" s="44">
        <v>1</v>
      </c>
      <c r="AP155"/>
      <c r="AQ155" s="44">
        <v>1</v>
      </c>
      <c r="AR155"/>
      <c r="AS155"/>
      <c r="AT155" s="44">
        <v>1</v>
      </c>
    </row>
    <row r="156" spans="1:46" x14ac:dyDescent="0.25">
      <c r="A156" s="13" t="s">
        <v>74</v>
      </c>
      <c r="B156" s="3" t="s">
        <v>473</v>
      </c>
      <c r="C156" s="3" t="s">
        <v>483</v>
      </c>
      <c r="D156" s="3" t="s">
        <v>521</v>
      </c>
      <c r="E156" s="14" t="s">
        <v>185</v>
      </c>
      <c r="F156" s="14" t="s">
        <v>198</v>
      </c>
      <c r="G156" s="44">
        <v>4.0000000000000003E-5</v>
      </c>
      <c r="I156" s="58"/>
      <c r="J156" s="44">
        <v>4.0000000000000003E-5</v>
      </c>
      <c r="K156" s="44">
        <v>4.0000000000000003E-5</v>
      </c>
      <c r="M156" s="44">
        <v>4.0000000000000003E-5</v>
      </c>
      <c r="N156" s="44">
        <v>4.0000000000000003E-5</v>
      </c>
      <c r="O156" s="44">
        <v>4.0000000000000003E-5</v>
      </c>
      <c r="R156" s="44">
        <v>4.0000000000000003E-5</v>
      </c>
      <c r="S156" s="44">
        <v>4.0000000000000003E-5</v>
      </c>
      <c r="T156" s="44">
        <v>4.0000000000000003E-5</v>
      </c>
      <c r="U156" s="44">
        <v>4.0000000000000003E-5</v>
      </c>
      <c r="V156" s="44">
        <v>4.0000000000000003E-5</v>
      </c>
      <c r="W156" s="44">
        <v>4.0000000000000003E-5</v>
      </c>
      <c r="X156" s="44">
        <v>4.0000000000000003E-5</v>
      </c>
      <c r="Y156" s="44">
        <v>4.0000000000000003E-5</v>
      </c>
      <c r="Z156" s="44">
        <v>4.0000000000000003E-5</v>
      </c>
      <c r="AA156" s="44">
        <v>4.0000000000000003E-5</v>
      </c>
      <c r="AB156" s="44">
        <v>4.0000000000000003E-5</v>
      </c>
      <c r="AC156"/>
      <c r="AD156" s="44">
        <v>4.0000000000000003E-5</v>
      </c>
      <c r="AE156" s="44">
        <v>4.0000000000000003E-5</v>
      </c>
      <c r="AF156" s="44">
        <v>4.0000000000000003E-5</v>
      </c>
      <c r="AG156" s="44">
        <v>4.0000000000000003E-5</v>
      </c>
      <c r="AH156" s="44">
        <v>4.0000000000000003E-5</v>
      </c>
      <c r="AI156" s="44">
        <v>4.0000000000000003E-5</v>
      </c>
      <c r="AJ156" s="44">
        <v>4.0000000000000003E-5</v>
      </c>
      <c r="AK156"/>
      <c r="AL156" s="44">
        <v>4.0000000000000003E-5</v>
      </c>
      <c r="AM156" s="44">
        <v>4.0000000000000003E-5</v>
      </c>
      <c r="AN156" s="44">
        <v>4.0000000000000003E-5</v>
      </c>
      <c r="AO156" s="44">
        <v>4.0000000000000003E-5</v>
      </c>
      <c r="AP156"/>
      <c r="AQ156" s="44">
        <v>4.0000000000000003E-5</v>
      </c>
      <c r="AR156"/>
      <c r="AS156"/>
      <c r="AT156" s="44">
        <v>4.0000000000000003E-5</v>
      </c>
    </row>
    <row r="157" spans="1:46" x14ac:dyDescent="0.25">
      <c r="A157" s="9" t="s">
        <v>75</v>
      </c>
      <c r="B157" s="3" t="s">
        <v>473</v>
      </c>
      <c r="C157" s="3" t="s">
        <v>483</v>
      </c>
      <c r="D157" s="3" t="s">
        <v>521</v>
      </c>
      <c r="E157" s="10" t="s">
        <v>187</v>
      </c>
      <c r="F157" s="10" t="s">
        <v>200</v>
      </c>
      <c r="G157" s="44">
        <v>4.9999999999999998E-8</v>
      </c>
      <c r="I157" s="58"/>
      <c r="J157" s="44">
        <v>4.0000000000000001E-8</v>
      </c>
      <c r="K157" s="44">
        <v>4.0000000000000001E-8</v>
      </c>
      <c r="M157" s="44">
        <v>4.0000000000000001E-8</v>
      </c>
      <c r="N157" s="44">
        <v>4.0000000000000001E-8</v>
      </c>
      <c r="O157" s="44">
        <v>4.0000000000000001E-8</v>
      </c>
      <c r="R157" s="44">
        <v>4.0000000000000001E-8</v>
      </c>
      <c r="S157" s="44">
        <v>4.0000000000000001E-8</v>
      </c>
      <c r="T157" s="44">
        <v>4.0000000000000001E-8</v>
      </c>
      <c r="U157" s="44">
        <v>4.0000000000000001E-8</v>
      </c>
      <c r="V157" s="44">
        <v>4.0000000000000001E-8</v>
      </c>
      <c r="W157" s="44">
        <v>4.0000000000000001E-8</v>
      </c>
      <c r="X157" s="44">
        <v>4.0000000000000001E-8</v>
      </c>
      <c r="Y157" s="44">
        <v>4.0000000000000001E-8</v>
      </c>
      <c r="Z157" s="44">
        <v>4.0000000000000001E-8</v>
      </c>
      <c r="AA157" s="44">
        <v>4.0000000000000001E-8</v>
      </c>
      <c r="AB157" s="44">
        <v>4.0000000000000001E-8</v>
      </c>
      <c r="AC157"/>
      <c r="AD157" s="44">
        <v>4.0000000000000001E-8</v>
      </c>
      <c r="AE157" s="44">
        <v>4.0000000000000001E-8</v>
      </c>
      <c r="AF157" s="44">
        <v>4.0000000000000001E-8</v>
      </c>
      <c r="AG157" s="44">
        <v>4.0000000000000001E-8</v>
      </c>
      <c r="AH157" s="44">
        <v>4.0000000000000001E-8</v>
      </c>
      <c r="AI157" s="44">
        <v>4.0000000000000001E-8</v>
      </c>
      <c r="AJ157" s="44">
        <v>4.0000000000000001E-8</v>
      </c>
      <c r="AK157"/>
      <c r="AL157" s="44">
        <v>4.0000000000000001E-8</v>
      </c>
      <c r="AM157" s="44">
        <v>4.0000000000000001E-8</v>
      </c>
      <c r="AN157" s="44">
        <v>4.0000000000000001E-8</v>
      </c>
      <c r="AO157" s="44">
        <v>4.0000000000000001E-8</v>
      </c>
      <c r="AP157"/>
      <c r="AQ157" s="44">
        <v>4.0000000000000001E-8</v>
      </c>
      <c r="AR157"/>
      <c r="AS157"/>
      <c r="AT157" s="44">
        <v>4.0000000000000001E-8</v>
      </c>
    </row>
    <row r="158" spans="1:46" x14ac:dyDescent="0.25">
      <c r="A158" s="9" t="s">
        <v>218</v>
      </c>
      <c r="B158" s="3" t="s">
        <v>473</v>
      </c>
      <c r="C158" s="3" t="s">
        <v>483</v>
      </c>
      <c r="D158" s="3" t="s">
        <v>521</v>
      </c>
      <c r="E158" s="10" t="s">
        <v>298</v>
      </c>
      <c r="F158" s="10" t="s">
        <v>109</v>
      </c>
      <c r="G158" s="44">
        <v>20</v>
      </c>
      <c r="I158" s="58"/>
      <c r="J158" s="44">
        <v>20</v>
      </c>
      <c r="K158" s="44">
        <v>20</v>
      </c>
      <c r="M158" s="44">
        <v>20</v>
      </c>
      <c r="N158" s="44">
        <v>20</v>
      </c>
      <c r="O158" s="44">
        <v>20</v>
      </c>
      <c r="R158" s="44">
        <v>20</v>
      </c>
      <c r="S158" s="44">
        <v>20</v>
      </c>
      <c r="T158" s="44">
        <v>20</v>
      </c>
      <c r="U158" s="44">
        <v>20</v>
      </c>
      <c r="V158" s="44">
        <v>20</v>
      </c>
      <c r="W158" s="44">
        <v>20</v>
      </c>
      <c r="X158" s="44">
        <v>20</v>
      </c>
      <c r="Y158" s="44">
        <v>20</v>
      </c>
      <c r="Z158" s="44">
        <v>20</v>
      </c>
      <c r="AA158" s="44">
        <v>20</v>
      </c>
      <c r="AB158" s="44">
        <v>20</v>
      </c>
      <c r="AC158"/>
      <c r="AD158" s="44">
        <v>20</v>
      </c>
      <c r="AE158" s="44">
        <v>20</v>
      </c>
      <c r="AF158" s="44">
        <v>20</v>
      </c>
      <c r="AG158" s="44">
        <v>20</v>
      </c>
      <c r="AH158" s="44">
        <v>20</v>
      </c>
      <c r="AI158" s="44">
        <v>20</v>
      </c>
      <c r="AJ158" s="44">
        <v>20</v>
      </c>
      <c r="AK158"/>
      <c r="AL158" s="44">
        <v>20</v>
      </c>
      <c r="AM158" s="44">
        <v>20</v>
      </c>
      <c r="AN158" s="44">
        <v>20</v>
      </c>
      <c r="AO158" s="44">
        <v>20</v>
      </c>
      <c r="AP158"/>
      <c r="AQ158" s="44">
        <v>20</v>
      </c>
      <c r="AR158"/>
      <c r="AS158"/>
      <c r="AT158" s="44">
        <v>20</v>
      </c>
    </row>
    <row r="159" spans="1:46" x14ac:dyDescent="0.25">
      <c r="A159" s="9" t="s">
        <v>219</v>
      </c>
      <c r="B159" s="3" t="s">
        <v>473</v>
      </c>
      <c r="C159" s="3" t="s">
        <v>483</v>
      </c>
      <c r="D159" s="3" t="s">
        <v>521</v>
      </c>
      <c r="E159" s="10" t="s">
        <v>299</v>
      </c>
      <c r="F159" s="10" t="s">
        <v>301</v>
      </c>
      <c r="G159" s="44">
        <v>-4.4200000000000003E-2</v>
      </c>
      <c r="I159" s="58"/>
      <c r="J159" s="44">
        <v>-4.4200000000000003E-2</v>
      </c>
      <c r="K159" s="44">
        <v>-4.4200000000000003E-2</v>
      </c>
      <c r="M159" s="44">
        <v>-4.4200000000000003E-2</v>
      </c>
      <c r="N159" s="44">
        <v>-4.4200000000000003E-2</v>
      </c>
      <c r="O159" s="44">
        <v>-4.4200000000000003E-2</v>
      </c>
      <c r="R159" s="44">
        <v>-4.4200000000000003E-2</v>
      </c>
      <c r="S159" s="44">
        <v>-4.4200000000000003E-2</v>
      </c>
      <c r="T159" s="44">
        <v>-4.4200000000000003E-2</v>
      </c>
      <c r="U159" s="44">
        <v>-4.4200000000000003E-2</v>
      </c>
      <c r="V159" s="44">
        <v>-4.4200000000000003E-2</v>
      </c>
      <c r="W159" s="44">
        <v>-4.4200000000000003E-2</v>
      </c>
      <c r="X159" s="44">
        <v>-4.4200000000000003E-2</v>
      </c>
      <c r="Y159" s="44">
        <v>-4.4200000000000003E-2</v>
      </c>
      <c r="Z159" s="44">
        <v>-4.4200000000000003E-2</v>
      </c>
      <c r="AA159" s="44">
        <v>-4.4200000000000003E-2</v>
      </c>
      <c r="AB159" s="44">
        <v>-4.4200000000000003E-2</v>
      </c>
      <c r="AC159"/>
      <c r="AD159" s="44">
        <v>-4.4200000000000003E-2</v>
      </c>
      <c r="AE159" s="44">
        <v>-4.4200000000000003E-2</v>
      </c>
      <c r="AF159" s="44">
        <v>-4.4200000000000003E-2</v>
      </c>
      <c r="AG159" s="44">
        <v>-4.4200000000000003E-2</v>
      </c>
      <c r="AH159" s="44">
        <v>-4.4200000000000003E-2</v>
      </c>
      <c r="AI159" s="44">
        <v>-4.4200000000000003E-2</v>
      </c>
      <c r="AJ159" s="44">
        <v>-4.4200000000000003E-2</v>
      </c>
      <c r="AK159"/>
      <c r="AL159" s="44">
        <v>-4.4200000000000003E-2</v>
      </c>
      <c r="AM159" s="44">
        <v>-4.4200000000000003E-2</v>
      </c>
      <c r="AN159" s="44">
        <v>-4.4200000000000003E-2</v>
      </c>
      <c r="AO159" s="44">
        <v>-4.4200000000000003E-2</v>
      </c>
      <c r="AP159"/>
      <c r="AQ159" s="44">
        <v>-4.4200000000000003E-2</v>
      </c>
      <c r="AR159"/>
      <c r="AS159"/>
      <c r="AT159" s="44">
        <v>-4.4200000000000003E-2</v>
      </c>
    </row>
    <row r="160" spans="1:46" x14ac:dyDescent="0.25">
      <c r="A160" s="9" t="s">
        <v>220</v>
      </c>
      <c r="B160" s="3" t="s">
        <v>473</v>
      </c>
      <c r="C160" s="3" t="s">
        <v>483</v>
      </c>
      <c r="D160" s="3" t="s">
        <v>521</v>
      </c>
      <c r="E160" s="10" t="s">
        <v>300</v>
      </c>
      <c r="F160" s="10" t="s">
        <v>100</v>
      </c>
      <c r="G160" s="44">
        <v>1.55</v>
      </c>
      <c r="I160" s="58"/>
      <c r="J160" s="44">
        <v>1.55</v>
      </c>
      <c r="K160" s="44">
        <v>1.55</v>
      </c>
      <c r="M160" s="44">
        <v>1.55</v>
      </c>
      <c r="N160" s="44">
        <v>1.55</v>
      </c>
      <c r="O160" s="44">
        <v>1.55</v>
      </c>
      <c r="R160" s="44">
        <v>1.55</v>
      </c>
      <c r="S160" s="44">
        <v>1.55</v>
      </c>
      <c r="T160" s="44">
        <v>1.55</v>
      </c>
      <c r="U160" s="44">
        <v>1.55</v>
      </c>
      <c r="V160" s="44">
        <v>1.55</v>
      </c>
      <c r="W160" s="44">
        <v>1.55</v>
      </c>
      <c r="X160" s="44">
        <v>1.55</v>
      </c>
      <c r="Y160" s="44">
        <v>1.55</v>
      </c>
      <c r="Z160" s="44">
        <v>1.55</v>
      </c>
      <c r="AA160" s="44">
        <v>1.55</v>
      </c>
      <c r="AB160" s="44">
        <v>1.55</v>
      </c>
      <c r="AC160"/>
      <c r="AD160" s="44">
        <v>1.55</v>
      </c>
      <c r="AE160" s="44">
        <v>1.55</v>
      </c>
      <c r="AF160" s="44">
        <v>1.55</v>
      </c>
      <c r="AG160" s="44">
        <v>1.55</v>
      </c>
      <c r="AH160" s="44">
        <v>1.55</v>
      </c>
      <c r="AI160" s="44">
        <v>1.55</v>
      </c>
      <c r="AJ160" s="44">
        <v>1.55</v>
      </c>
      <c r="AK160"/>
      <c r="AL160" s="44">
        <v>1.55</v>
      </c>
      <c r="AM160" s="44">
        <v>1.55</v>
      </c>
      <c r="AN160" s="44">
        <v>1.55</v>
      </c>
      <c r="AO160" s="44">
        <v>1.55</v>
      </c>
      <c r="AP160"/>
      <c r="AQ160" s="44">
        <v>1.55</v>
      </c>
      <c r="AR160"/>
      <c r="AS160"/>
      <c r="AT160" s="44">
        <v>1.55</v>
      </c>
    </row>
    <row r="161" spans="1:46" x14ac:dyDescent="0.25">
      <c r="A161" s="9" t="s">
        <v>221</v>
      </c>
      <c r="B161" s="3" t="s">
        <v>473</v>
      </c>
      <c r="C161" s="3" t="s">
        <v>483</v>
      </c>
      <c r="D161" s="3" t="s">
        <v>521</v>
      </c>
      <c r="E161" s="10" t="s">
        <v>302</v>
      </c>
      <c r="F161" s="10" t="s">
        <v>95</v>
      </c>
      <c r="G161" s="44">
        <v>1</v>
      </c>
      <c r="I161" s="58"/>
      <c r="J161" s="44">
        <v>1</v>
      </c>
      <c r="K161" s="44">
        <v>1</v>
      </c>
      <c r="M161" s="44">
        <v>1</v>
      </c>
      <c r="N161" s="44">
        <v>1</v>
      </c>
      <c r="O161" s="44">
        <v>1</v>
      </c>
      <c r="R161" s="44">
        <v>1</v>
      </c>
      <c r="S161" s="44">
        <v>1</v>
      </c>
      <c r="T161" s="44">
        <v>1</v>
      </c>
      <c r="U161" s="44">
        <v>1</v>
      </c>
      <c r="V161" s="44">
        <v>1</v>
      </c>
      <c r="W161" s="44">
        <v>1</v>
      </c>
      <c r="X161" s="44">
        <v>1</v>
      </c>
      <c r="Y161" s="44">
        <v>1</v>
      </c>
      <c r="Z161" s="44">
        <v>1</v>
      </c>
      <c r="AA161" s="44">
        <v>1</v>
      </c>
      <c r="AB161" s="44">
        <v>1</v>
      </c>
      <c r="AC161"/>
      <c r="AD161" s="44">
        <v>1</v>
      </c>
      <c r="AE161" s="44">
        <v>1</v>
      </c>
      <c r="AF161" s="44">
        <v>1</v>
      </c>
      <c r="AG161" s="44">
        <v>1</v>
      </c>
      <c r="AH161" s="44">
        <v>1</v>
      </c>
      <c r="AI161" s="44">
        <v>1</v>
      </c>
      <c r="AJ161" s="44">
        <v>1</v>
      </c>
      <c r="AK161"/>
      <c r="AL161" s="44">
        <v>1</v>
      </c>
      <c r="AM161" s="44">
        <v>1</v>
      </c>
      <c r="AN161" s="44">
        <v>1</v>
      </c>
      <c r="AO161" s="44">
        <v>1</v>
      </c>
      <c r="AP161"/>
      <c r="AQ161" s="44">
        <v>1</v>
      </c>
      <c r="AR161"/>
      <c r="AS161"/>
      <c r="AT161" s="44">
        <v>1</v>
      </c>
    </row>
    <row r="162" spans="1:46" x14ac:dyDescent="0.25">
      <c r="A162" s="9" t="s">
        <v>76</v>
      </c>
      <c r="B162" s="3" t="s">
        <v>473</v>
      </c>
      <c r="C162" s="3" t="s">
        <v>483</v>
      </c>
      <c r="D162" s="3" t="s">
        <v>521</v>
      </c>
      <c r="E162" s="10" t="s">
        <v>188</v>
      </c>
      <c r="F162" s="10" t="s">
        <v>198</v>
      </c>
      <c r="G162" s="44">
        <v>2.7799999999999998E-4</v>
      </c>
      <c r="I162" s="58"/>
      <c r="J162" s="44">
        <v>2.7799999999999998E-4</v>
      </c>
      <c r="K162" s="44">
        <v>2.7799999999999998E-4</v>
      </c>
      <c r="M162" s="44">
        <v>2.7799999999999998E-4</v>
      </c>
      <c r="N162" s="44">
        <v>2.7799999999999998E-4</v>
      </c>
      <c r="O162" s="44">
        <v>2.7799999999999998E-4</v>
      </c>
      <c r="R162" s="44">
        <v>2.7799999999999998E-4</v>
      </c>
      <c r="S162" s="44">
        <v>2.7799999999999998E-4</v>
      </c>
      <c r="T162" s="44">
        <v>2.7799999999999998E-4</v>
      </c>
      <c r="U162" s="44">
        <v>2.7799999999999998E-4</v>
      </c>
      <c r="V162" s="44">
        <v>2.7799999999999998E-4</v>
      </c>
      <c r="W162" s="44">
        <v>2.7799999999999998E-4</v>
      </c>
      <c r="X162" s="44">
        <v>2.7799999999999998E-4</v>
      </c>
      <c r="Y162" s="44">
        <v>2.7799999999999998E-4</v>
      </c>
      <c r="Z162" s="44">
        <v>2.7799999999999998E-4</v>
      </c>
      <c r="AA162" s="44">
        <v>2.7799999999999998E-4</v>
      </c>
      <c r="AB162" s="44">
        <v>2.7799999999999998E-4</v>
      </c>
      <c r="AC162"/>
      <c r="AD162" s="44">
        <v>2.7799999999999998E-4</v>
      </c>
      <c r="AE162" s="44">
        <v>2.7799999999999998E-4</v>
      </c>
      <c r="AF162" s="44">
        <v>2.7799999999999998E-4</v>
      </c>
      <c r="AG162" s="44">
        <v>2.7799999999999998E-4</v>
      </c>
      <c r="AH162" s="44">
        <v>2.7799999999999998E-4</v>
      </c>
      <c r="AI162" s="44">
        <v>2.7799999999999998E-4</v>
      </c>
      <c r="AJ162" s="44">
        <v>2.7799999999999998E-4</v>
      </c>
      <c r="AK162"/>
      <c r="AL162" s="44">
        <v>2.7799999999999998E-4</v>
      </c>
      <c r="AM162" s="44">
        <v>2.7799999999999998E-4</v>
      </c>
      <c r="AN162" s="44">
        <v>2.7799999999999998E-4</v>
      </c>
      <c r="AO162" s="44">
        <v>2.7799999999999998E-4</v>
      </c>
      <c r="AP162"/>
      <c r="AQ162" s="44">
        <v>2.7799999999999998E-4</v>
      </c>
      <c r="AR162"/>
      <c r="AS162"/>
      <c r="AT162" s="44">
        <v>2.7799999999999998E-4</v>
      </c>
    </row>
    <row r="163" spans="1:46" x14ac:dyDescent="0.25">
      <c r="A163" s="25" t="s">
        <v>78</v>
      </c>
      <c r="B163" s="3" t="s">
        <v>473</v>
      </c>
      <c r="C163" s="3" t="s">
        <v>483</v>
      </c>
      <c r="D163" s="3" t="s">
        <v>521</v>
      </c>
      <c r="E163" s="26" t="s">
        <v>189</v>
      </c>
      <c r="F163" s="26" t="s">
        <v>201</v>
      </c>
      <c r="G163" s="44">
        <v>4.7300000000000001E-7</v>
      </c>
      <c r="I163" s="58"/>
      <c r="J163" s="44">
        <v>2.4999999999999998E-12</v>
      </c>
      <c r="K163" s="44">
        <v>2.4999999999999998E-12</v>
      </c>
      <c r="M163" s="44">
        <v>2.4999999999999998E-12</v>
      </c>
      <c r="N163" s="44">
        <v>2.4999999999999998E-12</v>
      </c>
      <c r="O163" s="44">
        <v>2.4999999999999998E-12</v>
      </c>
      <c r="R163" s="44">
        <v>2.4999999999999998E-12</v>
      </c>
      <c r="S163" s="44">
        <v>2.4999999999999998E-12</v>
      </c>
      <c r="T163" s="44">
        <v>2.4999999999999998E-12</v>
      </c>
      <c r="U163" s="44">
        <v>2.4999999999999998E-12</v>
      </c>
      <c r="V163" s="44">
        <v>2.4999999999999998E-12</v>
      </c>
      <c r="W163" s="44">
        <v>2.4999999999999998E-12</v>
      </c>
      <c r="X163" s="44">
        <v>2.4999999999999998E-12</v>
      </c>
      <c r="Y163" s="44">
        <v>2.4999999999999998E-12</v>
      </c>
      <c r="Z163" s="44">
        <v>2.4999999999999998E-12</v>
      </c>
      <c r="AA163" s="44">
        <v>2.4999999999999998E-12</v>
      </c>
      <c r="AB163" s="44">
        <v>2.4999999999999998E-12</v>
      </c>
      <c r="AC163"/>
      <c r="AD163" s="44">
        <v>2.4999999999999998E-12</v>
      </c>
      <c r="AE163" s="44">
        <v>2.4999999999999998E-12</v>
      </c>
      <c r="AF163" s="44">
        <v>2.4999999999999998E-12</v>
      </c>
      <c r="AG163" s="44">
        <v>2.4999999999999998E-12</v>
      </c>
      <c r="AH163" s="44">
        <v>2.4999999999999998E-12</v>
      </c>
      <c r="AI163" s="44">
        <v>2.4999999999999998E-12</v>
      </c>
      <c r="AJ163" s="44">
        <v>2.4999999999999998E-12</v>
      </c>
      <c r="AK163"/>
      <c r="AL163" s="44">
        <v>2.4999999999999998E-12</v>
      </c>
      <c r="AM163" s="44">
        <v>2.4999999999999998E-12</v>
      </c>
      <c r="AN163" s="44">
        <v>2.4999999999999998E-12</v>
      </c>
      <c r="AO163" s="44">
        <v>2.4999999999999998E-12</v>
      </c>
      <c r="AP163"/>
      <c r="AQ163" s="44">
        <v>2.4999999999999998E-12</v>
      </c>
      <c r="AR163"/>
      <c r="AS163"/>
      <c r="AT163" s="44">
        <v>2.4999999999999998E-12</v>
      </c>
    </row>
    <row r="164" spans="1:46" x14ac:dyDescent="0.25">
      <c r="A164" s="25" t="s">
        <v>245</v>
      </c>
      <c r="B164" s="3" t="s">
        <v>473</v>
      </c>
      <c r="C164" s="3" t="s">
        <v>483</v>
      </c>
      <c r="D164" s="3" t="s">
        <v>521</v>
      </c>
      <c r="E164" s="26" t="s">
        <v>319</v>
      </c>
      <c r="F164" s="26" t="s">
        <v>109</v>
      </c>
      <c r="G164" s="44">
        <v>20</v>
      </c>
      <c r="I164" s="58"/>
      <c r="J164" s="44">
        <v>20</v>
      </c>
      <c r="K164" s="44">
        <v>20</v>
      </c>
      <c r="M164" s="44">
        <v>20</v>
      </c>
      <c r="N164" s="44">
        <v>20</v>
      </c>
      <c r="O164" s="44">
        <v>20</v>
      </c>
      <c r="R164" s="44">
        <v>20</v>
      </c>
      <c r="S164" s="44">
        <v>20</v>
      </c>
      <c r="T164" s="44">
        <v>20</v>
      </c>
      <c r="U164" s="44">
        <v>20</v>
      </c>
      <c r="V164" s="44">
        <v>20</v>
      </c>
      <c r="W164" s="44">
        <v>20</v>
      </c>
      <c r="X164" s="44">
        <v>20</v>
      </c>
      <c r="Y164" s="44">
        <v>20</v>
      </c>
      <c r="Z164" s="44">
        <v>20</v>
      </c>
      <c r="AA164" s="44">
        <v>20</v>
      </c>
      <c r="AB164" s="44">
        <v>20</v>
      </c>
      <c r="AC164"/>
      <c r="AD164" s="44">
        <v>20</v>
      </c>
      <c r="AE164" s="44">
        <v>20</v>
      </c>
      <c r="AF164" s="44">
        <v>20</v>
      </c>
      <c r="AG164" s="44">
        <v>20</v>
      </c>
      <c r="AH164" s="44">
        <v>20</v>
      </c>
      <c r="AI164" s="44">
        <v>20</v>
      </c>
      <c r="AJ164" s="44">
        <v>20</v>
      </c>
      <c r="AK164"/>
      <c r="AL164" s="44">
        <v>20</v>
      </c>
      <c r="AM164" s="44">
        <v>20</v>
      </c>
      <c r="AN164" s="44">
        <v>20</v>
      </c>
      <c r="AO164" s="44">
        <v>20</v>
      </c>
      <c r="AP164"/>
      <c r="AQ164" s="44">
        <v>20</v>
      </c>
      <c r="AR164"/>
      <c r="AS164"/>
      <c r="AT164" s="44">
        <v>20</v>
      </c>
    </row>
    <row r="165" spans="1:46" x14ac:dyDescent="0.25">
      <c r="A165" s="25" t="s">
        <v>246</v>
      </c>
      <c r="B165" s="3" t="s">
        <v>473</v>
      </c>
      <c r="C165" s="3" t="s">
        <v>483</v>
      </c>
      <c r="D165" s="3" t="s">
        <v>521</v>
      </c>
      <c r="E165" s="26" t="s">
        <v>320</v>
      </c>
      <c r="F165" s="26" t="s">
        <v>301</v>
      </c>
      <c r="G165" s="44">
        <v>0</v>
      </c>
      <c r="I165" s="58"/>
      <c r="J165" s="44">
        <v>0</v>
      </c>
      <c r="K165" s="44">
        <v>0</v>
      </c>
      <c r="M165" s="44">
        <v>0</v>
      </c>
      <c r="N165" s="44">
        <v>0</v>
      </c>
      <c r="O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/>
      <c r="AD165" s="44">
        <v>0</v>
      </c>
      <c r="AE165" s="44">
        <v>0</v>
      </c>
      <c r="AF165" s="44">
        <v>0</v>
      </c>
      <c r="AG165" s="44">
        <v>0</v>
      </c>
      <c r="AH165" s="44">
        <v>0</v>
      </c>
      <c r="AI165" s="44">
        <v>0</v>
      </c>
      <c r="AJ165" s="44">
        <v>0</v>
      </c>
      <c r="AK165"/>
      <c r="AL165" s="44">
        <v>0</v>
      </c>
      <c r="AM165" s="44">
        <v>0</v>
      </c>
      <c r="AN165" s="44">
        <v>0</v>
      </c>
      <c r="AO165" s="44">
        <v>0</v>
      </c>
      <c r="AP165"/>
      <c r="AQ165" s="44">
        <v>0</v>
      </c>
      <c r="AR165"/>
      <c r="AS165"/>
      <c r="AT165" s="44">
        <v>0</v>
      </c>
    </row>
    <row r="166" spans="1:46" x14ac:dyDescent="0.25">
      <c r="A166" s="25" t="s">
        <v>247</v>
      </c>
      <c r="B166" s="3" t="s">
        <v>473</v>
      </c>
      <c r="C166" s="3" t="s">
        <v>483</v>
      </c>
      <c r="D166" s="3" t="s">
        <v>521</v>
      </c>
      <c r="E166" s="26" t="s">
        <v>321</v>
      </c>
      <c r="F166" s="26" t="s">
        <v>100</v>
      </c>
      <c r="G166" s="44">
        <v>1</v>
      </c>
      <c r="I166" s="58"/>
      <c r="J166" s="44">
        <v>1</v>
      </c>
      <c r="K166" s="44">
        <v>1</v>
      </c>
      <c r="M166" s="44">
        <v>1</v>
      </c>
      <c r="N166" s="44">
        <v>1</v>
      </c>
      <c r="O166" s="44">
        <v>1</v>
      </c>
      <c r="R166" s="44">
        <v>1</v>
      </c>
      <c r="S166" s="44">
        <v>1</v>
      </c>
      <c r="T166" s="44">
        <v>1</v>
      </c>
      <c r="U166" s="44">
        <v>1</v>
      </c>
      <c r="V166" s="44">
        <v>1</v>
      </c>
      <c r="W166" s="44">
        <v>1</v>
      </c>
      <c r="X166" s="44">
        <v>1</v>
      </c>
      <c r="Y166" s="44">
        <v>1</v>
      </c>
      <c r="Z166" s="44">
        <v>1</v>
      </c>
      <c r="AA166" s="44">
        <v>1</v>
      </c>
      <c r="AB166" s="44">
        <v>1</v>
      </c>
      <c r="AC166"/>
      <c r="AD166" s="44">
        <v>1</v>
      </c>
      <c r="AE166" s="44">
        <v>1</v>
      </c>
      <c r="AF166" s="44">
        <v>1</v>
      </c>
      <c r="AG166" s="44">
        <v>1</v>
      </c>
      <c r="AH166" s="44">
        <v>1</v>
      </c>
      <c r="AI166" s="44">
        <v>1</v>
      </c>
      <c r="AJ166" s="44">
        <v>1</v>
      </c>
      <c r="AK166"/>
      <c r="AL166" s="44">
        <v>1</v>
      </c>
      <c r="AM166" s="44">
        <v>1</v>
      </c>
      <c r="AN166" s="44">
        <v>1</v>
      </c>
      <c r="AO166" s="44">
        <v>1</v>
      </c>
      <c r="AP166"/>
      <c r="AQ166" s="44">
        <v>1</v>
      </c>
      <c r="AR166"/>
      <c r="AS166"/>
      <c r="AT166" s="44">
        <v>1</v>
      </c>
    </row>
    <row r="167" spans="1:46" x14ac:dyDescent="0.25">
      <c r="A167" s="25" t="s">
        <v>248</v>
      </c>
      <c r="B167" s="3" t="s">
        <v>473</v>
      </c>
      <c r="C167" s="3" t="s">
        <v>483</v>
      </c>
      <c r="D167" s="3" t="s">
        <v>521</v>
      </c>
      <c r="E167" s="26" t="s">
        <v>322</v>
      </c>
      <c r="F167" s="26" t="s">
        <v>95</v>
      </c>
      <c r="G167" s="44">
        <v>0</v>
      </c>
      <c r="I167" s="58"/>
      <c r="J167" s="44">
        <v>0</v>
      </c>
      <c r="K167" s="44">
        <v>0</v>
      </c>
      <c r="M167" s="44">
        <v>0</v>
      </c>
      <c r="N167" s="44">
        <v>0</v>
      </c>
      <c r="O167" s="44">
        <v>0</v>
      </c>
      <c r="R167" s="44">
        <v>0</v>
      </c>
      <c r="S167" s="44">
        <v>0</v>
      </c>
      <c r="T167" s="44">
        <v>0</v>
      </c>
      <c r="U167" s="44">
        <v>0</v>
      </c>
      <c r="V167" s="44">
        <v>0</v>
      </c>
      <c r="W167" s="44">
        <v>0</v>
      </c>
      <c r="X167" s="44">
        <v>0</v>
      </c>
      <c r="Y167" s="44">
        <v>0</v>
      </c>
      <c r="Z167" s="44">
        <v>0</v>
      </c>
      <c r="AA167" s="44">
        <v>0</v>
      </c>
      <c r="AB167" s="44">
        <v>0</v>
      </c>
      <c r="AC167"/>
      <c r="AD167" s="44">
        <v>0</v>
      </c>
      <c r="AE167" s="44">
        <v>0</v>
      </c>
      <c r="AF167" s="44">
        <v>0</v>
      </c>
      <c r="AG167" s="44">
        <v>0</v>
      </c>
      <c r="AH167" s="44">
        <v>0</v>
      </c>
      <c r="AI167" s="44">
        <v>0</v>
      </c>
      <c r="AJ167" s="44">
        <v>0</v>
      </c>
      <c r="AK167"/>
      <c r="AL167" s="44">
        <v>0</v>
      </c>
      <c r="AM167" s="44">
        <v>0</v>
      </c>
      <c r="AN167" s="44">
        <v>0</v>
      </c>
      <c r="AO167" s="44">
        <v>0</v>
      </c>
      <c r="AP167"/>
      <c r="AQ167" s="44">
        <v>0</v>
      </c>
      <c r="AR167"/>
      <c r="AS167"/>
      <c r="AT167" s="44">
        <v>0</v>
      </c>
    </row>
    <row r="168" spans="1:46" x14ac:dyDescent="0.25">
      <c r="A168" s="25" t="s">
        <v>79</v>
      </c>
      <c r="B168" s="3" t="s">
        <v>473</v>
      </c>
      <c r="C168" s="3" t="s">
        <v>483</v>
      </c>
      <c r="D168" s="3" t="s">
        <v>521</v>
      </c>
      <c r="E168" s="26" t="s">
        <v>190</v>
      </c>
      <c r="F168" s="26" t="s">
        <v>100</v>
      </c>
      <c r="G168" s="44">
        <v>0.4</v>
      </c>
      <c r="I168" s="58"/>
      <c r="J168" s="44">
        <v>0.4</v>
      </c>
      <c r="K168" s="44">
        <v>0.4</v>
      </c>
      <c r="M168" s="44">
        <v>0.4</v>
      </c>
      <c r="N168" s="44">
        <v>0.4</v>
      </c>
      <c r="O168" s="44">
        <v>0.4</v>
      </c>
      <c r="R168" s="44">
        <v>0.4</v>
      </c>
      <c r="S168" s="44">
        <v>0.4</v>
      </c>
      <c r="T168" s="44">
        <v>0.4</v>
      </c>
      <c r="U168" s="44">
        <v>0.4</v>
      </c>
      <c r="V168" s="44">
        <v>0.4</v>
      </c>
      <c r="W168" s="44">
        <v>0.4</v>
      </c>
      <c r="X168" s="44">
        <v>0.4</v>
      </c>
      <c r="Y168" s="44">
        <v>0.4</v>
      </c>
      <c r="Z168" s="44">
        <v>0.4</v>
      </c>
      <c r="AA168" s="44">
        <v>0.4</v>
      </c>
      <c r="AB168" s="44">
        <v>0.4</v>
      </c>
      <c r="AC168"/>
      <c r="AD168" s="44">
        <v>0.4</v>
      </c>
      <c r="AE168" s="44">
        <v>0.4</v>
      </c>
      <c r="AF168" s="44">
        <v>0.4</v>
      </c>
      <c r="AG168" s="44">
        <v>0.4</v>
      </c>
      <c r="AH168" s="44">
        <v>0.4</v>
      </c>
      <c r="AI168" s="44">
        <v>0.4</v>
      </c>
      <c r="AJ168" s="44">
        <v>0.4</v>
      </c>
      <c r="AK168"/>
      <c r="AL168" s="44">
        <v>0.4</v>
      </c>
      <c r="AM168" s="44">
        <v>0.4</v>
      </c>
      <c r="AN168" s="44">
        <v>0.4</v>
      </c>
      <c r="AO168" s="44">
        <v>0.4</v>
      </c>
      <c r="AP168"/>
      <c r="AQ168" s="44">
        <v>0.4</v>
      </c>
      <c r="AR168"/>
      <c r="AS168"/>
      <c r="AT168" s="44">
        <v>0.4</v>
      </c>
    </row>
    <row r="169" spans="1:46" x14ac:dyDescent="0.25">
      <c r="A169" s="31" t="s">
        <v>80</v>
      </c>
      <c r="B169" s="3" t="s">
        <v>473</v>
      </c>
      <c r="C169" s="3" t="s">
        <v>483</v>
      </c>
      <c r="D169" s="3" t="s">
        <v>521</v>
      </c>
      <c r="E169" s="32" t="s">
        <v>191</v>
      </c>
      <c r="F169" s="32" t="s">
        <v>200</v>
      </c>
      <c r="G169" s="44">
        <v>3.2100000000000002E-6</v>
      </c>
      <c r="I169" s="58"/>
      <c r="J169" s="44">
        <v>2.0000000000000001E-9</v>
      </c>
      <c r="K169" s="44">
        <v>2.0000000000000001E-9</v>
      </c>
      <c r="M169" s="44">
        <v>2.0000000000000001E-9</v>
      </c>
      <c r="N169" s="44">
        <v>2.0000000000000001E-9</v>
      </c>
      <c r="O169" s="44">
        <v>2.0000000000000001E-9</v>
      </c>
      <c r="R169" s="44">
        <v>2.0000000000000001E-9</v>
      </c>
      <c r="S169" s="44">
        <v>2.0000000000000001E-9</v>
      </c>
      <c r="T169" s="44">
        <v>2.0000000000000001E-9</v>
      </c>
      <c r="U169" s="44">
        <v>2.0000000000000001E-9</v>
      </c>
      <c r="V169" s="44">
        <v>2.0000000000000001E-9</v>
      </c>
      <c r="W169" s="44">
        <v>2.0000000000000001E-9</v>
      </c>
      <c r="X169" s="44">
        <v>2.0000000000000001E-9</v>
      </c>
      <c r="Y169" s="44">
        <v>2.0000000000000001E-9</v>
      </c>
      <c r="Z169" s="44">
        <v>2.0000000000000001E-9</v>
      </c>
      <c r="AA169" s="44">
        <v>2.0000000000000001E-9</v>
      </c>
      <c r="AB169" s="44">
        <v>2.0000000000000001E-9</v>
      </c>
      <c r="AC169"/>
      <c r="AD169" s="44">
        <v>2.0000000000000001E-9</v>
      </c>
      <c r="AE169" s="44">
        <v>2.0000000000000001E-9</v>
      </c>
      <c r="AF169" s="44">
        <v>2.0000000000000001E-9</v>
      </c>
      <c r="AG169" s="44">
        <v>2.0000000000000001E-9</v>
      </c>
      <c r="AH169" s="44">
        <v>2.0000000000000001E-9</v>
      </c>
      <c r="AI169" s="44">
        <v>2.0000000000000001E-9</v>
      </c>
      <c r="AJ169" s="44">
        <v>2.0000000000000001E-9</v>
      </c>
      <c r="AK169"/>
      <c r="AL169" s="44">
        <v>2.0000000000000001E-9</v>
      </c>
      <c r="AM169" s="44">
        <v>2.0000000000000001E-9</v>
      </c>
      <c r="AN169" s="44">
        <v>2.0000000000000001E-9</v>
      </c>
      <c r="AO169" s="44">
        <v>2.0000000000000001E-9</v>
      </c>
      <c r="AP169"/>
      <c r="AQ169" s="44">
        <v>2.0000000000000001E-9</v>
      </c>
      <c r="AR169"/>
      <c r="AS169"/>
      <c r="AT169" s="44">
        <v>2.0000000000000001E-9</v>
      </c>
    </row>
    <row r="170" spans="1:46" x14ac:dyDescent="0.25">
      <c r="A170" s="31" t="s">
        <v>249</v>
      </c>
      <c r="B170" s="3" t="s">
        <v>473</v>
      </c>
      <c r="C170" s="3" t="s">
        <v>483</v>
      </c>
      <c r="D170" s="3" t="s">
        <v>521</v>
      </c>
      <c r="E170" s="32" t="s">
        <v>323</v>
      </c>
      <c r="F170" s="32" t="s">
        <v>109</v>
      </c>
      <c r="G170" s="44">
        <v>25</v>
      </c>
      <c r="I170" s="58"/>
      <c r="J170" s="44">
        <v>25</v>
      </c>
      <c r="K170" s="44">
        <v>25</v>
      </c>
      <c r="M170" s="44">
        <v>25</v>
      </c>
      <c r="N170" s="44">
        <v>25</v>
      </c>
      <c r="O170" s="44">
        <v>25</v>
      </c>
      <c r="R170" s="44">
        <v>25</v>
      </c>
      <c r="S170" s="44">
        <v>25</v>
      </c>
      <c r="T170" s="44">
        <v>25</v>
      </c>
      <c r="U170" s="44">
        <v>25</v>
      </c>
      <c r="V170" s="44">
        <v>25</v>
      </c>
      <c r="W170" s="44">
        <v>25</v>
      </c>
      <c r="X170" s="44">
        <v>25</v>
      </c>
      <c r="Y170" s="44">
        <v>25</v>
      </c>
      <c r="Z170" s="44">
        <v>25</v>
      </c>
      <c r="AA170" s="44">
        <v>25</v>
      </c>
      <c r="AB170" s="44">
        <v>25</v>
      </c>
      <c r="AC170"/>
      <c r="AD170" s="44">
        <v>25</v>
      </c>
      <c r="AE170" s="44">
        <v>25</v>
      </c>
      <c r="AF170" s="44">
        <v>25</v>
      </c>
      <c r="AG170" s="44">
        <v>25</v>
      </c>
      <c r="AH170" s="44">
        <v>25</v>
      </c>
      <c r="AI170" s="44">
        <v>25</v>
      </c>
      <c r="AJ170" s="44">
        <v>25</v>
      </c>
      <c r="AK170"/>
      <c r="AL170" s="44">
        <v>25</v>
      </c>
      <c r="AM170" s="44">
        <v>25</v>
      </c>
      <c r="AN170" s="44">
        <v>25</v>
      </c>
      <c r="AO170" s="44">
        <v>25</v>
      </c>
      <c r="AP170"/>
      <c r="AQ170" s="44">
        <v>25</v>
      </c>
      <c r="AR170"/>
      <c r="AS170"/>
      <c r="AT170" s="44">
        <v>25</v>
      </c>
    </row>
    <row r="171" spans="1:46" x14ac:dyDescent="0.25">
      <c r="A171" s="31" t="s">
        <v>250</v>
      </c>
      <c r="B171" s="3" t="s">
        <v>473</v>
      </c>
      <c r="C171" s="3" t="s">
        <v>483</v>
      </c>
      <c r="D171" s="3" t="s">
        <v>521</v>
      </c>
      <c r="E171" s="32" t="s">
        <v>324</v>
      </c>
      <c r="F171" s="32" t="s">
        <v>301</v>
      </c>
      <c r="G171" s="44">
        <v>0</v>
      </c>
      <c r="I171" s="58"/>
      <c r="J171" s="44">
        <v>0</v>
      </c>
      <c r="K171" s="44">
        <v>0</v>
      </c>
      <c r="M171" s="44">
        <v>0</v>
      </c>
      <c r="N171" s="44">
        <v>0</v>
      </c>
      <c r="O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/>
      <c r="AD171" s="44">
        <v>0</v>
      </c>
      <c r="AE171" s="44">
        <v>0</v>
      </c>
      <c r="AF171" s="44">
        <v>0</v>
      </c>
      <c r="AG171" s="44">
        <v>0</v>
      </c>
      <c r="AH171" s="44">
        <v>0</v>
      </c>
      <c r="AI171" s="44">
        <v>0</v>
      </c>
      <c r="AJ171" s="44">
        <v>0</v>
      </c>
      <c r="AK171"/>
      <c r="AL171" s="44">
        <v>0</v>
      </c>
      <c r="AM171" s="44">
        <v>0</v>
      </c>
      <c r="AN171" s="44">
        <v>0</v>
      </c>
      <c r="AO171" s="44">
        <v>0</v>
      </c>
      <c r="AP171"/>
      <c r="AQ171" s="44">
        <v>0</v>
      </c>
      <c r="AR171"/>
      <c r="AS171"/>
      <c r="AT171" s="44">
        <v>0</v>
      </c>
    </row>
    <row r="172" spans="1:46" x14ac:dyDescent="0.25">
      <c r="A172" s="31" t="s">
        <v>251</v>
      </c>
      <c r="B172" s="3" t="s">
        <v>473</v>
      </c>
      <c r="C172" s="3" t="s">
        <v>483</v>
      </c>
      <c r="D172" s="3" t="s">
        <v>521</v>
      </c>
      <c r="E172" s="32" t="s">
        <v>325</v>
      </c>
      <c r="F172" s="32" t="s">
        <v>100</v>
      </c>
      <c r="G172" s="44">
        <v>3.98</v>
      </c>
      <c r="I172" s="58"/>
      <c r="J172" s="44">
        <v>3.98</v>
      </c>
      <c r="K172" s="44">
        <v>3.98</v>
      </c>
      <c r="M172" s="44">
        <v>3.98</v>
      </c>
      <c r="N172" s="44">
        <v>3.98</v>
      </c>
      <c r="O172" s="44">
        <v>3.98</v>
      </c>
      <c r="R172" s="44">
        <v>3.98</v>
      </c>
      <c r="S172" s="44">
        <v>3.98</v>
      </c>
      <c r="T172" s="44">
        <v>3.98</v>
      </c>
      <c r="U172" s="44">
        <v>3.98</v>
      </c>
      <c r="V172" s="44">
        <v>3.98</v>
      </c>
      <c r="W172" s="44">
        <v>3.98</v>
      </c>
      <c r="X172" s="44">
        <v>3.98</v>
      </c>
      <c r="Y172" s="44">
        <v>3.98</v>
      </c>
      <c r="Z172" s="44">
        <v>3.98</v>
      </c>
      <c r="AA172" s="44">
        <v>3.98</v>
      </c>
      <c r="AB172" s="44">
        <v>3.98</v>
      </c>
      <c r="AC172"/>
      <c r="AD172" s="44">
        <v>3.98</v>
      </c>
      <c r="AE172" s="44">
        <v>3.98</v>
      </c>
      <c r="AF172" s="44">
        <v>3.98</v>
      </c>
      <c r="AG172" s="44">
        <v>3.98</v>
      </c>
      <c r="AH172" s="44">
        <v>3.98</v>
      </c>
      <c r="AI172" s="44">
        <v>3.98</v>
      </c>
      <c r="AJ172" s="44">
        <v>3.98</v>
      </c>
      <c r="AK172"/>
      <c r="AL172" s="44">
        <v>3.98</v>
      </c>
      <c r="AM172" s="44">
        <v>3.98</v>
      </c>
      <c r="AN172" s="44">
        <v>3.98</v>
      </c>
      <c r="AO172" s="44">
        <v>3.98</v>
      </c>
      <c r="AP172"/>
      <c r="AQ172" s="44">
        <v>3.98</v>
      </c>
      <c r="AR172"/>
      <c r="AS172"/>
      <c r="AT172" s="44">
        <v>3.98</v>
      </c>
    </row>
    <row r="173" spans="1:46" x14ac:dyDescent="0.25">
      <c r="A173" s="31" t="s">
        <v>252</v>
      </c>
      <c r="B173" s="3" t="s">
        <v>473</v>
      </c>
      <c r="C173" s="3" t="s">
        <v>483</v>
      </c>
      <c r="D173" s="3" t="s">
        <v>521</v>
      </c>
      <c r="E173" s="32" t="s">
        <v>326</v>
      </c>
      <c r="F173" s="32" t="s">
        <v>95</v>
      </c>
      <c r="G173" s="44">
        <v>1</v>
      </c>
      <c r="I173" s="58"/>
      <c r="J173" s="44">
        <v>1</v>
      </c>
      <c r="K173" s="44">
        <v>1</v>
      </c>
      <c r="M173" s="44">
        <v>1</v>
      </c>
      <c r="N173" s="44">
        <v>1</v>
      </c>
      <c r="O173" s="44">
        <v>1</v>
      </c>
      <c r="R173" s="44">
        <v>1</v>
      </c>
      <c r="S173" s="44">
        <v>1</v>
      </c>
      <c r="T173" s="44">
        <v>1</v>
      </c>
      <c r="U173" s="44">
        <v>1</v>
      </c>
      <c r="V173" s="44">
        <v>1</v>
      </c>
      <c r="W173" s="44">
        <v>1</v>
      </c>
      <c r="X173" s="44">
        <v>1</v>
      </c>
      <c r="Y173" s="44">
        <v>1</v>
      </c>
      <c r="Z173" s="44">
        <v>1</v>
      </c>
      <c r="AA173" s="44">
        <v>1</v>
      </c>
      <c r="AB173" s="44">
        <v>1</v>
      </c>
      <c r="AC173"/>
      <c r="AD173" s="44">
        <v>1</v>
      </c>
      <c r="AE173" s="44">
        <v>1</v>
      </c>
      <c r="AF173" s="44">
        <v>1</v>
      </c>
      <c r="AG173" s="44">
        <v>1</v>
      </c>
      <c r="AH173" s="44">
        <v>1</v>
      </c>
      <c r="AI173" s="44">
        <v>1</v>
      </c>
      <c r="AJ173" s="44">
        <v>1</v>
      </c>
      <c r="AK173"/>
      <c r="AL173" s="44">
        <v>1</v>
      </c>
      <c r="AM173" s="44">
        <v>1</v>
      </c>
      <c r="AN173" s="44">
        <v>1</v>
      </c>
      <c r="AO173" s="44">
        <v>1</v>
      </c>
      <c r="AP173"/>
      <c r="AQ173" s="44">
        <v>1</v>
      </c>
      <c r="AR173"/>
      <c r="AS173"/>
      <c r="AT173" s="44">
        <v>1</v>
      </c>
    </row>
    <row r="174" spans="1:46" x14ac:dyDescent="0.25">
      <c r="A174" s="31" t="s">
        <v>81</v>
      </c>
      <c r="B174" s="3" t="s">
        <v>473</v>
      </c>
      <c r="C174" s="3" t="s">
        <v>483</v>
      </c>
      <c r="D174" s="3" t="s">
        <v>521</v>
      </c>
      <c r="E174" s="32" t="s">
        <v>192</v>
      </c>
      <c r="F174" s="32" t="s">
        <v>198</v>
      </c>
      <c r="G174" s="44">
        <v>1.6666666666666666E-4</v>
      </c>
      <c r="I174" s="58"/>
      <c r="J174" s="44">
        <v>1.6666666666666666E-4</v>
      </c>
      <c r="K174" s="44">
        <v>1.6666666666666666E-4</v>
      </c>
      <c r="M174" s="44">
        <v>1.6666666666666666E-4</v>
      </c>
      <c r="N174" s="44">
        <v>1.6666666666666666E-4</v>
      </c>
      <c r="O174" s="44">
        <v>1.6666666666666666E-4</v>
      </c>
      <c r="R174" s="44">
        <v>1.6666666666666666E-4</v>
      </c>
      <c r="S174" s="44">
        <v>1.6666666666666666E-4</v>
      </c>
      <c r="T174" s="44">
        <v>1.6666666666666666E-4</v>
      </c>
      <c r="U174" s="44">
        <v>1.6666666666666666E-4</v>
      </c>
      <c r="V174" s="44">
        <v>1.6666666666666666E-4</v>
      </c>
      <c r="W174" s="44">
        <v>1.6666666666666666E-4</v>
      </c>
      <c r="X174" s="44">
        <v>1.6666666666666666E-4</v>
      </c>
      <c r="Y174" s="44">
        <v>1.6666666666666666E-4</v>
      </c>
      <c r="Z174" s="44">
        <v>1.6666666666666666E-4</v>
      </c>
      <c r="AA174" s="44">
        <v>1.6666666666666666E-4</v>
      </c>
      <c r="AB174" s="44">
        <v>1.6666666666666666E-4</v>
      </c>
      <c r="AC174"/>
      <c r="AD174" s="44">
        <v>1.6666666666666666E-4</v>
      </c>
      <c r="AE174" s="44">
        <v>1.6666666666666666E-4</v>
      </c>
      <c r="AF174" s="44">
        <v>1.6666666666666666E-4</v>
      </c>
      <c r="AG174" s="44">
        <v>1.6666666666666666E-4</v>
      </c>
      <c r="AH174" s="44">
        <v>1.6666666666666666E-4</v>
      </c>
      <c r="AI174" s="44">
        <v>1.6666666666666666E-4</v>
      </c>
      <c r="AJ174" s="44">
        <v>1.6666666666666666E-4</v>
      </c>
      <c r="AK174"/>
      <c r="AL174" s="44">
        <v>1.6666666666666666E-4</v>
      </c>
      <c r="AM174" s="44">
        <v>1.6666666666666666E-4</v>
      </c>
      <c r="AN174" s="44">
        <v>1.6666666666666666E-4</v>
      </c>
      <c r="AO174" s="44">
        <v>1.6666666666666666E-4</v>
      </c>
      <c r="AP174"/>
      <c r="AQ174" s="44">
        <v>1.6666666666666666E-4</v>
      </c>
      <c r="AR174"/>
      <c r="AS174"/>
      <c r="AT174" s="44">
        <v>1.6666666666666666E-4</v>
      </c>
    </row>
    <row r="175" spans="1:46" x14ac:dyDescent="0.25">
      <c r="A175" s="11" t="s">
        <v>253</v>
      </c>
      <c r="B175" s="3" t="s">
        <v>473</v>
      </c>
      <c r="C175" s="3" t="s">
        <v>483</v>
      </c>
      <c r="D175" s="3" t="s">
        <v>521</v>
      </c>
      <c r="E175" s="12" t="s">
        <v>327</v>
      </c>
      <c r="F175" s="12" t="s">
        <v>328</v>
      </c>
      <c r="G175" s="44">
        <v>1E-8</v>
      </c>
      <c r="I175" s="58"/>
      <c r="J175" s="44">
        <v>1E-8</v>
      </c>
      <c r="K175" s="44">
        <v>1E-8</v>
      </c>
      <c r="M175" s="44">
        <v>1E-8</v>
      </c>
      <c r="N175" s="44">
        <v>1E-8</v>
      </c>
      <c r="O175" s="44">
        <v>1E-8</v>
      </c>
      <c r="R175" s="44">
        <v>1E-8</v>
      </c>
      <c r="S175" s="44">
        <v>1E-8</v>
      </c>
      <c r="T175" s="44">
        <v>1E-8</v>
      </c>
      <c r="U175" s="44">
        <v>1E-8</v>
      </c>
      <c r="V175" s="44">
        <v>1E-8</v>
      </c>
      <c r="W175" s="44">
        <v>1E-8</v>
      </c>
      <c r="X175" s="44">
        <v>1E-8</v>
      </c>
      <c r="Y175" s="44">
        <v>1E-8</v>
      </c>
      <c r="Z175" s="44">
        <v>1E-8</v>
      </c>
      <c r="AA175" s="44">
        <v>1E-8</v>
      </c>
      <c r="AB175" s="44">
        <v>1E-8</v>
      </c>
      <c r="AC175"/>
      <c r="AD175" s="44">
        <v>1E-8</v>
      </c>
      <c r="AE175" s="44">
        <v>1E-8</v>
      </c>
      <c r="AF175" s="44">
        <v>1E-8</v>
      </c>
      <c r="AG175" s="44">
        <v>1E-8</v>
      </c>
      <c r="AH175" s="44">
        <v>1E-8</v>
      </c>
      <c r="AI175" s="44">
        <v>1E-8</v>
      </c>
      <c r="AJ175" s="44">
        <v>1E-8</v>
      </c>
      <c r="AK175"/>
      <c r="AL175" s="44">
        <v>1E-8</v>
      </c>
      <c r="AM175" s="44">
        <v>1E-8</v>
      </c>
      <c r="AN175" s="44">
        <v>1E-8</v>
      </c>
      <c r="AO175" s="44">
        <v>1E-8</v>
      </c>
      <c r="AP175"/>
      <c r="AQ175" s="44">
        <v>1E-8</v>
      </c>
      <c r="AR175"/>
      <c r="AS175"/>
      <c r="AT175" s="44">
        <v>1E-8</v>
      </c>
    </row>
    <row r="176" spans="1:46" x14ac:dyDescent="0.25">
      <c r="A176" s="11" t="s">
        <v>254</v>
      </c>
      <c r="B176" s="3" t="s">
        <v>473</v>
      </c>
      <c r="C176" s="3" t="s">
        <v>483</v>
      </c>
      <c r="D176" s="3" t="s">
        <v>521</v>
      </c>
      <c r="E176" s="12" t="s">
        <v>329</v>
      </c>
      <c r="F176" s="12" t="s">
        <v>109</v>
      </c>
      <c r="G176" s="44">
        <v>20</v>
      </c>
      <c r="I176" s="58"/>
      <c r="J176" s="44">
        <v>20</v>
      </c>
      <c r="K176" s="44">
        <v>20</v>
      </c>
      <c r="M176" s="44">
        <v>20</v>
      </c>
      <c r="N176" s="44">
        <v>20</v>
      </c>
      <c r="O176" s="44">
        <v>20</v>
      </c>
      <c r="R176" s="44">
        <v>20</v>
      </c>
      <c r="S176" s="44">
        <v>20</v>
      </c>
      <c r="T176" s="44">
        <v>20</v>
      </c>
      <c r="U176" s="44">
        <v>20</v>
      </c>
      <c r="V176" s="44">
        <v>20</v>
      </c>
      <c r="W176" s="44">
        <v>20</v>
      </c>
      <c r="X176" s="44">
        <v>20</v>
      </c>
      <c r="Y176" s="44">
        <v>20</v>
      </c>
      <c r="Z176" s="44">
        <v>20</v>
      </c>
      <c r="AA176" s="44">
        <v>20</v>
      </c>
      <c r="AB176" s="44">
        <v>20</v>
      </c>
      <c r="AC176"/>
      <c r="AD176" s="44">
        <v>20</v>
      </c>
      <c r="AE176" s="44">
        <v>20</v>
      </c>
      <c r="AF176" s="44">
        <v>20</v>
      </c>
      <c r="AG176" s="44">
        <v>20</v>
      </c>
      <c r="AH176" s="44">
        <v>20</v>
      </c>
      <c r="AI176" s="44">
        <v>20</v>
      </c>
      <c r="AJ176" s="44">
        <v>20</v>
      </c>
      <c r="AK176"/>
      <c r="AL176" s="44">
        <v>20</v>
      </c>
      <c r="AM176" s="44">
        <v>20</v>
      </c>
      <c r="AN176" s="44">
        <v>20</v>
      </c>
      <c r="AO176" s="44">
        <v>20</v>
      </c>
      <c r="AP176"/>
      <c r="AQ176" s="44">
        <v>20</v>
      </c>
      <c r="AR176"/>
      <c r="AS176"/>
      <c r="AT176" s="44">
        <v>20</v>
      </c>
    </row>
    <row r="177" spans="1:46" x14ac:dyDescent="0.25">
      <c r="A177" s="11" t="s">
        <v>255</v>
      </c>
      <c r="B177" s="3" t="s">
        <v>473</v>
      </c>
      <c r="C177" s="3" t="s">
        <v>483</v>
      </c>
      <c r="D177" s="3" t="s">
        <v>521</v>
      </c>
      <c r="E177" s="12" t="s">
        <v>330</v>
      </c>
      <c r="F177" s="12" t="s">
        <v>301</v>
      </c>
      <c r="G177" s="44">
        <v>0</v>
      </c>
      <c r="I177" s="58"/>
      <c r="J177" s="44">
        <v>0</v>
      </c>
      <c r="K177" s="44">
        <v>0</v>
      </c>
      <c r="M177" s="44">
        <v>0</v>
      </c>
      <c r="N177" s="44">
        <v>0</v>
      </c>
      <c r="O177" s="44">
        <v>0</v>
      </c>
      <c r="R177" s="44">
        <v>0</v>
      </c>
      <c r="S177" s="44">
        <v>0</v>
      </c>
      <c r="T177" s="44">
        <v>0</v>
      </c>
      <c r="U177" s="44">
        <v>0</v>
      </c>
      <c r="V177" s="44">
        <v>0</v>
      </c>
      <c r="W177" s="44">
        <v>0</v>
      </c>
      <c r="X177" s="44">
        <v>0</v>
      </c>
      <c r="Y177" s="44">
        <v>0</v>
      </c>
      <c r="Z177" s="44">
        <v>0</v>
      </c>
      <c r="AA177" s="44">
        <v>0</v>
      </c>
      <c r="AB177" s="44">
        <v>0</v>
      </c>
      <c r="AC177"/>
      <c r="AD177" s="44">
        <v>0</v>
      </c>
      <c r="AE177" s="44">
        <v>0</v>
      </c>
      <c r="AF177" s="44">
        <v>0</v>
      </c>
      <c r="AG177" s="44">
        <v>0</v>
      </c>
      <c r="AH177" s="44">
        <v>0</v>
      </c>
      <c r="AI177" s="44">
        <v>0</v>
      </c>
      <c r="AJ177" s="44">
        <v>0</v>
      </c>
      <c r="AK177"/>
      <c r="AL177" s="44">
        <v>0</v>
      </c>
      <c r="AM177" s="44">
        <v>0</v>
      </c>
      <c r="AN177" s="44">
        <v>0</v>
      </c>
      <c r="AO177" s="44">
        <v>0</v>
      </c>
      <c r="AP177"/>
      <c r="AQ177" s="44">
        <v>0</v>
      </c>
      <c r="AR177"/>
      <c r="AS177"/>
      <c r="AT177" s="44">
        <v>0</v>
      </c>
    </row>
    <row r="178" spans="1:46" x14ac:dyDescent="0.25">
      <c r="A178" s="11" t="s">
        <v>256</v>
      </c>
      <c r="B178" s="3" t="s">
        <v>473</v>
      </c>
      <c r="C178" s="3" t="s">
        <v>483</v>
      </c>
      <c r="D178" s="3" t="s">
        <v>521</v>
      </c>
      <c r="E178" s="12" t="s">
        <v>331</v>
      </c>
      <c r="F178" s="12" t="s">
        <v>100</v>
      </c>
      <c r="G178" s="44">
        <v>2</v>
      </c>
      <c r="I178" s="58"/>
      <c r="J178" s="44">
        <v>2</v>
      </c>
      <c r="K178" s="44">
        <v>2</v>
      </c>
      <c r="M178" s="44">
        <v>2</v>
      </c>
      <c r="N178" s="44">
        <v>2</v>
      </c>
      <c r="O178" s="44">
        <v>2</v>
      </c>
      <c r="R178" s="44">
        <v>2</v>
      </c>
      <c r="S178" s="44">
        <v>2</v>
      </c>
      <c r="T178" s="44">
        <v>2</v>
      </c>
      <c r="U178" s="44">
        <v>2</v>
      </c>
      <c r="V178" s="44">
        <v>2</v>
      </c>
      <c r="W178" s="44">
        <v>2</v>
      </c>
      <c r="X178" s="44">
        <v>2</v>
      </c>
      <c r="Y178" s="44">
        <v>2</v>
      </c>
      <c r="Z178" s="44">
        <v>2</v>
      </c>
      <c r="AA178" s="44">
        <v>2</v>
      </c>
      <c r="AB178" s="44">
        <v>2</v>
      </c>
      <c r="AC178"/>
      <c r="AD178" s="44">
        <v>2</v>
      </c>
      <c r="AE178" s="44">
        <v>2</v>
      </c>
      <c r="AF178" s="44">
        <v>2</v>
      </c>
      <c r="AG178" s="44">
        <v>2</v>
      </c>
      <c r="AH178" s="44">
        <v>2</v>
      </c>
      <c r="AI178" s="44">
        <v>2</v>
      </c>
      <c r="AJ178" s="44">
        <v>2</v>
      </c>
      <c r="AK178"/>
      <c r="AL178" s="44">
        <v>2</v>
      </c>
      <c r="AM178" s="44">
        <v>2</v>
      </c>
      <c r="AN178" s="44">
        <v>2</v>
      </c>
      <c r="AO178" s="44">
        <v>2</v>
      </c>
      <c r="AP178"/>
      <c r="AQ178" s="44">
        <v>2</v>
      </c>
      <c r="AR178"/>
      <c r="AS178"/>
      <c r="AT178" s="44">
        <v>2</v>
      </c>
    </row>
    <row r="179" spans="1:46" x14ac:dyDescent="0.25">
      <c r="A179" s="11" t="s">
        <v>257</v>
      </c>
      <c r="B179" s="3" t="s">
        <v>473</v>
      </c>
      <c r="C179" s="3" t="s">
        <v>483</v>
      </c>
      <c r="D179" s="3" t="s">
        <v>521</v>
      </c>
      <c r="E179" s="12" t="s">
        <v>332</v>
      </c>
      <c r="F179" s="12" t="s">
        <v>95</v>
      </c>
      <c r="G179" s="44">
        <v>1</v>
      </c>
      <c r="I179" s="58"/>
      <c r="J179" s="44">
        <v>1</v>
      </c>
      <c r="K179" s="44">
        <v>1</v>
      </c>
      <c r="M179" s="44">
        <v>1</v>
      </c>
      <c r="N179" s="44">
        <v>1</v>
      </c>
      <c r="O179" s="44">
        <v>1</v>
      </c>
      <c r="R179" s="44">
        <v>1</v>
      </c>
      <c r="S179" s="44">
        <v>1</v>
      </c>
      <c r="T179" s="44">
        <v>1</v>
      </c>
      <c r="U179" s="44">
        <v>1</v>
      </c>
      <c r="V179" s="44">
        <v>1</v>
      </c>
      <c r="W179" s="44">
        <v>1</v>
      </c>
      <c r="X179" s="44">
        <v>1</v>
      </c>
      <c r="Y179" s="44">
        <v>1</v>
      </c>
      <c r="Z179" s="44">
        <v>1</v>
      </c>
      <c r="AA179" s="44">
        <v>1</v>
      </c>
      <c r="AB179" s="44">
        <v>1</v>
      </c>
      <c r="AC179"/>
      <c r="AD179" s="44">
        <v>1</v>
      </c>
      <c r="AE179" s="44">
        <v>1</v>
      </c>
      <c r="AF179" s="44">
        <v>1</v>
      </c>
      <c r="AG179" s="44">
        <v>1</v>
      </c>
      <c r="AH179" s="44">
        <v>1</v>
      </c>
      <c r="AI179" s="44">
        <v>1</v>
      </c>
      <c r="AJ179" s="44">
        <v>1</v>
      </c>
      <c r="AK179"/>
      <c r="AL179" s="44">
        <v>1</v>
      </c>
      <c r="AM179" s="44">
        <v>1</v>
      </c>
      <c r="AN179" s="44">
        <v>1</v>
      </c>
      <c r="AO179" s="44">
        <v>1</v>
      </c>
      <c r="AP179"/>
      <c r="AQ179" s="44">
        <v>1</v>
      </c>
      <c r="AR179"/>
      <c r="AS179"/>
      <c r="AT179" s="44">
        <v>1</v>
      </c>
    </row>
    <row r="180" spans="1:46" x14ac:dyDescent="0.25">
      <c r="A180" s="11" t="s">
        <v>258</v>
      </c>
      <c r="B180" s="3" t="s">
        <v>473</v>
      </c>
      <c r="C180" s="3" t="s">
        <v>483</v>
      </c>
      <c r="D180" s="3" t="s">
        <v>521</v>
      </c>
      <c r="E180" s="12" t="s">
        <v>349</v>
      </c>
      <c r="F180" s="12" t="s">
        <v>198</v>
      </c>
      <c r="G180" s="44">
        <v>8.3333333333333331E-5</v>
      </c>
      <c r="I180" s="58"/>
      <c r="J180" s="44">
        <v>8.3333333333333331E-5</v>
      </c>
      <c r="K180" s="44">
        <v>8.3333333333333331E-5</v>
      </c>
      <c r="M180" s="44">
        <v>8.3333333333333331E-5</v>
      </c>
      <c r="N180" s="44">
        <v>8.3333333333333331E-5</v>
      </c>
      <c r="O180" s="44">
        <v>8.3333333333333331E-5</v>
      </c>
      <c r="R180" s="44">
        <v>8.3333333333333331E-5</v>
      </c>
      <c r="S180" s="44">
        <v>8.3333333333333331E-5</v>
      </c>
      <c r="T180" s="44">
        <v>8.3333333333333331E-5</v>
      </c>
      <c r="U180" s="44">
        <v>8.3333333333333331E-5</v>
      </c>
      <c r="V180" s="44">
        <v>8.3333333333333331E-5</v>
      </c>
      <c r="W180" s="44">
        <v>8.3333333333333331E-5</v>
      </c>
      <c r="X180" s="44">
        <v>8.3333333333333331E-5</v>
      </c>
      <c r="Y180" s="44">
        <v>8.3333333333333331E-5</v>
      </c>
      <c r="Z180" s="44">
        <v>8.3333333333333331E-5</v>
      </c>
      <c r="AA180" s="44">
        <v>8.3333333333333331E-5</v>
      </c>
      <c r="AB180" s="44">
        <v>8.3333333333333331E-5</v>
      </c>
      <c r="AC180"/>
      <c r="AD180" s="44">
        <v>8.3333333333333331E-5</v>
      </c>
      <c r="AE180" s="44">
        <v>8.3333333333333331E-5</v>
      </c>
      <c r="AF180" s="44">
        <v>8.3333333333333331E-5</v>
      </c>
      <c r="AG180" s="44">
        <v>8.3333333333333331E-5</v>
      </c>
      <c r="AH180" s="44">
        <v>8.3333333333333331E-5</v>
      </c>
      <c r="AI180" s="44">
        <v>8.3333333333333331E-5</v>
      </c>
      <c r="AJ180" s="44">
        <v>8.3333333333333331E-5</v>
      </c>
      <c r="AK180"/>
      <c r="AL180" s="44">
        <v>8.3333333333333331E-5</v>
      </c>
      <c r="AM180" s="44">
        <v>8.3333333333333331E-5</v>
      </c>
      <c r="AN180" s="44">
        <v>8.3333333333333331E-5</v>
      </c>
      <c r="AO180" s="44">
        <v>8.3333333333333331E-5</v>
      </c>
      <c r="AP180"/>
      <c r="AQ180" s="44">
        <v>8.3333333333333331E-5</v>
      </c>
      <c r="AR180"/>
      <c r="AS180"/>
      <c r="AT180" s="44">
        <v>8.3333333333333331E-5</v>
      </c>
    </row>
    <row r="181" spans="1:46" x14ac:dyDescent="0.25">
      <c r="A181" s="11" t="s">
        <v>259</v>
      </c>
      <c r="B181" s="3" t="s">
        <v>473</v>
      </c>
      <c r="C181" s="3" t="s">
        <v>483</v>
      </c>
      <c r="D181" s="3" t="s">
        <v>521</v>
      </c>
      <c r="E181" s="12" t="s">
        <v>350</v>
      </c>
      <c r="F181" s="12" t="s">
        <v>100</v>
      </c>
      <c r="G181" s="44">
        <v>1</v>
      </c>
      <c r="I181" s="58"/>
      <c r="J181" s="44">
        <v>1</v>
      </c>
      <c r="K181" s="44">
        <v>1</v>
      </c>
      <c r="M181" s="44">
        <v>1</v>
      </c>
      <c r="N181" s="44">
        <v>1</v>
      </c>
      <c r="O181" s="44">
        <v>1</v>
      </c>
      <c r="R181" s="44">
        <v>1</v>
      </c>
      <c r="S181" s="44">
        <v>1</v>
      </c>
      <c r="T181" s="44">
        <v>1</v>
      </c>
      <c r="U181" s="44">
        <v>1</v>
      </c>
      <c r="V181" s="44">
        <v>1</v>
      </c>
      <c r="W181" s="44">
        <v>1</v>
      </c>
      <c r="X181" s="44">
        <v>1</v>
      </c>
      <c r="Y181" s="44">
        <v>1</v>
      </c>
      <c r="Z181" s="44">
        <v>1</v>
      </c>
      <c r="AA181" s="44">
        <v>1</v>
      </c>
      <c r="AB181" s="44">
        <v>1</v>
      </c>
      <c r="AC181"/>
      <c r="AD181" s="44">
        <v>1</v>
      </c>
      <c r="AE181" s="44">
        <v>1</v>
      </c>
      <c r="AF181" s="44">
        <v>1</v>
      </c>
      <c r="AG181" s="44">
        <v>1</v>
      </c>
      <c r="AH181" s="44">
        <v>1</v>
      </c>
      <c r="AI181" s="44">
        <v>1</v>
      </c>
      <c r="AJ181" s="44">
        <v>1</v>
      </c>
      <c r="AK181"/>
      <c r="AL181" s="44">
        <v>1</v>
      </c>
      <c r="AM181" s="44">
        <v>1</v>
      </c>
      <c r="AN181" s="44">
        <v>1</v>
      </c>
      <c r="AO181" s="44">
        <v>1</v>
      </c>
      <c r="AP181"/>
      <c r="AQ181" s="44">
        <v>1</v>
      </c>
      <c r="AR181"/>
      <c r="AS181"/>
      <c r="AT181" s="44">
        <v>1</v>
      </c>
    </row>
    <row r="182" spans="1:46" x14ac:dyDescent="0.25">
      <c r="A182" s="27" t="s">
        <v>260</v>
      </c>
      <c r="B182" s="3" t="s">
        <v>473</v>
      </c>
      <c r="C182" s="3" t="s">
        <v>483</v>
      </c>
      <c r="D182" s="3" t="s">
        <v>521</v>
      </c>
      <c r="E182" s="28" t="s">
        <v>351</v>
      </c>
      <c r="F182" s="28" t="s">
        <v>352</v>
      </c>
      <c r="G182" s="44">
        <v>2.3533050791148895E-8</v>
      </c>
      <c r="I182" s="58"/>
      <c r="J182" s="44">
        <v>2.3533050791148899E-8</v>
      </c>
      <c r="K182" s="44">
        <v>2.3533050791148899E-8</v>
      </c>
      <c r="M182" s="44">
        <v>2.3533050791148899E-8</v>
      </c>
      <c r="N182" s="44">
        <v>2.3533050791148899E-8</v>
      </c>
      <c r="O182" s="44">
        <v>2.3533050791148899E-8</v>
      </c>
      <c r="R182" s="44">
        <v>2.3533050791148899E-8</v>
      </c>
      <c r="S182" s="44">
        <v>2.3533050791148899E-8</v>
      </c>
      <c r="T182" s="44">
        <v>2.3533050791148899E-8</v>
      </c>
      <c r="U182" s="44">
        <v>2.3533050791148899E-8</v>
      </c>
      <c r="V182" s="44">
        <v>2.3533050791148899E-8</v>
      </c>
      <c r="W182" s="44">
        <v>2.3533050791148899E-8</v>
      </c>
      <c r="X182" s="44">
        <v>2.3533050791148899E-8</v>
      </c>
      <c r="Y182" s="44">
        <v>2.3533050791148899E-8</v>
      </c>
      <c r="Z182" s="44">
        <v>2.3533050791148899E-8</v>
      </c>
      <c r="AA182" s="44">
        <v>2.3533050791148899E-8</v>
      </c>
      <c r="AB182" s="44">
        <v>2.3533050791148899E-8</v>
      </c>
      <c r="AC182"/>
      <c r="AD182" s="44">
        <v>2.3533050791148899E-8</v>
      </c>
      <c r="AE182" s="44">
        <v>2.3533050791148899E-8</v>
      </c>
      <c r="AF182" s="44">
        <v>2.3533050791148899E-8</v>
      </c>
      <c r="AG182" s="44">
        <v>2.3533050791148899E-8</v>
      </c>
      <c r="AH182" s="44">
        <v>2.3533050791148899E-8</v>
      </c>
      <c r="AI182" s="44">
        <v>2.3533050791148899E-8</v>
      </c>
      <c r="AJ182" s="44">
        <v>2.3533050791148899E-8</v>
      </c>
      <c r="AK182"/>
      <c r="AL182" s="44">
        <v>2.3533050791148899E-8</v>
      </c>
      <c r="AM182" s="44">
        <v>2.3533050791148899E-8</v>
      </c>
      <c r="AN182" s="44">
        <v>2.3533050791148899E-8</v>
      </c>
      <c r="AO182" s="44">
        <v>2.3533050791148899E-8</v>
      </c>
      <c r="AP182"/>
      <c r="AQ182" s="44">
        <v>2.3533050791148899E-8</v>
      </c>
      <c r="AR182"/>
      <c r="AS182"/>
      <c r="AT182" s="44">
        <v>2.3533050791148899E-8</v>
      </c>
    </row>
    <row r="183" spans="1:46" x14ac:dyDescent="0.25">
      <c r="A183" s="27" t="s">
        <v>261</v>
      </c>
      <c r="B183" s="3" t="s">
        <v>473</v>
      </c>
      <c r="C183" s="3" t="s">
        <v>483</v>
      </c>
      <c r="D183" s="3" t="s">
        <v>521</v>
      </c>
      <c r="E183" s="28" t="s">
        <v>333</v>
      </c>
      <c r="F183" s="28" t="s">
        <v>109</v>
      </c>
      <c r="G183" s="44">
        <v>20</v>
      </c>
      <c r="I183" s="58"/>
      <c r="J183" s="44">
        <v>20</v>
      </c>
      <c r="K183" s="44">
        <v>20</v>
      </c>
      <c r="M183" s="44">
        <v>20</v>
      </c>
      <c r="N183" s="44">
        <v>20</v>
      </c>
      <c r="O183" s="44">
        <v>20</v>
      </c>
      <c r="R183" s="44">
        <v>20</v>
      </c>
      <c r="S183" s="44">
        <v>20</v>
      </c>
      <c r="T183" s="44">
        <v>20</v>
      </c>
      <c r="U183" s="44">
        <v>20</v>
      </c>
      <c r="V183" s="44">
        <v>20</v>
      </c>
      <c r="W183" s="44">
        <v>20</v>
      </c>
      <c r="X183" s="44">
        <v>20</v>
      </c>
      <c r="Y183" s="44">
        <v>20</v>
      </c>
      <c r="Z183" s="44">
        <v>20</v>
      </c>
      <c r="AA183" s="44">
        <v>20</v>
      </c>
      <c r="AB183" s="44">
        <v>20</v>
      </c>
      <c r="AC183"/>
      <c r="AD183" s="44">
        <v>20</v>
      </c>
      <c r="AE183" s="44">
        <v>20</v>
      </c>
      <c r="AF183" s="44">
        <v>20</v>
      </c>
      <c r="AG183" s="44">
        <v>20</v>
      </c>
      <c r="AH183" s="44">
        <v>20</v>
      </c>
      <c r="AI183" s="44">
        <v>20</v>
      </c>
      <c r="AJ183" s="44">
        <v>20</v>
      </c>
      <c r="AK183"/>
      <c r="AL183" s="44">
        <v>20</v>
      </c>
      <c r="AM183" s="44">
        <v>20</v>
      </c>
      <c r="AN183" s="44">
        <v>20</v>
      </c>
      <c r="AO183" s="44">
        <v>20</v>
      </c>
      <c r="AP183"/>
      <c r="AQ183" s="44">
        <v>20</v>
      </c>
      <c r="AR183"/>
      <c r="AS183"/>
      <c r="AT183" s="44">
        <v>20</v>
      </c>
    </row>
    <row r="184" spans="1:46" x14ac:dyDescent="0.25">
      <c r="A184" s="27" t="s">
        <v>262</v>
      </c>
      <c r="B184" s="3" t="s">
        <v>473</v>
      </c>
      <c r="C184" s="3" t="s">
        <v>483</v>
      </c>
      <c r="D184" s="3" t="s">
        <v>521</v>
      </c>
      <c r="E184" s="28" t="s">
        <v>334</v>
      </c>
      <c r="F184" s="28" t="s">
        <v>301</v>
      </c>
      <c r="G184" s="44">
        <v>-0.187</v>
      </c>
      <c r="I184" s="58"/>
      <c r="J184" s="44">
        <v>-0.187</v>
      </c>
      <c r="K184" s="44">
        <v>-0.187</v>
      </c>
      <c r="M184" s="44">
        <v>-0.187</v>
      </c>
      <c r="N184" s="44">
        <v>-0.187</v>
      </c>
      <c r="O184" s="44">
        <v>-0.187</v>
      </c>
      <c r="R184" s="44">
        <v>-0.187</v>
      </c>
      <c r="S184" s="44">
        <v>-0.187</v>
      </c>
      <c r="T184" s="44">
        <v>-0.187</v>
      </c>
      <c r="U184" s="44">
        <v>-0.187</v>
      </c>
      <c r="V184" s="44">
        <v>-0.187</v>
      </c>
      <c r="W184" s="44">
        <v>-0.187</v>
      </c>
      <c r="X184" s="44">
        <v>-0.187</v>
      </c>
      <c r="Y184" s="44">
        <v>-0.187</v>
      </c>
      <c r="Z184" s="44">
        <v>-0.187</v>
      </c>
      <c r="AA184" s="44">
        <v>-0.187</v>
      </c>
      <c r="AB184" s="44">
        <v>-0.187</v>
      </c>
      <c r="AC184"/>
      <c r="AD184" s="44">
        <v>-0.187</v>
      </c>
      <c r="AE184" s="44">
        <v>-0.187</v>
      </c>
      <c r="AF184" s="44">
        <v>-0.187</v>
      </c>
      <c r="AG184" s="44">
        <v>-0.187</v>
      </c>
      <c r="AH184" s="44">
        <v>-0.187</v>
      </c>
      <c r="AI184" s="44">
        <v>-0.187</v>
      </c>
      <c r="AJ184" s="44">
        <v>-0.187</v>
      </c>
      <c r="AK184"/>
      <c r="AL184" s="44">
        <v>-0.187</v>
      </c>
      <c r="AM184" s="44">
        <v>-0.187</v>
      </c>
      <c r="AN184" s="44">
        <v>-0.187</v>
      </c>
      <c r="AO184" s="44">
        <v>-0.187</v>
      </c>
      <c r="AP184"/>
      <c r="AQ184" s="44">
        <v>-0.187</v>
      </c>
      <c r="AR184"/>
      <c r="AS184"/>
      <c r="AT184" s="44">
        <v>-0.187</v>
      </c>
    </row>
    <row r="185" spans="1:46" x14ac:dyDescent="0.25">
      <c r="A185" s="27" t="s">
        <v>263</v>
      </c>
      <c r="B185" s="3" t="s">
        <v>473</v>
      </c>
      <c r="C185" s="3" t="s">
        <v>483</v>
      </c>
      <c r="D185" s="3" t="s">
        <v>521</v>
      </c>
      <c r="E185" s="28" t="s">
        <v>335</v>
      </c>
      <c r="F185" s="28" t="s">
        <v>100</v>
      </c>
      <c r="G185" s="44">
        <v>2.48</v>
      </c>
      <c r="I185" s="58"/>
      <c r="J185" s="44">
        <v>2.48</v>
      </c>
      <c r="K185" s="44">
        <v>2.48</v>
      </c>
      <c r="M185" s="44">
        <v>2.48</v>
      </c>
      <c r="N185" s="44">
        <v>2.48</v>
      </c>
      <c r="O185" s="44">
        <v>2.48</v>
      </c>
      <c r="R185" s="44">
        <v>2.48</v>
      </c>
      <c r="S185" s="44">
        <v>2.48</v>
      </c>
      <c r="T185" s="44">
        <v>2.48</v>
      </c>
      <c r="U185" s="44">
        <v>2.48</v>
      </c>
      <c r="V185" s="44">
        <v>2.48</v>
      </c>
      <c r="W185" s="44">
        <v>2.48</v>
      </c>
      <c r="X185" s="44">
        <v>2.48</v>
      </c>
      <c r="Y185" s="44">
        <v>2.48</v>
      </c>
      <c r="Z185" s="44">
        <v>2.48</v>
      </c>
      <c r="AA185" s="44">
        <v>2.48</v>
      </c>
      <c r="AB185" s="44">
        <v>2.48</v>
      </c>
      <c r="AC185"/>
      <c r="AD185" s="44">
        <v>2.48</v>
      </c>
      <c r="AE185" s="44">
        <v>2.48</v>
      </c>
      <c r="AF185" s="44">
        <v>2.48</v>
      </c>
      <c r="AG185" s="44">
        <v>2.48</v>
      </c>
      <c r="AH185" s="44">
        <v>2.48</v>
      </c>
      <c r="AI185" s="44">
        <v>2.48</v>
      </c>
      <c r="AJ185" s="44">
        <v>2.48</v>
      </c>
      <c r="AK185"/>
      <c r="AL185" s="44">
        <v>2.48</v>
      </c>
      <c r="AM185" s="44">
        <v>2.48</v>
      </c>
      <c r="AN185" s="44">
        <v>2.48</v>
      </c>
      <c r="AO185" s="44">
        <v>2.48</v>
      </c>
      <c r="AP185"/>
      <c r="AQ185" s="44">
        <v>2.48</v>
      </c>
      <c r="AR185"/>
      <c r="AS185"/>
      <c r="AT185" s="44">
        <v>2.48</v>
      </c>
    </row>
    <row r="186" spans="1:46" x14ac:dyDescent="0.25">
      <c r="A186" s="27" t="s">
        <v>264</v>
      </c>
      <c r="B186" s="3" t="s">
        <v>473</v>
      </c>
      <c r="C186" s="3" t="s">
        <v>483</v>
      </c>
      <c r="D186" s="3" t="s">
        <v>521</v>
      </c>
      <c r="E186" s="28" t="s">
        <v>336</v>
      </c>
      <c r="F186" s="28" t="s">
        <v>95</v>
      </c>
      <c r="G186" s="44">
        <v>1</v>
      </c>
      <c r="I186" s="58"/>
      <c r="J186" s="44">
        <v>1</v>
      </c>
      <c r="K186" s="44">
        <v>1</v>
      </c>
      <c r="M186" s="44">
        <v>1</v>
      </c>
      <c r="N186" s="44">
        <v>1</v>
      </c>
      <c r="O186" s="44">
        <v>1</v>
      </c>
      <c r="R186" s="44">
        <v>1</v>
      </c>
      <c r="S186" s="44">
        <v>1</v>
      </c>
      <c r="T186" s="44">
        <v>1</v>
      </c>
      <c r="U186" s="44">
        <v>1</v>
      </c>
      <c r="V186" s="44">
        <v>1</v>
      </c>
      <c r="W186" s="44">
        <v>1</v>
      </c>
      <c r="X186" s="44">
        <v>1</v>
      </c>
      <c r="Y186" s="44">
        <v>1</v>
      </c>
      <c r="Z186" s="44">
        <v>1</v>
      </c>
      <c r="AA186" s="44">
        <v>1</v>
      </c>
      <c r="AB186" s="44">
        <v>1</v>
      </c>
      <c r="AC186"/>
      <c r="AD186" s="44">
        <v>1</v>
      </c>
      <c r="AE186" s="44">
        <v>1</v>
      </c>
      <c r="AF186" s="44">
        <v>1</v>
      </c>
      <c r="AG186" s="44">
        <v>1</v>
      </c>
      <c r="AH186" s="44">
        <v>1</v>
      </c>
      <c r="AI186" s="44">
        <v>1</v>
      </c>
      <c r="AJ186" s="44">
        <v>1</v>
      </c>
      <c r="AK186"/>
      <c r="AL186" s="44">
        <v>1</v>
      </c>
      <c r="AM186" s="44">
        <v>1</v>
      </c>
      <c r="AN186" s="44">
        <v>1</v>
      </c>
      <c r="AO186" s="44">
        <v>1</v>
      </c>
      <c r="AP186"/>
      <c r="AQ186" s="44">
        <v>1</v>
      </c>
      <c r="AR186"/>
      <c r="AS186"/>
      <c r="AT186" s="44">
        <v>1</v>
      </c>
    </row>
    <row r="187" spans="1:46" x14ac:dyDescent="0.25">
      <c r="A187" s="27" t="s">
        <v>265</v>
      </c>
      <c r="B187" s="3" t="s">
        <v>473</v>
      </c>
      <c r="C187" s="3" t="s">
        <v>483</v>
      </c>
      <c r="D187" s="3" t="s">
        <v>521</v>
      </c>
      <c r="E187" s="28" t="s">
        <v>353</v>
      </c>
      <c r="F187" s="28" t="s">
        <v>354</v>
      </c>
      <c r="G187" s="44">
        <v>6.1060227588121015E-4</v>
      </c>
      <c r="I187" s="58"/>
      <c r="J187" s="44">
        <v>6.1060227588121015E-4</v>
      </c>
      <c r="K187" s="44">
        <v>6.1060227588121015E-4</v>
      </c>
      <c r="M187" s="44">
        <v>6.1060227588121015E-4</v>
      </c>
      <c r="N187" s="44">
        <v>6.1060227588121015E-4</v>
      </c>
      <c r="O187" s="44">
        <v>6.1060227588121015E-4</v>
      </c>
      <c r="R187" s="44">
        <v>6.1060227588121015E-4</v>
      </c>
      <c r="S187" s="44">
        <v>6.1060227588121015E-4</v>
      </c>
      <c r="T187" s="44">
        <v>6.1060227588121015E-4</v>
      </c>
      <c r="U187" s="44">
        <v>6.1060227588121015E-4</v>
      </c>
      <c r="V187" s="44">
        <v>6.1060227588121015E-4</v>
      </c>
      <c r="W187" s="44">
        <v>6.1060227588121015E-4</v>
      </c>
      <c r="X187" s="44">
        <v>6.1060227588121015E-4</v>
      </c>
      <c r="Y187" s="44">
        <v>6.1060227588121015E-4</v>
      </c>
      <c r="Z187" s="44">
        <v>6.1060227588121015E-4</v>
      </c>
      <c r="AA187" s="44">
        <v>6.1060227588121015E-4</v>
      </c>
      <c r="AB187" s="44">
        <v>6.1060227588121015E-4</v>
      </c>
      <c r="AC187"/>
      <c r="AD187" s="44">
        <v>6.1060227588121015E-4</v>
      </c>
      <c r="AE187" s="44">
        <v>6.1060227588121015E-4</v>
      </c>
      <c r="AF187" s="44">
        <v>6.1060227588121015E-4</v>
      </c>
      <c r="AG187" s="44">
        <v>6.1060227588121015E-4</v>
      </c>
      <c r="AH187" s="44">
        <v>6.1060227588121015E-4</v>
      </c>
      <c r="AI187" s="44">
        <v>6.1060227588121015E-4</v>
      </c>
      <c r="AJ187" s="44">
        <v>6.1060227588121015E-4</v>
      </c>
      <c r="AK187"/>
      <c r="AL187" s="44">
        <v>6.1060227588121015E-4</v>
      </c>
      <c r="AM187" s="44">
        <v>6.1060227588121015E-4</v>
      </c>
      <c r="AN187" s="44">
        <v>6.1060227588121015E-4</v>
      </c>
      <c r="AO187" s="44">
        <v>6.1060227588121015E-4</v>
      </c>
      <c r="AP187"/>
      <c r="AQ187" s="44">
        <v>6.1060227588121015E-4</v>
      </c>
      <c r="AR187"/>
      <c r="AS187"/>
      <c r="AT187" s="44">
        <v>6.1060227588121015E-4</v>
      </c>
    </row>
    <row r="188" spans="1:46" x14ac:dyDescent="0.25">
      <c r="A188" s="23" t="s">
        <v>266</v>
      </c>
      <c r="B188" s="3" t="s">
        <v>473</v>
      </c>
      <c r="C188" s="3" t="s">
        <v>483</v>
      </c>
      <c r="D188" s="3" t="s">
        <v>521</v>
      </c>
      <c r="E188" s="24" t="s">
        <v>193</v>
      </c>
      <c r="F188" s="24" t="s">
        <v>200</v>
      </c>
      <c r="G188" s="44">
        <v>6.41E-9</v>
      </c>
      <c r="I188" s="58"/>
      <c r="J188" s="44">
        <v>3.9999999999999998E-7</v>
      </c>
      <c r="K188" s="44">
        <v>3.9999999999999998E-7</v>
      </c>
      <c r="M188" s="44">
        <v>3.9999999999999998E-7</v>
      </c>
      <c r="N188" s="44">
        <v>3.9999999999999998E-7</v>
      </c>
      <c r="O188" s="44">
        <v>3.9999999999999998E-7</v>
      </c>
      <c r="R188" s="44">
        <v>3.9999999999999998E-7</v>
      </c>
      <c r="S188" s="44">
        <v>3.9999999999999998E-7</v>
      </c>
      <c r="T188" s="44">
        <v>3.9999999999999998E-7</v>
      </c>
      <c r="U188" s="44">
        <v>3.9999999999999998E-7</v>
      </c>
      <c r="V188" s="44">
        <v>3.9999999999999998E-7</v>
      </c>
      <c r="W188" s="44">
        <v>3.9999999999999998E-7</v>
      </c>
      <c r="X188" s="44">
        <v>3.9999999999999998E-7</v>
      </c>
      <c r="Y188" s="44">
        <v>3.9999999999999998E-7</v>
      </c>
      <c r="Z188" s="44">
        <v>3.9999999999999998E-7</v>
      </c>
      <c r="AA188" s="44">
        <v>3.9999999999999998E-7</v>
      </c>
      <c r="AB188" s="44">
        <v>3.9999999999999998E-7</v>
      </c>
      <c r="AC188"/>
      <c r="AD188" s="44">
        <v>3.9999999999999998E-7</v>
      </c>
      <c r="AE188" s="44">
        <v>3.9999999999999998E-7</v>
      </c>
      <c r="AF188" s="44">
        <v>3.9999999999999998E-7</v>
      </c>
      <c r="AG188" s="44">
        <v>3.9999999999999998E-7</v>
      </c>
      <c r="AH188" s="44">
        <v>3.9999999999999998E-7</v>
      </c>
      <c r="AI188" s="44">
        <v>3.9999999999999998E-7</v>
      </c>
      <c r="AJ188" s="44">
        <v>3.9999999999999998E-7</v>
      </c>
      <c r="AK188"/>
      <c r="AL188" s="44">
        <v>3.9999999999999998E-7</v>
      </c>
      <c r="AM188" s="44">
        <v>3.9999999999999998E-7</v>
      </c>
      <c r="AN188" s="44">
        <v>3.9999999999999998E-7</v>
      </c>
      <c r="AO188" s="44">
        <v>3.9999999999999998E-7</v>
      </c>
      <c r="AP188"/>
      <c r="AQ188" s="44">
        <v>3.9999999999999998E-7</v>
      </c>
      <c r="AR188"/>
      <c r="AS188"/>
      <c r="AT188" s="44">
        <v>3.9999999999999998E-7</v>
      </c>
    </row>
    <row r="189" spans="1:46" x14ac:dyDescent="0.25">
      <c r="A189" s="23" t="s">
        <v>267</v>
      </c>
      <c r="B189" s="3" t="s">
        <v>473</v>
      </c>
      <c r="C189" s="3" t="s">
        <v>483</v>
      </c>
      <c r="D189" s="3" t="s">
        <v>521</v>
      </c>
      <c r="E189" s="24" t="s">
        <v>337</v>
      </c>
      <c r="F189" s="24" t="s">
        <v>109</v>
      </c>
      <c r="G189" s="44">
        <v>25</v>
      </c>
      <c r="I189" s="58"/>
      <c r="J189" s="44">
        <v>25</v>
      </c>
      <c r="K189" s="44">
        <v>25</v>
      </c>
      <c r="M189" s="44">
        <v>25</v>
      </c>
      <c r="N189" s="44">
        <v>25</v>
      </c>
      <c r="O189" s="44">
        <v>25</v>
      </c>
      <c r="R189" s="44">
        <v>25</v>
      </c>
      <c r="S189" s="44">
        <v>25</v>
      </c>
      <c r="T189" s="44">
        <v>25</v>
      </c>
      <c r="U189" s="44">
        <v>25</v>
      </c>
      <c r="V189" s="44">
        <v>25</v>
      </c>
      <c r="W189" s="44">
        <v>25</v>
      </c>
      <c r="X189" s="44">
        <v>25</v>
      </c>
      <c r="Y189" s="44">
        <v>25</v>
      </c>
      <c r="Z189" s="44">
        <v>25</v>
      </c>
      <c r="AA189" s="44">
        <v>25</v>
      </c>
      <c r="AB189" s="44">
        <v>25</v>
      </c>
      <c r="AC189"/>
      <c r="AD189" s="44">
        <v>25</v>
      </c>
      <c r="AE189" s="44">
        <v>25</v>
      </c>
      <c r="AF189" s="44">
        <v>25</v>
      </c>
      <c r="AG189" s="44">
        <v>25</v>
      </c>
      <c r="AH189" s="44">
        <v>25</v>
      </c>
      <c r="AI189" s="44">
        <v>25</v>
      </c>
      <c r="AJ189" s="44">
        <v>25</v>
      </c>
      <c r="AK189"/>
      <c r="AL189" s="44">
        <v>25</v>
      </c>
      <c r="AM189" s="44">
        <v>25</v>
      </c>
      <c r="AN189" s="44">
        <v>25</v>
      </c>
      <c r="AO189" s="44">
        <v>25</v>
      </c>
      <c r="AP189"/>
      <c r="AQ189" s="44">
        <v>25</v>
      </c>
      <c r="AR189"/>
      <c r="AS189"/>
      <c r="AT189" s="44">
        <v>25</v>
      </c>
    </row>
    <row r="190" spans="1:46" x14ac:dyDescent="0.25">
      <c r="A190" s="23" t="s">
        <v>268</v>
      </c>
      <c r="B190" s="3" t="s">
        <v>473</v>
      </c>
      <c r="C190" s="3" t="s">
        <v>483</v>
      </c>
      <c r="D190" s="3" t="s">
        <v>521</v>
      </c>
      <c r="E190" s="24" t="s">
        <v>338</v>
      </c>
      <c r="F190" s="24" t="s">
        <v>301</v>
      </c>
      <c r="G190" s="44">
        <v>0</v>
      </c>
      <c r="I190" s="58"/>
      <c r="J190" s="44">
        <v>0</v>
      </c>
      <c r="K190" s="44">
        <v>0</v>
      </c>
      <c r="M190" s="44">
        <v>0</v>
      </c>
      <c r="N190" s="44">
        <v>0</v>
      </c>
      <c r="O190" s="44">
        <v>0</v>
      </c>
      <c r="R190" s="44">
        <v>0</v>
      </c>
      <c r="S190" s="44">
        <v>0</v>
      </c>
      <c r="T190" s="44">
        <v>0</v>
      </c>
      <c r="U190" s="44">
        <v>0</v>
      </c>
      <c r="V190" s="44">
        <v>0</v>
      </c>
      <c r="W190" s="44">
        <v>0</v>
      </c>
      <c r="X190" s="44">
        <v>0</v>
      </c>
      <c r="Y190" s="44">
        <v>0</v>
      </c>
      <c r="Z190" s="44">
        <v>0</v>
      </c>
      <c r="AA190" s="44">
        <v>0</v>
      </c>
      <c r="AB190" s="44">
        <v>0</v>
      </c>
      <c r="AC190"/>
      <c r="AD190" s="44">
        <v>0</v>
      </c>
      <c r="AE190" s="44">
        <v>0</v>
      </c>
      <c r="AF190" s="44">
        <v>0</v>
      </c>
      <c r="AG190" s="44">
        <v>0</v>
      </c>
      <c r="AH190" s="44">
        <v>0</v>
      </c>
      <c r="AI190" s="44">
        <v>0</v>
      </c>
      <c r="AJ190" s="44">
        <v>0</v>
      </c>
      <c r="AK190"/>
      <c r="AL190" s="44">
        <v>0</v>
      </c>
      <c r="AM190" s="44">
        <v>0</v>
      </c>
      <c r="AN190" s="44">
        <v>0</v>
      </c>
      <c r="AO190" s="44">
        <v>0</v>
      </c>
      <c r="AP190"/>
      <c r="AQ190" s="44">
        <v>0</v>
      </c>
      <c r="AR190"/>
      <c r="AS190"/>
      <c r="AT190" s="44">
        <v>0</v>
      </c>
    </row>
    <row r="191" spans="1:46" x14ac:dyDescent="0.25">
      <c r="A191" s="23" t="s">
        <v>269</v>
      </c>
      <c r="B191" s="3" t="s">
        <v>473</v>
      </c>
      <c r="C191" s="3" t="s">
        <v>483</v>
      </c>
      <c r="D191" s="3" t="s">
        <v>521</v>
      </c>
      <c r="E191" s="24" t="s">
        <v>339</v>
      </c>
      <c r="F191" s="24" t="s">
        <v>100</v>
      </c>
      <c r="G191" s="44">
        <v>3.98</v>
      </c>
      <c r="I191" s="58"/>
      <c r="J191" s="44">
        <v>3.98</v>
      </c>
      <c r="K191" s="44">
        <v>3.98</v>
      </c>
      <c r="M191" s="44">
        <v>3.98</v>
      </c>
      <c r="N191" s="44">
        <v>3.98</v>
      </c>
      <c r="O191" s="44">
        <v>3.98</v>
      </c>
      <c r="R191" s="44">
        <v>3.98</v>
      </c>
      <c r="S191" s="44">
        <v>3.98</v>
      </c>
      <c r="T191" s="44">
        <v>3.98</v>
      </c>
      <c r="U191" s="44">
        <v>3.98</v>
      </c>
      <c r="V191" s="44">
        <v>3.98</v>
      </c>
      <c r="W191" s="44">
        <v>3.98</v>
      </c>
      <c r="X191" s="44">
        <v>3.98</v>
      </c>
      <c r="Y191" s="44">
        <v>3.98</v>
      </c>
      <c r="Z191" s="44">
        <v>3.98</v>
      </c>
      <c r="AA191" s="44">
        <v>3.98</v>
      </c>
      <c r="AB191" s="44">
        <v>3.98</v>
      </c>
      <c r="AC191"/>
      <c r="AD191" s="44">
        <v>3.98</v>
      </c>
      <c r="AE191" s="44">
        <v>3.98</v>
      </c>
      <c r="AF191" s="44">
        <v>3.98</v>
      </c>
      <c r="AG191" s="44">
        <v>3.98</v>
      </c>
      <c r="AH191" s="44">
        <v>3.98</v>
      </c>
      <c r="AI191" s="44">
        <v>3.98</v>
      </c>
      <c r="AJ191" s="44">
        <v>3.98</v>
      </c>
      <c r="AK191"/>
      <c r="AL191" s="44">
        <v>3.98</v>
      </c>
      <c r="AM191" s="44">
        <v>3.98</v>
      </c>
      <c r="AN191" s="44">
        <v>3.98</v>
      </c>
      <c r="AO191" s="44">
        <v>3.98</v>
      </c>
      <c r="AP191"/>
      <c r="AQ191" s="44">
        <v>3.98</v>
      </c>
      <c r="AR191"/>
      <c r="AS191"/>
      <c r="AT191" s="44">
        <v>3.98</v>
      </c>
    </row>
    <row r="192" spans="1:46" x14ac:dyDescent="0.25">
      <c r="A192" s="23" t="s">
        <v>270</v>
      </c>
      <c r="B192" s="3" t="s">
        <v>473</v>
      </c>
      <c r="C192" s="3" t="s">
        <v>483</v>
      </c>
      <c r="D192" s="3" t="s">
        <v>521</v>
      </c>
      <c r="E192" s="24" t="s">
        <v>340</v>
      </c>
      <c r="F192" s="24" t="s">
        <v>95</v>
      </c>
      <c r="G192" s="44">
        <v>1</v>
      </c>
      <c r="I192" s="58"/>
      <c r="J192" s="44">
        <v>1</v>
      </c>
      <c r="K192" s="44">
        <v>1</v>
      </c>
      <c r="M192" s="44">
        <v>1</v>
      </c>
      <c r="N192" s="44">
        <v>1</v>
      </c>
      <c r="O192" s="44">
        <v>1</v>
      </c>
      <c r="R192" s="44">
        <v>1</v>
      </c>
      <c r="S192" s="44">
        <v>1</v>
      </c>
      <c r="T192" s="44">
        <v>1</v>
      </c>
      <c r="U192" s="44">
        <v>1</v>
      </c>
      <c r="V192" s="44">
        <v>1</v>
      </c>
      <c r="W192" s="44">
        <v>1</v>
      </c>
      <c r="X192" s="44">
        <v>1</v>
      </c>
      <c r="Y192" s="44">
        <v>1</v>
      </c>
      <c r="Z192" s="44">
        <v>1</v>
      </c>
      <c r="AA192" s="44">
        <v>1</v>
      </c>
      <c r="AB192" s="44">
        <v>1</v>
      </c>
      <c r="AC192"/>
      <c r="AD192" s="44">
        <v>1</v>
      </c>
      <c r="AE192" s="44">
        <v>1</v>
      </c>
      <c r="AF192" s="44">
        <v>1</v>
      </c>
      <c r="AG192" s="44">
        <v>1</v>
      </c>
      <c r="AH192" s="44">
        <v>1</v>
      </c>
      <c r="AI192" s="44">
        <v>1</v>
      </c>
      <c r="AJ192" s="44">
        <v>1</v>
      </c>
      <c r="AK192"/>
      <c r="AL192" s="44">
        <v>1</v>
      </c>
      <c r="AM192" s="44">
        <v>1</v>
      </c>
      <c r="AN192" s="44">
        <v>1</v>
      </c>
      <c r="AO192" s="44">
        <v>1</v>
      </c>
      <c r="AP192"/>
      <c r="AQ192" s="44">
        <v>1</v>
      </c>
      <c r="AR192"/>
      <c r="AS192"/>
      <c r="AT192" s="44">
        <v>1</v>
      </c>
    </row>
    <row r="193" spans="1:54" x14ac:dyDescent="0.25">
      <c r="A193" s="23" t="s">
        <v>271</v>
      </c>
      <c r="B193" s="3" t="s">
        <v>473</v>
      </c>
      <c r="C193" s="3" t="s">
        <v>483</v>
      </c>
      <c r="D193" s="3" t="s">
        <v>521</v>
      </c>
      <c r="E193" s="24" t="s">
        <v>194</v>
      </c>
      <c r="F193" s="24" t="s">
        <v>198</v>
      </c>
      <c r="G193" s="44">
        <v>8.3333333333333331E-5</v>
      </c>
      <c r="I193" s="58"/>
      <c r="J193" s="44">
        <v>8.3333333333333331E-5</v>
      </c>
      <c r="K193" s="44">
        <v>8.3333333333333331E-5</v>
      </c>
      <c r="M193" s="44">
        <v>8.3333333333333331E-5</v>
      </c>
      <c r="N193" s="44">
        <v>8.3333333333333331E-5</v>
      </c>
      <c r="O193" s="44">
        <v>8.3333333333333331E-5</v>
      </c>
      <c r="R193" s="44">
        <v>8.3333333333333331E-5</v>
      </c>
      <c r="S193" s="44">
        <v>8.3333333333333331E-5</v>
      </c>
      <c r="T193" s="44">
        <v>8.3333333333333331E-5</v>
      </c>
      <c r="U193" s="44">
        <v>8.3333333333333331E-5</v>
      </c>
      <c r="V193" s="44">
        <v>8.3333333333333331E-5</v>
      </c>
      <c r="W193" s="44">
        <v>8.3333333333333331E-5</v>
      </c>
      <c r="X193" s="44">
        <v>8.3333333333333331E-5</v>
      </c>
      <c r="Y193" s="44">
        <v>8.3333333333333331E-5</v>
      </c>
      <c r="Z193" s="44">
        <v>8.3333333333333331E-5</v>
      </c>
      <c r="AA193" s="44">
        <v>8.3333333333333331E-5</v>
      </c>
      <c r="AB193" s="44">
        <v>8.3333333333333331E-5</v>
      </c>
      <c r="AC193"/>
      <c r="AD193" s="44">
        <v>8.3333333333333331E-5</v>
      </c>
      <c r="AE193" s="44">
        <v>8.3333333333333331E-5</v>
      </c>
      <c r="AF193" s="44">
        <v>8.3333333333333331E-5</v>
      </c>
      <c r="AG193" s="44">
        <v>8.3333333333333331E-5</v>
      </c>
      <c r="AH193" s="44">
        <v>8.3333333333333331E-5</v>
      </c>
      <c r="AI193" s="44">
        <v>8.3333333333333331E-5</v>
      </c>
      <c r="AJ193" s="44">
        <v>8.3333333333333331E-5</v>
      </c>
      <c r="AK193"/>
      <c r="AL193" s="44">
        <v>8.3333333333333331E-5</v>
      </c>
      <c r="AM193" s="44">
        <v>8.3333333333333331E-5</v>
      </c>
      <c r="AN193" s="44">
        <v>8.3333333333333331E-5</v>
      </c>
      <c r="AO193" s="44">
        <v>8.3333333333333331E-5</v>
      </c>
      <c r="AP193"/>
      <c r="AQ193" s="44">
        <v>8.3333333333333331E-5</v>
      </c>
      <c r="AR193"/>
      <c r="AS193"/>
      <c r="AT193" s="44">
        <v>8.3333333333333331E-5</v>
      </c>
    </row>
    <row r="194" spans="1:54" x14ac:dyDescent="0.25">
      <c r="A194" s="7" t="s">
        <v>272</v>
      </c>
      <c r="B194" s="3" t="s">
        <v>473</v>
      </c>
      <c r="C194" s="3" t="s">
        <v>483</v>
      </c>
      <c r="D194" s="3" t="s">
        <v>521</v>
      </c>
      <c r="E194" s="8" t="s">
        <v>355</v>
      </c>
      <c r="F194" s="8" t="s">
        <v>200</v>
      </c>
      <c r="G194" s="44">
        <v>6.41E-9</v>
      </c>
      <c r="I194" s="58"/>
      <c r="J194" s="44">
        <v>3.9999999999999998E-7</v>
      </c>
      <c r="K194" s="44">
        <v>3.9999999999999998E-7</v>
      </c>
      <c r="M194" s="44">
        <v>3.9999999999999998E-7</v>
      </c>
      <c r="N194" s="44">
        <v>3.9999999999999998E-7</v>
      </c>
      <c r="O194" s="44">
        <v>3.9999999999999998E-7</v>
      </c>
      <c r="R194" s="44">
        <v>3.9999999999999998E-7</v>
      </c>
      <c r="S194" s="44">
        <v>3.9999999999999998E-7</v>
      </c>
      <c r="T194" s="44">
        <v>3.9999999999999998E-7</v>
      </c>
      <c r="U194" s="44">
        <v>3.9999999999999998E-7</v>
      </c>
      <c r="V194" s="44">
        <v>3.9999999999999998E-7</v>
      </c>
      <c r="W194" s="44">
        <v>3.9999999999999998E-7</v>
      </c>
      <c r="X194" s="44">
        <v>3.9999999999999998E-7</v>
      </c>
      <c r="Y194" s="44">
        <v>3.9999999999999998E-7</v>
      </c>
      <c r="Z194" s="44">
        <v>3.9999999999999998E-7</v>
      </c>
      <c r="AA194" s="44">
        <v>3.9999999999999998E-7</v>
      </c>
      <c r="AB194" s="44">
        <v>3.9999999999999998E-7</v>
      </c>
      <c r="AC194"/>
      <c r="AD194" s="44">
        <v>3.9999999999999998E-7</v>
      </c>
      <c r="AE194" s="44">
        <v>3.9999999999999998E-7</v>
      </c>
      <c r="AF194" s="44">
        <v>3.9999999999999998E-7</v>
      </c>
      <c r="AG194" s="44">
        <v>3.9999999999999998E-7</v>
      </c>
      <c r="AH194" s="44">
        <v>3.9999999999999998E-7</v>
      </c>
      <c r="AI194" s="44">
        <v>3.9999999999999998E-7</v>
      </c>
      <c r="AJ194" s="44">
        <v>3.9999999999999998E-7</v>
      </c>
      <c r="AK194"/>
      <c r="AL194" s="44">
        <v>3.9999999999999998E-7</v>
      </c>
      <c r="AM194" s="44">
        <v>3.9999999999999998E-7</v>
      </c>
      <c r="AN194" s="44">
        <v>3.9999999999999998E-7</v>
      </c>
      <c r="AO194" s="44">
        <v>3.9999999999999998E-7</v>
      </c>
      <c r="AP194"/>
      <c r="AQ194" s="44">
        <v>3.9999999999999998E-7</v>
      </c>
      <c r="AR194"/>
      <c r="AS194"/>
      <c r="AT194" s="44">
        <v>3.9999999999999998E-7</v>
      </c>
    </row>
    <row r="195" spans="1:54" x14ac:dyDescent="0.25">
      <c r="A195" s="7" t="s">
        <v>273</v>
      </c>
      <c r="B195" s="3" t="s">
        <v>473</v>
      </c>
      <c r="C195" s="3" t="s">
        <v>483</v>
      </c>
      <c r="D195" s="3" t="s">
        <v>521</v>
      </c>
      <c r="E195" s="8" t="s">
        <v>341</v>
      </c>
      <c r="F195" s="8" t="s">
        <v>109</v>
      </c>
      <c r="G195" s="44">
        <v>25</v>
      </c>
      <c r="I195" s="58"/>
      <c r="J195" s="44">
        <v>25</v>
      </c>
      <c r="K195" s="44">
        <v>25</v>
      </c>
      <c r="M195" s="44">
        <v>25</v>
      </c>
      <c r="N195" s="44">
        <v>25</v>
      </c>
      <c r="O195" s="44">
        <v>25</v>
      </c>
      <c r="R195" s="44">
        <v>25</v>
      </c>
      <c r="S195" s="44">
        <v>25</v>
      </c>
      <c r="T195" s="44">
        <v>25</v>
      </c>
      <c r="U195" s="44">
        <v>25</v>
      </c>
      <c r="V195" s="44">
        <v>25</v>
      </c>
      <c r="W195" s="44">
        <v>25</v>
      </c>
      <c r="X195" s="44">
        <v>25</v>
      </c>
      <c r="Y195" s="44">
        <v>25</v>
      </c>
      <c r="Z195" s="44">
        <v>25</v>
      </c>
      <c r="AA195" s="44">
        <v>25</v>
      </c>
      <c r="AB195" s="44">
        <v>25</v>
      </c>
      <c r="AC195"/>
      <c r="AD195" s="44">
        <v>25</v>
      </c>
      <c r="AE195" s="44">
        <v>25</v>
      </c>
      <c r="AF195" s="44">
        <v>25</v>
      </c>
      <c r="AG195" s="44">
        <v>25</v>
      </c>
      <c r="AH195" s="44">
        <v>25</v>
      </c>
      <c r="AI195" s="44">
        <v>25</v>
      </c>
      <c r="AJ195" s="44">
        <v>25</v>
      </c>
      <c r="AK195"/>
      <c r="AL195" s="44">
        <v>25</v>
      </c>
      <c r="AM195" s="44">
        <v>25</v>
      </c>
      <c r="AN195" s="44">
        <v>25</v>
      </c>
      <c r="AO195" s="44">
        <v>25</v>
      </c>
      <c r="AP195"/>
      <c r="AQ195" s="44">
        <v>25</v>
      </c>
      <c r="AR195"/>
      <c r="AS195"/>
      <c r="AT195" s="44">
        <v>25</v>
      </c>
    </row>
    <row r="196" spans="1:54" x14ac:dyDescent="0.25">
      <c r="A196" s="7" t="s">
        <v>274</v>
      </c>
      <c r="B196" s="3" t="s">
        <v>473</v>
      </c>
      <c r="C196" s="3" t="s">
        <v>483</v>
      </c>
      <c r="D196" s="3" t="s">
        <v>521</v>
      </c>
      <c r="E196" s="8" t="s">
        <v>342</v>
      </c>
      <c r="F196" s="8" t="s">
        <v>301</v>
      </c>
      <c r="G196" s="44">
        <v>0</v>
      </c>
      <c r="I196" s="58"/>
      <c r="J196" s="44">
        <v>0</v>
      </c>
      <c r="K196" s="44">
        <v>0</v>
      </c>
      <c r="M196" s="44">
        <v>0</v>
      </c>
      <c r="N196" s="44">
        <v>0</v>
      </c>
      <c r="O196" s="44">
        <v>0</v>
      </c>
      <c r="R196" s="44">
        <v>0</v>
      </c>
      <c r="S196" s="44">
        <v>0</v>
      </c>
      <c r="T196" s="44">
        <v>0</v>
      </c>
      <c r="U196" s="44">
        <v>0</v>
      </c>
      <c r="V196" s="44">
        <v>0</v>
      </c>
      <c r="W196" s="44">
        <v>0</v>
      </c>
      <c r="X196" s="44">
        <v>0</v>
      </c>
      <c r="Y196" s="44">
        <v>0</v>
      </c>
      <c r="Z196" s="44">
        <v>0</v>
      </c>
      <c r="AA196" s="44">
        <v>0</v>
      </c>
      <c r="AB196" s="44">
        <v>0</v>
      </c>
      <c r="AC196"/>
      <c r="AD196" s="44">
        <v>0</v>
      </c>
      <c r="AE196" s="44">
        <v>0</v>
      </c>
      <c r="AF196" s="44">
        <v>0</v>
      </c>
      <c r="AG196" s="44">
        <v>0</v>
      </c>
      <c r="AH196" s="44">
        <v>0</v>
      </c>
      <c r="AI196" s="44">
        <v>0</v>
      </c>
      <c r="AJ196" s="44">
        <v>0</v>
      </c>
      <c r="AK196"/>
      <c r="AL196" s="44">
        <v>0</v>
      </c>
      <c r="AM196" s="44">
        <v>0</v>
      </c>
      <c r="AN196" s="44">
        <v>0</v>
      </c>
      <c r="AO196" s="44">
        <v>0</v>
      </c>
      <c r="AP196"/>
      <c r="AQ196" s="44">
        <v>0</v>
      </c>
      <c r="AR196"/>
      <c r="AS196"/>
      <c r="AT196" s="44">
        <v>0</v>
      </c>
    </row>
    <row r="197" spans="1:54" x14ac:dyDescent="0.25">
      <c r="A197" s="7" t="s">
        <v>275</v>
      </c>
      <c r="B197" s="3" t="s">
        <v>473</v>
      </c>
      <c r="C197" s="3" t="s">
        <v>483</v>
      </c>
      <c r="D197" s="3" t="s">
        <v>521</v>
      </c>
      <c r="E197" s="8" t="s">
        <v>343</v>
      </c>
      <c r="F197" s="8" t="s">
        <v>100</v>
      </c>
      <c r="G197" s="44">
        <v>3.98</v>
      </c>
      <c r="I197" s="58"/>
      <c r="J197" s="44">
        <v>3.98</v>
      </c>
      <c r="K197" s="44">
        <v>3.98</v>
      </c>
      <c r="M197" s="44">
        <v>3.98</v>
      </c>
      <c r="N197" s="44">
        <v>3.98</v>
      </c>
      <c r="O197" s="44">
        <v>3.98</v>
      </c>
      <c r="R197" s="44">
        <v>3.98</v>
      </c>
      <c r="S197" s="44">
        <v>3.98</v>
      </c>
      <c r="T197" s="44">
        <v>3.98</v>
      </c>
      <c r="U197" s="44">
        <v>3.98</v>
      </c>
      <c r="V197" s="44">
        <v>3.98</v>
      </c>
      <c r="W197" s="44">
        <v>3.98</v>
      </c>
      <c r="X197" s="44">
        <v>3.98</v>
      </c>
      <c r="Y197" s="44">
        <v>3.98</v>
      </c>
      <c r="Z197" s="44">
        <v>3.98</v>
      </c>
      <c r="AA197" s="44">
        <v>3.98</v>
      </c>
      <c r="AB197" s="44">
        <v>3.98</v>
      </c>
      <c r="AC197"/>
      <c r="AD197" s="44">
        <v>3.98</v>
      </c>
      <c r="AE197" s="44">
        <v>3.98</v>
      </c>
      <c r="AF197" s="44">
        <v>3.98</v>
      </c>
      <c r="AG197" s="44">
        <v>3.98</v>
      </c>
      <c r="AH197" s="44">
        <v>3.98</v>
      </c>
      <c r="AI197" s="44">
        <v>3.98</v>
      </c>
      <c r="AJ197" s="44">
        <v>3.98</v>
      </c>
      <c r="AK197"/>
      <c r="AL197" s="44">
        <v>3.98</v>
      </c>
      <c r="AM197" s="44">
        <v>3.98</v>
      </c>
      <c r="AN197" s="44">
        <v>3.98</v>
      </c>
      <c r="AO197" s="44">
        <v>3.98</v>
      </c>
      <c r="AP197"/>
      <c r="AQ197" s="44">
        <v>3.98</v>
      </c>
      <c r="AR197"/>
      <c r="AS197"/>
      <c r="AT197" s="44">
        <v>3.98</v>
      </c>
    </row>
    <row r="198" spans="1:54" x14ac:dyDescent="0.25">
      <c r="A198" s="7" t="s">
        <v>276</v>
      </c>
      <c r="B198" s="3" t="s">
        <v>473</v>
      </c>
      <c r="C198" s="3" t="s">
        <v>483</v>
      </c>
      <c r="D198" s="3" t="s">
        <v>521</v>
      </c>
      <c r="E198" s="8" t="s">
        <v>344</v>
      </c>
      <c r="F198" s="8" t="s">
        <v>95</v>
      </c>
      <c r="G198" s="44">
        <v>1</v>
      </c>
      <c r="I198" s="58"/>
      <c r="J198" s="44">
        <v>1</v>
      </c>
      <c r="K198" s="44">
        <v>1</v>
      </c>
      <c r="M198" s="44">
        <v>1</v>
      </c>
      <c r="N198" s="44">
        <v>1</v>
      </c>
      <c r="O198" s="44">
        <v>1</v>
      </c>
      <c r="R198" s="44">
        <v>1</v>
      </c>
      <c r="S198" s="44">
        <v>1</v>
      </c>
      <c r="T198" s="44">
        <v>1</v>
      </c>
      <c r="U198" s="44">
        <v>1</v>
      </c>
      <c r="V198" s="44">
        <v>1</v>
      </c>
      <c r="W198" s="44">
        <v>1</v>
      </c>
      <c r="X198" s="44">
        <v>1</v>
      </c>
      <c r="Y198" s="44">
        <v>1</v>
      </c>
      <c r="Z198" s="44">
        <v>1</v>
      </c>
      <c r="AA198" s="44">
        <v>1</v>
      </c>
      <c r="AB198" s="44">
        <v>1</v>
      </c>
      <c r="AC198"/>
      <c r="AD198" s="44">
        <v>1</v>
      </c>
      <c r="AE198" s="44">
        <v>1</v>
      </c>
      <c r="AF198" s="44">
        <v>1</v>
      </c>
      <c r="AG198" s="44">
        <v>1</v>
      </c>
      <c r="AH198" s="44">
        <v>1</v>
      </c>
      <c r="AI198" s="44">
        <v>1</v>
      </c>
      <c r="AJ198" s="44">
        <v>1</v>
      </c>
      <c r="AK198"/>
      <c r="AL198" s="44">
        <v>1</v>
      </c>
      <c r="AM198" s="44">
        <v>1</v>
      </c>
      <c r="AN198" s="44">
        <v>1</v>
      </c>
      <c r="AO198" s="44">
        <v>1</v>
      </c>
      <c r="AP198"/>
      <c r="AQ198" s="44">
        <v>1</v>
      </c>
      <c r="AR198"/>
      <c r="AS198"/>
      <c r="AT198" s="44">
        <v>1</v>
      </c>
    </row>
    <row r="199" spans="1:54" x14ac:dyDescent="0.25">
      <c r="A199" s="7" t="s">
        <v>277</v>
      </c>
      <c r="B199" s="3" t="s">
        <v>473</v>
      </c>
      <c r="C199" s="3" t="s">
        <v>483</v>
      </c>
      <c r="D199" s="3" t="s">
        <v>521</v>
      </c>
      <c r="E199" s="8" t="s">
        <v>358</v>
      </c>
      <c r="F199" s="8" t="s">
        <v>198</v>
      </c>
      <c r="G199" s="44">
        <v>8.3333333333333331E-5</v>
      </c>
      <c r="I199" s="58"/>
      <c r="J199" s="44">
        <v>8.3333333333333331E-5</v>
      </c>
      <c r="K199" s="44">
        <v>8.3333333333333331E-5</v>
      </c>
      <c r="M199" s="44">
        <v>8.3333333333333331E-5</v>
      </c>
      <c r="N199" s="44">
        <v>8.3333333333333331E-5</v>
      </c>
      <c r="O199" s="44">
        <v>8.3333333333333331E-5</v>
      </c>
      <c r="R199" s="44">
        <v>8.3333333333333331E-5</v>
      </c>
      <c r="S199" s="44">
        <v>8.3333333333333331E-5</v>
      </c>
      <c r="T199" s="44">
        <v>8.3333333333333331E-5</v>
      </c>
      <c r="U199" s="44">
        <v>8.3333333333333331E-5</v>
      </c>
      <c r="V199" s="44">
        <v>8.3333333333333331E-5</v>
      </c>
      <c r="W199" s="44">
        <v>8.3333333333333331E-5</v>
      </c>
      <c r="X199" s="44">
        <v>8.3333333333333331E-5</v>
      </c>
      <c r="Y199" s="44">
        <v>8.3333333333333331E-5</v>
      </c>
      <c r="Z199" s="44">
        <v>8.3333333333333331E-5</v>
      </c>
      <c r="AA199" s="44">
        <v>8.3333333333333331E-5</v>
      </c>
      <c r="AB199" s="44">
        <v>8.3333333333333331E-5</v>
      </c>
      <c r="AC199"/>
      <c r="AD199" s="44">
        <v>8.3333333333333331E-5</v>
      </c>
      <c r="AE199" s="44">
        <v>8.3333333333333331E-5</v>
      </c>
      <c r="AF199" s="44">
        <v>8.3333333333333331E-5</v>
      </c>
      <c r="AG199" s="44">
        <v>8.3333333333333331E-5</v>
      </c>
      <c r="AH199" s="44">
        <v>8.3333333333333331E-5</v>
      </c>
      <c r="AI199" s="44">
        <v>8.3333333333333331E-5</v>
      </c>
      <c r="AJ199" s="44">
        <v>8.3333333333333331E-5</v>
      </c>
      <c r="AK199"/>
      <c r="AL199" s="44">
        <v>8.3333333333333331E-5</v>
      </c>
      <c r="AM199" s="44">
        <v>8.3333333333333331E-5</v>
      </c>
      <c r="AN199" s="44">
        <v>8.3333333333333331E-5</v>
      </c>
      <c r="AO199" s="44">
        <v>8.3333333333333331E-5</v>
      </c>
      <c r="AP199"/>
      <c r="AQ199" s="44">
        <v>8.3333333333333331E-5</v>
      </c>
      <c r="AR199"/>
      <c r="AS199"/>
      <c r="AT199" s="44">
        <v>8.3333333333333331E-5</v>
      </c>
    </row>
    <row r="200" spans="1:54" x14ac:dyDescent="0.25">
      <c r="A200" s="29" t="s">
        <v>278</v>
      </c>
      <c r="B200" s="3" t="s">
        <v>473</v>
      </c>
      <c r="C200" s="3" t="s">
        <v>483</v>
      </c>
      <c r="D200" s="3" t="s">
        <v>521</v>
      </c>
      <c r="E200" s="30" t="s">
        <v>356</v>
      </c>
      <c r="F200" s="30" t="s">
        <v>357</v>
      </c>
      <c r="G200" s="44">
        <v>3.205E-9</v>
      </c>
      <c r="I200" s="58"/>
      <c r="J200" s="44">
        <v>1.9999999999999999E-7</v>
      </c>
      <c r="K200" s="44">
        <v>1.9999999999999999E-7</v>
      </c>
      <c r="M200" s="44">
        <v>1.9999999999999999E-7</v>
      </c>
      <c r="N200" s="44">
        <v>1.9999999999999999E-7</v>
      </c>
      <c r="O200" s="44">
        <v>1.9999999999999999E-7</v>
      </c>
      <c r="R200" s="44">
        <v>1.9999999999999999E-7</v>
      </c>
      <c r="S200" s="44">
        <v>1.9999999999999999E-7</v>
      </c>
      <c r="T200" s="44">
        <v>1.9999999999999999E-7</v>
      </c>
      <c r="U200" s="44">
        <v>1.9999999999999999E-7</v>
      </c>
      <c r="V200" s="44">
        <v>1.9999999999999999E-7</v>
      </c>
      <c r="W200" s="44">
        <v>1.9999999999999999E-7</v>
      </c>
      <c r="X200" s="44">
        <v>1.9999999999999999E-7</v>
      </c>
      <c r="Y200" s="44">
        <v>1.9999999999999999E-7</v>
      </c>
      <c r="Z200" s="44">
        <v>1.9999999999999999E-7</v>
      </c>
      <c r="AA200" s="44">
        <v>1.9999999999999999E-7</v>
      </c>
      <c r="AB200" s="44">
        <v>1.9999999999999999E-7</v>
      </c>
      <c r="AC200"/>
      <c r="AD200" s="44">
        <v>1.9999999999999999E-7</v>
      </c>
      <c r="AE200" s="44">
        <v>1.9999999999999999E-7</v>
      </c>
      <c r="AF200" s="44">
        <v>1.9999999999999999E-7</v>
      </c>
      <c r="AG200" s="44">
        <v>1.9999999999999999E-7</v>
      </c>
      <c r="AH200" s="44">
        <v>1.9999999999999999E-7</v>
      </c>
      <c r="AI200" s="44">
        <v>1.9999999999999999E-7</v>
      </c>
      <c r="AJ200" s="44">
        <v>1.9999999999999999E-7</v>
      </c>
      <c r="AK200"/>
      <c r="AL200" s="44">
        <v>1.9999999999999999E-7</v>
      </c>
      <c r="AM200" s="44">
        <v>1.9999999999999999E-7</v>
      </c>
      <c r="AN200" s="44">
        <v>1.9999999999999999E-7</v>
      </c>
      <c r="AO200" s="44">
        <v>1.9999999999999999E-7</v>
      </c>
      <c r="AP200"/>
      <c r="AQ200" s="44">
        <v>1.9999999999999999E-7</v>
      </c>
      <c r="AR200"/>
      <c r="AS200"/>
      <c r="AT200" s="44">
        <v>1.9999999999999999E-7</v>
      </c>
    </row>
    <row r="201" spans="1:54" x14ac:dyDescent="0.25">
      <c r="A201" s="29" t="s">
        <v>279</v>
      </c>
      <c r="B201" s="3" t="s">
        <v>473</v>
      </c>
      <c r="C201" s="3" t="s">
        <v>483</v>
      </c>
      <c r="D201" s="3" t="s">
        <v>521</v>
      </c>
      <c r="E201" s="30" t="s">
        <v>345</v>
      </c>
      <c r="F201" s="30" t="s">
        <v>109</v>
      </c>
      <c r="G201" s="44">
        <v>25</v>
      </c>
      <c r="I201" s="58"/>
      <c r="J201" s="44">
        <v>25</v>
      </c>
      <c r="K201" s="44">
        <v>25</v>
      </c>
      <c r="M201" s="44">
        <v>25</v>
      </c>
      <c r="N201" s="44">
        <v>25</v>
      </c>
      <c r="O201" s="44">
        <v>25</v>
      </c>
      <c r="R201" s="44">
        <v>25</v>
      </c>
      <c r="S201" s="44">
        <v>25</v>
      </c>
      <c r="T201" s="44">
        <v>25</v>
      </c>
      <c r="U201" s="44">
        <v>25</v>
      </c>
      <c r="V201" s="44">
        <v>25</v>
      </c>
      <c r="W201" s="44">
        <v>25</v>
      </c>
      <c r="X201" s="44">
        <v>25</v>
      </c>
      <c r="Y201" s="44">
        <v>25</v>
      </c>
      <c r="Z201" s="44">
        <v>25</v>
      </c>
      <c r="AA201" s="44">
        <v>25</v>
      </c>
      <c r="AB201" s="44">
        <v>25</v>
      </c>
      <c r="AC201"/>
      <c r="AD201" s="44">
        <v>25</v>
      </c>
      <c r="AE201" s="44">
        <v>25</v>
      </c>
      <c r="AF201" s="44">
        <v>25</v>
      </c>
      <c r="AG201" s="44">
        <v>25</v>
      </c>
      <c r="AH201" s="44">
        <v>25</v>
      </c>
      <c r="AI201" s="44">
        <v>25</v>
      </c>
      <c r="AJ201" s="44">
        <v>25</v>
      </c>
      <c r="AK201"/>
      <c r="AL201" s="44">
        <v>25</v>
      </c>
      <c r="AM201" s="44">
        <v>25</v>
      </c>
      <c r="AN201" s="44">
        <v>25</v>
      </c>
      <c r="AO201" s="44">
        <v>25</v>
      </c>
      <c r="AP201"/>
      <c r="AQ201" s="44">
        <v>25</v>
      </c>
      <c r="AR201"/>
      <c r="AS201"/>
      <c r="AT201" s="44">
        <v>25</v>
      </c>
    </row>
    <row r="202" spans="1:54" x14ac:dyDescent="0.25">
      <c r="A202" s="29" t="s">
        <v>280</v>
      </c>
      <c r="B202" s="3" t="s">
        <v>473</v>
      </c>
      <c r="C202" s="3" t="s">
        <v>483</v>
      </c>
      <c r="D202" s="3" t="s">
        <v>521</v>
      </c>
      <c r="E202" s="30" t="s">
        <v>346</v>
      </c>
      <c r="F202" s="30" t="s">
        <v>301</v>
      </c>
      <c r="G202" s="44">
        <v>0</v>
      </c>
      <c r="I202" s="58"/>
      <c r="J202" s="44">
        <v>0</v>
      </c>
      <c r="K202" s="44">
        <v>0</v>
      </c>
      <c r="M202" s="44">
        <v>0</v>
      </c>
      <c r="N202" s="44">
        <v>0</v>
      </c>
      <c r="O202" s="44">
        <v>0</v>
      </c>
      <c r="R202" s="44">
        <v>0</v>
      </c>
      <c r="S202" s="44">
        <v>0</v>
      </c>
      <c r="T202" s="44">
        <v>0</v>
      </c>
      <c r="U202" s="44">
        <v>0</v>
      </c>
      <c r="V202" s="44">
        <v>0</v>
      </c>
      <c r="W202" s="44">
        <v>0</v>
      </c>
      <c r="X202" s="44">
        <v>0</v>
      </c>
      <c r="Y202" s="44">
        <v>0</v>
      </c>
      <c r="Z202" s="44">
        <v>0</v>
      </c>
      <c r="AA202" s="44">
        <v>0</v>
      </c>
      <c r="AB202" s="44">
        <v>0</v>
      </c>
      <c r="AC202"/>
      <c r="AD202" s="44">
        <v>0</v>
      </c>
      <c r="AE202" s="44">
        <v>0</v>
      </c>
      <c r="AF202" s="44">
        <v>0</v>
      </c>
      <c r="AG202" s="44">
        <v>0</v>
      </c>
      <c r="AH202" s="44">
        <v>0</v>
      </c>
      <c r="AI202" s="44">
        <v>0</v>
      </c>
      <c r="AJ202" s="44">
        <v>0</v>
      </c>
      <c r="AK202"/>
      <c r="AL202" s="44">
        <v>0</v>
      </c>
      <c r="AM202" s="44">
        <v>0</v>
      </c>
      <c r="AN202" s="44">
        <v>0</v>
      </c>
      <c r="AO202" s="44">
        <v>0</v>
      </c>
      <c r="AP202"/>
      <c r="AQ202" s="44">
        <v>0</v>
      </c>
      <c r="AR202"/>
      <c r="AS202"/>
      <c r="AT202" s="44">
        <v>0</v>
      </c>
    </row>
    <row r="203" spans="1:54" x14ac:dyDescent="0.25">
      <c r="A203" s="29" t="s">
        <v>281</v>
      </c>
      <c r="B203" s="3" t="s">
        <v>473</v>
      </c>
      <c r="C203" s="3" t="s">
        <v>483</v>
      </c>
      <c r="D203" s="3" t="s">
        <v>521</v>
      </c>
      <c r="E203" s="30" t="s">
        <v>347</v>
      </c>
      <c r="F203" s="30" t="s">
        <v>100</v>
      </c>
      <c r="G203" s="44">
        <v>3.98</v>
      </c>
      <c r="I203" s="58"/>
      <c r="J203" s="44">
        <v>3.98</v>
      </c>
      <c r="K203" s="44">
        <v>3.98</v>
      </c>
      <c r="M203" s="44">
        <v>3.98</v>
      </c>
      <c r="N203" s="44">
        <v>3.98</v>
      </c>
      <c r="O203" s="44">
        <v>3.98</v>
      </c>
      <c r="R203" s="44">
        <v>3.98</v>
      </c>
      <c r="S203" s="44">
        <v>3.98</v>
      </c>
      <c r="T203" s="44">
        <v>3.98</v>
      </c>
      <c r="U203" s="44">
        <v>3.98</v>
      </c>
      <c r="V203" s="44">
        <v>3.98</v>
      </c>
      <c r="W203" s="44">
        <v>3.98</v>
      </c>
      <c r="X203" s="44">
        <v>3.98</v>
      </c>
      <c r="Y203" s="44">
        <v>3.98</v>
      </c>
      <c r="Z203" s="44">
        <v>3.98</v>
      </c>
      <c r="AA203" s="44">
        <v>3.98</v>
      </c>
      <c r="AB203" s="44">
        <v>3.98</v>
      </c>
      <c r="AC203"/>
      <c r="AD203" s="44">
        <v>3.98</v>
      </c>
      <c r="AE203" s="44">
        <v>3.98</v>
      </c>
      <c r="AF203" s="44">
        <v>3.98</v>
      </c>
      <c r="AG203" s="44">
        <v>3.98</v>
      </c>
      <c r="AH203" s="44">
        <v>3.98</v>
      </c>
      <c r="AI203" s="44">
        <v>3.98</v>
      </c>
      <c r="AJ203" s="44">
        <v>3.98</v>
      </c>
      <c r="AK203"/>
      <c r="AL203" s="44">
        <v>3.98</v>
      </c>
      <c r="AM203" s="44">
        <v>3.98</v>
      </c>
      <c r="AN203" s="44">
        <v>3.98</v>
      </c>
      <c r="AO203" s="44">
        <v>3.98</v>
      </c>
      <c r="AP203"/>
      <c r="AQ203" s="44">
        <v>3.98</v>
      </c>
      <c r="AR203"/>
      <c r="AS203"/>
      <c r="AT203" s="44">
        <v>3.98</v>
      </c>
    </row>
    <row r="204" spans="1:54" x14ac:dyDescent="0.25">
      <c r="A204" s="29" t="s">
        <v>282</v>
      </c>
      <c r="B204" s="3" t="s">
        <v>473</v>
      </c>
      <c r="C204" s="3" t="s">
        <v>483</v>
      </c>
      <c r="D204" s="3" t="s">
        <v>521</v>
      </c>
      <c r="E204" s="30" t="s">
        <v>348</v>
      </c>
      <c r="F204" s="30" t="s">
        <v>95</v>
      </c>
      <c r="G204" s="44">
        <v>1</v>
      </c>
      <c r="I204" s="58"/>
      <c r="J204" s="44">
        <v>1</v>
      </c>
      <c r="K204" s="44">
        <v>1</v>
      </c>
      <c r="M204" s="44">
        <v>1</v>
      </c>
      <c r="N204" s="44">
        <v>1</v>
      </c>
      <c r="O204" s="44">
        <v>1</v>
      </c>
      <c r="R204" s="44">
        <v>1</v>
      </c>
      <c r="S204" s="44">
        <v>1</v>
      </c>
      <c r="T204" s="44">
        <v>1</v>
      </c>
      <c r="U204" s="44">
        <v>1</v>
      </c>
      <c r="V204" s="44">
        <v>1</v>
      </c>
      <c r="W204" s="44">
        <v>1</v>
      </c>
      <c r="X204" s="44">
        <v>1</v>
      </c>
      <c r="Y204" s="44">
        <v>1</v>
      </c>
      <c r="Z204" s="44">
        <v>1</v>
      </c>
      <c r="AA204" s="44">
        <v>1</v>
      </c>
      <c r="AB204" s="44">
        <v>1</v>
      </c>
      <c r="AC204"/>
      <c r="AD204" s="44">
        <v>1</v>
      </c>
      <c r="AE204" s="44">
        <v>1</v>
      </c>
      <c r="AF204" s="44">
        <v>1</v>
      </c>
      <c r="AG204" s="44">
        <v>1</v>
      </c>
      <c r="AH204" s="44">
        <v>1</v>
      </c>
      <c r="AI204" s="44">
        <v>1</v>
      </c>
      <c r="AJ204" s="44">
        <v>1</v>
      </c>
      <c r="AK204"/>
      <c r="AL204" s="44">
        <v>1</v>
      </c>
      <c r="AM204" s="44">
        <v>1</v>
      </c>
      <c r="AN204" s="44">
        <v>1</v>
      </c>
      <c r="AO204" s="44">
        <v>1</v>
      </c>
      <c r="AP204"/>
      <c r="AQ204" s="44">
        <v>1</v>
      </c>
      <c r="AR204"/>
      <c r="AS204"/>
      <c r="AT204" s="44">
        <v>1</v>
      </c>
    </row>
    <row r="205" spans="1:54" x14ac:dyDescent="0.25">
      <c r="A205" s="29" t="s">
        <v>283</v>
      </c>
      <c r="B205" s="3" t="s">
        <v>473</v>
      </c>
      <c r="C205" s="3" t="s">
        <v>483</v>
      </c>
      <c r="D205" s="3" t="s">
        <v>521</v>
      </c>
      <c r="E205" s="30" t="s">
        <v>360</v>
      </c>
      <c r="F205" s="30" t="s">
        <v>359</v>
      </c>
      <c r="G205" s="44">
        <v>8.3333333333333331E-5</v>
      </c>
      <c r="I205" s="58"/>
      <c r="J205" s="44">
        <v>8.3333333333333331E-5</v>
      </c>
      <c r="K205" s="44">
        <v>8.3333333333333331E-5</v>
      </c>
      <c r="M205" s="44">
        <v>8.3333333333333331E-5</v>
      </c>
      <c r="N205" s="44">
        <v>8.3333333333333331E-5</v>
      </c>
      <c r="O205" s="44">
        <v>8.3333333333333331E-5</v>
      </c>
      <c r="R205" s="44">
        <v>8.3333333333333331E-5</v>
      </c>
      <c r="S205" s="44">
        <v>8.3333333333333331E-5</v>
      </c>
      <c r="T205" s="44">
        <v>8.3333333333333331E-5</v>
      </c>
      <c r="U205" s="44">
        <v>8.3333333333333331E-5</v>
      </c>
      <c r="V205" s="44">
        <v>8.3333333333333331E-5</v>
      </c>
      <c r="W205" s="44">
        <v>8.3333333333333331E-5</v>
      </c>
      <c r="X205" s="44">
        <v>8.3333333333333331E-5</v>
      </c>
      <c r="Y205" s="44">
        <v>8.3333333333333331E-5</v>
      </c>
      <c r="Z205" s="44">
        <v>8.3333333333333331E-5</v>
      </c>
      <c r="AA205" s="44">
        <v>8.3333333333333331E-5</v>
      </c>
      <c r="AB205" s="44">
        <v>8.3333333333333331E-5</v>
      </c>
      <c r="AC205"/>
      <c r="AD205" s="44">
        <v>8.3333333333333331E-5</v>
      </c>
      <c r="AE205" s="44">
        <v>8.3333333333333331E-5</v>
      </c>
      <c r="AF205" s="44">
        <v>8.3333333333333331E-5</v>
      </c>
      <c r="AG205" s="44">
        <v>8.3333333333333331E-5</v>
      </c>
      <c r="AH205" s="44">
        <v>8.3333333333333331E-5</v>
      </c>
      <c r="AI205" s="44">
        <v>8.3333333333333331E-5</v>
      </c>
      <c r="AJ205" s="44">
        <v>8.3333333333333331E-5</v>
      </c>
      <c r="AK205"/>
      <c r="AL205" s="44">
        <v>8.3333333333333331E-5</v>
      </c>
      <c r="AM205" s="44">
        <v>8.3333333333333331E-5</v>
      </c>
      <c r="AN205" s="44">
        <v>8.3333333333333331E-5</v>
      </c>
      <c r="AO205" s="44">
        <v>8.3333333333333331E-5</v>
      </c>
      <c r="AP205"/>
      <c r="AQ205" s="44">
        <v>8.3333333333333331E-5</v>
      </c>
      <c r="AR205"/>
      <c r="AS205"/>
      <c r="AT205" s="44">
        <v>8.3333333333333331E-5</v>
      </c>
    </row>
    <row r="206" spans="1:54" x14ac:dyDescent="0.25">
      <c r="A206" s="47" t="s">
        <v>361</v>
      </c>
      <c r="B206" s="48" t="s">
        <v>473</v>
      </c>
      <c r="C206" s="48" t="s">
        <v>483</v>
      </c>
      <c r="D206" s="3" t="s">
        <v>521</v>
      </c>
      <c r="E206" s="49" t="s">
        <v>203</v>
      </c>
      <c r="F206" s="49" t="s">
        <v>91</v>
      </c>
      <c r="G206" s="44" t="s">
        <v>89</v>
      </c>
      <c r="I206" s="58"/>
      <c r="J206" s="44" t="s">
        <v>89</v>
      </c>
      <c r="K206" s="44" t="s">
        <v>89</v>
      </c>
      <c r="M206" s="44" t="s">
        <v>89</v>
      </c>
      <c r="N206" s="44" t="s">
        <v>89</v>
      </c>
      <c r="O206" s="44" t="s">
        <v>89</v>
      </c>
      <c r="R206" s="44" t="s">
        <v>89</v>
      </c>
      <c r="S206" s="44" t="s">
        <v>89</v>
      </c>
      <c r="T206" s="44" t="s">
        <v>89</v>
      </c>
      <c r="U206" s="44" t="s">
        <v>89</v>
      </c>
      <c r="V206" s="44" t="s">
        <v>89</v>
      </c>
      <c r="W206" s="44" t="s">
        <v>89</v>
      </c>
      <c r="X206" s="44" t="s">
        <v>89</v>
      </c>
      <c r="Y206" s="44" t="s">
        <v>89</v>
      </c>
      <c r="Z206" s="44" t="s">
        <v>89</v>
      </c>
      <c r="AA206" s="44" t="s">
        <v>89</v>
      </c>
      <c r="AB206" s="44" t="s">
        <v>89</v>
      </c>
      <c r="AC206"/>
      <c r="AD206" s="44" t="s">
        <v>89</v>
      </c>
      <c r="AE206" s="44" t="s">
        <v>89</v>
      </c>
      <c r="AF206" s="44" t="s">
        <v>89</v>
      </c>
      <c r="AG206" s="44" t="s">
        <v>89</v>
      </c>
      <c r="AH206" s="44" t="s">
        <v>89</v>
      </c>
      <c r="AI206" s="44" t="s">
        <v>89</v>
      </c>
      <c r="AJ206" s="44" t="s">
        <v>89</v>
      </c>
      <c r="AK206"/>
      <c r="AL206" s="44" t="s">
        <v>89</v>
      </c>
      <c r="AM206" s="44" t="s">
        <v>89</v>
      </c>
      <c r="AN206" s="44" t="s">
        <v>89</v>
      </c>
      <c r="AO206" s="44" t="s">
        <v>89</v>
      </c>
      <c r="AP206"/>
      <c r="AQ206" s="44" t="s">
        <v>89</v>
      </c>
      <c r="AR206"/>
      <c r="AS206"/>
      <c r="AT206" s="44" t="s">
        <v>89</v>
      </c>
    </row>
    <row r="207" spans="1:54" x14ac:dyDescent="0.25">
      <c r="A207" s="2" t="s">
        <v>534</v>
      </c>
      <c r="B207" s="3" t="s">
        <v>473</v>
      </c>
      <c r="C207" s="3" t="s">
        <v>580</v>
      </c>
      <c r="D207" s="3" t="s">
        <v>581</v>
      </c>
      <c r="E207" s="30" t="s">
        <v>537</v>
      </c>
      <c r="F207" s="30" t="s">
        <v>536</v>
      </c>
      <c r="G207" s="44">
        <f>0.00002</f>
        <v>2.0000000000000002E-5</v>
      </c>
      <c r="I207" s="58"/>
      <c r="J207" s="44">
        <f>0.0000005*0.4285*10/2.028*4</f>
        <v>4.2258382642998024E-6</v>
      </c>
      <c r="K207" s="44">
        <f>0.0000005*0.4285*10/2.028*4</f>
        <v>4.2258382642998024E-6</v>
      </c>
      <c r="M207" s="44">
        <f t="shared" ref="M207:AT207" si="13">0.00002</f>
        <v>2.0000000000000002E-5</v>
      </c>
      <c r="N207" s="44">
        <f t="shared" si="13"/>
        <v>2.0000000000000002E-5</v>
      </c>
      <c r="O207" s="44">
        <f t="shared" si="13"/>
        <v>2.0000000000000002E-5</v>
      </c>
      <c r="R207" s="44">
        <f t="shared" si="13"/>
        <v>2.0000000000000002E-5</v>
      </c>
      <c r="S207" s="44">
        <f t="shared" si="13"/>
        <v>2.0000000000000002E-5</v>
      </c>
      <c r="T207" s="44">
        <f t="shared" si="13"/>
        <v>2.0000000000000002E-5</v>
      </c>
      <c r="U207" s="44">
        <f t="shared" si="13"/>
        <v>2.0000000000000002E-5</v>
      </c>
      <c r="V207" s="44">
        <f t="shared" si="13"/>
        <v>2.0000000000000002E-5</v>
      </c>
      <c r="W207" s="44">
        <f t="shared" si="13"/>
        <v>2.0000000000000002E-5</v>
      </c>
      <c r="X207" s="44">
        <f t="shared" si="13"/>
        <v>2.0000000000000002E-5</v>
      </c>
      <c r="Y207" s="44">
        <f t="shared" si="13"/>
        <v>2.0000000000000002E-5</v>
      </c>
      <c r="Z207" s="44">
        <f t="shared" si="13"/>
        <v>2.0000000000000002E-5</v>
      </c>
      <c r="AA207" s="44">
        <f t="shared" si="13"/>
        <v>2.0000000000000002E-5</v>
      </c>
      <c r="AB207" s="44">
        <f t="shared" si="13"/>
        <v>2.0000000000000002E-5</v>
      </c>
      <c r="AC207"/>
      <c r="AD207" s="44">
        <f t="shared" si="13"/>
        <v>2.0000000000000002E-5</v>
      </c>
      <c r="AE207" s="44">
        <f t="shared" si="13"/>
        <v>2.0000000000000002E-5</v>
      </c>
      <c r="AF207" s="44">
        <f t="shared" si="13"/>
        <v>2.0000000000000002E-5</v>
      </c>
      <c r="AG207" s="44">
        <f t="shared" si="13"/>
        <v>2.0000000000000002E-5</v>
      </c>
      <c r="AH207" s="44">
        <f t="shared" si="13"/>
        <v>2.0000000000000002E-5</v>
      </c>
      <c r="AI207" s="44">
        <f t="shared" si="13"/>
        <v>2.0000000000000002E-5</v>
      </c>
      <c r="AJ207" s="44">
        <f t="shared" si="13"/>
        <v>2.0000000000000002E-5</v>
      </c>
      <c r="AK207"/>
      <c r="AL207" s="44">
        <f t="shared" si="13"/>
        <v>2.0000000000000002E-5</v>
      </c>
      <c r="AM207" s="44">
        <f t="shared" si="13"/>
        <v>2.0000000000000002E-5</v>
      </c>
      <c r="AN207" s="44">
        <f t="shared" si="13"/>
        <v>2.0000000000000002E-5</v>
      </c>
      <c r="AO207" s="44">
        <f t="shared" si="13"/>
        <v>2.0000000000000002E-5</v>
      </c>
      <c r="AP207"/>
      <c r="AQ207" s="44">
        <f t="shared" si="13"/>
        <v>2.0000000000000002E-5</v>
      </c>
      <c r="AR207"/>
      <c r="AS207"/>
      <c r="AT207" s="44">
        <f t="shared" si="13"/>
        <v>2.0000000000000002E-5</v>
      </c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2" t="s">
        <v>533</v>
      </c>
      <c r="B208" s="3" t="s">
        <v>473</v>
      </c>
      <c r="C208" s="3" t="s">
        <v>580</v>
      </c>
      <c r="D208" s="3" t="s">
        <v>581</v>
      </c>
      <c r="E208" s="30" t="s">
        <v>538</v>
      </c>
      <c r="F208" s="30" t="s">
        <v>539</v>
      </c>
      <c r="G208" s="44">
        <v>0.3</v>
      </c>
      <c r="I208" s="58"/>
      <c r="J208" s="44">
        <v>0.25</v>
      </c>
      <c r="K208" s="44">
        <v>0.25</v>
      </c>
      <c r="M208" s="44">
        <v>0.3</v>
      </c>
      <c r="N208" s="44">
        <v>0.3</v>
      </c>
      <c r="O208" s="44">
        <v>0.3</v>
      </c>
      <c r="R208" s="44">
        <v>0.3</v>
      </c>
      <c r="S208" s="44">
        <v>0.3</v>
      </c>
      <c r="T208" s="44">
        <v>0.3</v>
      </c>
      <c r="U208" s="44">
        <v>0.3</v>
      </c>
      <c r="V208" s="44">
        <v>0.3</v>
      </c>
      <c r="W208" s="44">
        <v>0.3</v>
      </c>
      <c r="X208" s="44">
        <v>0.3</v>
      </c>
      <c r="Y208" s="44">
        <v>0.3</v>
      </c>
      <c r="Z208" s="44">
        <v>0.3</v>
      </c>
      <c r="AA208" s="44">
        <v>0.3</v>
      </c>
      <c r="AB208" s="44">
        <v>0.3</v>
      </c>
      <c r="AC208"/>
      <c r="AD208" s="44">
        <v>0.3</v>
      </c>
      <c r="AE208" s="44">
        <v>0.3</v>
      </c>
      <c r="AF208" s="44">
        <v>0.3</v>
      </c>
      <c r="AG208" s="44">
        <v>0.3</v>
      </c>
      <c r="AH208" s="44">
        <v>0.15</v>
      </c>
      <c r="AI208" s="44">
        <v>0.15</v>
      </c>
      <c r="AJ208" s="44">
        <v>0.15</v>
      </c>
      <c r="AK208"/>
      <c r="AL208" s="44">
        <v>0.15</v>
      </c>
      <c r="AM208" s="44">
        <v>0.15</v>
      </c>
      <c r="AN208" s="44">
        <v>0.15</v>
      </c>
      <c r="AO208" s="44">
        <v>0.15</v>
      </c>
      <c r="AP208"/>
      <c r="AQ208" s="44">
        <v>0.15</v>
      </c>
      <c r="AR208"/>
      <c r="AS208"/>
      <c r="AT208" s="44">
        <v>0.3</v>
      </c>
      <c r="AU208" s="51"/>
      <c r="AV208" s="51"/>
      <c r="AW208" s="51"/>
      <c r="AX208" s="51"/>
      <c r="AY208" s="51"/>
      <c r="AZ208" s="51"/>
      <c r="BA208" s="51"/>
      <c r="BB208" s="51"/>
    </row>
    <row r="209" spans="1:54" x14ac:dyDescent="0.25">
      <c r="A209" s="2" t="s">
        <v>535</v>
      </c>
      <c r="B209" s="3" t="s">
        <v>473</v>
      </c>
      <c r="C209" s="3" t="s">
        <v>580</v>
      </c>
      <c r="D209" s="3" t="s">
        <v>581</v>
      </c>
      <c r="E209" s="50" t="s">
        <v>488</v>
      </c>
      <c r="F209" s="50" t="s">
        <v>487</v>
      </c>
      <c r="G209" s="44">
        <f t="shared" ref="G209:AT209" si="14">0.00002 / 14</f>
        <v>1.4285714285714286E-6</v>
      </c>
      <c r="I209" s="58"/>
      <c r="J209" s="44">
        <f t="shared" si="14"/>
        <v>1.4285714285714286E-6</v>
      </c>
      <c r="K209" s="44">
        <f t="shared" si="14"/>
        <v>1.4285714285714286E-6</v>
      </c>
      <c r="M209" s="44">
        <f t="shared" si="14"/>
        <v>1.4285714285714286E-6</v>
      </c>
      <c r="N209" s="44">
        <v>2E-3</v>
      </c>
      <c r="O209" s="44">
        <f t="shared" si="14"/>
        <v>1.4285714285714286E-6</v>
      </c>
      <c r="R209" s="44">
        <f t="shared" si="14"/>
        <v>1.4285714285714286E-6</v>
      </c>
      <c r="S209" s="44">
        <f t="shared" si="14"/>
        <v>1.4285714285714286E-6</v>
      </c>
      <c r="T209" s="44">
        <f t="shared" si="14"/>
        <v>1.4285714285714286E-6</v>
      </c>
      <c r="U209" s="44">
        <f t="shared" si="14"/>
        <v>1.4285714285714286E-6</v>
      </c>
      <c r="V209" s="44">
        <f t="shared" si="14"/>
        <v>1.4285714285714286E-6</v>
      </c>
      <c r="W209" s="44">
        <f t="shared" si="14"/>
        <v>1.4285714285714286E-6</v>
      </c>
      <c r="X209" s="44">
        <f t="shared" si="14"/>
        <v>1.4285714285714286E-6</v>
      </c>
      <c r="Y209" s="44">
        <f t="shared" si="14"/>
        <v>1.4285714285714286E-6</v>
      </c>
      <c r="Z209" s="44">
        <f t="shared" si="14"/>
        <v>1.4285714285714286E-6</v>
      </c>
      <c r="AA209" s="44">
        <f t="shared" si="14"/>
        <v>1.4285714285714286E-6</v>
      </c>
      <c r="AB209" s="44">
        <f t="shared" si="14"/>
        <v>1.4285714285714286E-6</v>
      </c>
      <c r="AC209"/>
      <c r="AD209" s="44">
        <f t="shared" si="14"/>
        <v>1.4285714285714286E-6</v>
      </c>
      <c r="AE209" s="44">
        <f t="shared" si="14"/>
        <v>1.4285714285714286E-6</v>
      </c>
      <c r="AF209" s="44">
        <f t="shared" si="14"/>
        <v>1.4285714285714286E-6</v>
      </c>
      <c r="AG209" s="44">
        <f t="shared" si="14"/>
        <v>1.4285714285714286E-6</v>
      </c>
      <c r="AH209" s="44">
        <f t="shared" si="14"/>
        <v>1.4285714285714286E-6</v>
      </c>
      <c r="AI209" s="44">
        <f t="shared" si="14"/>
        <v>1.4285714285714286E-6</v>
      </c>
      <c r="AJ209" s="44">
        <f t="shared" si="14"/>
        <v>1.4285714285714286E-6</v>
      </c>
      <c r="AK209"/>
      <c r="AL209" s="44">
        <f t="shared" si="14"/>
        <v>1.4285714285714286E-6</v>
      </c>
      <c r="AM209" s="44">
        <f t="shared" si="14"/>
        <v>1.4285714285714286E-6</v>
      </c>
      <c r="AN209" s="44">
        <f t="shared" si="14"/>
        <v>1.4285714285714286E-6</v>
      </c>
      <c r="AO209" s="44">
        <f t="shared" si="14"/>
        <v>1.4285714285714286E-6</v>
      </c>
      <c r="AP209"/>
      <c r="AQ209" s="44">
        <v>2E-3</v>
      </c>
      <c r="AR209"/>
      <c r="AS209"/>
      <c r="AT209" s="44">
        <f t="shared" si="14"/>
        <v>1.4285714285714286E-6</v>
      </c>
      <c r="AU209" s="37"/>
      <c r="AV209" s="37"/>
      <c r="AW209" s="37"/>
      <c r="AX209" s="37"/>
      <c r="AY209" s="37"/>
      <c r="AZ209" s="37"/>
      <c r="BA209" s="37"/>
      <c r="BB209" s="37"/>
    </row>
    <row r="210" spans="1:54" x14ac:dyDescent="0.25">
      <c r="A210" s="2" t="s">
        <v>489</v>
      </c>
      <c r="B210" s="3" t="s">
        <v>473</v>
      </c>
      <c r="C210" s="3" t="s">
        <v>580</v>
      </c>
      <c r="D210" s="3" t="s">
        <v>581</v>
      </c>
      <c r="E210" s="50" t="s">
        <v>490</v>
      </c>
      <c r="F210" s="50" t="s">
        <v>491</v>
      </c>
      <c r="G210" s="44" t="s">
        <v>485</v>
      </c>
      <c r="I210" s="58"/>
      <c r="J210" s="44" t="s">
        <v>485</v>
      </c>
      <c r="K210" s="44" t="s">
        <v>485</v>
      </c>
      <c r="M210" s="44" t="s">
        <v>485</v>
      </c>
      <c r="N210" s="44">
        <v>0.1</v>
      </c>
      <c r="O210" s="44" t="s">
        <v>485</v>
      </c>
      <c r="R210" s="44" t="s">
        <v>485</v>
      </c>
      <c r="S210" s="44" t="s">
        <v>485</v>
      </c>
      <c r="T210" s="44" t="s">
        <v>485</v>
      </c>
      <c r="U210" s="44" t="s">
        <v>485</v>
      </c>
      <c r="V210" s="44" t="s">
        <v>485</v>
      </c>
      <c r="W210" s="44" t="s">
        <v>485</v>
      </c>
      <c r="X210" s="44" t="s">
        <v>485</v>
      </c>
      <c r="Y210" s="44" t="s">
        <v>485</v>
      </c>
      <c r="Z210" s="44" t="s">
        <v>485</v>
      </c>
      <c r="AA210" s="44" t="s">
        <v>485</v>
      </c>
      <c r="AB210" s="44" t="s">
        <v>485</v>
      </c>
      <c r="AC210"/>
      <c r="AD210" s="44" t="s">
        <v>485</v>
      </c>
      <c r="AE210" s="44" t="s">
        <v>485</v>
      </c>
      <c r="AF210" s="44" t="s">
        <v>485</v>
      </c>
      <c r="AG210" s="44" t="s">
        <v>485</v>
      </c>
      <c r="AH210" s="44" t="s">
        <v>485</v>
      </c>
      <c r="AI210" s="44" t="s">
        <v>485</v>
      </c>
      <c r="AJ210" s="44" t="s">
        <v>485</v>
      </c>
      <c r="AK210"/>
      <c r="AL210" s="44" t="s">
        <v>485</v>
      </c>
      <c r="AM210" s="44" t="s">
        <v>485</v>
      </c>
      <c r="AN210" s="44" t="s">
        <v>485</v>
      </c>
      <c r="AO210" s="44" t="s">
        <v>485</v>
      </c>
      <c r="AP210"/>
      <c r="AQ210" s="44">
        <v>0.1</v>
      </c>
      <c r="AR210"/>
      <c r="AS210"/>
      <c r="AT210" s="44" t="s">
        <v>485</v>
      </c>
      <c r="AU210" s="37"/>
      <c r="AV210" s="37"/>
      <c r="AW210" s="37"/>
      <c r="AX210" s="37"/>
      <c r="AY210" s="37"/>
      <c r="AZ210" s="37"/>
      <c r="BA210" s="37"/>
      <c r="BB210" s="37"/>
    </row>
    <row r="211" spans="1:54" x14ac:dyDescent="0.25">
      <c r="A211" s="2" t="s">
        <v>492</v>
      </c>
      <c r="B211" s="3" t="s">
        <v>473</v>
      </c>
      <c r="C211" s="3" t="s">
        <v>580</v>
      </c>
      <c r="D211" s="3" t="s">
        <v>581</v>
      </c>
      <c r="E211" s="50" t="s">
        <v>493</v>
      </c>
      <c r="F211" s="50" t="s">
        <v>491</v>
      </c>
      <c r="G211" s="44">
        <v>0</v>
      </c>
      <c r="I211" s="58"/>
      <c r="J211" s="44">
        <v>0</v>
      </c>
      <c r="K211" s="44">
        <v>0</v>
      </c>
      <c r="M211" s="44">
        <v>0</v>
      </c>
      <c r="N211" s="44">
        <v>0.04</v>
      </c>
      <c r="O211" s="44">
        <v>0</v>
      </c>
      <c r="R211" s="44">
        <v>0</v>
      </c>
      <c r="S211" s="44">
        <v>0</v>
      </c>
      <c r="T211" s="44">
        <v>0</v>
      </c>
      <c r="U211" s="44">
        <v>0</v>
      </c>
      <c r="V211" s="44">
        <v>0</v>
      </c>
      <c r="W211" s="44">
        <v>0</v>
      </c>
      <c r="X211" s="44">
        <v>0</v>
      </c>
      <c r="Y211" s="44">
        <v>0</v>
      </c>
      <c r="Z211" s="44">
        <v>0</v>
      </c>
      <c r="AA211" s="44">
        <v>0</v>
      </c>
      <c r="AB211" s="44">
        <v>0</v>
      </c>
      <c r="AC211"/>
      <c r="AD211" s="44">
        <v>0</v>
      </c>
      <c r="AE211" s="44">
        <v>0</v>
      </c>
      <c r="AF211" s="44">
        <v>0</v>
      </c>
      <c r="AG211" s="44">
        <v>0</v>
      </c>
      <c r="AH211" s="44">
        <v>0</v>
      </c>
      <c r="AI211" s="44">
        <v>0</v>
      </c>
      <c r="AJ211" s="44">
        <v>0</v>
      </c>
      <c r="AK211"/>
      <c r="AL211" s="44">
        <v>0</v>
      </c>
      <c r="AM211" s="44">
        <v>0</v>
      </c>
      <c r="AN211" s="44">
        <v>0</v>
      </c>
      <c r="AO211" s="44">
        <v>0</v>
      </c>
      <c r="AP211"/>
      <c r="AQ211" s="44">
        <v>0.04</v>
      </c>
      <c r="AR211"/>
      <c r="AS211"/>
      <c r="AT211" s="44">
        <v>0</v>
      </c>
      <c r="AU211" s="37"/>
      <c r="AV211" s="37"/>
      <c r="AW211" s="37"/>
      <c r="AX211" s="37"/>
      <c r="AY211" s="37"/>
      <c r="AZ211" s="37"/>
      <c r="BA211" s="37"/>
      <c r="BB211" s="37"/>
    </row>
    <row r="212" spans="1:54" x14ac:dyDescent="0.25">
      <c r="A212" s="2" t="s">
        <v>494</v>
      </c>
      <c r="B212" s="3" t="s">
        <v>473</v>
      </c>
      <c r="C212" s="3" t="s">
        <v>580</v>
      </c>
      <c r="D212" s="3" t="s">
        <v>581</v>
      </c>
      <c r="E212" s="50" t="s">
        <v>495</v>
      </c>
      <c r="F212" s="50" t="s">
        <v>491</v>
      </c>
      <c r="G212" s="44">
        <v>1E-3</v>
      </c>
      <c r="I212" s="58"/>
      <c r="J212" s="44">
        <v>1E-3</v>
      </c>
      <c r="K212" s="44">
        <v>1E-3</v>
      </c>
      <c r="M212" s="44">
        <v>1E-3</v>
      </c>
      <c r="N212" s="44">
        <v>1E-3</v>
      </c>
      <c r="O212" s="44">
        <v>1E-3</v>
      </c>
      <c r="R212" s="44">
        <v>1E-3</v>
      </c>
      <c r="S212" s="44">
        <v>1E-3</v>
      </c>
      <c r="T212" s="44">
        <v>1E-3</v>
      </c>
      <c r="U212" s="44">
        <v>1E-3</v>
      </c>
      <c r="V212" s="44">
        <v>1E-3</v>
      </c>
      <c r="W212" s="44">
        <v>1E-3</v>
      </c>
      <c r="X212" s="44">
        <v>1E-3</v>
      </c>
      <c r="Y212" s="44">
        <v>1E-3</v>
      </c>
      <c r="Z212" s="44">
        <v>1E-3</v>
      </c>
      <c r="AA212" s="44">
        <v>1E-3</v>
      </c>
      <c r="AB212" s="44">
        <v>1E-3</v>
      </c>
      <c r="AC212"/>
      <c r="AD212" s="44">
        <v>1E-3</v>
      </c>
      <c r="AE212" s="44">
        <v>1E-3</v>
      </c>
      <c r="AF212" s="44">
        <v>1E-3</v>
      </c>
      <c r="AG212" s="44">
        <v>1E-3</v>
      </c>
      <c r="AH212" s="44">
        <v>1E-3</v>
      </c>
      <c r="AI212" s="44">
        <v>1E-3</v>
      </c>
      <c r="AJ212" s="44">
        <v>1E-3</v>
      </c>
      <c r="AK212"/>
      <c r="AL212" s="44">
        <v>1E-3</v>
      </c>
      <c r="AM212" s="44">
        <v>1E-3</v>
      </c>
      <c r="AN212" s="44">
        <v>1E-3</v>
      </c>
      <c r="AO212" s="44">
        <v>1E-3</v>
      </c>
      <c r="AP212"/>
      <c r="AQ212" s="44">
        <v>1E-3</v>
      </c>
      <c r="AR212"/>
      <c r="AS212"/>
      <c r="AT212" s="44">
        <v>1E-3</v>
      </c>
      <c r="AU212" s="37"/>
      <c r="AV212" s="37"/>
      <c r="AW212" s="37"/>
      <c r="AX212" s="37"/>
      <c r="AY212" s="37"/>
      <c r="AZ212" s="37"/>
      <c r="BA212" s="37"/>
      <c r="BB212" s="37"/>
    </row>
    <row r="213" spans="1:54" x14ac:dyDescent="0.25">
      <c r="A213" s="2" t="s">
        <v>496</v>
      </c>
      <c r="B213" s="3" t="s">
        <v>473</v>
      </c>
      <c r="C213" s="3" t="s">
        <v>483</v>
      </c>
      <c r="D213" s="3" t="s">
        <v>521</v>
      </c>
      <c r="E213" s="50" t="s">
        <v>497</v>
      </c>
      <c r="F213" s="50" t="s">
        <v>498</v>
      </c>
      <c r="G213" s="44">
        <f>1.25*0.000001</f>
        <v>1.2499999999999999E-6</v>
      </c>
      <c r="I213" s="58"/>
      <c r="J213" s="44">
        <f t="shared" ref="J213:AT213" si="15">1250*0.000001/5</f>
        <v>2.5000000000000001E-4</v>
      </c>
      <c r="K213" s="44">
        <f t="shared" si="15"/>
        <v>2.5000000000000001E-4</v>
      </c>
      <c r="M213" s="44">
        <f t="shared" si="15"/>
        <v>2.5000000000000001E-4</v>
      </c>
      <c r="N213" s="44">
        <f t="shared" si="15"/>
        <v>2.5000000000000001E-4</v>
      </c>
      <c r="O213" s="44">
        <f t="shared" si="15"/>
        <v>2.5000000000000001E-4</v>
      </c>
      <c r="R213" s="44">
        <f t="shared" si="15"/>
        <v>2.5000000000000001E-4</v>
      </c>
      <c r="S213" s="44">
        <f t="shared" si="15"/>
        <v>2.5000000000000001E-4</v>
      </c>
      <c r="T213" s="44">
        <f t="shared" si="15"/>
        <v>2.5000000000000001E-4</v>
      </c>
      <c r="U213" s="44">
        <f t="shared" si="15"/>
        <v>2.5000000000000001E-4</v>
      </c>
      <c r="V213" s="44">
        <f t="shared" si="15"/>
        <v>2.5000000000000001E-4</v>
      </c>
      <c r="W213" s="44">
        <f t="shared" si="15"/>
        <v>2.5000000000000001E-4</v>
      </c>
      <c r="X213" s="44">
        <f t="shared" si="15"/>
        <v>2.5000000000000001E-4</v>
      </c>
      <c r="Y213" s="44">
        <f t="shared" si="15"/>
        <v>2.5000000000000001E-4</v>
      </c>
      <c r="Z213" s="44">
        <f t="shared" si="15"/>
        <v>2.5000000000000001E-4</v>
      </c>
      <c r="AA213" s="44">
        <f t="shared" si="15"/>
        <v>2.5000000000000001E-4</v>
      </c>
      <c r="AB213" s="44">
        <f t="shared" si="15"/>
        <v>2.5000000000000001E-4</v>
      </c>
      <c r="AC213"/>
      <c r="AD213" s="44">
        <f t="shared" si="15"/>
        <v>2.5000000000000001E-4</v>
      </c>
      <c r="AE213" s="44">
        <f t="shared" si="15"/>
        <v>2.5000000000000001E-4</v>
      </c>
      <c r="AF213" s="44">
        <f t="shared" si="15"/>
        <v>2.5000000000000001E-4</v>
      </c>
      <c r="AG213" s="44">
        <f t="shared" si="15"/>
        <v>2.5000000000000001E-4</v>
      </c>
      <c r="AH213" s="44">
        <f t="shared" si="15"/>
        <v>2.5000000000000001E-4</v>
      </c>
      <c r="AI213" s="44">
        <f t="shared" si="15"/>
        <v>2.5000000000000001E-4</v>
      </c>
      <c r="AJ213" s="44">
        <f t="shared" si="15"/>
        <v>2.5000000000000001E-4</v>
      </c>
      <c r="AK213"/>
      <c r="AL213" s="44">
        <f t="shared" si="15"/>
        <v>2.5000000000000001E-4</v>
      </c>
      <c r="AM213" s="44">
        <f t="shared" si="15"/>
        <v>2.5000000000000001E-4</v>
      </c>
      <c r="AN213" s="44">
        <f t="shared" si="15"/>
        <v>2.5000000000000001E-4</v>
      </c>
      <c r="AO213" s="44">
        <f t="shared" si="15"/>
        <v>2.5000000000000001E-4</v>
      </c>
      <c r="AP213"/>
      <c r="AQ213" s="44">
        <f t="shared" si="15"/>
        <v>2.5000000000000001E-4</v>
      </c>
      <c r="AR213"/>
      <c r="AS213"/>
      <c r="AT213" s="44">
        <f t="shared" si="15"/>
        <v>2.5000000000000001E-4</v>
      </c>
      <c r="AU213" s="51"/>
      <c r="AV213" s="51"/>
      <c r="AW213" s="51"/>
      <c r="AX213" s="51"/>
      <c r="AY213" s="51"/>
      <c r="AZ213" s="51"/>
      <c r="BA213" s="51"/>
      <c r="BB213" s="51"/>
    </row>
    <row r="214" spans="1:54" x14ac:dyDescent="0.25">
      <c r="A214" s="2" t="s">
        <v>499</v>
      </c>
      <c r="B214" s="3" t="s">
        <v>473</v>
      </c>
      <c r="C214" s="3" t="s">
        <v>483</v>
      </c>
      <c r="D214" s="3" t="s">
        <v>521</v>
      </c>
      <c r="E214" s="50" t="s">
        <v>500</v>
      </c>
      <c r="F214" s="50" t="s">
        <v>501</v>
      </c>
      <c r="G214" s="44">
        <v>2.0000000000000001E-4</v>
      </c>
      <c r="I214" s="58"/>
      <c r="J214" s="44">
        <v>2.0000000000000001E-4</v>
      </c>
      <c r="K214" s="44">
        <v>2.0000000000000001E-4</v>
      </c>
      <c r="M214" s="44">
        <v>2.0000000000000001E-4</v>
      </c>
      <c r="N214" s="44">
        <v>2.0000000000000001E-4</v>
      </c>
      <c r="O214" s="44">
        <v>2.0000000000000001E-4</v>
      </c>
      <c r="P214" s="1">
        <f>44.4365413894298/21.9053373</f>
        <v>2.0285714290019081</v>
      </c>
      <c r="R214" s="44">
        <v>2.0000000000000001E-4</v>
      </c>
      <c r="S214" s="44">
        <v>2.0000000000000001E-4</v>
      </c>
      <c r="T214" s="44">
        <v>2.0000000000000001E-4</v>
      </c>
      <c r="U214" s="44">
        <v>2.0000000000000001E-4</v>
      </c>
      <c r="V214" s="44">
        <v>2.0000000000000001E-4</v>
      </c>
      <c r="W214" s="44">
        <v>2.0000000000000001E-4</v>
      </c>
      <c r="X214" s="44">
        <v>2.0000000000000001E-4</v>
      </c>
      <c r="Y214" s="44">
        <v>2.0000000000000001E-4</v>
      </c>
      <c r="Z214" s="44">
        <v>2.0000000000000001E-4</v>
      </c>
      <c r="AA214" s="44">
        <v>2.0000000000000001E-4</v>
      </c>
      <c r="AB214" s="44">
        <v>2.0000000000000001E-4</v>
      </c>
      <c r="AC214"/>
      <c r="AD214" s="44">
        <v>2.0000000000000001E-4</v>
      </c>
      <c r="AE214" s="44">
        <v>2.0000000000000001E-4</v>
      </c>
      <c r="AF214" s="44">
        <v>2.0000000000000001E-4</v>
      </c>
      <c r="AG214" s="44">
        <v>2.0000000000000001E-4</v>
      </c>
      <c r="AH214" s="44">
        <v>2.0000000000000001E-4</v>
      </c>
      <c r="AI214" s="44">
        <v>2.0000000000000001E-4</v>
      </c>
      <c r="AJ214" s="44">
        <v>2.0000000000000001E-4</v>
      </c>
      <c r="AK214"/>
      <c r="AL214" s="44">
        <v>2.0000000000000001E-4</v>
      </c>
      <c r="AM214" s="44">
        <v>2.0000000000000001E-4</v>
      </c>
      <c r="AN214" s="44">
        <v>2.0000000000000001E-4</v>
      </c>
      <c r="AO214" s="44">
        <v>2.0000000000000001E-4</v>
      </c>
      <c r="AP214"/>
      <c r="AQ214" s="44">
        <v>2.0000000000000001E-4</v>
      </c>
      <c r="AR214"/>
      <c r="AS214"/>
      <c r="AT214" s="44">
        <v>2.0000000000000001E-4</v>
      </c>
      <c r="AU214" s="51"/>
      <c r="AV214" s="51"/>
      <c r="AW214" s="51"/>
      <c r="AX214" s="51"/>
      <c r="AY214" s="51"/>
      <c r="AZ214" s="51"/>
      <c r="BA214" s="51"/>
      <c r="BB214" s="51"/>
    </row>
    <row r="215" spans="1:54" x14ac:dyDescent="0.25">
      <c r="A215" s="2" t="s">
        <v>502</v>
      </c>
      <c r="B215" s="3" t="s">
        <v>473</v>
      </c>
      <c r="C215" s="3" t="s">
        <v>483</v>
      </c>
      <c r="D215" s="3" t="s">
        <v>521</v>
      </c>
      <c r="E215" s="50" t="s">
        <v>503</v>
      </c>
      <c r="F215" s="50" t="s">
        <v>504</v>
      </c>
      <c r="G215" s="44">
        <v>2.4999999999999998E-12</v>
      </c>
      <c r="I215" s="44">
        <f xml:space="preserve"> 0.0000000000025 * 10</f>
        <v>2.4999999999999998E-11</v>
      </c>
      <c r="J215" s="44">
        <f>0.0000000000025/100/10</f>
        <v>2.4999999999999996E-15</v>
      </c>
      <c r="K215" s="44">
        <f>0.0000000000025/100/10</f>
        <v>2.4999999999999996E-15</v>
      </c>
      <c r="L215" s="1" t="s">
        <v>605</v>
      </c>
      <c r="M215" s="44">
        <v>2.4999999999999999E-13</v>
      </c>
      <c r="N215" s="44">
        <v>2.4999999999999999E-13</v>
      </c>
      <c r="O215" s="44">
        <v>2.4999999999999999E-13</v>
      </c>
      <c r="R215" s="44">
        <v>2.4999999999999999E-13</v>
      </c>
      <c r="S215" s="44">
        <v>2.4999999999999999E-13</v>
      </c>
      <c r="T215" s="44">
        <v>2.4999999999999999E-13</v>
      </c>
      <c r="U215" s="44">
        <v>2.4999999999999999E-13</v>
      </c>
      <c r="V215" s="44">
        <v>2.4999999999999999E-13</v>
      </c>
      <c r="W215" s="44">
        <v>2.4999999999999999E-13</v>
      </c>
      <c r="X215" s="44">
        <v>2.4999999999999999E-13</v>
      </c>
      <c r="Y215" s="44">
        <v>2.4999999999999999E-13</v>
      </c>
      <c r="Z215" s="44">
        <v>2.4999999999999999E-13</v>
      </c>
      <c r="AA215" s="44">
        <v>2.4999999999999999E-13</v>
      </c>
      <c r="AB215" s="44">
        <v>2.4999999999999999E-13</v>
      </c>
      <c r="AC215"/>
      <c r="AD215" s="44">
        <v>2.4999999999999999E-13</v>
      </c>
      <c r="AE215" s="44">
        <v>2.4999999999999999E-13</v>
      </c>
      <c r="AF215" s="44">
        <v>2.4999999999999999E-13</v>
      </c>
      <c r="AG215" s="44">
        <v>2.4999999999999999E-13</v>
      </c>
      <c r="AH215" s="44">
        <v>2.4999999999999999E-13</v>
      </c>
      <c r="AI215" s="44">
        <v>2.4999999999999999E-13</v>
      </c>
      <c r="AJ215" s="44">
        <v>2.4999999999999999E-13</v>
      </c>
      <c r="AK215"/>
      <c r="AL215" s="44">
        <v>2.4999999999999999E-13</v>
      </c>
      <c r="AM215" s="44">
        <v>2.4999999999999999E-13</v>
      </c>
      <c r="AN215" s="44">
        <v>2.4999999999999999E-13</v>
      </c>
      <c r="AO215" s="44">
        <v>2.4999999999999999E-13</v>
      </c>
      <c r="AP215"/>
      <c r="AQ215" s="44">
        <v>2.4999999999999999E-13</v>
      </c>
      <c r="AR215"/>
      <c r="AS215"/>
      <c r="AT215" s="44">
        <v>2.4999999999999999E-13</v>
      </c>
      <c r="AU215" s="51"/>
      <c r="AV215" s="51"/>
      <c r="AW215" s="51"/>
      <c r="AX215" s="51"/>
      <c r="AY215" s="51"/>
      <c r="AZ215" s="51"/>
      <c r="BA215" s="51"/>
      <c r="BB215" s="51"/>
    </row>
    <row r="216" spans="1:54" x14ac:dyDescent="0.25">
      <c r="A216" s="2" t="s">
        <v>505</v>
      </c>
      <c r="B216" s="3" t="s">
        <v>473</v>
      </c>
      <c r="C216" s="3" t="s">
        <v>483</v>
      </c>
      <c r="D216" s="3" t="s">
        <v>521</v>
      </c>
      <c r="E216" s="50" t="s">
        <v>506</v>
      </c>
      <c r="F216" s="50" t="s">
        <v>504</v>
      </c>
      <c r="G216" s="44">
        <v>1.2E-8</v>
      </c>
      <c r="I216" s="58"/>
      <c r="J216" s="44">
        <f>0.00000000005*2 / 10 / 2</f>
        <v>5.0000000000000005E-12</v>
      </c>
      <c r="K216" s="44">
        <f>0.00000000005*2 / 10 / 2</f>
        <v>5.0000000000000005E-12</v>
      </c>
      <c r="M216" s="44">
        <f t="shared" ref="M216:AQ216" si="16">0.00000012*100</f>
        <v>1.1999999999999999E-5</v>
      </c>
      <c r="N216" s="44">
        <f t="shared" si="16"/>
        <v>1.1999999999999999E-5</v>
      </c>
      <c r="O216" s="44">
        <f t="shared" si="16"/>
        <v>1.1999999999999999E-5</v>
      </c>
      <c r="R216" s="44">
        <f t="shared" si="16"/>
        <v>1.1999999999999999E-5</v>
      </c>
      <c r="S216" s="44">
        <f t="shared" si="16"/>
        <v>1.1999999999999999E-5</v>
      </c>
      <c r="T216" s="44">
        <f t="shared" si="16"/>
        <v>1.1999999999999999E-5</v>
      </c>
      <c r="U216" s="44">
        <f t="shared" si="16"/>
        <v>1.1999999999999999E-5</v>
      </c>
      <c r="V216" s="44">
        <f t="shared" si="16"/>
        <v>1.1999999999999999E-5</v>
      </c>
      <c r="W216" s="44">
        <f t="shared" si="16"/>
        <v>1.1999999999999999E-5</v>
      </c>
      <c r="X216" s="44">
        <f t="shared" si="16"/>
        <v>1.1999999999999999E-5</v>
      </c>
      <c r="Y216" s="44">
        <f t="shared" si="16"/>
        <v>1.1999999999999999E-5</v>
      </c>
      <c r="Z216" s="44">
        <f t="shared" si="16"/>
        <v>1.1999999999999999E-5</v>
      </c>
      <c r="AA216" s="44">
        <f t="shared" si="16"/>
        <v>1.1999999999999999E-5</v>
      </c>
      <c r="AB216" s="44">
        <f t="shared" si="16"/>
        <v>1.1999999999999999E-5</v>
      </c>
      <c r="AC216"/>
      <c r="AD216" s="44">
        <f t="shared" si="16"/>
        <v>1.1999999999999999E-5</v>
      </c>
      <c r="AE216" s="44">
        <f t="shared" si="16"/>
        <v>1.1999999999999999E-5</v>
      </c>
      <c r="AF216" s="44">
        <f t="shared" si="16"/>
        <v>1.1999999999999999E-5</v>
      </c>
      <c r="AG216" s="44">
        <f t="shared" si="16"/>
        <v>1.1999999999999999E-5</v>
      </c>
      <c r="AH216" s="44">
        <f t="shared" si="16"/>
        <v>1.1999999999999999E-5</v>
      </c>
      <c r="AI216" s="44">
        <f t="shared" si="16"/>
        <v>1.1999999999999999E-5</v>
      </c>
      <c r="AJ216" s="44">
        <f t="shared" si="16"/>
        <v>1.1999999999999999E-5</v>
      </c>
      <c r="AK216"/>
      <c r="AL216" s="44">
        <f t="shared" si="16"/>
        <v>1.1999999999999999E-5</v>
      </c>
      <c r="AM216" s="44">
        <f t="shared" si="16"/>
        <v>1.1999999999999999E-5</v>
      </c>
      <c r="AN216" s="44">
        <f t="shared" si="16"/>
        <v>1.1999999999999999E-5</v>
      </c>
      <c r="AO216" s="44">
        <f t="shared" si="16"/>
        <v>1.1999999999999999E-5</v>
      </c>
      <c r="AP216"/>
      <c r="AQ216" s="44">
        <f t="shared" si="16"/>
        <v>1.1999999999999999E-5</v>
      </c>
      <c r="AR216"/>
      <c r="AS216"/>
      <c r="AT216" s="44">
        <f>0.00000012*100</f>
        <v>1.1999999999999999E-5</v>
      </c>
      <c r="AU216" s="51"/>
      <c r="AV216" s="51"/>
      <c r="AW216" s="51"/>
      <c r="AX216" s="51"/>
      <c r="AY216" s="51"/>
      <c r="AZ216" s="51"/>
      <c r="BA216" s="51"/>
      <c r="BB216" s="51"/>
    </row>
    <row r="217" spans="1:54" x14ac:dyDescent="0.25">
      <c r="A217" s="2" t="s">
        <v>573</v>
      </c>
      <c r="B217" s="3" t="s">
        <v>473</v>
      </c>
      <c r="C217" s="3" t="s">
        <v>483</v>
      </c>
      <c r="D217" s="3" t="s">
        <v>521</v>
      </c>
      <c r="E217" s="50" t="s">
        <v>506</v>
      </c>
      <c r="F217" s="50" t="s">
        <v>511</v>
      </c>
      <c r="G217" s="44"/>
      <c r="I217" s="58"/>
      <c r="J217" s="44">
        <f>0</f>
        <v>0</v>
      </c>
      <c r="K217" s="44">
        <f>0</f>
        <v>0</v>
      </c>
      <c r="M217" s="44"/>
      <c r="N217" s="44"/>
      <c r="O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/>
      <c r="AD217" s="44"/>
      <c r="AE217" s="44"/>
      <c r="AF217" s="44"/>
      <c r="AG217" s="44"/>
      <c r="AH217" s="44"/>
      <c r="AI217" s="44"/>
      <c r="AJ217" s="44"/>
      <c r="AK217"/>
      <c r="AL217" s="44"/>
      <c r="AM217" s="44"/>
      <c r="AN217" s="44"/>
      <c r="AO217" s="44"/>
      <c r="AP217"/>
      <c r="AQ217" s="44"/>
      <c r="AR217"/>
      <c r="AS217"/>
      <c r="AT217" s="44"/>
      <c r="AU217" s="51"/>
      <c r="AV217" s="51"/>
      <c r="AW217" s="51"/>
      <c r="AX217" s="51"/>
      <c r="AY217" s="51"/>
      <c r="AZ217" s="51"/>
      <c r="BA217" s="51"/>
      <c r="BB217" s="51"/>
    </row>
    <row r="218" spans="1:54" x14ac:dyDescent="0.25">
      <c r="A218" s="2" t="s">
        <v>574</v>
      </c>
      <c r="B218" s="3" t="s">
        <v>473</v>
      </c>
      <c r="C218" s="3" t="s">
        <v>483</v>
      </c>
      <c r="D218" s="3" t="s">
        <v>521</v>
      </c>
      <c r="E218" s="50" t="s">
        <v>577</v>
      </c>
      <c r="F218" s="50" t="s">
        <v>487</v>
      </c>
      <c r="G218" s="44"/>
      <c r="I218" s="58"/>
      <c r="J218" s="44">
        <f>100</f>
        <v>100</v>
      </c>
      <c r="K218" s="44">
        <f>100</f>
        <v>100</v>
      </c>
      <c r="M218" s="44"/>
      <c r="N218" s="44"/>
      <c r="O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/>
      <c r="AD218" s="44"/>
      <c r="AE218" s="44"/>
      <c r="AF218" s="44"/>
      <c r="AG218" s="44"/>
      <c r="AH218" s="44"/>
      <c r="AI218" s="44"/>
      <c r="AJ218" s="44"/>
      <c r="AK218"/>
      <c r="AL218" s="44"/>
      <c r="AM218" s="44"/>
      <c r="AN218" s="44"/>
      <c r="AO218" s="44"/>
      <c r="AP218"/>
      <c r="AQ218" s="44"/>
      <c r="AR218"/>
      <c r="AS218"/>
      <c r="AT218" s="44"/>
      <c r="AU218" s="51"/>
      <c r="AV218" s="51"/>
      <c r="AW218" s="51"/>
      <c r="AX218" s="51"/>
      <c r="AY218" s="51"/>
      <c r="AZ218" s="51"/>
      <c r="BA218" s="51"/>
      <c r="BB218" s="51"/>
    </row>
    <row r="219" spans="1:54" x14ac:dyDescent="0.25">
      <c r="A219" s="2" t="s">
        <v>591</v>
      </c>
      <c r="B219" s="3" t="s">
        <v>473</v>
      </c>
      <c r="C219" s="3" t="s">
        <v>483</v>
      </c>
      <c r="D219" s="3" t="s">
        <v>521</v>
      </c>
      <c r="E219" s="50" t="s">
        <v>507</v>
      </c>
      <c r="F219" s="50" t="s">
        <v>508</v>
      </c>
      <c r="G219" s="44">
        <v>9.9999999999999995E-8</v>
      </c>
      <c r="I219" s="44">
        <f>0.000001 / 10000 / 4 / 10</f>
        <v>2.4999999999999998E-12</v>
      </c>
      <c r="J219" s="44">
        <f>0.000001 / 10000 *2 * 3</f>
        <v>6E-10</v>
      </c>
      <c r="K219" s="44">
        <f>0.000001 / 10000 *2 * 3</f>
        <v>6E-10</v>
      </c>
      <c r="L219" s="1" t="s">
        <v>596</v>
      </c>
      <c r="M219" s="44">
        <v>9.9999999999999995E-7</v>
      </c>
      <c r="N219" s="44">
        <v>9.9999999999999995E-7</v>
      </c>
      <c r="O219" s="44">
        <v>9.9999999999999995E-7</v>
      </c>
      <c r="R219" s="44">
        <v>9.9999999999999995E-7</v>
      </c>
      <c r="S219" s="44">
        <v>9.9999999999999995E-7</v>
      </c>
      <c r="T219" s="44">
        <v>9.9999999999999995E-7</v>
      </c>
      <c r="U219" s="44">
        <v>9.9999999999999995E-7</v>
      </c>
      <c r="V219" s="44">
        <v>9.9999999999999995E-7</v>
      </c>
      <c r="W219" s="44">
        <v>9.9999999999999995E-7</v>
      </c>
      <c r="X219" s="44">
        <v>9.9999999999999995E-7</v>
      </c>
      <c r="Y219" s="44">
        <v>9.9999999999999995E-7</v>
      </c>
      <c r="Z219" s="44">
        <v>9.9999999999999995E-7</v>
      </c>
      <c r="AA219" s="44">
        <v>9.9999999999999995E-7</v>
      </c>
      <c r="AB219" s="44">
        <v>9.9999999999999995E-7</v>
      </c>
      <c r="AC219"/>
      <c r="AD219" s="44">
        <v>9.9999999999999995E-7</v>
      </c>
      <c r="AE219" s="44">
        <v>9.9999999999999995E-7</v>
      </c>
      <c r="AF219" s="44">
        <v>9.9999999999999995E-7</v>
      </c>
      <c r="AG219" s="44">
        <v>9.9999999999999995E-7</v>
      </c>
      <c r="AH219" s="44">
        <v>9.9999999999999995E-7</v>
      </c>
      <c r="AI219" s="44">
        <v>9.9999999999999995E-7</v>
      </c>
      <c r="AJ219" s="44">
        <v>9.9999999999999995E-7</v>
      </c>
      <c r="AK219"/>
      <c r="AL219" s="44">
        <v>9.9999999999999995E-7</v>
      </c>
      <c r="AM219" s="44">
        <v>9.9999999999999995E-7</v>
      </c>
      <c r="AN219" s="44">
        <v>9.9999999999999995E-7</v>
      </c>
      <c r="AO219" s="44">
        <v>9.9999999999999995E-7</v>
      </c>
      <c r="AP219"/>
      <c r="AQ219" s="44">
        <v>9.9999999999999995E-7</v>
      </c>
      <c r="AR219"/>
      <c r="AS219"/>
      <c r="AT219" s="44">
        <v>9.9999999999999995E-7</v>
      </c>
      <c r="AU219" s="51"/>
      <c r="AV219" s="51"/>
      <c r="AW219" s="51"/>
      <c r="AX219" s="51"/>
      <c r="AY219" s="51"/>
      <c r="AZ219" s="51"/>
      <c r="BA219" s="51"/>
      <c r="BB219" s="51"/>
    </row>
    <row r="220" spans="1:54" x14ac:dyDescent="0.25">
      <c r="A220" s="2" t="s">
        <v>592</v>
      </c>
      <c r="B220" s="3" t="s">
        <v>473</v>
      </c>
      <c r="C220" s="3" t="s">
        <v>483</v>
      </c>
      <c r="D220" s="3" t="s">
        <v>521</v>
      </c>
      <c r="E220" s="50" t="s">
        <v>507</v>
      </c>
      <c r="F220" s="50" t="s">
        <v>508</v>
      </c>
      <c r="G220" s="44">
        <v>9.9999999999999995E-8</v>
      </c>
      <c r="I220" s="44">
        <f>0.000001 / 10000 / 4 / 10</f>
        <v>2.4999999999999998E-12</v>
      </c>
      <c r="J220" s="44">
        <f>0.000001 / 10000 / 4 / 10</f>
        <v>2.4999999999999998E-12</v>
      </c>
      <c r="K220" s="44">
        <f>0.000001 / 10000 / 4 / 10</f>
        <v>2.4999999999999998E-12</v>
      </c>
      <c r="L220" s="1" t="s">
        <v>593</v>
      </c>
      <c r="M220" s="44">
        <v>9.9999999999999995E-7</v>
      </c>
      <c r="N220" s="44">
        <v>9.9999999999999995E-7</v>
      </c>
      <c r="O220" s="44">
        <v>9.9999999999999995E-7</v>
      </c>
      <c r="R220" s="44">
        <v>9.9999999999999995E-7</v>
      </c>
      <c r="S220" s="44">
        <v>9.9999999999999995E-7</v>
      </c>
      <c r="T220" s="44">
        <v>9.9999999999999995E-7</v>
      </c>
      <c r="U220" s="44">
        <v>9.9999999999999995E-7</v>
      </c>
      <c r="V220" s="44">
        <v>9.9999999999999995E-7</v>
      </c>
      <c r="W220" s="44">
        <v>9.9999999999999995E-7</v>
      </c>
      <c r="X220" s="44">
        <v>9.9999999999999995E-7</v>
      </c>
      <c r="Y220" s="44">
        <v>9.9999999999999995E-7</v>
      </c>
      <c r="Z220" s="44">
        <v>9.9999999999999995E-7</v>
      </c>
      <c r="AA220" s="44">
        <v>9.9999999999999995E-7</v>
      </c>
      <c r="AB220" s="44">
        <v>9.9999999999999995E-7</v>
      </c>
      <c r="AC220"/>
      <c r="AD220" s="44">
        <v>9.9999999999999995E-7</v>
      </c>
      <c r="AE220" s="44">
        <v>9.9999999999999995E-7</v>
      </c>
      <c r="AF220" s="44">
        <v>9.9999999999999995E-7</v>
      </c>
      <c r="AG220" s="44">
        <v>9.9999999999999995E-7</v>
      </c>
      <c r="AH220" s="44">
        <v>9.9999999999999995E-7</v>
      </c>
      <c r="AI220" s="44">
        <v>9.9999999999999995E-7</v>
      </c>
      <c r="AJ220" s="44">
        <v>9.9999999999999995E-7</v>
      </c>
      <c r="AK220"/>
      <c r="AL220" s="44">
        <v>9.9999999999999995E-7</v>
      </c>
      <c r="AM220" s="44">
        <v>9.9999999999999995E-7</v>
      </c>
      <c r="AN220" s="44">
        <v>9.9999999999999995E-7</v>
      </c>
      <c r="AO220" s="44">
        <v>9.9999999999999995E-7</v>
      </c>
      <c r="AP220"/>
      <c r="AQ220" s="44">
        <v>9.9999999999999995E-7</v>
      </c>
      <c r="AR220"/>
      <c r="AS220"/>
      <c r="AT220" s="44">
        <v>9.9999999999999995E-7</v>
      </c>
      <c r="AU220" s="51"/>
      <c r="AV220" s="51"/>
      <c r="AW220" s="51"/>
      <c r="AX220" s="51"/>
      <c r="AY220" s="51"/>
      <c r="AZ220" s="51"/>
      <c r="BA220" s="51"/>
      <c r="BB220" s="51"/>
    </row>
    <row r="221" spans="1:54" x14ac:dyDescent="0.25">
      <c r="A221" s="2" t="s">
        <v>509</v>
      </c>
      <c r="B221" s="3" t="s">
        <v>473</v>
      </c>
      <c r="C221" s="3" t="s">
        <v>483</v>
      </c>
      <c r="D221" s="3" t="s">
        <v>521</v>
      </c>
      <c r="E221" s="50" t="s">
        <v>510</v>
      </c>
      <c r="F221" s="50" t="s">
        <v>511</v>
      </c>
      <c r="G221" s="44">
        <f>2*0.00001</f>
        <v>2.0000000000000002E-5</v>
      </c>
      <c r="I221" s="44">
        <f>0.00001</f>
        <v>1.0000000000000001E-5</v>
      </c>
      <c r="J221" s="44">
        <f>0.00001 / 10/2/4</f>
        <v>1.2500000000000002E-7</v>
      </c>
      <c r="K221" s="44">
        <f>0.00001 / 10/2/4</f>
        <v>1.2500000000000002E-7</v>
      </c>
      <c r="L221" s="1" t="s">
        <v>597</v>
      </c>
      <c r="M221" s="44">
        <v>2E-8</v>
      </c>
      <c r="N221" s="44">
        <v>2E-8</v>
      </c>
      <c r="O221" s="44">
        <v>2E-8</v>
      </c>
      <c r="R221" s="44">
        <v>5.0000000000000002E-5</v>
      </c>
      <c r="S221" s="44">
        <v>5.0000000000000002E-5</v>
      </c>
      <c r="T221" s="44">
        <v>5.0000000000000002E-5</v>
      </c>
      <c r="U221" s="44">
        <v>5.0000000000000002E-5</v>
      </c>
      <c r="V221" s="44">
        <v>2.0000000000000002E-5</v>
      </c>
      <c r="W221" s="44">
        <v>1.0000000000000001E-5</v>
      </c>
      <c r="X221" s="44">
        <v>5.0000000000000004E-6</v>
      </c>
      <c r="Y221" s="44">
        <v>1.9999999999999999E-6</v>
      </c>
      <c r="Z221" s="44">
        <v>9.9999999999999995E-7</v>
      </c>
      <c r="AA221" s="44">
        <v>4.9999999999999998E-7</v>
      </c>
      <c r="AB221" s="44">
        <v>1.9999999999999999E-7</v>
      </c>
      <c r="AC221"/>
      <c r="AD221" s="44">
        <v>2.0000000000000002E-5</v>
      </c>
      <c r="AE221" s="44">
        <v>1.0000000000000001E-5</v>
      </c>
      <c r="AF221" s="44">
        <v>5.0000000000000004E-6</v>
      </c>
      <c r="AG221" s="44">
        <v>1.9999999999999999E-6</v>
      </c>
      <c r="AH221" s="44">
        <v>9.9999999999999995E-7</v>
      </c>
      <c r="AI221" s="44">
        <v>4.9999999999999998E-7</v>
      </c>
      <c r="AJ221" s="44">
        <v>1.9999999999999999E-7</v>
      </c>
      <c r="AK221"/>
      <c r="AL221" s="44">
        <v>2E-8</v>
      </c>
      <c r="AM221" s="44">
        <v>2E-8</v>
      </c>
      <c r="AN221" s="44">
        <v>2.0000000000000001E-9</v>
      </c>
      <c r="AO221" s="44">
        <v>2.0000000000000001E-9</v>
      </c>
      <c r="AP221"/>
      <c r="AQ221" s="44">
        <v>9.9999999999999995E-7</v>
      </c>
      <c r="AR221"/>
      <c r="AS221"/>
      <c r="AT221" s="44">
        <v>5.0000000000000002E-5</v>
      </c>
      <c r="AU221" s="51"/>
      <c r="AV221" s="51"/>
      <c r="AW221" s="51"/>
      <c r="AX221" s="51"/>
      <c r="AY221" s="51"/>
      <c r="AZ221" s="51"/>
      <c r="BA221" s="51"/>
      <c r="BB221" s="51"/>
    </row>
    <row r="222" spans="1:54" x14ac:dyDescent="0.25">
      <c r="A222" s="2" t="s">
        <v>571</v>
      </c>
      <c r="B222" s="3" t="s">
        <v>473</v>
      </c>
      <c r="C222" s="3" t="s">
        <v>483</v>
      </c>
      <c r="D222" s="3" t="s">
        <v>521</v>
      </c>
      <c r="E222" s="50" t="s">
        <v>572</v>
      </c>
      <c r="F222" s="50" t="s">
        <v>511</v>
      </c>
      <c r="G222" s="44"/>
      <c r="I222" s="44">
        <f xml:space="preserve"> 0.001 * 10</f>
        <v>0.01</v>
      </c>
      <c r="J222" s="44">
        <f xml:space="preserve"> 0.001 / 10</f>
        <v>1E-4</v>
      </c>
      <c r="K222" s="44">
        <f xml:space="preserve"> 0.001 / 10</f>
        <v>1E-4</v>
      </c>
      <c r="L222" s="1" t="s">
        <v>594</v>
      </c>
      <c r="M222" s="44"/>
      <c r="N222" s="44"/>
      <c r="O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/>
      <c r="AD222" s="44"/>
      <c r="AE222" s="44"/>
      <c r="AF222" s="44"/>
      <c r="AG222" s="44"/>
      <c r="AH222" s="44"/>
      <c r="AI222" s="44"/>
      <c r="AJ222" s="44"/>
      <c r="AK222"/>
      <c r="AL222" s="44"/>
      <c r="AM222" s="44"/>
      <c r="AN222" s="44"/>
      <c r="AO222" s="44"/>
      <c r="AP222"/>
      <c r="AQ222" s="44"/>
      <c r="AR222"/>
      <c r="AS222"/>
      <c r="AT222" s="44"/>
      <c r="AU222" s="51"/>
      <c r="AV222" s="51"/>
      <c r="AW222" s="51"/>
      <c r="AX222" s="51"/>
      <c r="AY222" s="51"/>
      <c r="AZ222" s="51"/>
      <c r="BA222" s="51"/>
      <c r="BB222" s="51"/>
    </row>
    <row r="223" spans="1:54" x14ac:dyDescent="0.25">
      <c r="A223" s="2" t="s">
        <v>575</v>
      </c>
      <c r="B223" s="3" t="s">
        <v>473</v>
      </c>
      <c r="C223" s="3" t="s">
        <v>483</v>
      </c>
      <c r="D223" s="3" t="s">
        <v>521</v>
      </c>
      <c r="E223" s="50" t="s">
        <v>576</v>
      </c>
      <c r="F223" s="50" t="s">
        <v>511</v>
      </c>
      <c r="G223" s="56">
        <v>1.0000000000000001E-5</v>
      </c>
      <c r="I223" s="44">
        <f>0.00001 /10/4/2</f>
        <v>1.2500000000000002E-7</v>
      </c>
      <c r="J223" s="44">
        <f>0.00001 /5 /2/4</f>
        <v>2.5000000000000004E-7</v>
      </c>
      <c r="K223" s="44">
        <f>0.00001 /5 /2/4</f>
        <v>2.5000000000000004E-7</v>
      </c>
      <c r="L223" s="1" t="s">
        <v>598</v>
      </c>
      <c r="M223" s="44"/>
      <c r="N223" s="44"/>
      <c r="O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/>
      <c r="AD223" s="44"/>
      <c r="AE223" s="44"/>
      <c r="AF223" s="44"/>
      <c r="AG223" s="44"/>
      <c r="AH223" s="44"/>
      <c r="AI223" s="44"/>
      <c r="AJ223" s="44"/>
      <c r="AK223"/>
      <c r="AL223" s="44"/>
      <c r="AM223" s="44"/>
      <c r="AN223" s="44"/>
      <c r="AO223" s="44"/>
      <c r="AP223"/>
      <c r="AQ223" s="44"/>
      <c r="AR223"/>
      <c r="AS223"/>
      <c r="AT223" s="44"/>
      <c r="AU223" s="51"/>
      <c r="AV223" s="51"/>
      <c r="AW223" s="51"/>
      <c r="AX223" s="51"/>
      <c r="AY223" s="51"/>
      <c r="AZ223" s="51"/>
      <c r="BA223" s="51"/>
      <c r="BB223" s="51"/>
    </row>
    <row r="224" spans="1:54" ht="14.25" customHeight="1" x14ac:dyDescent="0.25">
      <c r="A224" s="53" t="s">
        <v>517</v>
      </c>
      <c r="B224" s="3" t="s">
        <v>473</v>
      </c>
      <c r="C224" s="3" t="s">
        <v>518</v>
      </c>
      <c r="D224" s="3" t="s">
        <v>521</v>
      </c>
      <c r="E224" s="50" t="s">
        <v>519</v>
      </c>
      <c r="F224" s="50" t="s">
        <v>520</v>
      </c>
      <c r="G224" s="44">
        <v>9.9999999999999995E-8</v>
      </c>
      <c r="I224" s="58"/>
      <c r="J224" s="44">
        <f>0.0000001</f>
        <v>9.9999999999999995E-8</v>
      </c>
      <c r="K224" s="44">
        <f>0.0000001</f>
        <v>9.9999999999999995E-8</v>
      </c>
      <c r="M224" s="44">
        <v>5.0000000000000003E-10</v>
      </c>
      <c r="N224" s="44">
        <v>5.0000000000000003E-10</v>
      </c>
      <c r="O224" s="44">
        <v>9.9999999999999995E-8</v>
      </c>
      <c r="R224" s="44">
        <v>4.9999999999999998E-8</v>
      </c>
      <c r="S224" s="44">
        <v>2E-8</v>
      </c>
      <c r="T224" s="44">
        <v>1E-8</v>
      </c>
      <c r="U224" s="44">
        <v>1.0000000000000001E-9</v>
      </c>
      <c r="V224" s="44">
        <v>1E-8</v>
      </c>
      <c r="W224" s="44">
        <v>1E-8</v>
      </c>
      <c r="X224" s="44">
        <v>1E-8</v>
      </c>
      <c r="Y224" s="44">
        <v>1E-8</v>
      </c>
      <c r="Z224" s="44">
        <v>1E-8</v>
      </c>
      <c r="AA224" s="44">
        <v>1E-8</v>
      </c>
      <c r="AB224" s="44">
        <v>1E-8</v>
      </c>
      <c r="AC224"/>
      <c r="AD224" s="44">
        <v>1.0000000000000001E-9</v>
      </c>
      <c r="AE224" s="44">
        <v>1.0000000000000001E-9</v>
      </c>
      <c r="AF224" s="44">
        <v>1.0000000000000001E-9</v>
      </c>
      <c r="AG224" s="44">
        <v>1.0000000000000001E-9</v>
      </c>
      <c r="AH224" s="44">
        <v>1.0000000000000001E-9</v>
      </c>
      <c r="AI224" s="44">
        <v>1.0000000000000001E-9</v>
      </c>
      <c r="AJ224" s="44">
        <v>1.0000000000000001E-9</v>
      </c>
      <c r="AK224"/>
      <c r="AL224" s="44">
        <v>1E-8</v>
      </c>
      <c r="AM224" s="44">
        <v>1.0000000000000001E-9</v>
      </c>
      <c r="AN224" s="44">
        <v>1E-8</v>
      </c>
      <c r="AO224" s="44">
        <v>1.0000000000000001E-9</v>
      </c>
      <c r="AP224"/>
      <c r="AQ224" s="44">
        <v>1.0000000000000001E-9</v>
      </c>
      <c r="AR224"/>
      <c r="AS224"/>
      <c r="AT224" s="44">
        <v>9.9999999999999995E-8</v>
      </c>
    </row>
    <row r="225" spans="1:69" x14ac:dyDescent="0.25">
      <c r="A225" s="2" t="s">
        <v>523</v>
      </c>
      <c r="B225" s="3" t="s">
        <v>473</v>
      </c>
      <c r="C225" s="3" t="s">
        <v>483</v>
      </c>
      <c r="D225" s="3" t="s">
        <v>521</v>
      </c>
      <c r="E225" s="50" t="s">
        <v>524</v>
      </c>
      <c r="F225" s="50" t="s">
        <v>487</v>
      </c>
      <c r="G225" s="44">
        <v>0.2</v>
      </c>
      <c r="I225" s="58"/>
      <c r="J225" s="44">
        <v>0.2</v>
      </c>
      <c r="K225" s="44">
        <v>0.2</v>
      </c>
      <c r="M225" s="44">
        <v>0.2</v>
      </c>
      <c r="N225" s="44">
        <v>0.2</v>
      </c>
      <c r="O225" s="44">
        <v>0.2</v>
      </c>
      <c r="R225" s="44">
        <v>0.2</v>
      </c>
      <c r="S225" s="44">
        <v>0.2</v>
      </c>
      <c r="T225" s="44">
        <v>0.2</v>
      </c>
      <c r="U225" s="44">
        <v>0.2</v>
      </c>
      <c r="V225" s="44">
        <v>0.2</v>
      </c>
      <c r="W225" s="44">
        <v>0.2</v>
      </c>
      <c r="X225" s="44">
        <v>0.2</v>
      </c>
      <c r="Y225" s="44">
        <v>0.2</v>
      </c>
      <c r="Z225" s="44">
        <v>0.2</v>
      </c>
      <c r="AA225" s="44">
        <v>0.2</v>
      </c>
      <c r="AB225" s="44">
        <v>0.2</v>
      </c>
      <c r="AC225"/>
      <c r="AD225" s="44">
        <v>0.2</v>
      </c>
      <c r="AE225" s="44">
        <v>0.2</v>
      </c>
      <c r="AF225" s="44">
        <v>0.2</v>
      </c>
      <c r="AG225" s="44">
        <v>0.2</v>
      </c>
      <c r="AH225" s="44">
        <v>0.2</v>
      </c>
      <c r="AI225" s="44">
        <v>0.2</v>
      </c>
      <c r="AJ225" s="44">
        <v>0.2</v>
      </c>
      <c r="AK225"/>
      <c r="AL225" s="44">
        <v>0.2</v>
      </c>
      <c r="AM225" s="44">
        <v>0.2</v>
      </c>
      <c r="AN225" s="44">
        <v>0.2</v>
      </c>
      <c r="AO225" s="44">
        <v>0.2</v>
      </c>
      <c r="AP225"/>
      <c r="AQ225" s="44">
        <v>0.2</v>
      </c>
      <c r="AR225"/>
      <c r="AS225"/>
      <c r="AT225" s="44">
        <v>0.2</v>
      </c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</row>
    <row r="226" spans="1:69" x14ac:dyDescent="0.25">
      <c r="A226" s="2" t="s">
        <v>525</v>
      </c>
      <c r="B226" s="3" t="s">
        <v>473</v>
      </c>
      <c r="C226" s="3" t="s">
        <v>580</v>
      </c>
      <c r="D226" s="3" t="s">
        <v>581</v>
      </c>
      <c r="E226" s="50" t="s">
        <v>526</v>
      </c>
      <c r="F226" s="50" t="s">
        <v>491</v>
      </c>
      <c r="G226" s="44" t="s">
        <v>485</v>
      </c>
      <c r="I226" s="58"/>
      <c r="J226" s="44" t="s">
        <v>485</v>
      </c>
      <c r="K226" s="44" t="s">
        <v>485</v>
      </c>
      <c r="M226" s="44" t="s">
        <v>485</v>
      </c>
      <c r="N226" s="44" t="s">
        <v>485</v>
      </c>
      <c r="O226" s="44" t="s">
        <v>485</v>
      </c>
      <c r="R226" s="44" t="s">
        <v>485</v>
      </c>
      <c r="S226" s="44" t="s">
        <v>485</v>
      </c>
      <c r="T226" s="44" t="s">
        <v>485</v>
      </c>
      <c r="U226" s="44" t="s">
        <v>485</v>
      </c>
      <c r="V226" s="44" t="s">
        <v>485</v>
      </c>
      <c r="W226" s="44" t="s">
        <v>485</v>
      </c>
      <c r="X226" s="44" t="s">
        <v>485</v>
      </c>
      <c r="Y226" s="44" t="s">
        <v>485</v>
      </c>
      <c r="Z226" s="44" t="s">
        <v>485</v>
      </c>
      <c r="AA226" s="44" t="s">
        <v>485</v>
      </c>
      <c r="AB226" s="44" t="s">
        <v>485</v>
      </c>
      <c r="AC226"/>
      <c r="AD226" s="44" t="s">
        <v>485</v>
      </c>
      <c r="AE226" s="44" t="s">
        <v>485</v>
      </c>
      <c r="AF226" s="44" t="s">
        <v>485</v>
      </c>
      <c r="AG226" s="44" t="s">
        <v>485</v>
      </c>
      <c r="AH226" s="44" t="s">
        <v>485</v>
      </c>
      <c r="AI226" s="44" t="s">
        <v>485</v>
      </c>
      <c r="AJ226" s="44" t="s">
        <v>485</v>
      </c>
      <c r="AK226"/>
      <c r="AL226" s="44" t="s">
        <v>485</v>
      </c>
      <c r="AM226" s="44" t="s">
        <v>485</v>
      </c>
      <c r="AN226" s="44" t="s">
        <v>485</v>
      </c>
      <c r="AO226" s="44" t="s">
        <v>485</v>
      </c>
      <c r="AP226"/>
      <c r="AQ226" s="44" t="s">
        <v>485</v>
      </c>
      <c r="AR226"/>
      <c r="AS226"/>
      <c r="AT226" s="44" t="s">
        <v>485</v>
      </c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</row>
    <row r="227" spans="1:69" x14ac:dyDescent="0.25">
      <c r="A227" s="2" t="s">
        <v>527</v>
      </c>
      <c r="B227" s="3" t="s">
        <v>473</v>
      </c>
      <c r="C227" s="3" t="s">
        <v>580</v>
      </c>
      <c r="D227" s="3" t="s">
        <v>581</v>
      </c>
      <c r="E227" s="50" t="s">
        <v>528</v>
      </c>
      <c r="F227" s="50" t="s">
        <v>491</v>
      </c>
      <c r="G227" s="44">
        <f t="shared" ref="G227:AT227" si="17">2*0.1</f>
        <v>0.2</v>
      </c>
      <c r="I227" s="58"/>
      <c r="J227" s="44">
        <f t="shared" si="17"/>
        <v>0.2</v>
      </c>
      <c r="K227" s="44">
        <f t="shared" si="17"/>
        <v>0.2</v>
      </c>
      <c r="M227" s="44">
        <f t="shared" si="17"/>
        <v>0.2</v>
      </c>
      <c r="N227" s="44">
        <f t="shared" si="17"/>
        <v>0.2</v>
      </c>
      <c r="O227" s="44">
        <f t="shared" si="17"/>
        <v>0.2</v>
      </c>
      <c r="R227" s="44">
        <f t="shared" si="17"/>
        <v>0.2</v>
      </c>
      <c r="S227" s="44">
        <f t="shared" si="17"/>
        <v>0.2</v>
      </c>
      <c r="T227" s="44">
        <f t="shared" si="17"/>
        <v>0.2</v>
      </c>
      <c r="U227" s="44">
        <f t="shared" si="17"/>
        <v>0.2</v>
      </c>
      <c r="V227" s="44">
        <f t="shared" si="17"/>
        <v>0.2</v>
      </c>
      <c r="W227" s="44">
        <f t="shared" si="17"/>
        <v>0.2</v>
      </c>
      <c r="X227" s="44">
        <f t="shared" si="17"/>
        <v>0.2</v>
      </c>
      <c r="Y227" s="44">
        <f t="shared" si="17"/>
        <v>0.2</v>
      </c>
      <c r="Z227" s="44">
        <f t="shared" si="17"/>
        <v>0.2</v>
      </c>
      <c r="AA227" s="44">
        <f t="shared" si="17"/>
        <v>0.2</v>
      </c>
      <c r="AB227" s="44">
        <f t="shared" si="17"/>
        <v>0.2</v>
      </c>
      <c r="AC227"/>
      <c r="AD227" s="44">
        <f t="shared" si="17"/>
        <v>0.2</v>
      </c>
      <c r="AE227" s="44">
        <f t="shared" si="17"/>
        <v>0.2</v>
      </c>
      <c r="AF227" s="44">
        <f t="shared" si="17"/>
        <v>0.2</v>
      </c>
      <c r="AG227" s="44">
        <f t="shared" si="17"/>
        <v>0.2</v>
      </c>
      <c r="AH227" s="44">
        <f t="shared" si="17"/>
        <v>0.2</v>
      </c>
      <c r="AI227" s="44">
        <f t="shared" si="17"/>
        <v>0.2</v>
      </c>
      <c r="AJ227" s="44">
        <f t="shared" si="17"/>
        <v>0.2</v>
      </c>
      <c r="AK227"/>
      <c r="AL227" s="44">
        <f t="shared" si="17"/>
        <v>0.2</v>
      </c>
      <c r="AM227" s="44">
        <f t="shared" si="17"/>
        <v>0.2</v>
      </c>
      <c r="AN227" s="44">
        <f t="shared" si="17"/>
        <v>0.2</v>
      </c>
      <c r="AO227" s="44">
        <f t="shared" si="17"/>
        <v>0.2</v>
      </c>
      <c r="AP227"/>
      <c r="AQ227" s="44">
        <f t="shared" si="17"/>
        <v>0.2</v>
      </c>
      <c r="AR227"/>
      <c r="AS227"/>
      <c r="AT227" s="44">
        <f t="shared" si="17"/>
        <v>0.2</v>
      </c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</row>
    <row r="228" spans="1:69" x14ac:dyDescent="0.25">
      <c r="A228" s="2" t="s">
        <v>529</v>
      </c>
      <c r="B228" s="3" t="s">
        <v>473</v>
      </c>
      <c r="C228" s="3" t="s">
        <v>580</v>
      </c>
      <c r="D228" s="3" t="s">
        <v>581</v>
      </c>
      <c r="E228" s="50" t="s">
        <v>530</v>
      </c>
      <c r="F228" s="50" t="s">
        <v>491</v>
      </c>
      <c r="G228" s="44">
        <v>1E-3</v>
      </c>
      <c r="I228" s="58"/>
      <c r="J228" s="44">
        <v>1E-3</v>
      </c>
      <c r="K228" s="44">
        <v>1E-3</v>
      </c>
      <c r="M228" s="44">
        <v>1E-3</v>
      </c>
      <c r="N228" s="44">
        <v>1E-3</v>
      </c>
      <c r="O228" s="44">
        <v>1E-3</v>
      </c>
      <c r="R228" s="44">
        <v>1E-3</v>
      </c>
      <c r="S228" s="44">
        <v>1E-3</v>
      </c>
      <c r="T228" s="44">
        <v>1E-3</v>
      </c>
      <c r="U228" s="44">
        <v>1E-3</v>
      </c>
      <c r="V228" s="44">
        <v>1E-3</v>
      </c>
      <c r="W228" s="44">
        <v>1E-3</v>
      </c>
      <c r="X228" s="44">
        <v>1E-3</v>
      </c>
      <c r="Y228" s="44">
        <v>1E-3</v>
      </c>
      <c r="Z228" s="44">
        <v>1E-3</v>
      </c>
      <c r="AA228" s="44">
        <v>1E-3</v>
      </c>
      <c r="AB228" s="44">
        <v>1E-3</v>
      </c>
      <c r="AC228"/>
      <c r="AD228" s="44">
        <v>1E-3</v>
      </c>
      <c r="AE228" s="44">
        <v>1E-3</v>
      </c>
      <c r="AF228" s="44">
        <v>1E-3</v>
      </c>
      <c r="AG228" s="44">
        <v>1E-3</v>
      </c>
      <c r="AH228" s="44">
        <v>1E-3</v>
      </c>
      <c r="AI228" s="44">
        <v>1E-3</v>
      </c>
      <c r="AJ228" s="44">
        <v>1E-3</v>
      </c>
      <c r="AK228"/>
      <c r="AL228" s="44">
        <v>1E-3</v>
      </c>
      <c r="AM228" s="44">
        <v>1E-3</v>
      </c>
      <c r="AN228" s="44">
        <v>1E-3</v>
      </c>
      <c r="AO228" s="44">
        <v>1E-3</v>
      </c>
      <c r="AP228"/>
      <c r="AQ228" s="44">
        <v>1E-3</v>
      </c>
      <c r="AR228"/>
      <c r="AS228"/>
      <c r="AT228" s="44">
        <v>1E-3</v>
      </c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</row>
    <row r="229" spans="1:69" x14ac:dyDescent="0.25">
      <c r="A229" s="2" t="s">
        <v>531</v>
      </c>
      <c r="B229" s="3" t="s">
        <v>473</v>
      </c>
      <c r="C229" s="3" t="s">
        <v>483</v>
      </c>
      <c r="D229" s="3" t="s">
        <v>521</v>
      </c>
      <c r="E229" s="50" t="s">
        <v>532</v>
      </c>
      <c r="F229" s="50" t="s">
        <v>561</v>
      </c>
      <c r="G229" s="44">
        <v>1.0000000000000001E-5</v>
      </c>
      <c r="I229" s="58"/>
      <c r="J229" s="44">
        <f>0.00001 / 2</f>
        <v>5.0000000000000004E-6</v>
      </c>
      <c r="K229" s="44">
        <f>0.00001 / 2</f>
        <v>5.0000000000000004E-6</v>
      </c>
      <c r="M229" s="44">
        <v>1.0000000000000001E-5</v>
      </c>
      <c r="N229" s="44">
        <v>1.0000000000000001E-5</v>
      </c>
      <c r="O229" s="44">
        <v>1.0000000000000001E-5</v>
      </c>
      <c r="R229" s="44">
        <v>1.0000000000000001E-5</v>
      </c>
      <c r="S229" s="44">
        <v>1.0000000000000001E-5</v>
      </c>
      <c r="T229" s="44">
        <v>1.0000000000000001E-5</v>
      </c>
      <c r="U229" s="44">
        <v>1.0000000000000001E-5</v>
      </c>
      <c r="V229" s="44">
        <v>1.0000000000000001E-5</v>
      </c>
      <c r="W229" s="44">
        <v>1.0000000000000001E-5</v>
      </c>
      <c r="X229" s="44">
        <v>1.0000000000000001E-5</v>
      </c>
      <c r="Y229" s="44">
        <v>1.0000000000000001E-5</v>
      </c>
      <c r="Z229" s="44">
        <v>1.0000000000000001E-5</v>
      </c>
      <c r="AA229" s="44">
        <v>1.0000000000000001E-5</v>
      </c>
      <c r="AB229" s="44">
        <v>1.0000000000000001E-5</v>
      </c>
      <c r="AC229"/>
      <c r="AD229" s="44">
        <v>1.0000000000000001E-5</v>
      </c>
      <c r="AE229" s="44">
        <v>1.0000000000000001E-5</v>
      </c>
      <c r="AF229" s="44">
        <v>1.0000000000000001E-5</v>
      </c>
      <c r="AG229" s="44">
        <v>1.0000000000000001E-5</v>
      </c>
      <c r="AH229" s="44">
        <v>1.0000000000000001E-5</v>
      </c>
      <c r="AI229" s="44">
        <v>1.0000000000000001E-5</v>
      </c>
      <c r="AJ229" s="44">
        <v>1.0000000000000001E-5</v>
      </c>
      <c r="AK229"/>
      <c r="AL229" s="44">
        <v>1.0000000000000001E-5</v>
      </c>
      <c r="AM229" s="44">
        <v>1.0000000000000001E-5</v>
      </c>
      <c r="AN229" s="44">
        <v>1.0000000000000001E-5</v>
      </c>
      <c r="AO229" s="44">
        <v>1.0000000000000001E-5</v>
      </c>
      <c r="AP229"/>
      <c r="AQ229" s="44">
        <v>1.0000000000000001E-5</v>
      </c>
      <c r="AR229"/>
      <c r="AS229"/>
      <c r="AT229" s="44">
        <v>1.0000000000000001E-5</v>
      </c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1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</row>
    <row r="230" spans="1:69" x14ac:dyDescent="0.25">
      <c r="A230" s="2" t="s">
        <v>578</v>
      </c>
      <c r="B230" s="3" t="s">
        <v>473</v>
      </c>
      <c r="C230" s="3" t="s">
        <v>483</v>
      </c>
      <c r="D230" s="3" t="s">
        <v>521</v>
      </c>
      <c r="E230" s="50" t="s">
        <v>579</v>
      </c>
      <c r="F230" s="50" t="s">
        <v>491</v>
      </c>
      <c r="G230" s="57">
        <v>1.0000000000000001E-5</v>
      </c>
      <c r="I230" s="58"/>
      <c r="J230" s="44">
        <f t="shared" ref="J230:K230" si="18">0.000000005 / 5</f>
        <v>1.0000000000000001E-9</v>
      </c>
      <c r="K230" s="44">
        <f t="shared" si="18"/>
        <v>1.0000000000000001E-9</v>
      </c>
      <c r="M230" s="44"/>
      <c r="N230" s="44"/>
      <c r="O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/>
      <c r="AD230" s="44"/>
      <c r="AE230" s="44"/>
      <c r="AF230" s="44"/>
      <c r="AG230" s="44"/>
      <c r="AH230" s="44"/>
      <c r="AI230" s="44"/>
      <c r="AJ230" s="44"/>
      <c r="AK230"/>
      <c r="AL230" s="44"/>
      <c r="AM230" s="44"/>
      <c r="AN230" s="44"/>
      <c r="AO230" s="44"/>
      <c r="AP230"/>
      <c r="AQ230" s="44"/>
      <c r="AR230"/>
      <c r="AS230"/>
      <c r="AT230" s="44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1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</row>
    <row r="231" spans="1:69" x14ac:dyDescent="0.25">
      <c r="A231" s="2" t="s">
        <v>540</v>
      </c>
      <c r="B231" s="3" t="s">
        <v>473</v>
      </c>
      <c r="C231" s="3" t="s">
        <v>483</v>
      </c>
      <c r="D231" s="3" t="s">
        <v>521</v>
      </c>
      <c r="E231" s="30" t="s">
        <v>537</v>
      </c>
      <c r="F231" s="30" t="s">
        <v>536</v>
      </c>
      <c r="G231" s="44">
        <f t="shared" ref="G231:AT232" si="19">0.00002 / 14 / 5</f>
        <v>2.8571428571428575E-7</v>
      </c>
      <c r="I231" s="58"/>
      <c r="J231" s="44">
        <v>0</v>
      </c>
      <c r="K231" s="44">
        <v>0</v>
      </c>
      <c r="M231" s="44">
        <f t="shared" si="19"/>
        <v>2.8571428571428575E-7</v>
      </c>
      <c r="N231" s="44">
        <f t="shared" si="19"/>
        <v>2.8571428571428575E-7</v>
      </c>
      <c r="O231" s="44">
        <f t="shared" si="19"/>
        <v>2.8571428571428575E-7</v>
      </c>
      <c r="R231" s="44">
        <f t="shared" si="19"/>
        <v>2.8571428571428575E-7</v>
      </c>
      <c r="S231" s="44">
        <f t="shared" si="19"/>
        <v>2.8571428571428575E-7</v>
      </c>
      <c r="T231" s="44">
        <f t="shared" si="19"/>
        <v>2.8571428571428575E-7</v>
      </c>
      <c r="U231" s="44">
        <f t="shared" si="19"/>
        <v>2.8571428571428575E-7</v>
      </c>
      <c r="V231" s="44">
        <f t="shared" si="19"/>
        <v>2.8571428571428575E-7</v>
      </c>
      <c r="W231" s="44">
        <f t="shared" si="19"/>
        <v>2.8571428571428575E-7</v>
      </c>
      <c r="X231" s="44">
        <f t="shared" si="19"/>
        <v>2.8571428571428575E-7</v>
      </c>
      <c r="Y231" s="44">
        <f t="shared" si="19"/>
        <v>2.8571428571428575E-7</v>
      </c>
      <c r="Z231" s="44">
        <f t="shared" si="19"/>
        <v>2.8571428571428575E-7</v>
      </c>
      <c r="AA231" s="44">
        <f t="shared" si="19"/>
        <v>2.8571428571428575E-7</v>
      </c>
      <c r="AB231" s="44">
        <f t="shared" si="19"/>
        <v>2.8571428571428575E-7</v>
      </c>
      <c r="AC231"/>
      <c r="AD231" s="44">
        <f t="shared" si="19"/>
        <v>2.8571428571428575E-7</v>
      </c>
      <c r="AE231" s="44">
        <f t="shared" si="19"/>
        <v>2.8571428571428575E-7</v>
      </c>
      <c r="AF231" s="44">
        <f t="shared" si="19"/>
        <v>2.8571428571428575E-7</v>
      </c>
      <c r="AG231" s="44">
        <f t="shared" si="19"/>
        <v>2.8571428571428575E-7</v>
      </c>
      <c r="AH231" s="44">
        <f t="shared" si="19"/>
        <v>2.8571428571428575E-7</v>
      </c>
      <c r="AI231" s="44">
        <f t="shared" si="19"/>
        <v>2.8571428571428575E-7</v>
      </c>
      <c r="AJ231" s="44">
        <f t="shared" si="19"/>
        <v>2.8571428571428575E-7</v>
      </c>
      <c r="AK231"/>
      <c r="AL231" s="44">
        <f t="shared" si="19"/>
        <v>2.8571428571428575E-7</v>
      </c>
      <c r="AM231" s="44">
        <f t="shared" si="19"/>
        <v>2.8571428571428575E-7</v>
      </c>
      <c r="AN231" s="44">
        <f t="shared" si="19"/>
        <v>2.8571428571428575E-7</v>
      </c>
      <c r="AO231" s="44">
        <f t="shared" si="19"/>
        <v>2.8571428571428575E-7</v>
      </c>
      <c r="AP231"/>
      <c r="AQ231" s="44">
        <f t="shared" si="19"/>
        <v>2.8571428571428575E-7</v>
      </c>
      <c r="AR231"/>
      <c r="AS231"/>
      <c r="AT231" s="44">
        <f t="shared" si="19"/>
        <v>2.8571428571428575E-7</v>
      </c>
      <c r="AU231" s="1"/>
      <c r="AV231" s="1"/>
      <c r="AW231" s="1"/>
      <c r="AX231" s="1"/>
      <c r="AY231" s="1"/>
      <c r="AZ231" s="1"/>
      <c r="BA231" s="1"/>
      <c r="BB231" s="1"/>
    </row>
    <row r="232" spans="1:69" x14ac:dyDescent="0.25">
      <c r="A232" s="2" t="s">
        <v>541</v>
      </c>
      <c r="B232" s="3" t="s">
        <v>473</v>
      </c>
      <c r="C232" s="3" t="s">
        <v>483</v>
      </c>
      <c r="D232" s="3" t="s">
        <v>521</v>
      </c>
      <c r="E232" s="30" t="s">
        <v>537</v>
      </c>
      <c r="F232" s="30" t="s">
        <v>536</v>
      </c>
      <c r="G232" s="44">
        <f t="shared" ref="G232:AQ232" si="20">0.00002 / 14 / 5 /10</f>
        <v>2.8571428571428575E-8</v>
      </c>
      <c r="I232" s="58"/>
      <c r="J232" s="44">
        <v>0</v>
      </c>
      <c r="K232" s="44">
        <v>0</v>
      </c>
      <c r="M232" s="44">
        <f t="shared" si="20"/>
        <v>2.8571428571428575E-8</v>
      </c>
      <c r="N232" s="44">
        <f t="shared" si="20"/>
        <v>2.8571428571428575E-8</v>
      </c>
      <c r="O232" s="44">
        <f t="shared" si="20"/>
        <v>2.8571428571428575E-8</v>
      </c>
      <c r="R232" s="44">
        <f t="shared" si="20"/>
        <v>2.8571428571428575E-8</v>
      </c>
      <c r="S232" s="44">
        <f t="shared" si="20"/>
        <v>2.8571428571428575E-8</v>
      </c>
      <c r="T232" s="44">
        <f t="shared" si="20"/>
        <v>2.8571428571428575E-8</v>
      </c>
      <c r="U232" s="44">
        <f t="shared" si="20"/>
        <v>2.8571428571428575E-8</v>
      </c>
      <c r="V232" s="44">
        <f t="shared" si="20"/>
        <v>2.8571428571428575E-8</v>
      </c>
      <c r="W232" s="44">
        <f t="shared" si="20"/>
        <v>2.8571428571428575E-8</v>
      </c>
      <c r="X232" s="44">
        <f t="shared" si="20"/>
        <v>2.8571428571428575E-8</v>
      </c>
      <c r="Y232" s="44">
        <f t="shared" si="20"/>
        <v>2.8571428571428575E-8</v>
      </c>
      <c r="Z232" s="44">
        <f t="shared" si="20"/>
        <v>2.8571428571428575E-8</v>
      </c>
      <c r="AA232" s="44">
        <f t="shared" si="20"/>
        <v>2.8571428571428575E-8</v>
      </c>
      <c r="AB232" s="44">
        <f t="shared" si="20"/>
        <v>2.8571428571428575E-8</v>
      </c>
      <c r="AC232"/>
      <c r="AD232" s="44">
        <f t="shared" si="20"/>
        <v>2.8571428571428575E-8</v>
      </c>
      <c r="AE232" s="44">
        <f t="shared" si="20"/>
        <v>2.8571428571428575E-8</v>
      </c>
      <c r="AF232" s="44">
        <f t="shared" si="20"/>
        <v>2.8571428571428575E-8</v>
      </c>
      <c r="AG232" s="44">
        <f t="shared" si="20"/>
        <v>2.8571428571428575E-8</v>
      </c>
      <c r="AH232" s="44">
        <f t="shared" si="20"/>
        <v>2.8571428571428575E-8</v>
      </c>
      <c r="AI232" s="44">
        <f t="shared" si="20"/>
        <v>2.8571428571428575E-8</v>
      </c>
      <c r="AJ232" s="44">
        <f t="shared" si="20"/>
        <v>2.8571428571428575E-8</v>
      </c>
      <c r="AK232"/>
      <c r="AL232" s="44">
        <f t="shared" si="20"/>
        <v>2.8571428571428575E-8</v>
      </c>
      <c r="AM232" s="44">
        <f t="shared" si="20"/>
        <v>2.8571428571428575E-8</v>
      </c>
      <c r="AN232" s="44">
        <f t="shared" si="20"/>
        <v>2.8571428571428575E-8</v>
      </c>
      <c r="AO232" s="44">
        <f t="shared" si="20"/>
        <v>2.8571428571428575E-8</v>
      </c>
      <c r="AP232"/>
      <c r="AQ232" s="44">
        <f t="shared" si="20"/>
        <v>2.8571428571428575E-8</v>
      </c>
      <c r="AR232"/>
      <c r="AS232"/>
      <c r="AT232" s="44">
        <f t="shared" si="19"/>
        <v>2.8571428571428575E-7</v>
      </c>
      <c r="AU232" s="1"/>
      <c r="AV232" s="1"/>
      <c r="AW232" s="1"/>
      <c r="AX232" s="1"/>
      <c r="AY232" s="1"/>
      <c r="AZ232" s="1"/>
      <c r="BA232" s="1"/>
      <c r="BB232" s="1"/>
    </row>
    <row r="233" spans="1:69" x14ac:dyDescent="0.25">
      <c r="A233" s="1" t="s">
        <v>583</v>
      </c>
      <c r="B233" s="3" t="s">
        <v>473</v>
      </c>
      <c r="C233" s="3" t="s">
        <v>483</v>
      </c>
      <c r="D233" s="3" t="s">
        <v>521</v>
      </c>
      <c r="E233" s="30" t="s">
        <v>584</v>
      </c>
      <c r="F233" s="30" t="s">
        <v>486</v>
      </c>
      <c r="G233" s="44">
        <v>-1</v>
      </c>
      <c r="I233" s="58"/>
      <c r="J233" s="44" t="s">
        <v>86</v>
      </c>
      <c r="K233" s="44" t="s">
        <v>86</v>
      </c>
      <c r="M233" s="44">
        <v>-1</v>
      </c>
      <c r="N233" s="44">
        <v>-1</v>
      </c>
      <c r="O233" s="44">
        <v>-1</v>
      </c>
      <c r="R233" s="44">
        <v>-1</v>
      </c>
      <c r="S233" s="44">
        <v>-1</v>
      </c>
      <c r="T233" s="44">
        <v>-1</v>
      </c>
      <c r="U233" s="44">
        <v>-1</v>
      </c>
      <c r="V233" s="44">
        <v>-1</v>
      </c>
      <c r="W233" s="44">
        <v>-1</v>
      </c>
      <c r="X233" s="44">
        <v>-1</v>
      </c>
      <c r="Y233" s="44">
        <v>-1</v>
      </c>
      <c r="Z233" s="44">
        <v>-1</v>
      </c>
      <c r="AA233" s="44">
        <v>-1</v>
      </c>
      <c r="AB233" s="44">
        <v>-1</v>
      </c>
      <c r="AC233" s="44">
        <v>-1</v>
      </c>
      <c r="AD233" s="44">
        <v>-1</v>
      </c>
      <c r="AE233" s="44">
        <v>-1</v>
      </c>
      <c r="AF233" s="44">
        <v>-1</v>
      </c>
      <c r="AG233" s="44">
        <v>-1</v>
      </c>
      <c r="AH233" s="44">
        <v>-1</v>
      </c>
      <c r="AI233" s="44">
        <v>-1</v>
      </c>
      <c r="AJ233" s="44">
        <v>-1</v>
      </c>
      <c r="AK233" s="44">
        <v>-1</v>
      </c>
      <c r="AL233" s="44">
        <v>-1</v>
      </c>
      <c r="AM233" s="44">
        <v>-1</v>
      </c>
      <c r="AN233" s="44">
        <v>-1</v>
      </c>
      <c r="AO233" s="44">
        <v>-1</v>
      </c>
      <c r="AP233" s="44">
        <v>-1</v>
      </c>
      <c r="AQ233" s="44">
        <v>-1</v>
      </c>
      <c r="AR233" s="44">
        <v>-1</v>
      </c>
      <c r="AS233" s="44">
        <v>-1</v>
      </c>
      <c r="AT233" s="44">
        <v>-1</v>
      </c>
      <c r="AU233" s="1"/>
      <c r="AV233" s="1"/>
      <c r="AW233" s="1"/>
      <c r="AX233" s="1"/>
      <c r="AY233" s="1"/>
      <c r="AZ233" s="1"/>
      <c r="BA233" s="1"/>
      <c r="BB233" s="1"/>
    </row>
    <row r="234" spans="1:69" x14ac:dyDescent="0.25">
      <c r="A234" s="21" t="s">
        <v>588</v>
      </c>
      <c r="B234" s="3" t="s">
        <v>473</v>
      </c>
      <c r="C234" s="3" t="s">
        <v>483</v>
      </c>
      <c r="D234" s="3" t="s">
        <v>521</v>
      </c>
      <c r="E234" s="22" t="s">
        <v>589</v>
      </c>
      <c r="F234" s="22" t="s">
        <v>590</v>
      </c>
      <c r="G234" s="44">
        <v>1.0000000000000001E-9</v>
      </c>
      <c r="I234" s="58"/>
      <c r="J234" s="44">
        <f>J129* 6 * 12 / 0.44 * 0.015 / 14 / 1.4 /2/2/2</f>
        <v>5.8702458256029672E-17</v>
      </c>
      <c r="K234" s="44">
        <f>K129* 6 * 12 / 0.44 * 0.015 / 14 / 1.4 /2/2/2</f>
        <v>5.8702458256029672E-17</v>
      </c>
      <c r="L234" s="1" t="s">
        <v>601</v>
      </c>
      <c r="M234" s="44">
        <v>4.9999999999999999E-13</v>
      </c>
      <c r="N234" s="44">
        <v>4.9999999999999999E-13</v>
      </c>
      <c r="O234" s="44">
        <v>4.9999999999999999E-13</v>
      </c>
      <c r="R234" s="44">
        <v>4.9999999999999999E-13</v>
      </c>
      <c r="S234" s="44">
        <v>4.9999999999999999E-13</v>
      </c>
      <c r="T234" s="44">
        <v>4.9999999999999999E-13</v>
      </c>
      <c r="U234" s="44">
        <v>4.9999999999999999E-13</v>
      </c>
      <c r="V234" s="44">
        <v>4.9999999999999999E-13</v>
      </c>
      <c r="W234" s="44">
        <v>4.9999999999999999E-13</v>
      </c>
      <c r="X234" s="44">
        <v>4.9999999999999999E-13</v>
      </c>
      <c r="Y234" s="44">
        <v>4.9999999999999999E-13</v>
      </c>
      <c r="Z234" s="44">
        <v>4.9999999999999999E-13</v>
      </c>
      <c r="AA234" s="44">
        <v>4.9999999999999999E-13</v>
      </c>
      <c r="AB234" s="44">
        <v>4.9999999999999999E-13</v>
      </c>
      <c r="AC234"/>
      <c r="AD234" s="44">
        <v>4.9999999999999999E-13</v>
      </c>
      <c r="AE234" s="44">
        <v>4.9999999999999999E-13</v>
      </c>
      <c r="AF234" s="44">
        <v>4.9999999999999999E-13</v>
      </c>
      <c r="AG234" s="44">
        <v>4.9999999999999999E-13</v>
      </c>
      <c r="AH234" s="44">
        <v>4.9999999999999999E-13</v>
      </c>
      <c r="AI234" s="44">
        <v>4.9999999999999999E-13</v>
      </c>
      <c r="AJ234" s="44">
        <v>4.9999999999999999E-13</v>
      </c>
      <c r="AK234"/>
      <c r="AL234" s="44">
        <v>4.9999999999999999E-13</v>
      </c>
      <c r="AM234" s="44">
        <v>4.9999999999999999E-13</v>
      </c>
      <c r="AN234" s="44">
        <v>4.9999999999999999E-13</v>
      </c>
      <c r="AO234" s="44">
        <v>4.9999999999999999E-13</v>
      </c>
      <c r="AP234"/>
      <c r="AQ234" s="44">
        <v>4.9999999999999999E-13</v>
      </c>
      <c r="AR234"/>
      <c r="AS234"/>
      <c r="AT234" s="44">
        <v>4.9999999999999999E-13</v>
      </c>
    </row>
  </sheetData>
  <phoneticPr fontId="19" type="noConversion"/>
  <conditionalFormatting sqref="G224">
    <cfRule type="colorScale" priority="46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8:K128">
    <cfRule type="colorScale" priority="46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35:K135">
    <cfRule type="colorScale" priority="46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7:K207">
    <cfRule type="colorScale" priority="46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8:K208">
    <cfRule type="colorScale" priority="46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5:K215">
    <cfRule type="colorScale" priority="46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6:K216">
    <cfRule type="colorScale" priority="46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7:K218">
    <cfRule type="colorScale" priority="46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9:K220">
    <cfRule type="colorScale" priority="46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1:K221">
    <cfRule type="colorScale" priority="46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2:K222">
    <cfRule type="colorScale" priority="46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3:K223">
    <cfRule type="colorScale" priority="46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9:K229">
    <cfRule type="colorScale" priority="46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30:K230">
    <cfRule type="colorScale" priority="46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33:K23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O224 AT224 I224:K224">
    <cfRule type="colorScale" priority="33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09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1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09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10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11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12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U2 AT2 G2 M2:O2 I2:K2">
    <cfRule type="colorScale" priority="28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U5 AT3:AT5 G3:G5 M3:O5 I3:K5">
    <cfRule type="colorScale" priority="28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:U6 AT6 G6 M6:O6 I6:K6">
    <cfRule type="colorScale" priority="28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:U7 AT7 G7 M7:O7 I7:K7">
    <cfRule type="colorScale" priority="28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:U8 AT8 G8 M8:O8 I8:K8">
    <cfRule type="colorScale" priority="28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:U9 AT9 G9 M9:O9 I9:K9">
    <cfRule type="colorScale" priority="28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:U10 AT10 G10 M10:O10 I10:K10">
    <cfRule type="colorScale" priority="28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:U11 AT11 G11 M11:O11 I11:K11">
    <cfRule type="colorScale" priority="28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:U12 AT12 G12 M12:O12 I12:K12">
    <cfRule type="colorScale" priority="28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:U13 AT13 G13 M13:O13 I13:K13">
    <cfRule type="colorScale" priority="28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4:U14 AT14 G14 M14:O14 I14:K14">
    <cfRule type="colorScale" priority="28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:U15 AT15 G15 M15:O15 I15:K15">
    <cfRule type="colorScale" priority="29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6:U16 AT16 G16 M16:O16 I16:K16">
    <cfRule type="colorScale" priority="29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:U17 AT17 G17 M17:O17 I17:K17">
    <cfRule type="colorScale" priority="29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8:U18 AT18 G18 M18:O18 I18:K18">
    <cfRule type="colorScale" priority="29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U19 AT19 G19 M19:O19 I19:K19">
    <cfRule type="colorScale" priority="29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:U20 AT20 G20 M20:O20 I20:K20">
    <cfRule type="colorScale" priority="29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:U21 AT21 G21 M21:O21 I21:K21">
    <cfRule type="colorScale" priority="29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:U22 AT22 G22 M22:O22 I22:K22">
    <cfRule type="colorScale" priority="29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3:U23 AT23 G23 M23:O23 I23:K23">
    <cfRule type="colorScale" priority="29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:U26 AT26 G26 M26:O26 I26:K26">
    <cfRule type="colorScale" priority="29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7:U27 AT27 G27 M27:O27 I27:K27">
    <cfRule type="colorScale" priority="29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8:U28 AT28 G28 M28:O28 I28:K28">
    <cfRule type="colorScale" priority="29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9:U29 AT29 G29 M29:O29 I29:K29">
    <cfRule type="colorScale" priority="29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:U30 AT30 G30 M30:O30 I30:K30">
    <cfRule type="colorScale" priority="29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1:U31 AT31 G31 M31:O31 I31:K31">
    <cfRule type="colorScale" priority="29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2:U32 AT32 G32 M32:O32 I32:K32">
    <cfRule type="colorScale" priority="29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:U33 AT33 G33 M33:O33 I33:K33">
    <cfRule type="colorScale" priority="29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4:U34 AT34 G34 M34:O34 I34:K34">
    <cfRule type="colorScale" priority="29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5:U35 AT35 G35 M35:O35 I35:K35">
    <cfRule type="colorScale" priority="29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6:U36 AT36 G36 M36:O36 I36:K36">
    <cfRule type="colorScale" priority="29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7:U37 AT37 G37 M37:O37 I37:K37">
    <cfRule type="colorScale" priority="29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:U38 AT38 G38 M38:O38 I38:K38">
    <cfRule type="colorScale" priority="29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9:U39 AT39 G39 M39:O39 I39:K39">
    <cfRule type="colorScale" priority="29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0:U40 AT40 G40 M40:O40 I40:K40">
    <cfRule type="colorScale" priority="29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1:U41 AT41 G41 M41:O41 I41:K41">
    <cfRule type="colorScale" priority="29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2:U42 AT42 G42 M42:O42 I42:K42">
    <cfRule type="colorScale" priority="29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:U43 AT43 G43 M43:O43 I43:K43">
    <cfRule type="colorScale" priority="29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4:U44 AT44 G44 M44:O44 I44:K44">
    <cfRule type="colorScale" priority="29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5:U45 AT45 G45 M45:O45 I45:K45">
    <cfRule type="colorScale" priority="29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6:U46 AT46 G46 M46:O46 I46:K46">
    <cfRule type="colorScale" priority="29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:U47 AT47 G47 M47:O47 I47:K47">
    <cfRule type="colorScale" priority="29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8:U48 AT48 G48 M48:O48 I48:K48">
    <cfRule type="colorScale" priority="29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9:U49 AT49 G49 M49:O49 I49:K49">
    <cfRule type="colorScale" priority="29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0:U50 AT50 G50 M50:O50 I50:K50">
    <cfRule type="colorScale" priority="29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:U51 AT51 G51 M51:O51 I51:K51">
    <cfRule type="colorScale" priority="29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2:U52 AT52 G52 M52:O52 I52:K52">
    <cfRule type="colorScale" priority="29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3:U53 AT53 G53 M53:O53 I53:K53">
    <cfRule type="colorScale" priority="29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:U54 AT54 G54 M54:O54 I54:K54">
    <cfRule type="colorScale" priority="29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5:U55 AT55 G55 M55:O55 I55:K55">
    <cfRule type="colorScale" priority="29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6:U56 AT56 G56 M56:O56 I56:K56">
    <cfRule type="colorScale" priority="29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7:U57 AT57 G57 M57:O57 I57:K57">
    <cfRule type="colorScale" priority="29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8:U58 AT58 G58 M58:O58 I58:K58">
    <cfRule type="colorScale" priority="29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:U59 AT59 G59 M59:O59 I59:K59">
    <cfRule type="colorScale" priority="29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0:U60 AT60 G60 M60:O60 I60:K60">
    <cfRule type="colorScale" priority="29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U61 AT61 G61 M61:O61 I61:K61">
    <cfRule type="colorScale" priority="29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2:U62 AT62 G62 M62:O62 I62:K62">
    <cfRule type="colorScale" priority="29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3:U63 AT63 G63 M63:O63 I63:K63">
    <cfRule type="colorScale" priority="29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4:U64 AT64 G64 M64:O64 I64:K64">
    <cfRule type="colorScale" priority="29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5:U65 AT65 G65 M65:O65 I65:K65">
    <cfRule type="colorScale" priority="29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6:U66 AT66 G66 M66:O66 I66:K66">
    <cfRule type="colorScale" priority="30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7:U67 AT67 G67 M67:O67 I67:K67">
    <cfRule type="colorScale" priority="30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8:U68 AT68 G68 M68:O68 I68:K68">
    <cfRule type="colorScale" priority="30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9:U69 AT69 G69 M69:O69 I69:K69">
    <cfRule type="colorScale" priority="30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0:U70 AT70 G70 M70:O70 I70:K70">
    <cfRule type="colorScale" priority="30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1:U71 AT71 G71 M71:O71 I71:K71">
    <cfRule type="colorScale" priority="30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2:U72 AT72 G72 M72:O72 I72:K72">
    <cfRule type="colorScale" priority="30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3:U73 AT73 G73 M73:O73 I73:K73">
    <cfRule type="colorScale" priority="30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4:U74 AT74 G74 M74:O74 I74:K74">
    <cfRule type="colorScale" priority="30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5:U75 AT75 G75 M75:O75 I75:K75">
    <cfRule type="colorScale" priority="30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6:U76 AT76 G76 M76:O76 I76:K76">
    <cfRule type="colorScale" priority="30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7:U77 AT77 G77 M77:O77 I77:K77">
    <cfRule type="colorScale" priority="30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8:U78 AT78 G78 M78:O78 I78:K78">
    <cfRule type="colorScale" priority="30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9:U79 AT79 G79 M79:O79 I79:K79">
    <cfRule type="colorScale" priority="30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0:U80 AT80 G80 M80:O80 I80:K80">
    <cfRule type="colorScale" priority="30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1:U81 AT81 G81 M81:O81 I81:K81">
    <cfRule type="colorScale" priority="30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2:U82 AT82 G82 M82:O82 I82:K82">
    <cfRule type="colorScale" priority="30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3:U83 AT83 G83 M83:O83 I83:K83">
    <cfRule type="colorScale" priority="30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4:U84 AT84 G84 M84:O84 I84:K84">
    <cfRule type="colorScale" priority="30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5:U85 AT85 G85 M85:O85 I85:K85">
    <cfRule type="colorScale" priority="30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6:U86 AT86 G86 M86:O86 I86:K86">
    <cfRule type="colorScale" priority="30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7:U87 AT87 G87 M87:O87 I87:K87">
    <cfRule type="colorScale" priority="30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8:U88 AT88 G88 M88:O88 I88:K88">
    <cfRule type="colorScale" priority="30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9:U89 AT89 G89 M89:O89 I89:K89">
    <cfRule type="colorScale" priority="30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0:U90 AT90 G90 M90:O90 I90:K90">
    <cfRule type="colorScale" priority="30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1:U91 AT91 G91 M91:O91 I91:K91">
    <cfRule type="colorScale" priority="30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2:U92 AT92 G92 M92:O92 I92:K92">
    <cfRule type="colorScale" priority="30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3:U93 AT93 G93 M93:O93 I93:K93">
    <cfRule type="colorScale" priority="30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4:U94 AT94 G94 M94:O94 I94:K94">
    <cfRule type="colorScale" priority="30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5:U95 AT95 G95 M95:O95 I95:K95">
    <cfRule type="colorScale" priority="30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6:U96 AT96 G96 M96:O96 I96:K96">
    <cfRule type="colorScale" priority="30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7:U97 AT97 G97 M97:O97 I97:K97">
    <cfRule type="colorScale" priority="30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8:U98 AT98 G98 M98:O98 I98:K98">
    <cfRule type="colorScale" priority="30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9:U99 AT99 G99 M99:O99 I99:K99">
    <cfRule type="colorScale" priority="30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U100 AT100 G100 M100:O100 I100:K100">
    <cfRule type="colorScale" priority="30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1:U101 AT101 G101 M101:O101 I101:K101">
    <cfRule type="colorScale" priority="30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2:U102 AT102 G102 M102:O102 I102:K102">
    <cfRule type="colorScale" priority="30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3:U103 AT103 G103 M103:O103 I103:K103">
    <cfRule type="colorScale" priority="30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4:U104 AT104 G104 M104:O104 I104:K104">
    <cfRule type="colorScale" priority="3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5:U105 AT105 G105 M105:O105 I105:K105">
    <cfRule type="colorScale" priority="30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6:U106 AT106 G106 M106:O106 I106:K106">
    <cfRule type="colorScale" priority="30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7:U107 AT107 G107 M107:O107 I107:K107">
    <cfRule type="colorScale" priority="30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8:U108 AT108 G108 M108:O108 I108:K108">
    <cfRule type="colorScale" priority="30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9:U109 AT109 G109 M109:O109 I109:K109">
    <cfRule type="colorScale" priority="30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0:U110 AT110 G110 M110:O110 I110:K110">
    <cfRule type="colorScale" priority="30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1:U111 AT111 G111 M111:O111 I111:K111">
    <cfRule type="colorScale" priority="30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2:U112 AT112 G112 M112:O112 I112:K112">
    <cfRule type="colorScale" priority="30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3:U113 AT113 G113 M113:O113 I113:K113">
    <cfRule type="colorScale" priority="30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4:U114 AT114 G114 M114:O114 I114:K114">
    <cfRule type="colorScale" priority="30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5:U115 AT115 G115 M115:O115 I115:K115">
    <cfRule type="colorScale" priority="30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6:U116 AT116 G116 M116:O116 I116:K116">
    <cfRule type="colorScale" priority="3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7:U117 AT117 G117 M117:O117 I117:K117">
    <cfRule type="colorScale" priority="31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8:U118 AT118 G118 M118:O118 I118:K118">
    <cfRule type="colorScale" priority="3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9:U119 AT119 G119 M119:O119 I119:K119">
    <cfRule type="colorScale" priority="3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0:U120 AT120 G120 M120:O120 I120:K120">
    <cfRule type="colorScale" priority="3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1:U121 AT121 G121 M121:O121 I121:K121">
    <cfRule type="colorScale" priority="31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2:U122 AT122 G122 M122:O122 I122:K122">
    <cfRule type="colorScale" priority="3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3:U123 AT123 G123 M123:O123 I123:K123">
    <cfRule type="colorScale" priority="3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4:U124 AT124 G124 M124:O124 I124:K124">
    <cfRule type="colorScale" priority="3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5:U125 AT125 G125 M125:O125 I125:K125">
    <cfRule type="colorScale" priority="31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6:U126 AT126 G126 M126:O126 I126:K126">
    <cfRule type="colorScale" priority="3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7:U127 AT127 G127 M127:O127 I127:K127">
    <cfRule type="colorScale" priority="31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8:U128 AT128 G128 M128:O128">
    <cfRule type="colorScale" priority="3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U129 AT129 G129 M129:O129 I129:K129">
    <cfRule type="colorScale" priority="31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0:U130 AT130 G130 M130:O130 I130:K130">
    <cfRule type="colorScale" priority="3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1:U131 AT131 G131 M131:O131 I131:K131">
    <cfRule type="colorScale" priority="31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2:U132 AT132 G132 M132:O132 I132:K132">
    <cfRule type="colorScale" priority="3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3:U133 AT133 G133 M133:O133 I133:K133">
    <cfRule type="colorScale" priority="3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4:U134 AT134 G134 M134:O134 I134:K134">
    <cfRule type="colorScale" priority="3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5:U135 AT135 G135 M135:O135">
    <cfRule type="colorScale" priority="3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6:U136 AT136 G136 M136:O136 I136:K136">
    <cfRule type="colorScale" priority="3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7:U137 AT137 G137 M137:O137 I137:K137">
    <cfRule type="colorScale" priority="3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8:U138 AT138 G138 M138:O138 I138:K138">
    <cfRule type="colorScale" priority="3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9:U139 AT139 G139 M139:O139 I139:K139">
    <cfRule type="colorScale" priority="3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40:U140 AT140 G140 M140:O140 I140:K140">
    <cfRule type="colorScale" priority="31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41:U141 AT141 G141 M141:O141 I141:K141">
    <cfRule type="colorScale" priority="31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42:U142 AT142 G142 M142:O142 I142:K142">
    <cfRule type="colorScale" priority="3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43:U143 AT143 G143 M143:O143 I143:K143">
    <cfRule type="colorScale" priority="31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44:U144 AT144 G144 M144:O144 I144:K144">
    <cfRule type="colorScale" priority="3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45:U145 AT145 G145 M145:O145 I145:K145">
    <cfRule type="colorScale" priority="3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46:U146 AT146 G146 M146:O146 I146:K146">
    <cfRule type="colorScale" priority="3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47:U147 AT147 G147 M147:O147 I147:K147">
    <cfRule type="colorScale" priority="31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48:U148 AT148 G148 M148:O148 I148:K148">
    <cfRule type="colorScale" priority="3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49:U149 AT149 G149 M149:O149 I149:K149">
    <cfRule type="colorScale" priority="31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0:U150 AT150 G150 M150:O150 I150:K150">
    <cfRule type="colorScale" priority="3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1:U151 AT151 G151 M151:O151 I151:K151">
    <cfRule type="colorScale" priority="31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2:U152 AT152 G152 M152:O152 I152:K152">
    <cfRule type="colorScale" priority="3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3:U153 AT153 G153 M153:O153 I153:K153">
    <cfRule type="colorScale" priority="3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4:U154 AT154 G154 M154:O154 I154:K154">
    <cfRule type="colorScale" priority="3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5:U155 AT155 G155 M155:O155 I155:K155">
    <cfRule type="colorScale" priority="3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6:U156 AT156 G156 M156:O156 I156:K156">
    <cfRule type="colorScale" priority="3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7:U157 AT157 G157 M157:O157 I157:K157">
    <cfRule type="colorScale" priority="31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8:U158 AT158 G158 M158:O158 I158:K158">
    <cfRule type="colorScale" priority="31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9:U159 AT159 G159 M159:O159 I159:K159">
    <cfRule type="colorScale" priority="3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60:U160 AT160 G160 M160:O160 I160:K160">
    <cfRule type="colorScale" priority="31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61:U161 AT161 G161 M161:O161 I161:K161">
    <cfRule type="colorScale" priority="3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62:U162 AT162 G162 M162:O162 I162:K162">
    <cfRule type="colorScale" priority="3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63:U163 AT163 G163 M163:O163 I163:K163">
    <cfRule type="colorScale" priority="3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64:U164 AT164 G164 M164:O164 I164:K164">
    <cfRule type="colorScale" priority="31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65:U165 AT165 G165 M165:O165 I165:K165">
    <cfRule type="colorScale" priority="31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66:U166 AT166 G166 M166:O166 I166:K166">
    <cfRule type="colorScale" priority="3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67:U167 AT167 G167 M167:O167 I167:K167">
    <cfRule type="colorScale" priority="32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68:U168 AT168 G168 M168:O168 I168:K168">
    <cfRule type="colorScale" priority="3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69:U169 AT169 G169 M169:O169 I169:K169">
    <cfRule type="colorScale" priority="32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U170 AT170 G170 M170:O170 I170:K170">
    <cfRule type="colorScale" priority="32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1:U171 AT171 G171 M171:O171 I171:K171">
    <cfRule type="colorScale" priority="32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2:U172 AT172 G172 M172:O172 I172:K172">
    <cfRule type="colorScale" priority="3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3:U173 AT173 G173 M173:O173 I173:K173">
    <cfRule type="colorScale" priority="32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4:U174 AT174 G174 M174:O174 I174:K174">
    <cfRule type="colorScale" priority="3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5:U175 AT175 G175 M175:O175 I175:K175">
    <cfRule type="colorScale" priority="32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6:U176 AT176 G176 M176:O176 I176:K176">
    <cfRule type="colorScale" priority="32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7:U177 AT177 G177 M177:O177 I177:K177">
    <cfRule type="colorScale" priority="32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8:U178 AT178 G178 M178:O178 I178:K178">
    <cfRule type="colorScale" priority="3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9:U179 AT179 G179 M179:O179 I179:K179">
    <cfRule type="colorScale" priority="32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80:U180 AT180 G180 M180:O180 I180:K180">
    <cfRule type="colorScale" priority="32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81:U181 AT181 G181 M181:O181 I181:K181">
    <cfRule type="colorScale" priority="32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82:U182 AT182 G182 M182:O182 I182:K182">
    <cfRule type="colorScale" priority="32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83:U183 AT183 G183 M183:O183 I183:K183">
    <cfRule type="colorScale" priority="32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84:U184 AT184 G184 M184:O184 I184:K184">
    <cfRule type="colorScale" priority="3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85:U185 AT185 G185 M185:O185 I185:K185">
    <cfRule type="colorScale" priority="32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86:U186 AT186 G186 M186:O186 I186:K186">
    <cfRule type="colorScale" priority="32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87:U187 AT187 G187 M187:O187 I187:K187">
    <cfRule type="colorScale" priority="32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88:U188 AT188 G188 M188:O188 I188:K188">
    <cfRule type="colorScale" priority="3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89:U189 AT189 G189 M189:O189 I189:K189">
    <cfRule type="colorScale" priority="32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0:U190 AT190 G190 M190:O190 I190:K190">
    <cfRule type="colorScale" priority="32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1:U191 AT191 G191 M191:O191 I191:K191">
    <cfRule type="colorScale" priority="32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2:U192 AT192 G192 M192:O192 I192:K192">
    <cfRule type="colorScale" priority="3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3:U193 AT193 G193 M193:O193 I193:K193">
    <cfRule type="colorScale" priority="32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4:U194 AT194 G194 M194:O194 I194:K194">
    <cfRule type="colorScale" priority="3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5:U195 AT195 G195 M195:O195 I195:K195">
    <cfRule type="colorScale" priority="32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6:U196 AT196 G196 M196:O196 I196:K196">
    <cfRule type="colorScale" priority="3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7:U197 AT197 G197 M197:O197 I197:K197">
    <cfRule type="colorScale" priority="3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8:U198 AT198 G198 M198:O198 I198:K198">
    <cfRule type="colorScale" priority="3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9:U199 AT199 G199 M199:O199 I199:K199">
    <cfRule type="colorScale" priority="32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0:U200 AT200 G200 M200:O200 I200:K200">
    <cfRule type="colorScale" priority="3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1:U201 AT201 G201 M201:O201 I201:K201">
    <cfRule type="colorScale" priority="32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2:U202 AT202 G202 M202:O202 I202:K202">
    <cfRule type="colorScale" priority="3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3:U203 AT203 G203 M203:O203 I203:K203">
    <cfRule type="colorScale" priority="32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4:U204 AT204 G204 M204:O204 I204:K204">
    <cfRule type="colorScale" priority="32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5:U205 AT205 G205 M205:O205 I205:K205">
    <cfRule type="colorScale" priority="32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6:U206 AT206 G206 M206:O206 I206:K206">
    <cfRule type="colorScale" priority="32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7:U207 AT207 G207 M207:O207">
    <cfRule type="colorScale" priority="32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8:U208 AT208 G208 M208:O208">
    <cfRule type="colorScale" priority="3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9:U209 AT209 G209 M209 I209:K209">
    <cfRule type="colorScale" priority="32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0:U210 AT210 G210 M210 I210:K210">
    <cfRule type="colorScale" priority="32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1:U211 AT211 G211 M211 I211:K211">
    <cfRule type="colorScale" priority="3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2:U212 AT212 G212 M212 I212:K212">
    <cfRule type="colorScale" priority="32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3:U213">
    <cfRule type="colorScale" priority="32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4:U214 AT214 G214 M214:O214">
    <cfRule type="colorScale" priority="3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5:U215 AT215 G215 M215:O215">
    <cfRule type="colorScale" priority="33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6:U218 AT216:AT218 G216:G218 M216:O218">
    <cfRule type="colorScale" priority="3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9:U220 AT219:AT220 G219:G220 M219:O220">
    <cfRule type="colorScale" priority="33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1:U223 AT221:AT223 G221:G222 M221:O223">
    <cfRule type="colorScale" priority="3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U224">
    <cfRule type="colorScale" priority="33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34:U234 AT234 G234 M234:O234 I234:K23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4:V25">
    <cfRule type="colorScale" priority="1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5:V230">
    <cfRule type="colorScale" priority="15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31:V232">
    <cfRule type="colorScale" priority="15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:AB2">
    <cfRule type="colorScale" priority="10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AB5">
    <cfRule type="colorScale" priority="1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:AB6">
    <cfRule type="colorScale" priority="11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7:AB7">
    <cfRule type="colorScale" priority="1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:AB8">
    <cfRule type="colorScale" priority="1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9:AB9">
    <cfRule type="colorScale" priority="1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:AB10">
    <cfRule type="colorScale" priority="11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1:AB11">
    <cfRule type="colorScale" priority="1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:AB12">
    <cfRule type="colorScale" priority="1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:AB13">
    <cfRule type="colorScale" priority="1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4:AB14">
    <cfRule type="colorScale" priority="11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5:AB15">
    <cfRule type="colorScale" priority="1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6:AB16">
    <cfRule type="colorScale" priority="11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:AB17">
    <cfRule type="colorScale" priority="1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8:AB18">
    <cfRule type="colorScale" priority="11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:AB19">
    <cfRule type="colorScale" priority="1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0:AB20">
    <cfRule type="colorScale" priority="11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1:AB21">
    <cfRule type="colorScale" priority="1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:AB22">
    <cfRule type="colorScale" priority="1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3:AB23">
    <cfRule type="colorScale" priority="1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:AB26">
    <cfRule type="colorScale" priority="1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7:AB27">
    <cfRule type="colorScale" priority="1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8:AB28">
    <cfRule type="colorScale" priority="1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9:AB29">
    <cfRule type="colorScale" priority="1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:AB30">
    <cfRule type="colorScale" priority="11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1:AB31">
    <cfRule type="colorScale" priority="11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2:AB32">
    <cfRule type="colorScale" priority="1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:AB33">
    <cfRule type="colorScale" priority="11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4:AB34">
    <cfRule type="colorScale" priority="1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5:AB35">
    <cfRule type="colorScale" priority="1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6:AB36">
    <cfRule type="colorScale" priority="1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7:AB37">
    <cfRule type="colorScale" priority="11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:AB38">
    <cfRule type="colorScale" priority="1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9:AB39">
    <cfRule type="colorScale" priority="11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0:AB40">
    <cfRule type="colorScale" priority="1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1:AB41">
    <cfRule type="colorScale" priority="11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2:AB42">
    <cfRule type="colorScale" priority="1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:AB43">
    <cfRule type="colorScale" priority="1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4:AB44">
    <cfRule type="colorScale" priority="1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5:AB45">
    <cfRule type="colorScale" priority="1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6:AB46">
    <cfRule type="colorScale" priority="1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:AB47">
    <cfRule type="colorScale" priority="11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8:AB48">
    <cfRule type="colorScale" priority="11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9:AB49">
    <cfRule type="colorScale" priority="1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0:AB50">
    <cfRule type="colorScale" priority="11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:AB51">
    <cfRule type="colorScale" priority="1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2:AB52">
    <cfRule type="colorScale" priority="1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3:AB53">
    <cfRule type="colorScale" priority="1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:AB54">
    <cfRule type="colorScale" priority="11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5:AB55">
    <cfRule type="colorScale" priority="11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6:AB56">
    <cfRule type="colorScale" priority="1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7:AB57">
    <cfRule type="colorScale" priority="12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8:AB58">
    <cfRule type="colorScale" priority="1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:AB59">
    <cfRule type="colorScale" priority="12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0:AB60">
    <cfRule type="colorScale" priority="12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:AB61">
    <cfRule type="colorScale" priority="12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2:AB62">
    <cfRule type="colorScale" priority="1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3:AB63">
    <cfRule type="colorScale" priority="12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4:AB64">
    <cfRule type="colorScale" priority="1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5:AB65">
    <cfRule type="colorScale" priority="12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6:AB66">
    <cfRule type="colorScale" priority="12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7:AB67">
    <cfRule type="colorScale" priority="12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8:AB68">
    <cfRule type="colorScale" priority="1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9:AB69">
    <cfRule type="colorScale" priority="12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70:AB70">
    <cfRule type="colorScale" priority="12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71:AB71">
    <cfRule type="colorScale" priority="12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72:AB72">
    <cfRule type="colorScale" priority="12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73:AB73">
    <cfRule type="colorScale" priority="12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74:AB74">
    <cfRule type="colorScale" priority="1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75:AB75">
    <cfRule type="colorScale" priority="12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76:AB76">
    <cfRule type="colorScale" priority="12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77:AB77">
    <cfRule type="colorScale" priority="12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78:AB78">
    <cfRule type="colorScale" priority="1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79:AB79">
    <cfRule type="colorScale" priority="12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0:AB80">
    <cfRule type="colorScale" priority="12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1:AB81">
    <cfRule type="colorScale" priority="12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2:AB82">
    <cfRule type="colorScale" priority="1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3:AB83">
    <cfRule type="colorScale" priority="12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4:AB84">
    <cfRule type="colorScale" priority="1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5:AB85">
    <cfRule type="colorScale" priority="12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6:AB86">
    <cfRule type="colorScale" priority="1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7:AB87">
    <cfRule type="colorScale" priority="1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8:AB88">
    <cfRule type="colorScale" priority="1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9:AB89">
    <cfRule type="colorScale" priority="12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90:AB90">
    <cfRule type="colorScale" priority="1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91:AB91">
    <cfRule type="colorScale" priority="12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92:AB92">
    <cfRule type="colorScale" priority="1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93:AB93">
    <cfRule type="colorScale" priority="12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94:AB94">
    <cfRule type="colorScale" priority="12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95:AB95">
    <cfRule type="colorScale" priority="12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96:AB96">
    <cfRule type="colorScale" priority="12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97:AB97">
    <cfRule type="colorScale" priority="12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98:AB98">
    <cfRule type="colorScale" priority="1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99:AB99">
    <cfRule type="colorScale" priority="12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AB100">
    <cfRule type="colorScale" priority="12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1:AB101">
    <cfRule type="colorScale" priority="12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2:AB102">
    <cfRule type="colorScale" priority="1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3:AB103">
    <cfRule type="colorScale" priority="12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4:AB104">
    <cfRule type="colorScale" priority="1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5:AB105">
    <cfRule type="colorScale" priority="12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6:AB106">
    <cfRule type="colorScale" priority="1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7:AB107">
    <cfRule type="colorScale" priority="13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8:AB108">
    <cfRule type="colorScale" priority="1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9:AB109">
    <cfRule type="colorScale" priority="13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10:AB110">
    <cfRule type="colorScale" priority="1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11:AB111">
    <cfRule type="colorScale" priority="13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12:AB112">
    <cfRule type="colorScale" priority="13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13:AB113">
    <cfRule type="colorScale" priority="13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14:AB114">
    <cfRule type="colorScale" priority="13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15:AB115">
    <cfRule type="colorScale" priority="13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16:AB116">
    <cfRule type="colorScale" priority="1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17:AB117">
    <cfRule type="colorScale" priority="13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18:AB118">
    <cfRule type="colorScale" priority="13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19:AB119">
    <cfRule type="colorScale" priority="13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0:AB120">
    <cfRule type="colorScale" priority="13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1:AB121">
    <cfRule type="colorScale" priority="13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2:AB122">
    <cfRule type="colorScale" priority="13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3:AB123">
    <cfRule type="colorScale" priority="13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4:AB124">
    <cfRule type="colorScale" priority="13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5:AB125">
    <cfRule type="colorScale" priority="13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6:AB126">
    <cfRule type="colorScale" priority="13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7:AB127">
    <cfRule type="colorScale" priority="13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8:AB128">
    <cfRule type="colorScale" priority="13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AB129">
    <cfRule type="colorScale" priority="13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0:AB130">
    <cfRule type="colorScale" priority="13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1:AB131">
    <cfRule type="colorScale" priority="13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2:AB132">
    <cfRule type="colorScale" priority="13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3:AB133">
    <cfRule type="colorScale" priority="13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4:AB134">
    <cfRule type="colorScale" priority="13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5:AB135">
    <cfRule type="colorScale" priority="13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6:AB136">
    <cfRule type="colorScale" priority="13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7:AB137">
    <cfRule type="colorScale" priority="13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8:AB138">
    <cfRule type="colorScale" priority="13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9:AB139">
    <cfRule type="colorScale" priority="13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40:AB140">
    <cfRule type="colorScale" priority="13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41:AB141">
    <cfRule type="colorScale" priority="13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42:AB142">
    <cfRule type="colorScale" priority="13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43:AB143">
    <cfRule type="colorScale" priority="13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44:AB144">
    <cfRule type="colorScale" priority="13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45:AB145">
    <cfRule type="colorScale" priority="13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46:AB146">
    <cfRule type="colorScale" priority="13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47:AB147">
    <cfRule type="colorScale" priority="13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48:AB148">
    <cfRule type="colorScale" priority="13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49:AB149">
    <cfRule type="colorScale" priority="13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50:AB150">
    <cfRule type="colorScale" priority="13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51:AB151">
    <cfRule type="colorScale" priority="13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52:AB152">
    <cfRule type="colorScale" priority="13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53:AB153">
    <cfRule type="colorScale" priority="13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54:AB154">
    <cfRule type="colorScale" priority="13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55:AB155">
    <cfRule type="colorScale" priority="13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56:AB156">
    <cfRule type="colorScale" priority="14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57:AB157">
    <cfRule type="colorScale" priority="14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58:AB158">
    <cfRule type="colorScale" priority="14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59:AB159">
    <cfRule type="colorScale" priority="14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60:AB160">
    <cfRule type="colorScale" priority="14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61:AB161">
    <cfRule type="colorScale" priority="14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62:AB162">
    <cfRule type="colorScale" priority="14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63:AB163">
    <cfRule type="colorScale" priority="14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64:AB164">
    <cfRule type="colorScale" priority="14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65:AB165">
    <cfRule type="colorScale" priority="14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66:AB166">
    <cfRule type="colorScale" priority="14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67:AB167">
    <cfRule type="colorScale" priority="14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68:AB168">
    <cfRule type="colorScale" priority="14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69:AB169">
    <cfRule type="colorScale" priority="14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AB170">
    <cfRule type="colorScale" priority="14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1:AB171">
    <cfRule type="colorScale" priority="14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2:AB172">
    <cfRule type="colorScale" priority="14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3:AB173">
    <cfRule type="colorScale" priority="14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4:AB174">
    <cfRule type="colorScale" priority="14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5:AB175">
    <cfRule type="colorScale" priority="14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6:AB176">
    <cfRule type="colorScale" priority="14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7:AB177">
    <cfRule type="colorScale" priority="14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8:AB178">
    <cfRule type="colorScale" priority="14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9:AB179">
    <cfRule type="colorScale" priority="14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80:AB180">
    <cfRule type="colorScale" priority="14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81:AB181">
    <cfRule type="colorScale" priority="14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82:AB182">
    <cfRule type="colorScale" priority="14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83:AB183">
    <cfRule type="colorScale" priority="14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84:AB184">
    <cfRule type="colorScale" priority="14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85:AB185">
    <cfRule type="colorScale" priority="14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86:AB186">
    <cfRule type="colorScale" priority="14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87:AB187">
    <cfRule type="colorScale" priority="14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88:AB188">
    <cfRule type="colorScale" priority="14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89:AB189">
    <cfRule type="colorScale" priority="14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0:AB190">
    <cfRule type="colorScale" priority="14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1:AB191">
    <cfRule type="colorScale" priority="14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2:AB192">
    <cfRule type="colorScale" priority="14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3:AB193">
    <cfRule type="colorScale" priority="14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4:AB194">
    <cfRule type="colorScale" priority="14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5:AB195">
    <cfRule type="colorScale" priority="14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6:AB196">
    <cfRule type="colorScale" priority="14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7:AB197">
    <cfRule type="colorScale" priority="14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8:AB198">
    <cfRule type="colorScale" priority="14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9:AB199">
    <cfRule type="colorScale" priority="14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00:AB200">
    <cfRule type="colorScale" priority="14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01:AB201">
    <cfRule type="colorScale" priority="14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02:AB202">
    <cfRule type="colorScale" priority="14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03:AB203">
    <cfRule type="colorScale" priority="14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04:AB204">
    <cfRule type="colorScale" priority="14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05:AB205">
    <cfRule type="colorScale" priority="14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06:AB206">
    <cfRule type="colorScale" priority="15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07:AB207">
    <cfRule type="colorScale" priority="15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08:AB208">
    <cfRule type="colorScale" priority="15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09:AB209">
    <cfRule type="colorScale" priority="15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10:AB210">
    <cfRule type="colorScale" priority="15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11:AB211">
    <cfRule type="colorScale" priority="15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12:AB212">
    <cfRule type="colorScale" priority="15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13:AB213">
    <cfRule type="colorScale" priority="15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14:AB214">
    <cfRule type="colorScale" priority="15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15:AB215">
    <cfRule type="colorScale" priority="15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16:AB218">
    <cfRule type="colorScale" priority="15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19:AB220">
    <cfRule type="colorScale" priority="15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1:AB223">
    <cfRule type="colorScale" priority="15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AB224">
    <cfRule type="colorScale" priority="15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34:AB23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4:W25">
    <cfRule type="colorScale" priority="10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5:W230">
    <cfRule type="colorScale" priority="10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31:W232">
    <cfRule type="colorScale" priority="10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4:X25">
    <cfRule type="colorScale" priority="10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5:X230">
    <cfRule type="colorScale" priority="10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31:X232">
    <cfRule type="colorScale" priority="10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4:Y25">
    <cfRule type="colorScale" priority="10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25:Y230">
    <cfRule type="colorScale" priority="10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31:Y232">
    <cfRule type="colorScale" priority="10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4:Z25">
    <cfRule type="colorScale" priority="10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25:Z230">
    <cfRule type="colorScale" priority="1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31:Z232">
    <cfRule type="colorScale" priority="10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4:AA25">
    <cfRule type="colorScale" priority="10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25:AA230">
    <cfRule type="colorScale" priority="10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31:AA232">
    <cfRule type="colorScale" priority="10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4:AB25">
    <cfRule type="colorScale" priority="10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25:AB230">
    <cfRule type="colorScale" priority="10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31:AB232">
    <cfRule type="colorScale" priority="10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4:AD25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24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25:AD230">
    <cfRule type="colorScale" priority="10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31:AD232">
    <cfRule type="colorScale" priority="10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:AJ2 AL2:AO2">
    <cfRule type="colorScale" priority="37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:AJ5 AL3:AO5">
    <cfRule type="colorScale" priority="37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:AJ6 AL6:AO6">
    <cfRule type="colorScale" priority="37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:AJ7 AL7:AO7">
    <cfRule type="colorScale" priority="37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:AJ8 AL8:AO8">
    <cfRule type="colorScale" priority="37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:AJ9 AL9:AO9">
    <cfRule type="colorScale" priority="37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:AJ10 AL10:AO10">
    <cfRule type="colorScale" priority="37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:AJ11 AL11:AO11">
    <cfRule type="colorScale" priority="37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:AJ12 AL12:AO12">
    <cfRule type="colorScale" priority="37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:AJ13 AL13:AO13">
    <cfRule type="colorScale" priority="37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:AJ14 AL14:AO14">
    <cfRule type="colorScale" priority="38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:AJ15 AL15:AO15">
    <cfRule type="colorScale" priority="38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:AJ16 AL16:AO16">
    <cfRule type="colorScale" priority="38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:AJ17 AL17:AO17">
    <cfRule type="colorScale" priority="38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:AJ18 AL18:AO18">
    <cfRule type="colorScale" priority="38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:AJ19 AL19:AO19">
    <cfRule type="colorScale" priority="38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:AJ20 AL20:AO20">
    <cfRule type="colorScale" priority="38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:AJ21 AL21:AO21">
    <cfRule type="colorScale" priority="38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2:AJ22 AL22:AO22">
    <cfRule type="colorScale" priority="38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3:AJ23 AL23:AO23">
    <cfRule type="colorScale" priority="38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6:AJ26 AL26:AO26">
    <cfRule type="colorScale" priority="38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7:AJ27 AL27:AO27">
    <cfRule type="colorScale" priority="38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8:AJ28 AL28:AO28">
    <cfRule type="colorScale" priority="38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:AJ29 AL29:AO29">
    <cfRule type="colorScale" priority="38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0:AJ30 AL30:AO30">
    <cfRule type="colorScale" priority="38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1:AJ31 AL31:AO31">
    <cfRule type="colorScale" priority="38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2:AJ32 AL32:AO32">
    <cfRule type="colorScale" priority="38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:AJ33 AL33:AO33">
    <cfRule type="colorScale" priority="38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4:AJ34 AL34:AO34">
    <cfRule type="colorScale" priority="38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5:AJ35 AL35:AO35">
    <cfRule type="colorScale" priority="38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6:AJ36 AL36:AO36">
    <cfRule type="colorScale" priority="38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7:AJ37 AL37:AO37">
    <cfRule type="colorScale" priority="38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:AJ38 AL38:AO38">
    <cfRule type="colorScale" priority="38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9:AJ39 AL39:AO39">
    <cfRule type="colorScale" priority="38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0:AJ40 AL40:AO40">
    <cfRule type="colorScale" priority="38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1:AJ41 AL41:AO41">
    <cfRule type="colorScale" priority="39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:AJ42 AL42:AO42">
    <cfRule type="colorScale" priority="39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3:AJ43 AL43:AO43">
    <cfRule type="colorScale" priority="39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4:AJ44 AL44:AO44">
    <cfRule type="colorScale" priority="39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5:AJ45 AL45:AO45">
    <cfRule type="colorScale" priority="39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:AJ46 AL46:AO46">
    <cfRule type="colorScale" priority="39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7:AJ47 AL47:AO47">
    <cfRule type="colorScale" priority="39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8:AJ48 AL48:AO48">
    <cfRule type="colorScale" priority="39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9:AJ49 AL49:AO49">
    <cfRule type="colorScale" priority="39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:AJ50 AL50:AO50">
    <cfRule type="colorScale" priority="39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1:AJ51 AL51:AO51">
    <cfRule type="colorScale" priority="39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2:AJ52 AL52:AO52">
    <cfRule type="colorScale" priority="39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3:AJ53 AL53:AO53">
    <cfRule type="colorScale" priority="39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:AJ54 AL54:AO54">
    <cfRule type="colorScale" priority="39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5:AJ55 AL55:AO55">
    <cfRule type="colorScale" priority="39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6:AJ56 AL56:AO56">
    <cfRule type="colorScale" priority="39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7:AJ57 AL57:AO57">
    <cfRule type="colorScale" priority="39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8:AJ58 AL58:AO58">
    <cfRule type="colorScale" priority="39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:AJ59 AL59:AO59">
    <cfRule type="colorScale" priority="39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0:AJ60 AL60:AO60">
    <cfRule type="colorScale" priority="39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1:AJ61 AL61:AO61">
    <cfRule type="colorScale" priority="39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2:AJ62 AL62:AO62">
    <cfRule type="colorScale" priority="39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3:AJ63 AL63:AO63">
    <cfRule type="colorScale" priority="39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4:AJ64 AL64:AO64">
    <cfRule type="colorScale" priority="39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5:AJ65 AL65:AO65">
    <cfRule type="colorScale" priority="39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6:AJ66 AL66:AO66">
    <cfRule type="colorScale" priority="40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7:AJ67 AL67:AO67">
    <cfRule type="colorScale" priority="40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8:AJ68 AL68:AO68">
    <cfRule type="colorScale" priority="40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9:AJ69 AL69:AO69">
    <cfRule type="colorScale" priority="40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0:AJ70 AL70:AO70">
    <cfRule type="colorScale" priority="40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1:AJ71 AL71:AO71">
    <cfRule type="colorScale" priority="40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2:AJ72 AL72:AO72">
    <cfRule type="colorScale" priority="40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3:AJ73 AL73:AO73">
    <cfRule type="colorScale" priority="40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4:AJ74 AL74:AO74">
    <cfRule type="colorScale" priority="40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5:AJ75 AL75:AO75">
    <cfRule type="colorScale" priority="40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6:AJ76 AL76:AO76">
    <cfRule type="colorScale" priority="40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7:AJ77 AL77:AO77">
    <cfRule type="colorScale" priority="40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8:AJ78 AL78:AO78">
    <cfRule type="colorScale" priority="40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9:AJ79 AL79:AO79">
    <cfRule type="colorScale" priority="40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0:AJ80 AL80:AO80">
    <cfRule type="colorScale" priority="40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1:AJ81 AL81:AO81">
    <cfRule type="colorScale" priority="40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2:AJ82 AL82:AO82">
    <cfRule type="colorScale" priority="40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3:AJ83 AL83:AO83">
    <cfRule type="colorScale" priority="40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4:AJ84 AL84:AO84">
    <cfRule type="colorScale" priority="40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5:AJ85 AL85:AO85">
    <cfRule type="colorScale" priority="4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6:AJ86 AL86:AO86">
    <cfRule type="colorScale" priority="40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7:AJ87 AL87:AO87">
    <cfRule type="colorScale" priority="40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:AJ88 AL88:AO88">
    <cfRule type="colorScale" priority="40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9:AJ89 AL89:AO89">
    <cfRule type="colorScale" priority="40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0:AJ90 AL90:AO90">
    <cfRule type="colorScale" priority="40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1:AJ91 AL91:AO91">
    <cfRule type="colorScale" priority="4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2:AJ92 AL92:AO92">
    <cfRule type="colorScale" priority="4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3:AJ93 AL93:AO93">
    <cfRule type="colorScale" priority="4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4:AJ94 AL94:AO94">
    <cfRule type="colorScale" priority="4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5:AJ95 AL95:AO95">
    <cfRule type="colorScale" priority="4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6:AJ96 AL96:AO96">
    <cfRule type="colorScale" priority="4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7:AJ97 AL97:AO97">
    <cfRule type="colorScale" priority="4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8:AJ98 AL98:AO98">
    <cfRule type="colorScale" priority="4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9:AJ99 AL99:AO99">
    <cfRule type="colorScale" priority="4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0:AJ100 AL100:AO100">
    <cfRule type="colorScale" priority="4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1:AJ101 AL101:AO101">
    <cfRule type="colorScale" priority="4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2:AJ102 AL102:AO102">
    <cfRule type="colorScale" priority="4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3:AJ103 AL103:AO103">
    <cfRule type="colorScale" priority="41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4:AJ104 AL104:AO104">
    <cfRule type="colorScale" priority="4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5:AJ105 AL105:AO105">
    <cfRule type="colorScale" priority="4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6:AJ106 AL106:AO106">
    <cfRule type="colorScale" priority="4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7:AJ107 AL107:AO107">
    <cfRule type="colorScale" priority="4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8:AJ108 AL108:AO108">
    <cfRule type="colorScale" priority="4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9:AJ109 AL109:AO109">
    <cfRule type="colorScale" priority="4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0:AJ110 AL110:AO110">
    <cfRule type="colorScale" priority="4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1:AJ111 AL111:AO111">
    <cfRule type="colorScale" priority="4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2:AJ112 AL112:AO112">
    <cfRule type="colorScale" priority="41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3:AJ113 AL113:AO113">
    <cfRule type="colorScale" priority="41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4:AJ114 AL114:AO114">
    <cfRule type="colorScale" priority="4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5:AJ115 AL115:AO115">
    <cfRule type="colorScale" priority="41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6:AJ116 AL116:AO116">
    <cfRule type="colorScale" priority="4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7:AJ117 AL117:AO117">
    <cfRule type="colorScale" priority="4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8:AJ118 AL118:AO118">
    <cfRule type="colorScale" priority="42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9:AJ119 AL119:AO119">
    <cfRule type="colorScale" priority="4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0:AJ120 AL120:AO120">
    <cfRule type="colorScale" priority="4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1:AJ121 AL121:AO121">
    <cfRule type="colorScale" priority="42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2:AJ122 AL122:AO122">
    <cfRule type="colorScale" priority="4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3:AJ123 AL123:AO123">
    <cfRule type="colorScale" priority="42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4:AJ124 AL124:AO124">
    <cfRule type="colorScale" priority="42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5:AJ125 AL125:AO125">
    <cfRule type="colorScale" priority="4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6:AJ126 AL126:AO126">
    <cfRule type="colorScale" priority="42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7:AJ127 AL127:AO127">
    <cfRule type="colorScale" priority="4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8:AJ128 AL128:AO128">
    <cfRule type="colorScale" priority="42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J129 AL129:AO129">
    <cfRule type="colorScale" priority="4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0:AJ130 AL130:AO130">
    <cfRule type="colorScale" priority="4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1:AJ131 AL131:AO131">
    <cfRule type="colorScale" priority="4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2:AJ132 AL132:AO132">
    <cfRule type="colorScale" priority="4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3:AJ133 AL133:AO133">
    <cfRule type="colorScale" priority="4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4:AJ134 AL134:AO134">
    <cfRule type="colorScale" priority="4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5:AJ135 AL135:AO135">
    <cfRule type="colorScale" priority="42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6:AJ136 AL136:AO136">
    <cfRule type="colorScale" priority="42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7:AJ137 AL137:AO137">
    <cfRule type="colorScale" priority="4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8:AJ138 AL138:AO138">
    <cfRule type="colorScale" priority="42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9:AJ139 AL139:AO139">
    <cfRule type="colorScale" priority="4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0:AJ140 AL140:AO140">
    <cfRule type="colorScale" priority="4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1:AJ141 AL141:AO141">
    <cfRule type="colorScale" priority="4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2:AJ142 AL142:AO142">
    <cfRule type="colorScale" priority="4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3:AJ143 AL143:AO143">
    <cfRule type="colorScale" priority="4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4:AJ144 AL144:AO144">
    <cfRule type="colorScale" priority="43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5:AJ145 AL145:AO145">
    <cfRule type="colorScale" priority="43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6:AJ146 AL146:AO146">
    <cfRule type="colorScale" priority="4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7:AJ147 AL147:AO147">
    <cfRule type="colorScale" priority="43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8:AJ148 AL148:AO148">
    <cfRule type="colorScale" priority="43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9:AJ149 AL149:AO149">
    <cfRule type="colorScale" priority="43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0:AJ150 AL150:AO150">
    <cfRule type="colorScale" priority="43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1:AJ151 AL151:AO151">
    <cfRule type="colorScale" priority="43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2:AJ152 AL152:AO152">
    <cfRule type="colorScale" priority="43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3:AJ153 AL153:AO153">
    <cfRule type="colorScale" priority="43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4:AJ154 AL154:AO154">
    <cfRule type="colorScale" priority="43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5:AJ155 AL155:AO155">
    <cfRule type="colorScale" priority="43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6:AJ156 AL156:AO156">
    <cfRule type="colorScale" priority="43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7:AJ157 AL157:AO157">
    <cfRule type="colorScale" priority="43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8:AJ158 AL158:AO158">
    <cfRule type="colorScale" priority="43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9:AJ159 AL159:AO159">
    <cfRule type="colorScale" priority="43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0:AJ160 AL160:AO160">
    <cfRule type="colorScale" priority="43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1:AJ161 AL161:AO161">
    <cfRule type="colorScale" priority="43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2:AJ162 AL162:AO162">
    <cfRule type="colorScale" priority="43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3:AJ163 AL163:AO163">
    <cfRule type="colorScale" priority="43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4:AJ164 AL164:AO164">
    <cfRule type="colorScale" priority="43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5:AJ165 AL165:AO165">
    <cfRule type="colorScale" priority="43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6:AJ166 AL166:AO166">
    <cfRule type="colorScale" priority="44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7:AJ167 AL167:AO167">
    <cfRule type="colorScale" priority="44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8:AJ168 AL168:AO168">
    <cfRule type="colorScale" priority="44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9:AJ169 AL169:AO169">
    <cfRule type="colorScale" priority="44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J170 AL170:AO170">
    <cfRule type="colorScale" priority="44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1:AJ171 AL171:AO171">
    <cfRule type="colorScale" priority="44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2:AJ172 AL172:AO172">
    <cfRule type="colorScale" priority="44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3:AJ173 AL173:AO173">
    <cfRule type="colorScale" priority="44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4:AJ174 AL174:AO174">
    <cfRule type="colorScale" priority="44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5:AJ175 AL175:AO175">
    <cfRule type="colorScale" priority="44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6:AJ176 AL176:AO176">
    <cfRule type="colorScale" priority="44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7:AJ177 AL177:AO177">
    <cfRule type="colorScale" priority="44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8:AJ178 AL178:AO178">
    <cfRule type="colorScale" priority="44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9:AJ179 AL179:AO179">
    <cfRule type="colorScale" priority="44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0:AJ180 AL180:AO180">
    <cfRule type="colorScale" priority="44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1:AJ181 AL181:AO181">
    <cfRule type="colorScale" priority="44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2:AJ182 AL182:AO182">
    <cfRule type="colorScale" priority="44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3:AJ183 AL183:AO183">
    <cfRule type="colorScale" priority="44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4:AJ184 AL184:AO184">
    <cfRule type="colorScale" priority="44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5:AJ185 AL185:AO185">
    <cfRule type="colorScale" priority="44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6:AJ186 AL186:AO186">
    <cfRule type="colorScale" priority="44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7:AJ187 AL187:AO187">
    <cfRule type="colorScale" priority="44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8:AJ188 AL188:AO188">
    <cfRule type="colorScale" priority="44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9:AJ189 AL189:AO189">
    <cfRule type="colorScale" priority="44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0:AJ190 AL190:AO190">
    <cfRule type="colorScale" priority="44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1:AJ191 AL191:AO191">
    <cfRule type="colorScale" priority="45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2:AJ192 AL192:AO192">
    <cfRule type="colorScale" priority="45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3:AJ193 AL193:AO193">
    <cfRule type="colorScale" priority="45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4:AJ194 AL194:AO194">
    <cfRule type="colorScale" priority="45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5:AJ195 AL195:AO195">
    <cfRule type="colorScale" priority="45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6:AJ196 AL196:AO196">
    <cfRule type="colorScale" priority="45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7:AJ197 AL197:AO197">
    <cfRule type="colorScale" priority="45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8:AJ198 AL198:AO198">
    <cfRule type="colorScale" priority="45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9:AJ199 AL199:AO199">
    <cfRule type="colorScale" priority="45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0:AJ200 AL200:AO200">
    <cfRule type="colorScale" priority="45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1:AJ201 AL201:AO201">
    <cfRule type="colorScale" priority="45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2:AJ202 AL202:AO202">
    <cfRule type="colorScale" priority="45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3:AJ203 AL203:AO203">
    <cfRule type="colorScale" priority="45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4:AJ204 AL204:AO204">
    <cfRule type="colorScale" priority="45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5:AJ205 AL205:AO205">
    <cfRule type="colorScale" priority="45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6:AJ206 AL206:AO206">
    <cfRule type="colorScale" priority="45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7:AJ207 AL207:AO207">
    <cfRule type="colorScale" priority="45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8:AJ208 AL208:AO208">
    <cfRule type="colorScale" priority="45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9:AJ209">
    <cfRule type="colorScale" priority="45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0:AJ210 AL210:AO210">
    <cfRule type="colorScale" priority="45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1:AJ211 AL211:AO211">
    <cfRule type="colorScale" priority="45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:AJ212 AL212:AO212">
    <cfRule type="colorScale" priority="45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3:AJ213">
    <cfRule type="colorScale" priority="45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4:AJ214 AL214:AO214">
    <cfRule type="colorScale" priority="46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5:AJ215 AL215:AO215">
    <cfRule type="colorScale" priority="46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6:AJ218 AL216:AO218">
    <cfRule type="colorScale" priority="46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9:AJ220 AL219:AO220">
    <cfRule type="colorScale" priority="46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21:AJ223 AL221:AO223">
    <cfRule type="colorScale" priority="46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24:AJ224">
    <cfRule type="colorScale" priority="46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34:AJ234 AL234:AO23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4:AE25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5:AE230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31:AE232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4:AF25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24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25:AF2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31:AF2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4:AG25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24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25:AG230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31:AG232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4:AH25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4">
    <cfRule type="colorScale" priority="5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5:AH230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31:AH232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4:AI25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24">
    <cfRule type="colorScale" priority="5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25:AI230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31:AI232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4:AJ25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25:AJ23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31:AJ23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4:AO25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09:AO209">
    <cfRule type="colorScale" priority="45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13:AO213">
    <cfRule type="colorScale" priority="45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24:AO224">
    <cfRule type="colorScale" priority="46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25:AO230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31:AO232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3:AQ5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6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7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8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9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0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1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2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3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4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5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7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8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9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0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1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2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3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4:AQ25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6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7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8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9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30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31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32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33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3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35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36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37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38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39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40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41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42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43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44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45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46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47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48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49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50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51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5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53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54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55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56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57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58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59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60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61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62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63"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64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65"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66"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67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68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69"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70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71"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72"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73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74"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75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76"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77"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78"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79"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80"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81"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82"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83">
    <cfRule type="colorScale" priority="2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84"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85">
    <cfRule type="colorScale" priority="2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86"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87"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88"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89"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90">
    <cfRule type="colorScale" priority="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91">
    <cfRule type="colorScale" priority="2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92"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93">
    <cfRule type="colorScale" priority="2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94"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95"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96">
    <cfRule type="colorScale" priority="2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97">
    <cfRule type="colorScale" priority="2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98">
    <cfRule type="colorScale" priority="2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99"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00"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01"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02"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03"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04"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05"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06"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07"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08"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09"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10"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11">
    <cfRule type="colorScale" priority="3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12"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13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14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15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1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17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18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19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20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21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22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23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24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25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2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27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28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29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30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3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32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33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34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35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36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37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38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39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40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4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42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43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44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45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46">
    <cfRule type="colorScale" priority="3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47">
    <cfRule type="colorScale" priority="3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48">
    <cfRule type="colorScale" priority="3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49">
    <cfRule type="colorScale" priority="3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50">
    <cfRule type="colorScale" priority="3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51">
    <cfRule type="colorScale" priority="3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52">
    <cfRule type="colorScale" priority="3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53">
    <cfRule type="colorScale" priority="3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54">
    <cfRule type="colorScale" priority="3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55">
    <cfRule type="colorScale" priority="3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56">
    <cfRule type="colorScale" priority="3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57">
    <cfRule type="colorScale" priority="3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58">
    <cfRule type="colorScale" priority="4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59">
    <cfRule type="colorScale" priority="4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60">
    <cfRule type="colorScale" priority="4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61">
    <cfRule type="colorScale" priority="4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62">
    <cfRule type="colorScale" priority="4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63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64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6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66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67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68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69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70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71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72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73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74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7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76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77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78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79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8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81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82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83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84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85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86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87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88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89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9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91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92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93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94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95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96">
    <cfRule type="colorScale" priority="4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97">
    <cfRule type="colorScale" priority="4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98">
    <cfRule type="colorScale" priority="4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99">
    <cfRule type="colorScale" priority="4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00">
    <cfRule type="colorScale" priority="4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01">
    <cfRule type="colorScale" priority="4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02">
    <cfRule type="colorScale" priority="4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03">
    <cfRule type="colorScale" priority="4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04">
    <cfRule type="colorScale" priority="4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05">
    <cfRule type="colorScale" priority="4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06">
    <cfRule type="colorScale" priority="4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07">
    <cfRule type="colorScale" priority="4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08">
    <cfRule type="colorScale" priority="5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09">
    <cfRule type="colorScale" priority="5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10">
    <cfRule type="colorScale" priority="5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11">
    <cfRule type="colorScale" priority="5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12">
    <cfRule type="colorScale" priority="5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13">
    <cfRule type="colorScale" priority="5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14">
    <cfRule type="colorScale" priority="5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15">
    <cfRule type="colorScale" priority="5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16:AQ218">
    <cfRule type="colorScale" priority="5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19:AQ220">
    <cfRule type="colorScale" priority="5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21:AQ223">
    <cfRule type="colorScale" priority="5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24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25:AQ230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31:AQ23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24:AT25 R24:U25 G24:G25 M24:O25 I24:K25">
    <cfRule type="colorScale" priority="29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213 G213 M213:O213 I213:K214">
    <cfRule type="colorScale" priority="3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225:AT230 R225:U230 G225:G229 M225:O230 I225:K228">
    <cfRule type="colorScale" priority="46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231:AT232 R231:U232 G231:G233 M231:O233 R233:AT233 I233 I231:K232">
    <cfRule type="colorScale" priority="3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9"/>
  <sheetViews>
    <sheetView workbookViewId="0">
      <pane xSplit="2" ySplit="1" topLeftCell="C149" activePane="bottomRight" state="frozen"/>
      <selection pane="topRight" activeCell="B1" sqref="B1"/>
      <selection pane="bottomLeft" activeCell="A2" sqref="A2"/>
      <selection pane="bottomRight"/>
    </sheetView>
  </sheetViews>
  <sheetFormatPr defaultColWidth="11.42578125" defaultRowHeight="15" x14ac:dyDescent="0.25"/>
  <cols>
    <col min="1" max="2" width="35.7109375" customWidth="1"/>
    <col min="3" max="3" width="49.5703125" customWidth="1"/>
  </cols>
  <sheetData>
    <row r="1" spans="1:3" s="1" customFormat="1" x14ac:dyDescent="0.25">
      <c r="A1" s="1" t="s">
        <v>285</v>
      </c>
      <c r="B1" s="1" t="s">
        <v>286</v>
      </c>
      <c r="C1" s="1" t="s">
        <v>287</v>
      </c>
    </row>
    <row r="2" spans="1:3" x14ac:dyDescent="0.25">
      <c r="A2" t="s">
        <v>205</v>
      </c>
      <c r="B2" t="s">
        <v>2</v>
      </c>
      <c r="C2" t="str">
        <f>IF(ISNA(VLOOKUP(A2,$B$2:$B$170,1,FALSE)),A2,"")</f>
        <v>pi</v>
      </c>
    </row>
    <row r="3" spans="1:3" x14ac:dyDescent="0.25">
      <c r="A3" t="s">
        <v>3</v>
      </c>
      <c r="B3" t="s">
        <v>3</v>
      </c>
      <c r="C3" t="str">
        <f t="shared" ref="C3:C66" si="0">IF(ISNA(VLOOKUP(A3,$B$2:$B$170,1,FALSE)),A3,"")</f>
        <v/>
      </c>
    </row>
    <row r="4" spans="1:3" x14ac:dyDescent="0.25">
      <c r="A4" t="s">
        <v>39</v>
      </c>
      <c r="B4" t="s">
        <v>4</v>
      </c>
      <c r="C4" t="str">
        <f t="shared" si="0"/>
        <v/>
      </c>
    </row>
    <row r="5" spans="1:3" x14ac:dyDescent="0.25">
      <c r="A5" t="s">
        <v>206</v>
      </c>
      <c r="B5" t="s">
        <v>5</v>
      </c>
      <c r="C5" t="str">
        <f t="shared" si="0"/>
        <v/>
      </c>
    </row>
    <row r="6" spans="1:3" x14ac:dyDescent="0.25">
      <c r="A6" t="s">
        <v>41</v>
      </c>
      <c r="B6" t="s">
        <v>20</v>
      </c>
      <c r="C6" t="str">
        <f t="shared" si="0"/>
        <v/>
      </c>
    </row>
    <row r="7" spans="1:3" x14ac:dyDescent="0.25">
      <c r="A7" t="s">
        <v>40</v>
      </c>
      <c r="B7" t="s">
        <v>0</v>
      </c>
      <c r="C7" t="str">
        <f t="shared" si="0"/>
        <v/>
      </c>
    </row>
    <row r="8" spans="1:3" x14ac:dyDescent="0.25">
      <c r="A8" t="s">
        <v>44</v>
      </c>
      <c r="B8" t="s">
        <v>1</v>
      </c>
      <c r="C8" t="str">
        <f t="shared" si="0"/>
        <v/>
      </c>
    </row>
    <row r="9" spans="1:3" x14ac:dyDescent="0.25">
      <c r="A9" t="s">
        <v>49</v>
      </c>
      <c r="B9" t="s">
        <v>6</v>
      </c>
      <c r="C9" t="str">
        <f t="shared" si="0"/>
        <v/>
      </c>
    </row>
    <row r="10" spans="1:3" x14ac:dyDescent="0.25">
      <c r="A10" t="s">
        <v>47</v>
      </c>
      <c r="B10" t="s">
        <v>7</v>
      </c>
      <c r="C10" t="str">
        <f t="shared" si="0"/>
        <v/>
      </c>
    </row>
    <row r="11" spans="1:3" x14ac:dyDescent="0.25">
      <c r="A11" t="s">
        <v>48</v>
      </c>
      <c r="B11" t="s">
        <v>8</v>
      </c>
      <c r="C11" t="str">
        <f t="shared" si="0"/>
        <v/>
      </c>
    </row>
    <row r="12" spans="1:3" x14ac:dyDescent="0.25">
      <c r="A12" t="s">
        <v>46</v>
      </c>
      <c r="B12" t="s">
        <v>9</v>
      </c>
      <c r="C12" t="str">
        <f t="shared" si="0"/>
        <v/>
      </c>
    </row>
    <row r="13" spans="1:3" x14ac:dyDescent="0.25">
      <c r="A13" t="s">
        <v>45</v>
      </c>
      <c r="B13" t="s">
        <v>10</v>
      </c>
      <c r="C13" t="str">
        <f t="shared" si="0"/>
        <v/>
      </c>
    </row>
    <row r="14" spans="1:3" x14ac:dyDescent="0.25">
      <c r="A14" t="s">
        <v>90</v>
      </c>
      <c r="B14" t="s">
        <v>11</v>
      </c>
      <c r="C14" t="str">
        <f t="shared" si="0"/>
        <v/>
      </c>
    </row>
    <row r="15" spans="1:3" x14ac:dyDescent="0.25">
      <c r="A15" t="s">
        <v>42</v>
      </c>
      <c r="B15" t="s">
        <v>12</v>
      </c>
      <c r="C15" t="str">
        <f t="shared" si="0"/>
        <v/>
      </c>
    </row>
    <row r="16" spans="1:3" x14ac:dyDescent="0.25">
      <c r="A16" t="s">
        <v>207</v>
      </c>
      <c r="B16" t="s">
        <v>13</v>
      </c>
      <c r="C16" t="str">
        <f t="shared" si="0"/>
        <v/>
      </c>
    </row>
    <row r="17" spans="1:3" x14ac:dyDescent="0.25">
      <c r="A17" t="s">
        <v>43</v>
      </c>
      <c r="B17" t="s">
        <v>14</v>
      </c>
      <c r="C17" t="str">
        <f t="shared" si="0"/>
        <v/>
      </c>
    </row>
    <row r="18" spans="1:3" x14ac:dyDescent="0.25">
      <c r="A18" t="s">
        <v>50</v>
      </c>
      <c r="B18" t="s">
        <v>15</v>
      </c>
      <c r="C18" t="str">
        <f t="shared" si="0"/>
        <v/>
      </c>
    </row>
    <row r="19" spans="1:3" x14ac:dyDescent="0.25">
      <c r="A19" t="s">
        <v>204</v>
      </c>
      <c r="B19" t="s">
        <v>16</v>
      </c>
      <c r="C19" t="str">
        <f t="shared" si="0"/>
        <v/>
      </c>
    </row>
    <row r="20" spans="1:3" x14ac:dyDescent="0.25">
      <c r="A20" t="s">
        <v>51</v>
      </c>
      <c r="B20" t="s">
        <v>17</v>
      </c>
      <c r="C20" t="str">
        <f t="shared" si="0"/>
        <v/>
      </c>
    </row>
    <row r="21" spans="1:3" x14ac:dyDescent="0.25">
      <c r="A21" t="s">
        <v>52</v>
      </c>
      <c r="B21" t="s">
        <v>18</v>
      </c>
      <c r="C21" t="str">
        <f t="shared" si="0"/>
        <v/>
      </c>
    </row>
    <row r="22" spans="1:3" x14ac:dyDescent="0.25">
      <c r="A22" t="s">
        <v>53</v>
      </c>
      <c r="B22" t="s">
        <v>19</v>
      </c>
      <c r="C22" t="str">
        <f t="shared" si="0"/>
        <v/>
      </c>
    </row>
    <row r="23" spans="1:3" x14ac:dyDescent="0.25">
      <c r="A23" t="s">
        <v>55</v>
      </c>
      <c r="B23" t="s">
        <v>21</v>
      </c>
      <c r="C23" t="str">
        <f t="shared" si="0"/>
        <v/>
      </c>
    </row>
    <row r="24" spans="1:3" x14ac:dyDescent="0.25">
      <c r="A24" t="s">
        <v>54</v>
      </c>
      <c r="B24" t="s">
        <v>22</v>
      </c>
      <c r="C24" t="str">
        <f t="shared" si="0"/>
        <v/>
      </c>
    </row>
    <row r="25" spans="1:3" x14ac:dyDescent="0.25">
      <c r="A25" t="s">
        <v>60</v>
      </c>
      <c r="B25" t="s">
        <v>23</v>
      </c>
      <c r="C25" t="str">
        <f t="shared" si="0"/>
        <v/>
      </c>
    </row>
    <row r="26" spans="1:3" x14ac:dyDescent="0.25">
      <c r="A26" t="s">
        <v>208</v>
      </c>
      <c r="B26" t="s">
        <v>24</v>
      </c>
      <c r="C26" t="str">
        <f t="shared" si="0"/>
        <v/>
      </c>
    </row>
    <row r="27" spans="1:3" x14ac:dyDescent="0.25">
      <c r="A27" t="s">
        <v>209</v>
      </c>
      <c r="B27" t="s">
        <v>25</v>
      </c>
      <c r="C27" t="str">
        <f t="shared" si="0"/>
        <v>root_growth_T_ref</v>
      </c>
    </row>
    <row r="28" spans="1:3" x14ac:dyDescent="0.25">
      <c r="A28" t="s">
        <v>210</v>
      </c>
      <c r="B28" t="s">
        <v>26</v>
      </c>
      <c r="C28" t="str">
        <f t="shared" si="0"/>
        <v>root_growth_A</v>
      </c>
    </row>
    <row r="29" spans="1:3" x14ac:dyDescent="0.25">
      <c r="A29" t="s">
        <v>211</v>
      </c>
      <c r="B29" t="s">
        <v>27</v>
      </c>
      <c r="C29" t="str">
        <f t="shared" si="0"/>
        <v>root_growth_B</v>
      </c>
    </row>
    <row r="30" spans="1:3" x14ac:dyDescent="0.25">
      <c r="A30" t="s">
        <v>212</v>
      </c>
      <c r="B30" t="s">
        <v>28</v>
      </c>
      <c r="C30" t="str">
        <f t="shared" si="0"/>
        <v>root_growth_C</v>
      </c>
    </row>
    <row r="31" spans="1:3" x14ac:dyDescent="0.25">
      <c r="A31" t="s">
        <v>213</v>
      </c>
      <c r="B31" t="s">
        <v>29</v>
      </c>
      <c r="C31" t="str">
        <f t="shared" si="0"/>
        <v/>
      </c>
    </row>
    <row r="32" spans="1:3" x14ac:dyDescent="0.25">
      <c r="A32" t="s">
        <v>214</v>
      </c>
      <c r="B32" t="s">
        <v>30</v>
      </c>
      <c r="C32" t="str">
        <f t="shared" si="0"/>
        <v/>
      </c>
    </row>
    <row r="33" spans="1:3" x14ac:dyDescent="0.25">
      <c r="A33" t="s">
        <v>215</v>
      </c>
      <c r="B33" t="s">
        <v>31</v>
      </c>
      <c r="C33" t="str">
        <f t="shared" si="0"/>
        <v/>
      </c>
    </row>
    <row r="34" spans="1:3" x14ac:dyDescent="0.25">
      <c r="A34" t="s">
        <v>216</v>
      </c>
      <c r="B34" t="s">
        <v>32</v>
      </c>
      <c r="C34" t="str">
        <f t="shared" si="0"/>
        <v/>
      </c>
    </row>
    <row r="35" spans="1:3" x14ac:dyDescent="0.25">
      <c r="A35" t="s">
        <v>217</v>
      </c>
      <c r="B35" t="s">
        <v>33</v>
      </c>
      <c r="C35" t="str">
        <f t="shared" si="0"/>
        <v/>
      </c>
    </row>
    <row r="36" spans="1:3" x14ac:dyDescent="0.25">
      <c r="A36" t="s">
        <v>61</v>
      </c>
      <c r="B36" t="s">
        <v>34</v>
      </c>
      <c r="C36" t="str">
        <f t="shared" si="0"/>
        <v/>
      </c>
    </row>
    <row r="37" spans="1:3" x14ac:dyDescent="0.25">
      <c r="A37" t="s">
        <v>75</v>
      </c>
      <c r="B37" t="s">
        <v>35</v>
      </c>
      <c r="C37" t="str">
        <f t="shared" si="0"/>
        <v/>
      </c>
    </row>
    <row r="38" spans="1:3" x14ac:dyDescent="0.25">
      <c r="A38" t="s">
        <v>218</v>
      </c>
      <c r="B38" t="s">
        <v>36</v>
      </c>
      <c r="C38" t="str">
        <f t="shared" si="0"/>
        <v/>
      </c>
    </row>
    <row r="39" spans="1:3" x14ac:dyDescent="0.25">
      <c r="A39" t="s">
        <v>219</v>
      </c>
      <c r="B39" t="s">
        <v>37</v>
      </c>
      <c r="C39" t="str">
        <f t="shared" si="0"/>
        <v/>
      </c>
    </row>
    <row r="40" spans="1:3" x14ac:dyDescent="0.25">
      <c r="A40" t="s">
        <v>220</v>
      </c>
      <c r="B40" t="s">
        <v>38</v>
      </c>
      <c r="C40" t="str">
        <f t="shared" si="0"/>
        <v/>
      </c>
    </row>
    <row r="41" spans="1:3" x14ac:dyDescent="0.25">
      <c r="A41" t="s">
        <v>221</v>
      </c>
      <c r="B41" t="s">
        <v>39</v>
      </c>
      <c r="C41" t="str">
        <f t="shared" si="0"/>
        <v/>
      </c>
    </row>
    <row r="42" spans="1:3" x14ac:dyDescent="0.25">
      <c r="A42" t="s">
        <v>76</v>
      </c>
      <c r="B42" t="s">
        <v>40</v>
      </c>
      <c r="C42" t="str">
        <f t="shared" si="0"/>
        <v/>
      </c>
    </row>
    <row r="43" spans="1:3" x14ac:dyDescent="0.25">
      <c r="A43" t="s">
        <v>222</v>
      </c>
      <c r="B43" t="s">
        <v>206</v>
      </c>
      <c r="C43" t="str">
        <f t="shared" si="0"/>
        <v>expected_C_sucrose_root</v>
      </c>
    </row>
    <row r="44" spans="1:3" x14ac:dyDescent="0.25">
      <c r="A44" t="s">
        <v>223</v>
      </c>
      <c r="B44" t="s">
        <v>41</v>
      </c>
      <c r="C44" t="str">
        <f t="shared" si="0"/>
        <v>expected_C_hexose_root</v>
      </c>
    </row>
    <row r="45" spans="1:3" x14ac:dyDescent="0.25">
      <c r="A45" t="s">
        <v>224</v>
      </c>
      <c r="B45" t="s">
        <v>90</v>
      </c>
      <c r="C45" t="str">
        <f t="shared" si="0"/>
        <v>expected_C_hexose_soil</v>
      </c>
    </row>
    <row r="46" spans="1:3" x14ac:dyDescent="0.25">
      <c r="A46" t="s">
        <v>225</v>
      </c>
      <c r="B46" t="s">
        <v>42</v>
      </c>
      <c r="C46" t="str">
        <f t="shared" si="0"/>
        <v>expected_C_hexose_reserve</v>
      </c>
    </row>
    <row r="47" spans="1:3" x14ac:dyDescent="0.25">
      <c r="A47" t="s">
        <v>65</v>
      </c>
      <c r="B47" t="s">
        <v>43</v>
      </c>
      <c r="C47" t="str">
        <f t="shared" si="0"/>
        <v/>
      </c>
    </row>
    <row r="48" spans="1:3" x14ac:dyDescent="0.25">
      <c r="A48" t="s">
        <v>77</v>
      </c>
      <c r="B48" t="s">
        <v>44</v>
      </c>
      <c r="C48" t="str">
        <f t="shared" si="0"/>
        <v/>
      </c>
    </row>
    <row r="49" spans="1:3" x14ac:dyDescent="0.25">
      <c r="A49" t="s">
        <v>226</v>
      </c>
      <c r="B49" t="s">
        <v>45</v>
      </c>
      <c r="C49" t="str">
        <f t="shared" si="0"/>
        <v>surfacic_unloading_rate_reference</v>
      </c>
    </row>
    <row r="50" spans="1:3" x14ac:dyDescent="0.25">
      <c r="A50" t="s">
        <v>227</v>
      </c>
      <c r="B50" t="s">
        <v>207</v>
      </c>
      <c r="C50" t="str">
        <f t="shared" si="0"/>
        <v>surfacic_unloading_rate_primordium</v>
      </c>
    </row>
    <row r="51" spans="1:3" x14ac:dyDescent="0.25">
      <c r="A51" t="s">
        <v>66</v>
      </c>
      <c r="B51" t="s">
        <v>46</v>
      </c>
      <c r="C51" t="str">
        <f t="shared" si="0"/>
        <v/>
      </c>
    </row>
    <row r="52" spans="1:3" x14ac:dyDescent="0.25">
      <c r="A52" t="s">
        <v>228</v>
      </c>
      <c r="B52" t="s">
        <v>47</v>
      </c>
      <c r="C52" t="str">
        <f t="shared" si="0"/>
        <v/>
      </c>
    </row>
    <row r="53" spans="1:3" x14ac:dyDescent="0.25">
      <c r="A53" t="s">
        <v>229</v>
      </c>
      <c r="B53" t="s">
        <v>48</v>
      </c>
      <c r="C53" t="str">
        <f t="shared" si="0"/>
        <v/>
      </c>
    </row>
    <row r="54" spans="1:3" x14ac:dyDescent="0.25">
      <c r="A54" t="s">
        <v>230</v>
      </c>
      <c r="B54" t="s">
        <v>49</v>
      </c>
      <c r="C54" t="str">
        <f t="shared" si="0"/>
        <v/>
      </c>
    </row>
    <row r="55" spans="1:3" x14ac:dyDescent="0.25">
      <c r="A55" t="s">
        <v>231</v>
      </c>
      <c r="B55" t="s">
        <v>50</v>
      </c>
      <c r="C55" t="str">
        <f t="shared" si="0"/>
        <v/>
      </c>
    </row>
    <row r="56" spans="1:3" x14ac:dyDescent="0.25">
      <c r="A56" t="s">
        <v>68</v>
      </c>
      <c r="B56" t="s">
        <v>204</v>
      </c>
      <c r="C56" t="str">
        <f t="shared" si="0"/>
        <v/>
      </c>
    </row>
    <row r="57" spans="1:3" x14ac:dyDescent="0.25">
      <c r="A57" t="s">
        <v>232</v>
      </c>
      <c r="B57" t="s">
        <v>51</v>
      </c>
      <c r="C57" t="str">
        <f t="shared" si="0"/>
        <v/>
      </c>
    </row>
    <row r="58" spans="1:3" x14ac:dyDescent="0.25">
      <c r="A58" t="s">
        <v>233</v>
      </c>
      <c r="B58" t="s">
        <v>52</v>
      </c>
      <c r="C58" t="str">
        <f t="shared" si="0"/>
        <v/>
      </c>
    </row>
    <row r="59" spans="1:3" x14ac:dyDescent="0.25">
      <c r="A59" t="s">
        <v>234</v>
      </c>
      <c r="B59" t="s">
        <v>53</v>
      </c>
      <c r="C59" t="str">
        <f t="shared" si="0"/>
        <v/>
      </c>
    </row>
    <row r="60" spans="1:3" x14ac:dyDescent="0.25">
      <c r="A60" t="s">
        <v>235</v>
      </c>
      <c r="B60" t="s">
        <v>54</v>
      </c>
      <c r="C60" t="str">
        <f t="shared" si="0"/>
        <v/>
      </c>
    </row>
    <row r="61" spans="1:3" x14ac:dyDescent="0.25">
      <c r="A61" t="s">
        <v>67</v>
      </c>
      <c r="B61" t="s">
        <v>55</v>
      </c>
      <c r="C61" t="str">
        <f t="shared" si="0"/>
        <v/>
      </c>
    </row>
    <row r="62" spans="1:3" x14ac:dyDescent="0.25">
      <c r="A62" t="s">
        <v>70</v>
      </c>
      <c r="B62" t="s">
        <v>213</v>
      </c>
      <c r="C62" t="str">
        <f t="shared" si="0"/>
        <v/>
      </c>
    </row>
    <row r="63" spans="1:3" x14ac:dyDescent="0.25">
      <c r="A63" t="s">
        <v>69</v>
      </c>
      <c r="B63" t="s">
        <v>214</v>
      </c>
      <c r="C63" t="str">
        <f t="shared" si="0"/>
        <v/>
      </c>
    </row>
    <row r="64" spans="1:3" x14ac:dyDescent="0.25">
      <c r="A64" t="s">
        <v>57</v>
      </c>
      <c r="B64" t="s">
        <v>215</v>
      </c>
      <c r="C64" t="str">
        <f t="shared" si="0"/>
        <v/>
      </c>
    </row>
    <row r="65" spans="1:3" x14ac:dyDescent="0.25">
      <c r="A65" t="s">
        <v>56</v>
      </c>
      <c r="B65" t="s">
        <v>216</v>
      </c>
      <c r="C65" t="str">
        <f t="shared" si="0"/>
        <v/>
      </c>
    </row>
    <row r="66" spans="1:3" x14ac:dyDescent="0.25">
      <c r="A66" t="s">
        <v>58</v>
      </c>
      <c r="B66" t="s">
        <v>217</v>
      </c>
      <c r="C66" t="str">
        <f t="shared" si="0"/>
        <v/>
      </c>
    </row>
    <row r="67" spans="1:3" x14ac:dyDescent="0.25">
      <c r="A67" t="s">
        <v>71</v>
      </c>
      <c r="B67" t="s">
        <v>82</v>
      </c>
      <c r="C67" t="str">
        <f t="shared" ref="C67:C130" si="1">IF(ISNA(VLOOKUP(A67,$B$2:$B$170,1,FALSE)),A67,"")</f>
        <v/>
      </c>
    </row>
    <row r="68" spans="1:3" x14ac:dyDescent="0.25">
      <c r="A68" t="s">
        <v>236</v>
      </c>
      <c r="B68" t="s">
        <v>83</v>
      </c>
      <c r="C68" t="str">
        <f t="shared" si="1"/>
        <v/>
      </c>
    </row>
    <row r="69" spans="1:3" x14ac:dyDescent="0.25">
      <c r="A69" t="s">
        <v>237</v>
      </c>
      <c r="B69" t="s">
        <v>84</v>
      </c>
      <c r="C69" t="str">
        <f t="shared" si="1"/>
        <v/>
      </c>
    </row>
    <row r="70" spans="1:3" x14ac:dyDescent="0.25">
      <c r="A70" t="s">
        <v>238</v>
      </c>
      <c r="B70" t="s">
        <v>85</v>
      </c>
      <c r="C70" t="str">
        <f t="shared" si="1"/>
        <v/>
      </c>
    </row>
    <row r="71" spans="1:3" x14ac:dyDescent="0.25">
      <c r="A71" t="s">
        <v>239</v>
      </c>
      <c r="B71" t="s">
        <v>60</v>
      </c>
      <c r="C71" t="str">
        <f t="shared" si="1"/>
        <v/>
      </c>
    </row>
    <row r="72" spans="1:3" x14ac:dyDescent="0.25">
      <c r="A72" t="s">
        <v>72</v>
      </c>
      <c r="B72" t="s">
        <v>208</v>
      </c>
      <c r="C72" t="str">
        <f t="shared" si="1"/>
        <v/>
      </c>
    </row>
    <row r="73" spans="1:3" x14ac:dyDescent="0.25">
      <c r="A73" t="s">
        <v>73</v>
      </c>
      <c r="B73" t="s">
        <v>59</v>
      </c>
      <c r="C73" t="str">
        <f t="shared" si="1"/>
        <v/>
      </c>
    </row>
    <row r="74" spans="1:3" x14ac:dyDescent="0.25">
      <c r="A74" t="s">
        <v>240</v>
      </c>
      <c r="B74" t="s">
        <v>61</v>
      </c>
      <c r="C74" t="str">
        <f t="shared" si="1"/>
        <v/>
      </c>
    </row>
    <row r="75" spans="1:3" x14ac:dyDescent="0.25">
      <c r="A75" t="s">
        <v>241</v>
      </c>
      <c r="B75" t="s">
        <v>62</v>
      </c>
      <c r="C75" t="str">
        <f t="shared" si="1"/>
        <v/>
      </c>
    </row>
    <row r="76" spans="1:3" x14ac:dyDescent="0.25">
      <c r="A76" t="s">
        <v>242</v>
      </c>
      <c r="B76" t="s">
        <v>63</v>
      </c>
      <c r="C76" t="str">
        <f t="shared" si="1"/>
        <v/>
      </c>
    </row>
    <row r="77" spans="1:3" x14ac:dyDescent="0.25">
      <c r="A77" t="s">
        <v>243</v>
      </c>
      <c r="B77" t="s">
        <v>64</v>
      </c>
      <c r="C77" t="str">
        <f t="shared" si="1"/>
        <v/>
      </c>
    </row>
    <row r="78" spans="1:3" x14ac:dyDescent="0.25">
      <c r="A78" t="s">
        <v>74</v>
      </c>
      <c r="B78" t="s">
        <v>65</v>
      </c>
      <c r="C78" t="str">
        <f t="shared" si="1"/>
        <v/>
      </c>
    </row>
    <row r="79" spans="1:3" x14ac:dyDescent="0.25">
      <c r="A79" t="s">
        <v>244</v>
      </c>
      <c r="B79" t="s">
        <v>66</v>
      </c>
      <c r="C79" t="str">
        <f t="shared" si="1"/>
        <v>expected_exudation_efflux</v>
      </c>
    </row>
    <row r="80" spans="1:3" x14ac:dyDescent="0.25">
      <c r="A80" t="s">
        <v>78</v>
      </c>
      <c r="B80" t="s">
        <v>228</v>
      </c>
      <c r="C80" t="str">
        <f t="shared" si="1"/>
        <v/>
      </c>
    </row>
    <row r="81" spans="1:3" x14ac:dyDescent="0.25">
      <c r="A81" t="s">
        <v>245</v>
      </c>
      <c r="B81" t="s">
        <v>229</v>
      </c>
      <c r="C81" t="str">
        <f t="shared" si="1"/>
        <v/>
      </c>
    </row>
    <row r="82" spans="1:3" x14ac:dyDescent="0.25">
      <c r="A82" t="s">
        <v>246</v>
      </c>
      <c r="B82" t="s">
        <v>230</v>
      </c>
      <c r="C82" t="str">
        <f t="shared" si="1"/>
        <v/>
      </c>
    </row>
    <row r="83" spans="1:3" x14ac:dyDescent="0.25">
      <c r="A83" t="s">
        <v>247</v>
      </c>
      <c r="B83" t="s">
        <v>231</v>
      </c>
      <c r="C83" t="str">
        <f t="shared" si="1"/>
        <v/>
      </c>
    </row>
    <row r="84" spans="1:3" x14ac:dyDescent="0.25">
      <c r="A84" t="s">
        <v>248</v>
      </c>
      <c r="B84" t="s">
        <v>67</v>
      </c>
      <c r="C84" t="str">
        <f t="shared" si="1"/>
        <v/>
      </c>
    </row>
    <row r="85" spans="1:3" x14ac:dyDescent="0.25">
      <c r="A85" t="s">
        <v>79</v>
      </c>
      <c r="B85" t="s">
        <v>68</v>
      </c>
      <c r="C85" t="str">
        <f t="shared" si="1"/>
        <v/>
      </c>
    </row>
    <row r="86" spans="1:3" x14ac:dyDescent="0.25">
      <c r="A86" t="s">
        <v>80</v>
      </c>
      <c r="B86" t="s">
        <v>232</v>
      </c>
      <c r="C86" t="str">
        <f t="shared" si="1"/>
        <v/>
      </c>
    </row>
    <row r="87" spans="1:3" x14ac:dyDescent="0.25">
      <c r="A87" t="s">
        <v>249</v>
      </c>
      <c r="B87" t="s">
        <v>233</v>
      </c>
      <c r="C87" t="str">
        <f t="shared" si="1"/>
        <v/>
      </c>
    </row>
    <row r="88" spans="1:3" x14ac:dyDescent="0.25">
      <c r="A88" t="s">
        <v>250</v>
      </c>
      <c r="B88" t="s">
        <v>234</v>
      </c>
      <c r="C88" t="str">
        <f t="shared" si="1"/>
        <v/>
      </c>
    </row>
    <row r="89" spans="1:3" x14ac:dyDescent="0.25">
      <c r="A89" t="s">
        <v>251</v>
      </c>
      <c r="B89" t="s">
        <v>235</v>
      </c>
      <c r="C89" t="str">
        <f t="shared" si="1"/>
        <v/>
      </c>
    </row>
    <row r="90" spans="1:3" x14ac:dyDescent="0.25">
      <c r="A90" t="s">
        <v>252</v>
      </c>
      <c r="B90" t="s">
        <v>69</v>
      </c>
      <c r="C90" t="str">
        <f t="shared" si="1"/>
        <v/>
      </c>
    </row>
    <row r="91" spans="1:3" x14ac:dyDescent="0.25">
      <c r="A91" t="s">
        <v>81</v>
      </c>
      <c r="B91" t="s">
        <v>70</v>
      </c>
      <c r="C91" t="str">
        <f t="shared" si="1"/>
        <v/>
      </c>
    </row>
    <row r="92" spans="1:3" x14ac:dyDescent="0.25">
      <c r="A92" t="s">
        <v>253</v>
      </c>
      <c r="B92" t="s">
        <v>56</v>
      </c>
      <c r="C92" t="str">
        <f t="shared" si="1"/>
        <v/>
      </c>
    </row>
    <row r="93" spans="1:3" x14ac:dyDescent="0.25">
      <c r="A93" t="s">
        <v>254</v>
      </c>
      <c r="B93" t="s">
        <v>57</v>
      </c>
      <c r="C93" t="str">
        <f t="shared" si="1"/>
        <v/>
      </c>
    </row>
    <row r="94" spans="1:3" x14ac:dyDescent="0.25">
      <c r="A94" t="s">
        <v>255</v>
      </c>
      <c r="B94" t="s">
        <v>58</v>
      </c>
      <c r="C94" t="str">
        <f t="shared" si="1"/>
        <v/>
      </c>
    </row>
    <row r="95" spans="1:3" x14ac:dyDescent="0.25">
      <c r="A95" t="s">
        <v>256</v>
      </c>
      <c r="B95" t="s">
        <v>71</v>
      </c>
      <c r="C95" t="str">
        <f t="shared" si="1"/>
        <v/>
      </c>
    </row>
    <row r="96" spans="1:3" x14ac:dyDescent="0.25">
      <c r="A96" t="s">
        <v>257</v>
      </c>
      <c r="B96" t="s">
        <v>236</v>
      </c>
      <c r="C96" t="str">
        <f t="shared" si="1"/>
        <v/>
      </c>
    </row>
    <row r="97" spans="1:3" x14ac:dyDescent="0.25">
      <c r="A97" t="s">
        <v>258</v>
      </c>
      <c r="B97" t="s">
        <v>237</v>
      </c>
      <c r="C97" t="str">
        <f t="shared" si="1"/>
        <v/>
      </c>
    </row>
    <row r="98" spans="1:3" x14ac:dyDescent="0.25">
      <c r="A98" t="s">
        <v>259</v>
      </c>
      <c r="B98" t="s">
        <v>238</v>
      </c>
      <c r="C98" t="str">
        <f t="shared" si="1"/>
        <v/>
      </c>
    </row>
    <row r="99" spans="1:3" x14ac:dyDescent="0.25">
      <c r="A99" t="s">
        <v>260</v>
      </c>
      <c r="B99" t="s">
        <v>239</v>
      </c>
      <c r="C99" t="str">
        <f t="shared" si="1"/>
        <v/>
      </c>
    </row>
    <row r="100" spans="1:3" x14ac:dyDescent="0.25">
      <c r="A100" t="s">
        <v>261</v>
      </c>
      <c r="B100" t="s">
        <v>72</v>
      </c>
      <c r="C100" t="str">
        <f t="shared" si="1"/>
        <v/>
      </c>
    </row>
    <row r="101" spans="1:3" x14ac:dyDescent="0.25">
      <c r="A101" t="s">
        <v>262</v>
      </c>
      <c r="B101" t="s">
        <v>73</v>
      </c>
      <c r="C101" t="str">
        <f t="shared" si="1"/>
        <v/>
      </c>
    </row>
    <row r="102" spans="1:3" x14ac:dyDescent="0.25">
      <c r="A102" t="s">
        <v>263</v>
      </c>
      <c r="B102" t="s">
        <v>240</v>
      </c>
      <c r="C102" t="str">
        <f t="shared" si="1"/>
        <v/>
      </c>
    </row>
    <row r="103" spans="1:3" x14ac:dyDescent="0.25">
      <c r="A103" t="s">
        <v>264</v>
      </c>
      <c r="B103" t="s">
        <v>241</v>
      </c>
      <c r="C103" t="str">
        <f t="shared" si="1"/>
        <v/>
      </c>
    </row>
    <row r="104" spans="1:3" x14ac:dyDescent="0.25">
      <c r="A104" t="s">
        <v>265</v>
      </c>
      <c r="B104" t="s">
        <v>242</v>
      </c>
      <c r="C104" t="str">
        <f t="shared" si="1"/>
        <v/>
      </c>
    </row>
    <row r="105" spans="1:3" x14ac:dyDescent="0.25">
      <c r="A105" t="s">
        <v>266</v>
      </c>
      <c r="B105" t="s">
        <v>243</v>
      </c>
      <c r="C105" t="str">
        <f t="shared" si="1"/>
        <v/>
      </c>
    </row>
    <row r="106" spans="1:3" x14ac:dyDescent="0.25">
      <c r="A106" t="s">
        <v>267</v>
      </c>
      <c r="B106" t="s">
        <v>74</v>
      </c>
      <c r="C106" t="str">
        <f t="shared" si="1"/>
        <v/>
      </c>
    </row>
    <row r="107" spans="1:3" x14ac:dyDescent="0.25">
      <c r="A107" t="s">
        <v>268</v>
      </c>
      <c r="B107" t="s">
        <v>75</v>
      </c>
      <c r="C107" t="str">
        <f t="shared" si="1"/>
        <v/>
      </c>
    </row>
    <row r="108" spans="1:3" x14ac:dyDescent="0.25">
      <c r="A108" t="s">
        <v>269</v>
      </c>
      <c r="B108" t="s">
        <v>218</v>
      </c>
      <c r="C108" t="str">
        <f t="shared" si="1"/>
        <v/>
      </c>
    </row>
    <row r="109" spans="1:3" x14ac:dyDescent="0.25">
      <c r="A109" t="s">
        <v>270</v>
      </c>
      <c r="B109" t="s">
        <v>219</v>
      </c>
      <c r="C109" t="str">
        <f t="shared" si="1"/>
        <v/>
      </c>
    </row>
    <row r="110" spans="1:3" x14ac:dyDescent="0.25">
      <c r="A110" t="s">
        <v>271</v>
      </c>
      <c r="B110" t="s">
        <v>220</v>
      </c>
      <c r="C110" t="str">
        <f t="shared" si="1"/>
        <v/>
      </c>
    </row>
    <row r="111" spans="1:3" x14ac:dyDescent="0.25">
      <c r="A111" t="s">
        <v>272</v>
      </c>
      <c r="B111" t="s">
        <v>221</v>
      </c>
      <c r="C111" t="str">
        <f t="shared" si="1"/>
        <v/>
      </c>
    </row>
    <row r="112" spans="1:3" x14ac:dyDescent="0.25">
      <c r="A112" t="s">
        <v>273</v>
      </c>
      <c r="B112" t="s">
        <v>76</v>
      </c>
      <c r="C112" t="str">
        <f t="shared" si="1"/>
        <v/>
      </c>
    </row>
    <row r="113" spans="1:3" x14ac:dyDescent="0.25">
      <c r="A113" t="s">
        <v>274</v>
      </c>
      <c r="B113" t="s">
        <v>77</v>
      </c>
      <c r="C113" t="str">
        <f t="shared" si="1"/>
        <v/>
      </c>
    </row>
    <row r="114" spans="1:3" x14ac:dyDescent="0.25">
      <c r="A114" t="s">
        <v>275</v>
      </c>
      <c r="B114" t="s">
        <v>78</v>
      </c>
      <c r="C114" t="str">
        <f t="shared" si="1"/>
        <v/>
      </c>
    </row>
    <row r="115" spans="1:3" x14ac:dyDescent="0.25">
      <c r="A115" t="s">
        <v>276</v>
      </c>
      <c r="B115" t="s">
        <v>245</v>
      </c>
      <c r="C115" t="str">
        <f t="shared" si="1"/>
        <v/>
      </c>
    </row>
    <row r="116" spans="1:3" x14ac:dyDescent="0.25">
      <c r="A116" t="s">
        <v>277</v>
      </c>
      <c r="B116" t="s">
        <v>246</v>
      </c>
      <c r="C116" t="str">
        <f t="shared" si="1"/>
        <v/>
      </c>
    </row>
    <row r="117" spans="1:3" x14ac:dyDescent="0.25">
      <c r="A117" t="s">
        <v>278</v>
      </c>
      <c r="B117" t="s">
        <v>247</v>
      </c>
      <c r="C117" t="str">
        <f t="shared" si="1"/>
        <v/>
      </c>
    </row>
    <row r="118" spans="1:3" x14ac:dyDescent="0.25">
      <c r="A118" t="s">
        <v>279</v>
      </c>
      <c r="B118" t="s">
        <v>248</v>
      </c>
      <c r="C118" t="str">
        <f t="shared" si="1"/>
        <v/>
      </c>
    </row>
    <row r="119" spans="1:3" x14ac:dyDescent="0.25">
      <c r="A119" t="s">
        <v>280</v>
      </c>
      <c r="B119" t="s">
        <v>79</v>
      </c>
      <c r="C119" t="str">
        <f t="shared" si="1"/>
        <v/>
      </c>
    </row>
    <row r="120" spans="1:3" x14ac:dyDescent="0.25">
      <c r="A120" t="s">
        <v>281</v>
      </c>
      <c r="B120" t="s">
        <v>80</v>
      </c>
      <c r="C120" t="str">
        <f t="shared" si="1"/>
        <v/>
      </c>
    </row>
    <row r="121" spans="1:3" x14ac:dyDescent="0.25">
      <c r="A121" t="s">
        <v>282</v>
      </c>
      <c r="B121" t="s">
        <v>249</v>
      </c>
      <c r="C121" t="str">
        <f t="shared" si="1"/>
        <v/>
      </c>
    </row>
    <row r="122" spans="1:3" x14ac:dyDescent="0.25">
      <c r="A122" t="s">
        <v>283</v>
      </c>
      <c r="B122" t="s">
        <v>250</v>
      </c>
      <c r="C122" t="str">
        <f t="shared" si="1"/>
        <v/>
      </c>
    </row>
    <row r="123" spans="1:3" x14ac:dyDescent="0.25">
      <c r="A123" t="s">
        <v>59</v>
      </c>
      <c r="B123" t="s">
        <v>251</v>
      </c>
      <c r="C123" t="str">
        <f t="shared" si="1"/>
        <v/>
      </c>
    </row>
    <row r="124" spans="1:3" x14ac:dyDescent="0.25">
      <c r="A124" t="s">
        <v>62</v>
      </c>
      <c r="B124" t="s">
        <v>252</v>
      </c>
      <c r="C124" t="str">
        <f t="shared" si="1"/>
        <v/>
      </c>
    </row>
    <row r="125" spans="1:3" x14ac:dyDescent="0.25">
      <c r="A125" t="s">
        <v>64</v>
      </c>
      <c r="B125" t="s">
        <v>81</v>
      </c>
      <c r="C125" t="str">
        <f t="shared" si="1"/>
        <v/>
      </c>
    </row>
    <row r="126" spans="1:3" x14ac:dyDescent="0.25">
      <c r="A126" t="s">
        <v>63</v>
      </c>
      <c r="B126" t="s">
        <v>253</v>
      </c>
      <c r="C126" t="str">
        <f t="shared" si="1"/>
        <v/>
      </c>
    </row>
    <row r="127" spans="1:3" x14ac:dyDescent="0.25">
      <c r="A127" t="s">
        <v>82</v>
      </c>
      <c r="B127" t="s">
        <v>254</v>
      </c>
      <c r="C127" t="str">
        <f t="shared" si="1"/>
        <v/>
      </c>
    </row>
    <row r="128" spans="1:3" x14ac:dyDescent="0.25">
      <c r="A128" t="s">
        <v>83</v>
      </c>
      <c r="B128" t="s">
        <v>255</v>
      </c>
      <c r="C128" t="str">
        <f t="shared" si="1"/>
        <v/>
      </c>
    </row>
    <row r="129" spans="1:3" x14ac:dyDescent="0.25">
      <c r="A129" t="s">
        <v>85</v>
      </c>
      <c r="B129" t="s">
        <v>256</v>
      </c>
      <c r="C129" t="str">
        <f t="shared" si="1"/>
        <v/>
      </c>
    </row>
    <row r="130" spans="1:3" x14ac:dyDescent="0.25">
      <c r="A130" t="s">
        <v>84</v>
      </c>
      <c r="B130" t="s">
        <v>257</v>
      </c>
      <c r="C130" t="str">
        <f t="shared" si="1"/>
        <v/>
      </c>
    </row>
    <row r="131" spans="1:3" x14ac:dyDescent="0.25">
      <c r="A131" t="s">
        <v>2</v>
      </c>
      <c r="B131" t="s">
        <v>258</v>
      </c>
      <c r="C131" t="str">
        <f t="shared" ref="C131:C169" si="2">IF(ISNA(VLOOKUP(A131,$B$2:$B$170,1,FALSE)),A131,"")</f>
        <v/>
      </c>
    </row>
    <row r="132" spans="1:3" x14ac:dyDescent="0.25">
      <c r="A132" t="s">
        <v>4</v>
      </c>
      <c r="B132" t="s">
        <v>259</v>
      </c>
      <c r="C132" t="str">
        <f t="shared" si="2"/>
        <v/>
      </c>
    </row>
    <row r="133" spans="1:3" x14ac:dyDescent="0.25">
      <c r="A133" t="s">
        <v>5</v>
      </c>
      <c r="B133" t="s">
        <v>260</v>
      </c>
      <c r="C133" t="str">
        <f t="shared" si="2"/>
        <v/>
      </c>
    </row>
    <row r="134" spans="1:3" x14ac:dyDescent="0.25">
      <c r="A134" t="s">
        <v>20</v>
      </c>
      <c r="B134" t="s">
        <v>261</v>
      </c>
      <c r="C134" t="str">
        <f t="shared" si="2"/>
        <v/>
      </c>
    </row>
    <row r="135" spans="1:3" x14ac:dyDescent="0.25">
      <c r="A135" t="s">
        <v>0</v>
      </c>
      <c r="B135" t="s">
        <v>262</v>
      </c>
      <c r="C135" t="str">
        <f t="shared" si="2"/>
        <v/>
      </c>
    </row>
    <row r="136" spans="1:3" x14ac:dyDescent="0.25">
      <c r="A136" t="s">
        <v>1</v>
      </c>
      <c r="B136" t="s">
        <v>263</v>
      </c>
      <c r="C136" t="str">
        <f t="shared" si="2"/>
        <v/>
      </c>
    </row>
    <row r="137" spans="1:3" x14ac:dyDescent="0.25">
      <c r="A137" t="s">
        <v>6</v>
      </c>
      <c r="B137" t="s">
        <v>264</v>
      </c>
      <c r="C137" t="str">
        <f t="shared" si="2"/>
        <v/>
      </c>
    </row>
    <row r="138" spans="1:3" x14ac:dyDescent="0.25">
      <c r="A138" t="s">
        <v>7</v>
      </c>
      <c r="B138" t="s">
        <v>265</v>
      </c>
      <c r="C138" t="str">
        <f t="shared" si="2"/>
        <v/>
      </c>
    </row>
    <row r="139" spans="1:3" x14ac:dyDescent="0.25">
      <c r="A139" t="s">
        <v>8</v>
      </c>
      <c r="B139" t="s">
        <v>266</v>
      </c>
      <c r="C139" t="str">
        <f t="shared" si="2"/>
        <v/>
      </c>
    </row>
    <row r="140" spans="1:3" x14ac:dyDescent="0.25">
      <c r="A140" t="s">
        <v>9</v>
      </c>
      <c r="B140" t="s">
        <v>267</v>
      </c>
      <c r="C140" t="str">
        <f t="shared" si="2"/>
        <v/>
      </c>
    </row>
    <row r="141" spans="1:3" x14ac:dyDescent="0.25">
      <c r="A141" t="s">
        <v>10</v>
      </c>
      <c r="B141" t="s">
        <v>268</v>
      </c>
      <c r="C141" t="str">
        <f t="shared" si="2"/>
        <v/>
      </c>
    </row>
    <row r="142" spans="1:3" x14ac:dyDescent="0.25">
      <c r="A142" t="s">
        <v>11</v>
      </c>
      <c r="B142" t="s">
        <v>269</v>
      </c>
      <c r="C142" t="str">
        <f t="shared" si="2"/>
        <v/>
      </c>
    </row>
    <row r="143" spans="1:3" x14ac:dyDescent="0.25">
      <c r="A143" t="s">
        <v>12</v>
      </c>
      <c r="B143" t="s">
        <v>270</v>
      </c>
      <c r="C143" t="str">
        <f t="shared" si="2"/>
        <v/>
      </c>
    </row>
    <row r="144" spans="1:3" x14ac:dyDescent="0.25">
      <c r="A144" t="s">
        <v>13</v>
      </c>
      <c r="B144" t="s">
        <v>271</v>
      </c>
      <c r="C144" t="str">
        <f t="shared" si="2"/>
        <v/>
      </c>
    </row>
    <row r="145" spans="1:3" x14ac:dyDescent="0.25">
      <c r="A145" t="s">
        <v>14</v>
      </c>
      <c r="B145" t="s">
        <v>272</v>
      </c>
      <c r="C145" t="str">
        <f t="shared" si="2"/>
        <v/>
      </c>
    </row>
    <row r="146" spans="1:3" x14ac:dyDescent="0.25">
      <c r="A146" t="s">
        <v>15</v>
      </c>
      <c r="B146" t="s">
        <v>273</v>
      </c>
      <c r="C146" t="str">
        <f t="shared" si="2"/>
        <v/>
      </c>
    </row>
    <row r="147" spans="1:3" x14ac:dyDescent="0.25">
      <c r="A147" t="s">
        <v>16</v>
      </c>
      <c r="B147" t="s">
        <v>274</v>
      </c>
      <c r="C147" t="str">
        <f t="shared" si="2"/>
        <v/>
      </c>
    </row>
    <row r="148" spans="1:3" x14ac:dyDescent="0.25">
      <c r="A148" t="s">
        <v>17</v>
      </c>
      <c r="B148" t="s">
        <v>275</v>
      </c>
      <c r="C148" t="str">
        <f t="shared" si="2"/>
        <v/>
      </c>
    </row>
    <row r="149" spans="1:3" x14ac:dyDescent="0.25">
      <c r="A149" t="s">
        <v>18</v>
      </c>
      <c r="B149" t="s">
        <v>276</v>
      </c>
      <c r="C149" t="str">
        <f t="shared" si="2"/>
        <v/>
      </c>
    </row>
    <row r="150" spans="1:3" x14ac:dyDescent="0.25">
      <c r="A150" t="s">
        <v>19</v>
      </c>
      <c r="B150" t="s">
        <v>277</v>
      </c>
      <c r="C150" t="str">
        <f t="shared" si="2"/>
        <v/>
      </c>
    </row>
    <row r="151" spans="1:3" x14ac:dyDescent="0.25">
      <c r="A151" t="s">
        <v>21</v>
      </c>
      <c r="B151" t="s">
        <v>278</v>
      </c>
      <c r="C151" t="str">
        <f t="shared" si="2"/>
        <v/>
      </c>
    </row>
    <row r="152" spans="1:3" x14ac:dyDescent="0.25">
      <c r="A152" t="s">
        <v>22</v>
      </c>
      <c r="B152" t="s">
        <v>279</v>
      </c>
      <c r="C152" t="str">
        <f t="shared" si="2"/>
        <v/>
      </c>
    </row>
    <row r="153" spans="1:3" x14ac:dyDescent="0.25">
      <c r="A153" t="s">
        <v>23</v>
      </c>
      <c r="B153" t="s">
        <v>280</v>
      </c>
      <c r="C153" t="str">
        <f t="shared" si="2"/>
        <v/>
      </c>
    </row>
    <row r="154" spans="1:3" x14ac:dyDescent="0.25">
      <c r="A154" t="s">
        <v>24</v>
      </c>
      <c r="B154" t="s">
        <v>281</v>
      </c>
      <c r="C154" t="str">
        <f t="shared" si="2"/>
        <v/>
      </c>
    </row>
    <row r="155" spans="1:3" x14ac:dyDescent="0.25">
      <c r="A155" t="s">
        <v>25</v>
      </c>
      <c r="B155" t="s">
        <v>282</v>
      </c>
      <c r="C155" t="str">
        <f t="shared" si="2"/>
        <v/>
      </c>
    </row>
    <row r="156" spans="1:3" x14ac:dyDescent="0.25">
      <c r="A156" t="s">
        <v>26</v>
      </c>
      <c r="B156" t="s">
        <v>283</v>
      </c>
      <c r="C156" t="str">
        <f t="shared" si="2"/>
        <v/>
      </c>
    </row>
    <row r="157" spans="1:3" x14ac:dyDescent="0.25">
      <c r="A157" t="s">
        <v>27</v>
      </c>
      <c r="B157" t="s">
        <v>361</v>
      </c>
      <c r="C157" t="str">
        <f t="shared" si="2"/>
        <v/>
      </c>
    </row>
    <row r="158" spans="1:3" x14ac:dyDescent="0.25">
      <c r="A158" t="s">
        <v>28</v>
      </c>
      <c r="C158" t="str">
        <f t="shared" si="2"/>
        <v/>
      </c>
    </row>
    <row r="159" spans="1:3" x14ac:dyDescent="0.25">
      <c r="A159" t="s">
        <v>29</v>
      </c>
      <c r="C159" t="str">
        <f t="shared" si="2"/>
        <v/>
      </c>
    </row>
    <row r="160" spans="1:3" x14ac:dyDescent="0.25">
      <c r="A160" t="s">
        <v>30</v>
      </c>
      <c r="C160" t="str">
        <f t="shared" si="2"/>
        <v/>
      </c>
    </row>
    <row r="161" spans="1:3" x14ac:dyDescent="0.25">
      <c r="A161" t="s">
        <v>31</v>
      </c>
      <c r="C161" t="str">
        <f t="shared" si="2"/>
        <v/>
      </c>
    </row>
    <row r="162" spans="1:3" x14ac:dyDescent="0.25">
      <c r="A162" t="s">
        <v>32</v>
      </c>
      <c r="C162" t="str">
        <f t="shared" si="2"/>
        <v/>
      </c>
    </row>
    <row r="163" spans="1:3" x14ac:dyDescent="0.25">
      <c r="A163" t="s">
        <v>33</v>
      </c>
      <c r="C163" t="str">
        <f t="shared" si="2"/>
        <v/>
      </c>
    </row>
    <row r="164" spans="1:3" x14ac:dyDescent="0.25">
      <c r="A164" t="s">
        <v>34</v>
      </c>
      <c r="C164" t="str">
        <f t="shared" si="2"/>
        <v/>
      </c>
    </row>
    <row r="165" spans="1:3" x14ac:dyDescent="0.25">
      <c r="A165" t="s">
        <v>35</v>
      </c>
      <c r="C165" t="str">
        <f t="shared" si="2"/>
        <v/>
      </c>
    </row>
    <row r="166" spans="1:3" x14ac:dyDescent="0.25">
      <c r="A166" t="s">
        <v>36</v>
      </c>
      <c r="C166" t="str">
        <f t="shared" si="2"/>
        <v/>
      </c>
    </row>
    <row r="167" spans="1:3" x14ac:dyDescent="0.25">
      <c r="A167" t="s">
        <v>37</v>
      </c>
      <c r="C167" t="str">
        <f t="shared" si="2"/>
        <v/>
      </c>
    </row>
    <row r="168" spans="1:3" x14ac:dyDescent="0.25">
      <c r="A168" t="s">
        <v>38</v>
      </c>
      <c r="C168" t="str">
        <f t="shared" si="2"/>
        <v/>
      </c>
    </row>
    <row r="169" spans="1:3" x14ac:dyDescent="0.25">
      <c r="A169" t="s">
        <v>361</v>
      </c>
      <c r="C169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scenarios_as_columns</vt:lpstr>
      <vt:lpstr>Comparison_with_parameters.py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Rees</dc:creator>
  <cp:lastModifiedBy>Tristan GERAULT</cp:lastModifiedBy>
  <dcterms:created xsi:type="dcterms:W3CDTF">2022-09-12T19:42:14Z</dcterms:created>
  <dcterms:modified xsi:type="dcterms:W3CDTF">2025-10-09T10:45:54Z</dcterms:modified>
</cp:coreProperties>
</file>