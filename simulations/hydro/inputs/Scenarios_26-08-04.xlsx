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_as_columns" sheetId="1" state="visible" r:id="rId3"/>
    <sheet name="Comparison_with_parameters.py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<sst xmlns="http://schemas.openxmlformats.org/spreadsheetml/2006/main" count="1951" uniqueCount="580">
  <si>
    <t xml:space="preserve">Input</t>
  </si>
  <si>
    <t xml:space="preserve">Input_type</t>
  </si>
  <si>
    <t xml:space="preserve">Dedicated_to</t>
  </si>
  <si>
    <t xml:space="preserve">Organ_label</t>
  </si>
  <si>
    <t xml:space="preserve">Explanation</t>
  </si>
  <si>
    <t xml:space="preserve">Type/ Unit</t>
  </si>
  <si>
    <t xml:space="preserve">Reference_value</t>
  </si>
  <si>
    <t xml:space="preserve">WB_manuscript</t>
  </si>
  <si>
    <t xml:space="preserve">WB_defense1</t>
  </si>
  <si>
    <t xml:space="preserve">WB_publish1</t>
  </si>
  <si>
    <t xml:space="preserve">WB_def_soil_1</t>
  </si>
  <si>
    <t xml:space="preserve">root_mtg_file</t>
  </si>
  <si>
    <t xml:space="preserve">input_mtg</t>
  </si>
  <si>
    <t xml:space="preserve">root_bridges</t>
  </si>
  <si>
    <t xml:space="preserve">roots</t>
  </si>
  <si>
    <t xml:space="preserve">Name of the root MTG file to be loaded (if the option above has been declared True)</t>
  </si>
  <si>
    <t xml:space="preserve">Character / [no units]</t>
  </si>
  <si>
    <t xml:space="preserve">root_3_leaves.pckl</t>
  </si>
  <si>
    <t xml:space="preserve">soil_temperature</t>
  </si>
  <si>
    <t xml:space="preserve">input_tables</t>
  </si>
  <si>
    <t xml:space="preserve">Input file containing soil temperature evolution over time for the soil model</t>
  </si>
  <si>
    <t xml:space="preserve">°C</t>
  </si>
  <si>
    <t xml:space="preserve">meteo_Ljutovac2002.csv</t>
  </si>
  <si>
    <t xml:space="preserve">meteo_Ljutovac2002_soil.csv</t>
  </si>
  <si>
    <t xml:space="preserve">None</t>
  </si>
  <si>
    <t xml:space="preserve">rain_intensity</t>
  </si>
  <si>
    <t xml:space="preserve">Input file containing rain intensity over time for the soil model</t>
  </si>
  <si>
    <t xml:space="preserve">mm</t>
  </si>
  <si>
    <t xml:space="preserve">mineral_N_fertilization_rate</t>
  </si>
  <si>
    <t xml:space="preserve">Input file containing fertilization rate evolution over time for the soil model</t>
  </si>
  <si>
    <t xml:space="preserve">gN.s-1</t>
  </si>
  <si>
    <t xml:space="preserve">random</t>
  </si>
  <si>
    <t xml:space="preserve">parameter</t>
  </si>
  <si>
    <t xml:space="preserve">Option to introduce stochastic processes (True/False)</t>
  </si>
  <si>
    <t xml:space="preserve">Boolean / [no units]</t>
  </si>
  <si>
    <t xml:space="preserve">True</t>
  </si>
  <si>
    <t xml:space="preserve">random_choice</t>
  </si>
  <si>
    <t xml:space="preserve">Random seed to specify a repeatable random Option</t>
  </si>
  <si>
    <t xml:space="preserve">Integer / [no units]</t>
  </si>
  <si>
    <t xml:space="preserve">simulation_period_in_days</t>
  </si>
  <si>
    <t xml:space="preserve">Total duration of the simulation</t>
  </si>
  <si>
    <t xml:space="preserve">Real number /days</t>
  </si>
  <si>
    <t xml:space="preserve">time_step_in_days</t>
  </si>
  <si>
    <t xml:space="preserve">Time step used in the simulation</t>
  </si>
  <si>
    <t xml:space="preserve">recording_interval_in_days</t>
  </si>
  <si>
    <t xml:space="preserve">Time interval separating the automatic recording of simulation results</t>
  </si>
  <si>
    <t xml:space="preserve">input_file_time_step_in_days</t>
  </si>
  <si>
    <t xml:space="preserve">Time step used in the input file</t>
  </si>
  <si>
    <t xml:space="preserve">starting_time_in_days</t>
  </si>
  <si>
    <t xml:space="preserve">Time in the input file at which the simulation will start </t>
  </si>
  <si>
    <t xml:space="preserve">forcing_constant_inputs</t>
  </si>
  <si>
    <t xml:space="preserve">Option to set constant inputs and ignore input file (True/False)</t>
  </si>
  <si>
    <t xml:space="preserve">False</t>
  </si>
  <si>
    <t xml:space="preserve">constant_sucrose_input_rate</t>
  </si>
  <si>
    <t xml:space="preserve">Constant input of sucrose to apply</t>
  </si>
  <si>
    <t xml:space="preserve">Real number / mol of sucrose per second</t>
  </si>
  <si>
    <t xml:space="preserve">constant_soil_temperature_in_Celsius</t>
  </si>
  <si>
    <t xml:space="preserve">Constant soil temperature to apply</t>
  </si>
  <si>
    <t xml:space="preserve">Real number /degree Celsius</t>
  </si>
  <si>
    <t xml:space="preserve">homogenizing_root_sugar_concentrations</t>
  </si>
  <si>
    <t xml:space="preserve">Option to artiticially rehomogenize the concentrations of sugars along the roots at the end of the time step (True/False)</t>
  </si>
  <si>
    <t xml:space="preserve">homogenizing_soil_concentrations</t>
  </si>
  <si>
    <t xml:space="preserve">Option to artiticially rehomogenize the concentrations of rhizodeposits along the roots at the end of the time step (True/False)</t>
  </si>
  <si>
    <t xml:space="preserve">renewal_of_soil_solution</t>
  </si>
  <si>
    <t xml:space="preserve">Option to artificially renew the soil solution and set the rhizodeposits concentrations to 0, at regular interval of time</t>
  </si>
  <si>
    <t xml:space="preserve">interval_between_renewal_events</t>
  </si>
  <si>
    <t xml:space="preserve">Interval of time between two soil solution's renewal events</t>
  </si>
  <si>
    <t xml:space="preserve">Real number / seconds</t>
  </si>
  <si>
    <t xml:space="preserve">root_order_limitation</t>
  </si>
  <si>
    <t xml:space="preserve">Option to limit the emergence of roots of high orders (True/False)</t>
  </si>
  <si>
    <t xml:space="preserve">root_order_treshold</t>
  </si>
  <si>
    <t xml:space="preserve">Maximal order of roots that can emerge</t>
  </si>
  <si>
    <t xml:space="preserve"> </t>
  </si>
  <si>
    <t xml:space="preserve">using_solver</t>
  </si>
  <si>
    <t xml:space="preserve">Option to use a solver for calculating the equilibrium C concentrations at each time step and for each root element</t>
  </si>
  <si>
    <t xml:space="preserve">printing_solver_outputs</t>
  </si>
  <si>
    <t xml:space="preserve">Option to print the outputs of the solver</t>
  </si>
  <si>
    <t xml:space="preserve">printing_warnings</t>
  </si>
  <si>
    <t xml:space="preserve">Option to print all warnings</t>
  </si>
  <si>
    <t xml:space="preserve">recording_MTG_files</t>
  </si>
  <si>
    <t xml:space="preserve">Option to record the MTG in a pickle file, for each time step</t>
  </si>
  <si>
    <t xml:space="preserve">recording_MTG_properties</t>
  </si>
  <si>
    <t xml:space="preserve">Option to record the properties of each node in an Excel file, for each time step</t>
  </si>
  <si>
    <t xml:space="preserve">ArchiSimple</t>
  </si>
  <si>
    <t xml:space="preserve">Option to simulate with ArchiSimple only and ignore additional processes</t>
  </si>
  <si>
    <t xml:space="preserve">ArchiSimple_C_fraction</t>
  </si>
  <si>
    <t xml:space="preserve">Fraction of the input of C provided as sucrose to the root system that is actually considered as "biomass" by ArchiSimple</t>
  </si>
  <si>
    <t xml:space="preserve">Real number / mol of C per mol of C</t>
  </si>
  <si>
    <t xml:space="preserve">radial_growth</t>
  </si>
  <si>
    <t xml:space="preserve">Option to allow radial growth (True/False)</t>
  </si>
  <si>
    <t xml:space="preserve">nodules_option</t>
  </si>
  <si>
    <t xml:space="preserve">Option to allow nodule growth (True/False)</t>
  </si>
  <si>
    <t xml:space="preserve">mycorrhizal_fungus</t>
  </si>
  <si>
    <t xml:space="preserve">Option to allow interaction with mycorrhizal fungi (True/False)</t>
  </si>
  <si>
    <t xml:space="preserve">plotting</t>
  </si>
  <si>
    <t xml:space="preserve">Option to allow the display of the root system in PlantGL (True/False)</t>
  </si>
  <si>
    <t xml:space="preserve">displayed_property</t>
  </si>
  <si>
    <t xml:space="preserve">Name of the variable to be displayed on the graph</t>
  </si>
  <si>
    <t xml:space="preserve">total_exchange_surface_with_soil_solution</t>
  </si>
  <si>
    <t xml:space="preserve">C_hexose_root</t>
  </si>
  <si>
    <t xml:space="preserve">displayed_min_value</t>
  </si>
  <si>
    <t xml:space="preserve">Minimum value of the displayed property on the scale</t>
  </si>
  <si>
    <t xml:space="preserve">Real number / [units of the selected property]</t>
  </si>
  <si>
    <t xml:space="preserve">displayed_max_value</t>
  </si>
  <si>
    <t xml:space="preserve">Maximum value of the displayed property on the scale</t>
  </si>
  <si>
    <t xml:space="preserve">log_scale</t>
  </si>
  <si>
    <t xml:space="preserve">Option to set the scale of the graph as a logarithmic scale (True/False)</t>
  </si>
  <si>
    <t xml:space="preserve">color_map</t>
  </si>
  <si>
    <t xml:space="preserve">Name of the color range to apply to the scale of the graph</t>
  </si>
  <si>
    <t xml:space="preserve">jet</t>
  </si>
  <si>
    <t xml:space="preserve">root_hairs_display</t>
  </si>
  <si>
    <t xml:space="preserve">Option to allow displaying root hairs (True/False)</t>
  </si>
  <si>
    <t xml:space="preserve">camera_rotation</t>
  </si>
  <si>
    <t xml:space="preserve">Option to allow rotating the camera around the root system (True/False)</t>
  </si>
  <si>
    <t xml:space="preserve">camera_rotation_n_points</t>
  </si>
  <si>
    <t xml:space="preserve">Total number of camera positions over its rotation around the root system</t>
  </si>
  <si>
    <t xml:space="preserve">x_center</t>
  </si>
  <si>
    <t xml:space="preserve">x coordinate of the center of the graph relative to the growth start</t>
  </si>
  <si>
    <t xml:space="preserve">Real number / meters</t>
  </si>
  <si>
    <t xml:space="preserve">y_center</t>
  </si>
  <si>
    <t xml:space="preserve">y coordinate of the center of the graph relative to the growth start</t>
  </si>
  <si>
    <t xml:space="preserve">z_center</t>
  </si>
  <si>
    <t xml:space="preserve">z coordinate of the center of the graph relative to the growth start</t>
  </si>
  <si>
    <t xml:space="preserve">z_camera</t>
  </si>
  <si>
    <t xml:space="preserve">Initial z coordinate of the camera</t>
  </si>
  <si>
    <t xml:space="preserve">camera_distance</t>
  </si>
  <si>
    <t xml:space="preserve">Initial distance of the camera</t>
  </si>
  <si>
    <t xml:space="preserve">step_back_coefficient</t>
  </si>
  <si>
    <t xml:space="preserve">Relative increase in distance of the camera for each new simulation step</t>
  </si>
  <si>
    <t xml:space="preserve">Real number / [meters per meter per step]</t>
  </si>
  <si>
    <t xml:space="preserve">PlantGL_window_width</t>
  </si>
  <si>
    <t xml:space="preserve">Width of the window opened by PlantGL to display the graph (and eventually of the image that will be registered)</t>
  </si>
  <si>
    <t xml:space="preserve">PlantGL_window_height</t>
  </si>
  <si>
    <t xml:space="preserve">Height of the window opened by PlantGL to display the graph (and eventually of the image that will be registered)</t>
  </si>
  <si>
    <t xml:space="preserve">background_color</t>
  </si>
  <si>
    <t xml:space="preserve">RGB vector describing the color of the background of the MTG (from 0 to 255 for each value, 0=black and 255=white)</t>
  </si>
  <si>
    <t xml:space="preserve">3D vector / [no units]</t>
  </si>
  <si>
    <t xml:space="preserve">[94,76,64]</t>
  </si>
  <si>
    <t xml:space="preserve">recording_images</t>
  </si>
  <si>
    <t xml:space="preserve">Option to allow recording the images from PlantGL over time (True/False)</t>
  </si>
  <si>
    <t xml:space="preserve">classification_by_layers</t>
  </si>
  <si>
    <t xml:space="preserve">Option to allow computing the distribution of various variables per layers of soil (True/False)</t>
  </si>
  <si>
    <t xml:space="preserve">layers_z_min</t>
  </si>
  <si>
    <t xml:space="preserve">Minimal soil depth of the first soil layer</t>
  </si>
  <si>
    <t xml:space="preserve">layers_z_max</t>
  </si>
  <si>
    <t xml:space="preserve">Maximal soil depth of the last soil layer</t>
  </si>
  <si>
    <t xml:space="preserve">layers_thickness</t>
  </si>
  <si>
    <t xml:space="preserve">Thickness of each soil layer</t>
  </si>
  <si>
    <t xml:space="preserve">initial_segment_length</t>
  </si>
  <si>
    <t xml:space="preserve">Length of the root segment of the initial root system at the beginning of the simulation</t>
  </si>
  <si>
    <t xml:space="preserve">initial_apex_length</t>
  </si>
  <si>
    <t xml:space="preserve">Length of the apex of the initial root system at the beginning of the simulation</t>
  </si>
  <si>
    <t xml:space="preserve">initial_C_sucrose_root</t>
  </si>
  <si>
    <t xml:space="preserve">Sucrose concentration of the root segment of the initial root system at the beginning of the simulation</t>
  </si>
  <si>
    <t xml:space="preserve">Real number / mol of sucrose per gram of root dry structural biomass</t>
  </si>
  <si>
    <t xml:space="preserve">initial_C_hexose_root</t>
  </si>
  <si>
    <t xml:space="preserve">Hexose concentration of the root segment of the initial root system at the beginning of the simulation</t>
  </si>
  <si>
    <t xml:space="preserve">D_ini</t>
  </si>
  <si>
    <t xml:space="preserve">Diameter of the primary root</t>
  </si>
  <si>
    <t xml:space="preserve">Dmin</t>
  </si>
  <si>
    <t xml:space="preserve">Minimum diameter below which no root is allowed to emerge</t>
  </si>
  <si>
    <t xml:space="preserve">D_sem_to_D_ini_ratio</t>
  </si>
  <si>
    <t xml:space="preserve">Ratio between the mean diameter of seminal roots and the diameter of the primary root</t>
  </si>
  <si>
    <t xml:space="preserve">D_adv_to_D_ini_ratio</t>
  </si>
  <si>
    <t xml:space="preserve">Ratio between the mean diameter of adventitious roots and the diameter of the primary root</t>
  </si>
  <si>
    <t xml:space="preserve">Real number / [meters per meter]</t>
  </si>
  <si>
    <t xml:space="preserve">forcing_seminal_roots_events</t>
  </si>
  <si>
    <t xml:space="preserve">Option to force the regular apparition of seminal roots with ER parameter (True/False)</t>
  </si>
  <si>
    <t xml:space="preserve">n_seminal_roots</t>
  </si>
  <si>
    <t xml:space="preserve">Total number of seminal roots</t>
  </si>
  <si>
    <t xml:space="preserve">Integer / [number of roots]</t>
  </si>
  <si>
    <t xml:space="preserve">forcing_adventitious_roots_events</t>
  </si>
  <si>
    <t xml:space="preserve">Option to force the regular apparition of adventitious roots with ER parameter (True/False)</t>
  </si>
  <si>
    <t xml:space="preserve">n_adventitious_roots</t>
  </si>
  <si>
    <t xml:space="preserve">Total number of adventitious roots</t>
  </si>
  <si>
    <t xml:space="preserve">starting_time_for_adventitious_roots_emergence</t>
  </si>
  <si>
    <t xml:space="preserve">Time period below which no primordium of adventitious roots can emerge</t>
  </si>
  <si>
    <t xml:space="preserve">Real number / second-equivalent-to-T_ref_growth</t>
  </si>
  <si>
    <t xml:space="preserve">ER</t>
  </si>
  <si>
    <t xml:space="preserve">Emission rate of seminal/adventitious roots over time</t>
  </si>
  <si>
    <t xml:space="preserve">Real number / number of roots per second</t>
  </si>
  <si>
    <t xml:space="preserve">EL</t>
  </si>
  <si>
    <t xml:space="preserve">Elongation rate of a given root relative to its diameter</t>
  </si>
  <si>
    <t xml:space="preserve">Real number / meters of root per meter of radius per second-equivalent-to-T_ref_growth</t>
  </si>
  <si>
    <t xml:space="preserve">IPD</t>
  </si>
  <si>
    <t xml:space="preserve">Inter primordia distance</t>
  </si>
  <si>
    <t xml:space="preserve">emergence_delay</t>
  </si>
  <si>
    <t xml:space="preserve">Time period below which a newly-formed root primordium cannot emerge</t>
  </si>
  <si>
    <t xml:space="preserve">RMD</t>
  </si>
  <si>
    <t xml:space="preserve">Average ratio of the diameter of the daughter root to that of the mother root</t>
  </si>
  <si>
    <t xml:space="preserve">CVDD</t>
  </si>
  <si>
    <t xml:space="preserve">Relative variation of the daughter root diameter around its average value defined by the diameter of the mother root</t>
  </si>
  <si>
    <t xml:space="preserve">Real number / [no units]</t>
  </si>
  <si>
    <t xml:space="preserve">SGC</t>
  </si>
  <si>
    <t xml:space="preserve">Proportionality coefficient between the section area of the segment and the sum of distal section areas, based on the pipe model</t>
  </si>
  <si>
    <t xml:space="preserve">Real number / [square meters per square meters]</t>
  </si>
  <si>
    <t xml:space="preserve">GDs</t>
  </si>
  <si>
    <t xml:space="preserve">Coefficient of growth duration relative to the square of the root radius</t>
  </si>
  <si>
    <t xml:space="preserve">Real number / second-equivalent-to-temperature-T_ref_growth per square meter of diameter</t>
  </si>
  <si>
    <t xml:space="preserve">main_roots_growth_extender</t>
  </si>
  <si>
    <t xml:space="preserve">Coefficient of growth duration extension, by which the theoretical growth duration is multiplied for seminal and adventitious roots</t>
  </si>
  <si>
    <t xml:space="preserve">Real number / [second per second]</t>
  </si>
  <si>
    <t xml:space="preserve">GD_by_frequency</t>
  </si>
  <si>
    <t xml:space="preserve">Option to force the growth duration to be defined according to a few possible values, depending on their respective probability</t>
  </si>
  <si>
    <t xml:space="preserve">GD_low</t>
  </si>
  <si>
    <t xml:space="preserve">Growth duration for short-growing roots</t>
  </si>
  <si>
    <t xml:space="preserve">GD_prob_low</t>
  </si>
  <si>
    <t xml:space="preserve">Probability of getting the GD_low value</t>
  </si>
  <si>
    <t xml:space="preserve">GD_medium</t>
  </si>
  <si>
    <t xml:space="preserve">Growth duration for intermediate-growing roots</t>
  </si>
  <si>
    <t xml:space="preserve">GD_prob_medium</t>
  </si>
  <si>
    <t xml:space="preserve">Probability of getting the GD_low or the GD_medium value</t>
  </si>
  <si>
    <t xml:space="preserve">GD_high</t>
  </si>
  <si>
    <t xml:space="preserve">Growth duration for long-growing roots</t>
  </si>
  <si>
    <t xml:space="preserve">GD_highest</t>
  </si>
  <si>
    <t xml:space="preserve">Growth duration for seminal and adventitious roots</t>
  </si>
  <si>
    <t xml:space="preserve">LDs</t>
  </si>
  <si>
    <t xml:space="preserve">Coefficient of life duration</t>
  </si>
  <si>
    <t xml:space="preserve">Real number / second-equivalent-to-temperature-T_ref_growth x meter4 x gram-1</t>
  </si>
  <si>
    <t xml:space="preserve">root_tissue_density</t>
  </si>
  <si>
    <t xml:space="preserve">Root tissue density</t>
  </si>
  <si>
    <t xml:space="preserve">Real number / gram of root dry structural mass per cubic meter</t>
  </si>
  <si>
    <t xml:space="preserve">struct_mass_C_content</t>
  </si>
  <si>
    <t xml:space="preserve">Carbon content of the dry structural mass</t>
  </si>
  <si>
    <t xml:space="preserve">Real number / mol of C per gram of root dry structural mass</t>
  </si>
  <si>
    <t xml:space="preserve">segment_length</t>
  </si>
  <si>
    <t xml:space="preserve">Length of each root segment</t>
  </si>
  <si>
    <t xml:space="preserve">gravitropism_coefficient</t>
  </si>
  <si>
    <t xml:space="preserve">Coefficient of gravitropism (the higher it is, the faster the roots are growing downwards)</t>
  </si>
  <si>
    <t xml:space="preserve">root_hair_radius</t>
  </si>
  <si>
    <t xml:space="preserve">Mean radius of a root hair</t>
  </si>
  <si>
    <t xml:space="preserve">root_hair_max_length</t>
  </si>
  <si>
    <t xml:space="preserve">Maximal length of a root hair</t>
  </si>
  <si>
    <t xml:space="preserve">root_hairs_density</t>
  </si>
  <si>
    <t xml:space="preserve">Coefficient of density of root hairs along a root</t>
  </si>
  <si>
    <t xml:space="preserve">Real number / number of hairs par meter of root per meter of root radius</t>
  </si>
  <si>
    <t xml:space="preserve">root_hairs_elongation_rate</t>
  </si>
  <si>
    <t xml:space="preserve">Maximal elongation rate of a root hair</t>
  </si>
  <si>
    <t xml:space="preserve">Real number / meters of hair per meter of root radius per second</t>
  </si>
  <si>
    <t xml:space="preserve">root_hairs_lifespan</t>
  </si>
  <si>
    <t xml:space="preserve">Life duration of a root hair</t>
  </si>
  <si>
    <t xml:space="preserve">T_ref_growth</t>
  </si>
  <si>
    <t xml:space="preserve">Reference temperature for all root growth processes, which is supposed to correspond to the optimal temperature for maximizing potential growth in ArchiSimple</t>
  </si>
  <si>
    <t xml:space="preserve">Real number / degree Celsius</t>
  </si>
  <si>
    <t xml:space="preserve">relative_process_value_at_T_ref_growth</t>
  </si>
  <si>
    <t xml:space="preserve">Relative value of a growth process when reaching the soil temperature of T_ref_growth (1 by default)</t>
  </si>
  <si>
    <t xml:space="preserve">growing_zone_factor</t>
  </si>
  <si>
    <t xml:space="preserve">Relative ratio between the length of growing zone of the root (including meristem and elongation zone) and its radius</t>
  </si>
  <si>
    <t xml:space="preserve">phloem_surfacic_fraction</t>
  </si>
  <si>
    <t xml:space="preserve">Proportionality coefficient between the total exchange surface of phloem tissues and the total external surface of the root</t>
  </si>
  <si>
    <t xml:space="preserve">Real number / [square meters per square meter]</t>
  </si>
  <si>
    <t xml:space="preserve">stelar_parenchyma_surfacic_fraction</t>
  </si>
  <si>
    <t xml:space="preserve">Proportionality coefficient between the total exchange surface of stelar parenchyma and the total external surface of the root</t>
  </si>
  <si>
    <t xml:space="preserve">cortical_parenchyma_surfacic_fraction</t>
  </si>
  <si>
    <t xml:space="preserve">Proportionality coefficient between the total exchange surface of cortical parenchyma and the total external surface of the root</t>
  </si>
  <si>
    <t xml:space="preserve">epidermal_parenchyma_surfacic_fraction</t>
  </si>
  <si>
    <t xml:space="preserve">Proportionality coefficient between the total exchange surface of epidermis and the total external surface of the root</t>
  </si>
  <si>
    <t xml:space="preserve">meristem_limite_zone_factor</t>
  </si>
  <si>
    <t xml:space="preserve">Ratio between the length of the meristem zone and root radius</t>
  </si>
  <si>
    <t xml:space="preserve">relative_conductance_at_meristem</t>
  </si>
  <si>
    <t xml:space="preserve">Relative conductance of cell walls in the meristem zone</t>
  </si>
  <si>
    <t xml:space="preserve">Real number / meters per square meter</t>
  </si>
  <si>
    <t xml:space="preserve">start_distance_for_endodermis_factor</t>
  </si>
  <si>
    <t xml:space="preserve">Ratio between the distance from tip where barriers formation starts/ends, and root radius</t>
  </si>
  <si>
    <t xml:space="preserve">adim</t>
  </si>
  <si>
    <t xml:space="preserve">end_distance_for_endodermis_factor</t>
  </si>
  <si>
    <t xml:space="preserve">start_distance_for_exodermis_factor</t>
  </si>
  <si>
    <t xml:space="preserve">end_distance_for_exodermis_factor</t>
  </si>
  <si>
    <t xml:space="preserve">start_thermal_time_for_endodermis_formation</t>
  </si>
  <si>
    <t xml:space="preserve">Thermal age of root cells at which the formation of endodermis starts</t>
  </si>
  <si>
    <t xml:space="preserve">end_thermal_time_for_endodermis_formation</t>
  </si>
  <si>
    <t xml:space="preserve">Thermal age of root cells at which the formation of endodermis ends</t>
  </si>
  <si>
    <t xml:space="preserve">start_thermal_time_for_exodermis_formation</t>
  </si>
  <si>
    <t xml:space="preserve">Thermal age of root cells at which the formation of exodermis starts</t>
  </si>
  <si>
    <t xml:space="preserve">end_thermal_time_for_exodermis_formation</t>
  </si>
  <si>
    <t xml:space="preserve">Thermal age of root cells at which the formation of exodermis ends</t>
  </si>
  <si>
    <t xml:space="preserve">endodermis_a</t>
  </si>
  <si>
    <t xml:space="preserve">Maximal relative resistance (%) of endodermis to apoplastic transport (100% = no apoplastic transport)</t>
  </si>
  <si>
    <t xml:space="preserve">Real number / %</t>
  </si>
  <si>
    <t xml:space="preserve">endodermis_b</t>
  </si>
  <si>
    <t xml:space="preserve">Gompertz parameter b for endodermis - period since cells formation before the significant increase in relative resistance due to endodermis formation</t>
  </si>
  <si>
    <t xml:space="preserve">Real number / seconds-equivalent-to-T_ref_growth</t>
  </si>
  <si>
    <t xml:space="preserve">endodermis_c</t>
  </si>
  <si>
    <t xml:space="preserve">Gompertz parameter c for endodermis - slope of the significant increase in relative resistance due to endodermis formation</t>
  </si>
  <si>
    <t xml:space="preserve">Real number / seconds-1 (equivalent-to-T_ref_growth)</t>
  </si>
  <si>
    <t xml:space="preserve">exodermis_a</t>
  </si>
  <si>
    <t xml:space="preserve">Maximal relative resistance (%) of exodermis to apoplastic transport (100% = no apoplastic transport)</t>
  </si>
  <si>
    <t xml:space="preserve">exodermis_b</t>
  </si>
  <si>
    <t xml:space="preserve">Gompertz parameter b for exodermis - period since cells formation before the significant increase in relative resistance due to endodermis formation</t>
  </si>
  <si>
    <t xml:space="preserve">exodermis_c</t>
  </si>
  <si>
    <t xml:space="preserve">Gompertz parameter c for exodermis - slope of the significant increase in relative resistance due to endodermis formation</t>
  </si>
  <si>
    <t xml:space="preserve">max_thermal_time_since_endodermis_disruption</t>
  </si>
  <si>
    <t xml:space="preserve">Thermal time above which no endodermis disruption in the mother root is considered anymore once a lateral root has started to emerge</t>
  </si>
  <si>
    <t xml:space="preserve">max_thermal_time_since_exodermis_disruption</t>
  </si>
  <si>
    <t xml:space="preserve">Thermal time above which no exodermis disruption in the mother root is considered anymore once a lateral root has started to emerge</t>
  </si>
  <si>
    <t xml:space="preserve">yield_growth</t>
  </si>
  <si>
    <t xml:space="preserve">Growth yield as defined by Thornley and Cannell (2000), which corresponds to the fraction of C used for biomass production as opposed to the fraction of C used for growth respiration</t>
  </si>
  <si>
    <t xml:space="preserve">Real number / mol of respired CO2 per mol of C used for structural mass</t>
  </si>
  <si>
    <t xml:space="preserve">Km_elongation</t>
  </si>
  <si>
    <t xml:space="preserve">Affinity constant (in terms of Michaelis-Menten formalism) for root elongation, corresponding to the concentration for which the rate is equal to half of the maximal rate</t>
  </si>
  <si>
    <t xml:space="preserve">Real number / mol of hexose per gram of root dry structural mass</t>
  </si>
  <si>
    <t xml:space="preserve">relative_root_thickening_rate_max</t>
  </si>
  <si>
    <t xml:space="preserve">Maximal rate of radial growth, expressed as the maximal relative increase of radius over time</t>
  </si>
  <si>
    <t xml:space="preserve">Real number / meters per meter per second</t>
  </si>
  <si>
    <t xml:space="preserve">Km_thickening</t>
  </si>
  <si>
    <t xml:space="preserve">Affinity constant (in terms of Michaelis-Menten formalism) for radial growth, corresponding to the concentration for which the rate is equal to half of the maximal rate</t>
  </si>
  <si>
    <t xml:space="preserve">C_hexose_min_for_elongation</t>
  </si>
  <si>
    <t xml:space="preserve">Treshold hexose concentration for elongation, below which no elongation occurs</t>
  </si>
  <si>
    <t xml:space="preserve">C_hexose_min_for_thickening</t>
  </si>
  <si>
    <t xml:space="preserve">Treshold hexose concentration for elongation, below which no thickening occurs</t>
  </si>
  <si>
    <t xml:space="preserve">max_unloading_rate</t>
  </si>
  <si>
    <t xml:space="preserve">Maximum unloading rate of sucrose through the surface of the phloem vessels</t>
  </si>
  <si>
    <t xml:space="preserve">Real number / mol of sucrose per square meter of phloem per second</t>
  </si>
  <si>
    <t xml:space="preserve">Km_unloading</t>
  </si>
  <si>
    <t xml:space="preserve">Affinity constant (in terms of Michaelis-Menten formalism) for phloem unloading, corresponding to the concentration for which the rate is equal to half of the maximal rate</t>
  </si>
  <si>
    <t xml:space="preserve">Real number / mol of sucrose per gram of root dry structural mass</t>
  </si>
  <si>
    <t xml:space="preserve">unloading_by_diffusion</t>
  </si>
  <si>
    <t xml:space="preserve">Option to select a diffusion process rather than a Michaelis-Menten to describe phloem unloading (True/False)</t>
  </si>
  <si>
    <t xml:space="preserve">phloem_permeability</t>
  </si>
  <si>
    <t xml:space="preserve">Coefficient of "permeability" of phloem vessels</t>
  </si>
  <si>
    <t xml:space="preserve">Real number / gram of root dry structural biomass per square meter of phloem per second</t>
  </si>
  <si>
    <t xml:space="preserve">reference_rate_of_hexose_consumption_by_growth</t>
  </si>
  <si>
    <t xml:space="preserve">Reference rate of hexose consumption for growth (used to proportionnally increase the permeability of phloem according to the actual rate of hexose consumption)</t>
  </si>
  <si>
    <t xml:space="preserve">Real number / mol of hexose per second</t>
  </si>
  <si>
    <t xml:space="preserve">massic_reference_rate_of_hexose_consumption_by_growth</t>
  </si>
  <si>
    <t xml:space="preserve">phloem_permeability_T_ref</t>
  </si>
  <si>
    <t xml:space="preserve">Reference temperature for setting the temperature-dependence of phloem unloading</t>
  </si>
  <si>
    <t xml:space="preserve">phloem_permeability_A</t>
  </si>
  <si>
    <t xml:space="preserve">Coefficient A used for setting the temperature-dependence of phloem unloading</t>
  </si>
  <si>
    <t xml:space="preserve">Real number / per degree Celsius</t>
  </si>
  <si>
    <t xml:space="preserve">phloem_permeability_B</t>
  </si>
  <si>
    <t xml:space="preserve">Coefficient B used for setting the temperature-dependence of phloem unloading</t>
  </si>
  <si>
    <t xml:space="preserve">phloem_permeability_C</t>
  </si>
  <si>
    <t xml:space="preserve">Coefficient C used for setting the temperature-dependence of phloem unloading (0 / 1)</t>
  </si>
  <si>
    <t xml:space="preserve">surfacic_loading_rate_reference</t>
  </si>
  <si>
    <t xml:space="preserve">max_loading_rate</t>
  </si>
  <si>
    <t xml:space="preserve">Reference temperature for setting the temperature-dependence of phloem loading</t>
  </si>
  <si>
    <t xml:space="preserve">max_loading_rate_T_ref</t>
  </si>
  <si>
    <t xml:space="preserve">max_loading_rate_A</t>
  </si>
  <si>
    <t xml:space="preserve">Coefficient A used for setting the temperature-dependence of phloem loading</t>
  </si>
  <si>
    <t xml:space="preserve">max_loading_rate_B</t>
  </si>
  <si>
    <t xml:space="preserve">Coefficient B used for setting the temperature-dependence of phloem loading</t>
  </si>
  <si>
    <t xml:space="preserve">max_loading_rate_C</t>
  </si>
  <si>
    <t xml:space="preserve">Coefficient C used for setting the temperature-dependence of phloem loading (0 / 1)</t>
  </si>
  <si>
    <t xml:space="preserve">gamma_loading</t>
  </si>
  <si>
    <t xml:space="preserve">Exponential coefficient affecting the increase of loading with distance from the apex</t>
  </si>
  <si>
    <t xml:space="preserve">Km_loading</t>
  </si>
  <si>
    <t xml:space="preserve">Affinity constant (in terms of Michaelis-Menten formalism) for phloem loading, corresponding to the concentration for which the rate is equal to half of the maximal rate</t>
  </si>
  <si>
    <t xml:space="preserve">C_hexose_reserve_min</t>
  </si>
  <si>
    <t xml:space="preserve">Minimal concentration of hexose in the reserve pool</t>
  </si>
  <si>
    <t xml:space="preserve">C_hexose_reserve_max</t>
  </si>
  <si>
    <t xml:space="preserve">Maximal concentration of hexose in the reserve pool</t>
  </si>
  <si>
    <t xml:space="preserve">C_hexose_root_min_for_reserve</t>
  </si>
  <si>
    <t xml:space="preserve">Minimal concentration of hexose in the root below which no immobilization into the reserve pool can occur</t>
  </si>
  <si>
    <t xml:space="preserve">max_immobilization_rate</t>
  </si>
  <si>
    <t xml:space="preserve">Maximal immobilization rate of hexose into the reserve pool</t>
  </si>
  <si>
    <t xml:space="preserve">Real number / mol of hexose per gram of root dry structural mass per second</t>
  </si>
  <si>
    <t xml:space="preserve">max_immobilization_rate_T_ref</t>
  </si>
  <si>
    <t xml:space="preserve">Reference temperature for setting the temperature-dependence of hexose immobilization</t>
  </si>
  <si>
    <t xml:space="preserve">max_immobilization_rate_A</t>
  </si>
  <si>
    <t xml:space="preserve">Coefficient A used for setting the temperature-dependence of hexose immobilization</t>
  </si>
  <si>
    <t xml:space="preserve">max_immobilization_rate_B</t>
  </si>
  <si>
    <t xml:space="preserve">Coefficient B used for setting the temperature-dependence of hexose immobilization</t>
  </si>
  <si>
    <t xml:space="preserve">max_immobilization_rate_C</t>
  </si>
  <si>
    <t xml:space="preserve">Coefficient C used for setting the temperature-dependence of hexose immobilization (0 / 1)</t>
  </si>
  <si>
    <t xml:space="preserve">Km_immobilization</t>
  </si>
  <si>
    <t xml:space="preserve">Affinity constant (in terms of Michaelis-Menten formalism) for hexose immobilization, corresponding to the concentration for which the rate is equal to half of the maximal rate</t>
  </si>
  <si>
    <t xml:space="preserve">max_mobilization_rate</t>
  </si>
  <si>
    <t xml:space="preserve">Maximal mobilization rate of hexose from the reserve</t>
  </si>
  <si>
    <t xml:space="preserve">max_mobilization_rate_T_ref</t>
  </si>
  <si>
    <t xml:space="preserve">Reference temperature for setting the temperature-dependence of hexose mobilization</t>
  </si>
  <si>
    <t xml:space="preserve">max_mobilization_rate_A</t>
  </si>
  <si>
    <t xml:space="preserve">Coefficient A used for setting the temperature-dependence of hexose mobilization</t>
  </si>
  <si>
    <t xml:space="preserve">max_mobilization_rate_B</t>
  </si>
  <si>
    <t xml:space="preserve">Coefficient B used for setting the temperature-dependence of hexose mobilization</t>
  </si>
  <si>
    <t xml:space="preserve">max_mobilization_rate_C</t>
  </si>
  <si>
    <t xml:space="preserve">Coefficient C used for setting the temperature-dependence of hexose mobilization (0 / 1)</t>
  </si>
  <si>
    <t xml:space="preserve">Km_mobilization</t>
  </si>
  <si>
    <t xml:space="preserve">Affinity constant (in terms of Michaelis-Menten formalism) for hexose mobilization from reserve, corresponding to the concentration for which the rate is equal to half of the maximal rate</t>
  </si>
  <si>
    <t xml:space="preserve">resp_maintenance_max</t>
  </si>
  <si>
    <t xml:space="preserve">Maximal rate of maintenance respiration</t>
  </si>
  <si>
    <t xml:space="preserve">resp_maintenance_max_T_ref</t>
  </si>
  <si>
    <t xml:space="preserve">Reference temperature for setting the temperature-dependence of the maximal rate of maintenance respiration</t>
  </si>
  <si>
    <t xml:space="preserve">resp_maintenance_max_A</t>
  </si>
  <si>
    <t xml:space="preserve">Coefficient A used for setting the temperature-dependence of the maximal rate of maintenance respiration</t>
  </si>
  <si>
    <t xml:space="preserve">resp_maintenance_max_B</t>
  </si>
  <si>
    <t xml:space="preserve">Coefficient B used for setting the temperature-dependence of the maximal rate of maintenance respiration</t>
  </si>
  <si>
    <t xml:space="preserve">resp_maintenance_max_C</t>
  </si>
  <si>
    <t xml:space="preserve">Coefficient C used for setting the temperature-dependence of the maximal rate of maintenance respiration (0 / 1)</t>
  </si>
  <si>
    <t xml:space="preserve">Km_maintenance</t>
  </si>
  <si>
    <t xml:space="preserve">Affinity constant (in terms of Michaelis-Menten formalism) for maintenance respiration, corresponding to the concentration for which the rate is equal to half of the maximal rate</t>
  </si>
  <si>
    <t xml:space="preserve">Pmax_apex</t>
  </si>
  <si>
    <t xml:space="preserve">Coefficient of permeability of root cortical and epidermal symplasm</t>
  </si>
  <si>
    <t xml:space="preserve">Real number / gram of root dry structural biomass per square meter of symplasm per second</t>
  </si>
  <si>
    <t xml:space="preserve">permeability_coeff_T_ref</t>
  </si>
  <si>
    <t xml:space="preserve">Reference temperature for setting the temperature-dependence of exudation rate</t>
  </si>
  <si>
    <t xml:space="preserve">permeability_coeff_A</t>
  </si>
  <si>
    <t xml:space="preserve">Coefficient A used for setting the temperature-dependence of exudation rate</t>
  </si>
  <si>
    <t xml:space="preserve">permeability_coeff_B</t>
  </si>
  <si>
    <t xml:space="preserve">Coefficient B used for setting the temperature-dependence of exudation rate</t>
  </si>
  <si>
    <t xml:space="preserve">permeability_coeff_C</t>
  </si>
  <si>
    <t xml:space="preserve">Coefficient C used for setting the temperature-dependence of exudation rate (0 / 1)</t>
  </si>
  <si>
    <t xml:space="preserve">gamma_exudation</t>
  </si>
  <si>
    <t xml:space="preserve">Exponential coefficient affecting the decrease of exudation with distance from the apex</t>
  </si>
  <si>
    <t xml:space="preserve">uptake_rate_max</t>
  </si>
  <si>
    <t xml:space="preserve">Maximal rate of hexose uptake from the soil-root interface</t>
  </si>
  <si>
    <t xml:space="preserve">uptake_rate_max_T_ref</t>
  </si>
  <si>
    <t xml:space="preserve">Reference temperature for setting the temperature-dependence of the maximal rate of hexose uptake</t>
  </si>
  <si>
    <t xml:space="preserve">uptake_rate_max_A</t>
  </si>
  <si>
    <t xml:space="preserve">Coefficient A used for setting the temperature-dependence of the maximal rate of hexose uptake</t>
  </si>
  <si>
    <t xml:space="preserve">uptake_rate_max_B</t>
  </si>
  <si>
    <t xml:space="preserve">Coefficient B used for setting the temperature-dependence of the maximal rate of hexose uptake</t>
  </si>
  <si>
    <t xml:space="preserve">uptake_rate_max_C</t>
  </si>
  <si>
    <t xml:space="preserve">Coefficient C used for setting the temperature-dependence of the maximal rate of hexose uptake (0 / 1)</t>
  </si>
  <si>
    <t xml:space="preserve">Km_uptake</t>
  </si>
  <si>
    <t xml:space="preserve">Affinity constant (in terms of Michaelis-Menten formalism) for hexose uptake from the soil-root interface, corresponding to the concentration for which the rate is equal to half of the maximal rate</t>
  </si>
  <si>
    <t xml:space="preserve">secretion_rate_max</t>
  </si>
  <si>
    <t xml:space="preserve">Maximum rate of mucilage secretion</t>
  </si>
  <si>
    <t xml:space="preserve">Real number / mol of hexose per square meter per second</t>
  </si>
  <si>
    <t xml:space="preserve">secretion_rate_max_T_ref</t>
  </si>
  <si>
    <t xml:space="preserve">Reference temperature for setting the temperature-dependence of the maximal rate of mucilage secretion</t>
  </si>
  <si>
    <t xml:space="preserve">secretion_rate_max_A</t>
  </si>
  <si>
    <t xml:space="preserve">Coefficient A used for setting the temperature-dependence of the maximal rate of mucilage secretion</t>
  </si>
  <si>
    <t xml:space="preserve">secretion_rate_max_B</t>
  </si>
  <si>
    <t xml:space="preserve">Coefficient B used for setting the temperature-dependence of the maximal rate of mucilage secretion</t>
  </si>
  <si>
    <t xml:space="preserve">secretion_rate_max_C</t>
  </si>
  <si>
    <t xml:space="preserve">Coefficient C used for setting the temperature-dependence of the maximal rate of mucilage secretion (0 / 1)</t>
  </si>
  <si>
    <t xml:space="preserve">Km_secretion</t>
  </si>
  <si>
    <t xml:space="preserve">Affinity constant (in terms of Michaelis-Menten formalism) for mucilage secretion, corresponding to the concentration for which the rate is equal to half of the maximal rate</t>
  </si>
  <si>
    <t xml:space="preserve">gamma_secretion</t>
  </si>
  <si>
    <t xml:space="preserve">Exponential coefficient affecting the secretion of mucilage with the distance from the apex</t>
  </si>
  <si>
    <t xml:space="preserve">surfacic_cells_release_rate</t>
  </si>
  <si>
    <t xml:space="preserve">Maximum rate of root cells release</t>
  </si>
  <si>
    <t xml:space="preserve">Real number / mol of equivalent hexose per square meter per second</t>
  </si>
  <si>
    <t xml:space="preserve">surfacic_cells_release_rate_T_ref</t>
  </si>
  <si>
    <t xml:space="preserve">Reference temperature for setting the temperature-dependence of the maximal rate of cells release</t>
  </si>
  <si>
    <t xml:space="preserve">surfacic_cells_release_rate_A</t>
  </si>
  <si>
    <t xml:space="preserve">Coefficient A used for setting the temperature-dependence of the maximal rate of cells release</t>
  </si>
  <si>
    <t xml:space="preserve">surfacic_cells_release_rate_B</t>
  </si>
  <si>
    <t xml:space="preserve">Coefficient B used for setting the temperature-dependence of the maximal rate of cells release</t>
  </si>
  <si>
    <t xml:space="preserve">surfacic_cells_release_rate_C</t>
  </si>
  <si>
    <t xml:space="preserve">Coefficient C used for setting the temperature-dependence of the maximal rate of cells release (0 / 1)</t>
  </si>
  <si>
    <t xml:space="preserve">C_cells_soil_max</t>
  </si>
  <si>
    <t xml:space="preserve">Maximal concentration of root cells in soil, above which no release of cells is possible</t>
  </si>
  <si>
    <t xml:space="preserve">Real number / mol of equivalent-hexose per gram of root dry structural mass</t>
  </si>
  <si>
    <t xml:space="preserve">hexose_degradation_rate_max</t>
  </si>
  <si>
    <t xml:space="preserve">Maximal rate of hexose consumption at the soil-root interface</t>
  </si>
  <si>
    <t xml:space="preserve">hexose_degradation_rate_max_T_ref</t>
  </si>
  <si>
    <t xml:space="preserve">Reference temperature for setting the temperature-dependence of the maximal rate of hexose degradation</t>
  </si>
  <si>
    <t xml:space="preserve">hexose_degradation_rate_max_A</t>
  </si>
  <si>
    <t xml:space="preserve">Coefficient A used for setting the temperature-dependence of the maximal rate of hexose degradation</t>
  </si>
  <si>
    <t xml:space="preserve">hexose_degradation_rate_max_B</t>
  </si>
  <si>
    <t xml:space="preserve">Coefficient B used for setting the temperature-dependence of the maximal rate of hexose degradation</t>
  </si>
  <si>
    <t xml:space="preserve">hexose_degradation_rate_max_C</t>
  </si>
  <si>
    <t xml:space="preserve">Coefficient C used for setting the temperature-dependence of the maximal rate of hexose degradation (0 / 1)</t>
  </si>
  <si>
    <t xml:space="preserve">Km_hexose_degradation</t>
  </si>
  <si>
    <t xml:space="preserve">Affinity constant (in terms of Michaelis-Menten formalism) for hexose consumption at the soil-root interface, corresponding to the concentration for which the rate is equal to half of the maximal rate</t>
  </si>
  <si>
    <t xml:space="preserve">mucilage_degradation_rate_max</t>
  </si>
  <si>
    <t xml:space="preserve">Maximal rate of mucilage degradation at the soil-root interface</t>
  </si>
  <si>
    <t xml:space="preserve">mucilage_degradation_rate_max_T_ref</t>
  </si>
  <si>
    <t xml:space="preserve">Reference temperature for setting the temperature-dependence of the maximal rate of mucilage degradation</t>
  </si>
  <si>
    <t xml:space="preserve">mucilage_degradation_rate_max_A</t>
  </si>
  <si>
    <t xml:space="preserve">Coefficient A used for setting the temperature-dependence of the maximal rate of mucilage degradation</t>
  </si>
  <si>
    <t xml:space="preserve">mucilage_degradation_rate_max_B</t>
  </si>
  <si>
    <t xml:space="preserve">Coefficient B used for setting the temperature-dependence of the maximal rate of mucilage degradation</t>
  </si>
  <si>
    <t xml:space="preserve">mucilage_degradation_rate_max_C</t>
  </si>
  <si>
    <t xml:space="preserve">Coefficient C used for setting the temperature-dependence of the maximal rate of mucilage degradation (0 / 1)</t>
  </si>
  <si>
    <t xml:space="preserve">Km_mucilage_degradation</t>
  </si>
  <si>
    <t xml:space="preserve">Affinity constant (in terms of Michaelis-Menten formalism) for mucilage degradation at the soil-root interface, corresponding to the concentration for which the rate is equal to half of the maximal rate</t>
  </si>
  <si>
    <t xml:space="preserve">cells_degradation_rate_max</t>
  </si>
  <si>
    <t xml:space="preserve">Maximal rate of root cells degradation at the soil-root interface</t>
  </si>
  <si>
    <t xml:space="preserve">Real number / mol of equivalent hexose per gram of root dry structural mass per second</t>
  </si>
  <si>
    <t xml:space="preserve">cells_degradation_rate_max_T_ref</t>
  </si>
  <si>
    <t xml:space="preserve">Reference temperature for setting the temperature-dependence of the maximal rate of root cells degradation</t>
  </si>
  <si>
    <t xml:space="preserve">cells_degradation_rate_max_A</t>
  </si>
  <si>
    <t xml:space="preserve">Coefficient A used for setting the temperature-dependence of the maximal rate of root cells degradation</t>
  </si>
  <si>
    <t xml:space="preserve">cells_degradation_rate_max_B</t>
  </si>
  <si>
    <t xml:space="preserve">Coefficient B used for setting the temperature-dependence of the maximal rate of root cells degradation</t>
  </si>
  <si>
    <t xml:space="preserve">cells_degradation_rate_max_C</t>
  </si>
  <si>
    <t xml:space="preserve">Coefficient C used for setting the temperature-dependence of the maximal rate of root cells degradation (0 / 1)</t>
  </si>
  <si>
    <t xml:space="preserve">Km_cells_degradation</t>
  </si>
  <si>
    <t xml:space="preserve">Affinity constant (in terms of Michaelis-Menten formalism) for cells degradation at the soil-root interface, corresponding to the concentration for which the rate is equal to half of the maximal rate</t>
  </si>
  <si>
    <t xml:space="preserve">Real number / mol of equivalent hexose per gram of root dry structural mass</t>
  </si>
  <si>
    <t xml:space="preserve">Plant_genotype</t>
  </si>
  <si>
    <t xml:space="preserve">Plant genotype (not used in the simulation)</t>
  </si>
  <si>
    <t xml:space="preserve">WHEAT</t>
  </si>
  <si>
    <t xml:space="preserve">dissolved_mineral_N</t>
  </si>
  <si>
    <t xml:space="preserve">soil_model</t>
  </si>
  <si>
    <t xml:space="preserve">soil</t>
  </si>
  <si>
    <t xml:space="preserve">Intitialization soil nitrate content</t>
  </si>
  <si>
    <t xml:space="preserve">g.g-1</t>
  </si>
  <si>
    <t xml:space="preserve">soil_moisture</t>
  </si>
  <si>
    <t xml:space="preserve">initialization soil water content</t>
  </si>
  <si>
    <t xml:space="preserve">m3.m-3</t>
  </si>
  <si>
    <t xml:space="preserve">dissolved_mineral_N_patch</t>
  </si>
  <si>
    <t xml:space="preserve">Mineral nitrogen concentration in a located patch in soil</t>
  </si>
  <si>
    <t xml:space="preserve">mol.m-3</t>
  </si>
  <si>
    <t xml:space="preserve">patch_depth_mineralN</t>
  </si>
  <si>
    <t xml:space="preserve">Depth of a nitrate patch in soil</t>
  </si>
  <si>
    <t xml:space="preserve">m</t>
  </si>
  <si>
    <t xml:space="preserve">patch_uniform_width_mineralN</t>
  </si>
  <si>
    <t xml:space="preserve">Width of the zone of the patch with uniform concentration of nitrate</t>
  </si>
  <si>
    <t xml:space="preserve">patch_transition_mineralN</t>
  </si>
  <si>
    <t xml:space="preserve">Variance of the normal law smooting the boundary transition of a nitrate patch with the background concentration</t>
  </si>
  <si>
    <t xml:space="preserve">Km_elongation_amino_acids</t>
  </si>
  <si>
    <t xml:space="preserve">Affinity constant for root elongation regarding amino_acids consumption</t>
  </si>
  <si>
    <t xml:space="preserve">mol.g-1 DW</t>
  </si>
  <si>
    <t xml:space="preserve">span_N_regulation</t>
  </si>
  <si>
    <t xml:space="preserve">Variation range of concentration during which Km changes occur</t>
  </si>
  <si>
    <t xml:space="preserve">mol.g-1</t>
  </si>
  <si>
    <t xml:space="preserve">diffusion_soil</t>
  </si>
  <si>
    <t xml:space="preserve">Diffusion paramenter for exchanges between cortex symplasm and soil solution</t>
  </si>
  <si>
    <t xml:space="preserve">g.s-1.m-2</t>
  </si>
  <si>
    <t xml:space="preserve">diffusion_apoplasm</t>
  </si>
  <si>
    <t xml:space="preserve">Diffusion paramenter for exchanges between xylem apoplasm and soil solution</t>
  </si>
  <si>
    <t xml:space="preserve">diffusion_phloem</t>
  </si>
  <si>
    <t xml:space="preserve">Diffusion paramenter for exchanges between phloem symplasm and cortex symplasm</t>
  </si>
  <si>
    <t xml:space="preserve">permeability_phloem_AA</t>
  </si>
  <si>
    <t xml:space="preserve">vmax_unloading_AA_phloem</t>
  </si>
  <si>
    <t xml:space="preserve">mol.s-1.m-2</t>
  </si>
  <si>
    <t xml:space="preserve">km_unloading_AA_phloem</t>
  </si>
  <si>
    <t xml:space="preserve">Affinity parameter for amino acid loading into symplasm from phloem</t>
  </si>
  <si>
    <t xml:space="preserve">diffusion_xylem_Nm_P</t>
  </si>
  <si>
    <t xml:space="preserve">Diffusion paramenter for exchanges between xylem apoplasm and cortex symplasm</t>
  </si>
  <si>
    <t xml:space="preserve">g.s-1.m-3</t>
  </si>
  <si>
    <t xml:space="preserve">diffusion_xylem_AA_P</t>
  </si>
  <si>
    <t xml:space="preserve">vmax_Nm_xylem</t>
  </si>
  <si>
    <t xml:space="preserve">Vmax parameter for mineral nitrogen xylem loading</t>
  </si>
  <si>
    <t xml:space="preserve">Km_Nm_xylem</t>
  </si>
  <si>
    <t xml:space="preserve">Km parameter for mineral nitrogen xylem loading</t>
  </si>
  <si>
    <t xml:space="preserve">vmax_AA_xylem</t>
  </si>
  <si>
    <t xml:space="preserve">Vmax parameter for amino acids xylem loading</t>
  </si>
  <si>
    <t xml:space="preserve">hydraulics</t>
  </si>
  <si>
    <t xml:space="preserve">shoot</t>
  </si>
  <si>
    <t xml:space="preserve">Conductance parameter </t>
  </si>
  <si>
    <t xml:space="preserve">water_moisture_patch</t>
  </si>
  <si>
    <t xml:space="preserve">water moisture in a located patch in soil</t>
  </si>
  <si>
    <t xml:space="preserve">patch_depth_water_moisture</t>
  </si>
  <si>
    <t xml:space="preserve">Depth of a water moisture patch in soil</t>
  </si>
  <si>
    <t xml:space="preserve">patch_uniform_width_water_moisture</t>
  </si>
  <si>
    <t xml:space="preserve">Width of the zone of the patch with uniform water moisture</t>
  </si>
  <si>
    <t xml:space="preserve">patch_transition_water_moisture</t>
  </si>
  <si>
    <t xml:space="preserve">Variance of the normal law smooting the boundary transition of a moisture patch with the background concentration</t>
  </si>
  <si>
    <t xml:space="preserve">smax_AA</t>
  </si>
  <si>
    <t xml:space="preserve">Maximal rate of amino acid synthesis in the root segment</t>
  </si>
  <si>
    <t xml:space="preserve">mol.s-1.g-1</t>
  </si>
  <si>
    <t xml:space="preserve">cmax_AA</t>
  </si>
  <si>
    <t xml:space="preserve">Maximal rate of amino acid catabolism in the root segment</t>
  </si>
  <si>
    <t xml:space="preserve">DOC</t>
  </si>
  <si>
    <t xml:space="preserve">DON</t>
  </si>
  <si>
    <t xml:space="preserve">synchronize_adventitious_emergence</t>
  </si>
  <si>
    <t xml:space="preserve">Tells wether root system should listen to shoot for synchronization of nodal roots emergence</t>
  </si>
  <si>
    <t xml:space="preserve">reference_rate_of_AA_consumption_by_growth</t>
  </si>
  <si>
    <t xml:space="preserve">Reference rate of amino acids for growth (used to proportionnally increase the permeability of phloem according to the actual rate of amino_acid consumption)</t>
  </si>
  <si>
    <t xml:space="preserve">Real number / mol of amino acids per second</t>
  </si>
  <si>
    <t xml:space="preserve">massic_reference_rate_of_AA_consumption_by_growth</t>
  </si>
  <si>
    <t xml:space="preserve">increased_wall_resistance_factor</t>
  </si>
  <si>
    <t xml:space="preserve">stele wall resistance increase factor to avoid overestimation of xylem-phloem conductance</t>
  </si>
  <si>
    <t xml:space="preserve">dimensionless</t>
  </si>
  <si>
    <t xml:space="preserve">List from 'updated_parameters.csv'</t>
  </si>
  <si>
    <t xml:space="preserve">List from 'scenario_as_columns' sheet</t>
  </si>
  <si>
    <t xml:space="preserve">Missing parameters in 'scenario_as_columns' sheet</t>
  </si>
  <si>
    <t xml:space="preserve">pi</t>
  </si>
  <si>
    <t xml:space="preserve">input_file</t>
  </si>
  <si>
    <t xml:space="preserve">root_growth_T_ref</t>
  </si>
  <si>
    <t xml:space="preserve">root_growth_A</t>
  </si>
  <si>
    <t xml:space="preserve">root_growth_B</t>
  </si>
  <si>
    <t xml:space="preserve">root_growth_C</t>
  </si>
  <si>
    <t xml:space="preserve">expected_C_sucrose_root</t>
  </si>
  <si>
    <t xml:space="preserve">expected_C_hexose_root</t>
  </si>
  <si>
    <t xml:space="preserve">expected_C_hexose_soil</t>
  </si>
  <si>
    <t xml:space="preserve">expected_C_hexose_reserve</t>
  </si>
  <si>
    <t xml:space="preserve">symplasm_surfacic_fraction</t>
  </si>
  <si>
    <t xml:space="preserve">surfacic_unloading_rate_reference</t>
  </si>
  <si>
    <t xml:space="preserve">surfacic_unloading_rate_primordium</t>
  </si>
  <si>
    <t xml:space="preserve">nodule_formation_probability</t>
  </si>
  <si>
    <t xml:space="preserve">nodule_max_radius</t>
  </si>
  <si>
    <t xml:space="preserve">relative_nodule_thickening_rate_max</t>
  </si>
  <si>
    <t xml:space="preserve">Km_nodule_thickening</t>
  </si>
  <si>
    <t xml:space="preserve">expected_exudation_efflux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</si>
</sst>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2" tint="-0.25"/>
        <bgColor rgb="FFBFBFBF"/>
      </patternFill>
    </fill>
    <fill>
      <patternFill patternType="solid">
        <fgColor theme="2" tint="-0.1"/>
        <bgColor rgb="FFDBDBDB"/>
      </patternFill>
    </fill>
    <fill>
      <patternFill patternType="solid">
        <fgColor rgb="FF00B050"/>
        <bgColor rgb="FF008080"/>
      </patternFill>
    </fill>
    <fill>
      <patternFill patternType="solid">
        <fgColor theme="7"/>
        <bgColor rgb="FFFFD966"/>
      </patternFill>
    </fill>
    <fill>
      <patternFill patternType="solid">
        <fgColor theme="9" tint="0.5999"/>
        <bgColor rgb="FFD0CECE"/>
      </patternFill>
    </fill>
    <fill>
      <patternFill patternType="solid">
        <fgColor theme="7" tint="0.7999"/>
        <bgColor rgb="FFFFE699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25"/>
        <bgColor rgb="FFD0CECE"/>
      </patternFill>
    </fill>
    <fill>
      <patternFill patternType="solid">
        <fgColor theme="7" tint="-0.25"/>
        <bgColor rgb="FF808000"/>
      </patternFill>
    </fill>
    <fill>
      <patternFill patternType="solid">
        <fgColor theme="5" tint="-0.25"/>
        <bgColor rgb="FF993300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3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3999"/>
        <bgColor rgb="FFBFBFBF"/>
      </patternFill>
    </fill>
    <fill>
      <patternFill patternType="solid">
        <fgColor theme="8" tint="0.7999"/>
        <bgColor rgb="FFDBDBDB"/>
      </patternFill>
    </fill>
    <fill>
      <patternFill patternType="solid">
        <fgColor theme="4"/>
        <bgColor rgb="FF808080"/>
      </patternFill>
    </fill>
    <fill>
      <patternFill patternType="solid">
        <fgColor theme="9"/>
        <bgColor rgb="FF808080"/>
      </patternFill>
    </fill>
    <fill>
      <patternFill patternType="solid">
        <fgColor rgb="FFFFFF00"/>
        <bgColor rgb="FFFFD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AE3F3"/>
      <rgbColor rgb="FF660066"/>
      <rgbColor rgb="FFFF8080"/>
      <rgbColor rgb="FF0066CC"/>
      <rgbColor rgb="FFBDD7EE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BDBDB"/>
      <rgbColor rgb="FFC5E0B4"/>
      <rgbColor rgb="FFFFE699"/>
      <rgbColor rgb="FF9DC3E6"/>
      <rgbColor rgb="FFF4B183"/>
      <rgbColor rgb="FFD0CECE"/>
      <rgbColor rgb="FFF8CBAD"/>
      <rgbColor rgb="FF3366FF"/>
      <rgbColor rgb="FF33CCCC"/>
      <rgbColor rgb="FF70AD47"/>
      <rgbColor rgb="FFFFC000"/>
      <rgbColor rgb="FFBF9000"/>
      <rgbColor rgb="FFC55A11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I200" activePane="bottomRight" state="frozen"/>
      <selection pane="topLeft" activeCell="A1" activeCellId="0" sqref="A1"/>
      <selection pane="topRight" activeCell="I1" activeCellId="0" sqref="I1"/>
      <selection pane="bottomLeft" activeCell="A200" activeCellId="0" sqref="A200"/>
      <selection pane="bottomRight" activeCell="I227" activeCellId="0" sqref="I227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32.71"/>
    <col collapsed="false" customWidth="true" hidden="false" outlineLevel="0" max="2" min="2" style="1" width="13.71"/>
    <col collapsed="false" customWidth="true" hidden="false" outlineLevel="0" max="3" min="3" style="1" width="16.29"/>
    <col collapsed="false" customWidth="true" hidden="false" outlineLevel="0" max="4" min="4" style="1" width="12.71"/>
    <col collapsed="false" customWidth="true" hidden="false" outlineLevel="0" max="5" min="5" style="2" width="13.71"/>
    <col collapsed="false" customWidth="true" hidden="false" outlineLevel="0" max="6" min="6" style="2" width="22.71"/>
    <col collapsed="false" customWidth="true" hidden="false" outlineLevel="0" max="7" min="7" style="3" width="16.29"/>
    <col collapsed="false" customWidth="true" hidden="false" outlineLevel="0" max="8" min="8" style="1" width="21.57"/>
    <col collapsed="false" customWidth="true" hidden="false" outlineLevel="0" max="9" min="9" style="1" width="28.42"/>
    <col collapsed="false" customWidth="true" hidden="false" outlineLevel="0" max="12" min="10" style="1" width="28.57"/>
    <col collapsed="false" customWidth="true" hidden="false" outlineLevel="0" max="13" min="13" style="1" width="21.57"/>
  </cols>
  <sheetData>
    <row r="1" s="1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I1" s="6" t="s">
        <v>7</v>
      </c>
      <c r="J1" s="6" t="s">
        <v>8</v>
      </c>
      <c r="K1" s="6" t="s">
        <v>9</v>
      </c>
      <c r="L1" s="6" t="s">
        <v>10</v>
      </c>
      <c r="AW1" s="2"/>
    </row>
    <row r="2" s="1" customFormat="true" ht="15" hidden="false" customHeight="false" outlineLevel="0" collapsed="false">
      <c r="A2" s="7" t="s">
        <v>11</v>
      </c>
      <c r="B2" s="8" t="s">
        <v>12</v>
      </c>
      <c r="C2" s="8" t="s">
        <v>13</v>
      </c>
      <c r="D2" s="8" t="s">
        <v>14</v>
      </c>
      <c r="E2" s="9" t="s">
        <v>15</v>
      </c>
      <c r="F2" s="9" t="s">
        <v>16</v>
      </c>
      <c r="G2" s="10" t="s">
        <v>17</v>
      </c>
      <c r="I2" s="10" t="s">
        <v>17</v>
      </c>
      <c r="J2" s="10" t="s">
        <v>17</v>
      </c>
      <c r="K2" s="10" t="s">
        <v>17</v>
      </c>
      <c r="L2" s="10" t="s">
        <v>17</v>
      </c>
      <c r="AW2" s="2"/>
    </row>
    <row r="3" s="1" customFormat="true" ht="15" hidden="false" customHeight="false" outlineLevel="0" collapsed="false">
      <c r="A3" s="7" t="s">
        <v>18</v>
      </c>
      <c r="B3" s="8" t="s">
        <v>19</v>
      </c>
      <c r="C3" s="8" t="s">
        <v>13</v>
      </c>
      <c r="D3" s="8" t="s">
        <v>14</v>
      </c>
      <c r="E3" s="11" t="s">
        <v>20</v>
      </c>
      <c r="F3" s="11" t="s">
        <v>21</v>
      </c>
      <c r="G3" s="10" t="s">
        <v>22</v>
      </c>
      <c r="I3" s="10" t="s">
        <v>23</v>
      </c>
      <c r="J3" s="10" t="s">
        <v>23</v>
      </c>
      <c r="K3" s="10" t="s">
        <v>23</v>
      </c>
      <c r="L3" s="10" t="s">
        <v>24</v>
      </c>
      <c r="AW3" s="2"/>
    </row>
    <row r="4" s="1" customFormat="true" ht="15" hidden="false" customHeight="false" outlineLevel="0" collapsed="false">
      <c r="A4" s="7" t="s">
        <v>25</v>
      </c>
      <c r="B4" s="8" t="s">
        <v>19</v>
      </c>
      <c r="C4" s="8" t="s">
        <v>13</v>
      </c>
      <c r="D4" s="8" t="s">
        <v>14</v>
      </c>
      <c r="E4" s="11" t="s">
        <v>26</v>
      </c>
      <c r="F4" s="11" t="s">
        <v>27</v>
      </c>
      <c r="G4" s="10" t="s">
        <v>24</v>
      </c>
      <c r="I4" s="12" t="s">
        <v>24</v>
      </c>
      <c r="J4" s="13" t="s">
        <v>24</v>
      </c>
      <c r="K4" s="13" t="s">
        <v>24</v>
      </c>
      <c r="L4" s="10" t="s">
        <v>23</v>
      </c>
      <c r="M4" s="14"/>
      <c r="N4" s="15"/>
      <c r="O4" s="14"/>
      <c r="P4" s="14"/>
      <c r="Q4" s="14"/>
      <c r="R4" s="15"/>
      <c r="S4" s="15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6"/>
      <c r="AF4" s="14"/>
      <c r="AG4" s="14"/>
      <c r="AH4" s="14"/>
      <c r="AI4" s="14"/>
      <c r="AJ4" s="14"/>
      <c r="AK4" s="14"/>
      <c r="AL4" s="14"/>
      <c r="AM4" s="16"/>
      <c r="AN4" s="14"/>
      <c r="AO4" s="14"/>
      <c r="AP4" s="14"/>
      <c r="AQ4" s="14"/>
      <c r="AR4" s="16"/>
      <c r="AS4" s="14"/>
      <c r="AT4" s="16"/>
      <c r="AU4" s="16"/>
      <c r="AV4" s="14"/>
      <c r="AW4" s="2"/>
    </row>
    <row r="5" s="1" customFormat="true" ht="15" hidden="false" customHeight="false" outlineLevel="0" collapsed="false">
      <c r="A5" s="7" t="s">
        <v>28</v>
      </c>
      <c r="B5" s="8" t="s">
        <v>19</v>
      </c>
      <c r="C5" s="8" t="s">
        <v>13</v>
      </c>
      <c r="D5" s="8" t="s">
        <v>14</v>
      </c>
      <c r="E5" s="11" t="s">
        <v>29</v>
      </c>
      <c r="F5" s="11" t="s">
        <v>30</v>
      </c>
      <c r="G5" s="10" t="s">
        <v>22</v>
      </c>
      <c r="I5" s="10" t="s">
        <v>22</v>
      </c>
      <c r="J5" s="10" t="s">
        <v>22</v>
      </c>
      <c r="K5" s="10" t="s">
        <v>22</v>
      </c>
      <c r="L5" s="10" t="s">
        <v>22</v>
      </c>
      <c r="AW5" s="2"/>
    </row>
    <row r="6" customFormat="false" ht="15" hidden="false" customHeight="false" outlineLevel="0" collapsed="false">
      <c r="A6" s="8" t="s">
        <v>31</v>
      </c>
      <c r="B6" s="8" t="s">
        <v>32</v>
      </c>
      <c r="C6" s="8" t="s">
        <v>13</v>
      </c>
      <c r="D6" s="8" t="s">
        <v>14</v>
      </c>
      <c r="E6" s="17" t="s">
        <v>33</v>
      </c>
      <c r="F6" s="17" t="s">
        <v>34</v>
      </c>
      <c r="G6" s="10" t="s">
        <v>35</v>
      </c>
      <c r="I6" s="10" t="s">
        <v>35</v>
      </c>
      <c r="J6" s="10" t="s">
        <v>35</v>
      </c>
      <c r="K6" s="10" t="s">
        <v>35</v>
      </c>
      <c r="L6" s="10" t="s">
        <v>35</v>
      </c>
    </row>
    <row r="7" customFormat="false" ht="15" hidden="false" customHeight="false" outlineLevel="0" collapsed="false">
      <c r="A7" s="8" t="s">
        <v>36</v>
      </c>
      <c r="B7" s="8" t="s">
        <v>32</v>
      </c>
      <c r="C7" s="8" t="s">
        <v>13</v>
      </c>
      <c r="D7" s="8" t="s">
        <v>14</v>
      </c>
      <c r="E7" s="17" t="s">
        <v>37</v>
      </c>
      <c r="F7" s="17" t="s">
        <v>38</v>
      </c>
      <c r="G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</row>
    <row r="8" customFormat="false" ht="15" hidden="false" customHeight="false" outlineLevel="0" collapsed="false">
      <c r="A8" s="18" t="s">
        <v>39</v>
      </c>
      <c r="B8" s="8" t="s">
        <v>32</v>
      </c>
      <c r="C8" s="8" t="s">
        <v>13</v>
      </c>
      <c r="D8" s="8" t="s">
        <v>14</v>
      </c>
      <c r="E8" s="19" t="s">
        <v>40</v>
      </c>
      <c r="F8" s="19" t="s">
        <v>41</v>
      </c>
      <c r="G8" s="10" t="n">
        <v>60</v>
      </c>
      <c r="I8" s="10" t="n">
        <v>180</v>
      </c>
      <c r="J8" s="10" t="n">
        <v>180</v>
      </c>
      <c r="K8" s="10" t="n">
        <v>180</v>
      </c>
      <c r="L8" s="10" t="n">
        <v>180</v>
      </c>
    </row>
    <row r="9" customFormat="false" ht="15" hidden="false" customHeight="false" outlineLevel="0" collapsed="false">
      <c r="A9" s="18" t="s">
        <v>42</v>
      </c>
      <c r="B9" s="8" t="s">
        <v>32</v>
      </c>
      <c r="C9" s="8" t="s">
        <v>13</v>
      </c>
      <c r="D9" s="8" t="s">
        <v>14</v>
      </c>
      <c r="E9" s="19" t="s">
        <v>43</v>
      </c>
      <c r="F9" s="19" t="s">
        <v>41</v>
      </c>
      <c r="G9" s="10" t="n">
        <v>0.041666667</v>
      </c>
      <c r="I9" s="10" t="n">
        <v>0.041666667</v>
      </c>
      <c r="J9" s="10" t="n">
        <v>0.041666667</v>
      </c>
      <c r="K9" s="10" t="n">
        <v>0.041666667</v>
      </c>
      <c r="L9" s="10" t="n">
        <v>0.041666667</v>
      </c>
    </row>
    <row r="10" customFormat="false" ht="15" hidden="false" customHeight="false" outlineLevel="0" collapsed="false">
      <c r="A10" s="18" t="s">
        <v>44</v>
      </c>
      <c r="B10" s="8" t="s">
        <v>32</v>
      </c>
      <c r="C10" s="8" t="s">
        <v>13</v>
      </c>
      <c r="D10" s="8" t="s">
        <v>14</v>
      </c>
      <c r="E10" s="19" t="s">
        <v>45</v>
      </c>
      <c r="F10" s="19" t="s">
        <v>41</v>
      </c>
      <c r="G10" s="10" t="n">
        <v>5</v>
      </c>
      <c r="I10" s="10" t="n">
        <v>0.041666667</v>
      </c>
      <c r="J10" s="10" t="n">
        <v>0.041666667</v>
      </c>
      <c r="K10" s="10" t="n">
        <v>0.041666667</v>
      </c>
      <c r="L10" s="10" t="n">
        <v>0.041666667</v>
      </c>
    </row>
    <row r="11" customFormat="false" ht="15" hidden="false" customHeight="false" outlineLevel="0" collapsed="false">
      <c r="A11" s="20" t="s">
        <v>46</v>
      </c>
      <c r="B11" s="8" t="s">
        <v>32</v>
      </c>
      <c r="C11" s="8" t="s">
        <v>13</v>
      </c>
      <c r="D11" s="8" t="s">
        <v>14</v>
      </c>
      <c r="E11" s="21" t="s">
        <v>47</v>
      </c>
      <c r="F11" s="21" t="s">
        <v>41</v>
      </c>
      <c r="G11" s="10" t="n">
        <v>1</v>
      </c>
      <c r="I11" s="10" t="n">
        <v>1</v>
      </c>
      <c r="J11" s="10" t="n">
        <v>1</v>
      </c>
      <c r="K11" s="10" t="n">
        <v>1</v>
      </c>
      <c r="L11" s="10" t="n">
        <v>1</v>
      </c>
    </row>
    <row r="12" customFormat="false" ht="15" hidden="false" customHeight="false" outlineLevel="0" collapsed="false">
      <c r="A12" s="20" t="s">
        <v>48</v>
      </c>
      <c r="B12" s="8" t="s">
        <v>32</v>
      </c>
      <c r="C12" s="8" t="s">
        <v>13</v>
      </c>
      <c r="D12" s="8" t="s">
        <v>14</v>
      </c>
      <c r="E12" s="21" t="s">
        <v>49</v>
      </c>
      <c r="F12" s="21" t="s">
        <v>41</v>
      </c>
      <c r="G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</row>
    <row r="13" customFormat="false" ht="15" hidden="false" customHeight="false" outlineLevel="0" collapsed="false">
      <c r="A13" s="20" t="s">
        <v>50</v>
      </c>
      <c r="B13" s="8" t="s">
        <v>32</v>
      </c>
      <c r="C13" s="8" t="s">
        <v>13</v>
      </c>
      <c r="D13" s="8" t="s">
        <v>14</v>
      </c>
      <c r="E13" s="21" t="s">
        <v>51</v>
      </c>
      <c r="F13" s="21" t="s">
        <v>34</v>
      </c>
      <c r="G13" s="10" t="s">
        <v>52</v>
      </c>
      <c r="I13" s="10" t="s">
        <v>52</v>
      </c>
      <c r="J13" s="10" t="s">
        <v>52</v>
      </c>
      <c r="K13" s="10" t="s">
        <v>52</v>
      </c>
      <c r="L13" s="10" t="s">
        <v>52</v>
      </c>
    </row>
    <row r="14" customFormat="false" ht="15" hidden="false" customHeight="false" outlineLevel="0" collapsed="false">
      <c r="A14" s="20" t="s">
        <v>53</v>
      </c>
      <c r="B14" s="8" t="s">
        <v>32</v>
      </c>
      <c r="C14" s="8" t="s">
        <v>13</v>
      </c>
      <c r="D14" s="8" t="s">
        <v>14</v>
      </c>
      <c r="E14" s="21" t="s">
        <v>54</v>
      </c>
      <c r="F14" s="21" t="s">
        <v>55</v>
      </c>
      <c r="G14" s="10" t="n">
        <v>5E-009</v>
      </c>
      <c r="I14" s="10" t="n">
        <v>5E-009</v>
      </c>
      <c r="J14" s="10" t="n">
        <v>5E-009</v>
      </c>
      <c r="K14" s="10" t="n">
        <v>5E-009</v>
      </c>
      <c r="L14" s="10" t="n">
        <v>5E-009</v>
      </c>
    </row>
    <row r="15" customFormat="false" ht="15" hidden="false" customHeight="false" outlineLevel="0" collapsed="false">
      <c r="A15" s="20" t="s">
        <v>56</v>
      </c>
      <c r="B15" s="8" t="s">
        <v>32</v>
      </c>
      <c r="C15" s="8" t="s">
        <v>13</v>
      </c>
      <c r="D15" s="8" t="s">
        <v>14</v>
      </c>
      <c r="E15" s="21" t="s">
        <v>57</v>
      </c>
      <c r="F15" s="21" t="s">
        <v>58</v>
      </c>
      <c r="G15" s="10" t="n">
        <v>10</v>
      </c>
      <c r="I15" s="10" t="n">
        <v>10</v>
      </c>
      <c r="J15" s="10" t="n">
        <v>10</v>
      </c>
      <c r="K15" s="10" t="n">
        <v>10</v>
      </c>
      <c r="L15" s="10" t="n">
        <v>10</v>
      </c>
    </row>
    <row r="16" customFormat="false" ht="15" hidden="false" customHeight="false" outlineLevel="0" collapsed="false">
      <c r="A16" s="20" t="s">
        <v>59</v>
      </c>
      <c r="B16" s="8" t="s">
        <v>32</v>
      </c>
      <c r="C16" s="8" t="s">
        <v>13</v>
      </c>
      <c r="D16" s="8" t="s">
        <v>14</v>
      </c>
      <c r="E16" s="21" t="s">
        <v>60</v>
      </c>
      <c r="F16" s="21" t="s">
        <v>34</v>
      </c>
      <c r="G16" s="10" t="s">
        <v>52</v>
      </c>
      <c r="I16" s="10" t="s">
        <v>52</v>
      </c>
      <c r="J16" s="10" t="s">
        <v>52</v>
      </c>
      <c r="K16" s="10" t="s">
        <v>52</v>
      </c>
      <c r="L16" s="10" t="s">
        <v>52</v>
      </c>
    </row>
    <row r="17" customFormat="false" ht="15" hidden="false" customHeight="false" outlineLevel="0" collapsed="false">
      <c r="A17" s="20" t="s">
        <v>61</v>
      </c>
      <c r="B17" s="8" t="s">
        <v>32</v>
      </c>
      <c r="C17" s="8" t="s">
        <v>13</v>
      </c>
      <c r="D17" s="8" t="s">
        <v>14</v>
      </c>
      <c r="E17" s="21" t="s">
        <v>62</v>
      </c>
      <c r="F17" s="21" t="s">
        <v>34</v>
      </c>
      <c r="G17" s="10" t="s">
        <v>52</v>
      </c>
      <c r="I17" s="10" t="s">
        <v>52</v>
      </c>
      <c r="J17" s="10" t="s">
        <v>52</v>
      </c>
      <c r="K17" s="10" t="s">
        <v>52</v>
      </c>
      <c r="L17" s="10" t="s">
        <v>52</v>
      </c>
    </row>
    <row r="18" customFormat="false" ht="15" hidden="false" customHeight="false" outlineLevel="0" collapsed="false">
      <c r="A18" s="20" t="s">
        <v>63</v>
      </c>
      <c r="B18" s="8" t="s">
        <v>32</v>
      </c>
      <c r="C18" s="8" t="s">
        <v>13</v>
      </c>
      <c r="D18" s="8" t="s">
        <v>14</v>
      </c>
      <c r="E18" s="21" t="s">
        <v>64</v>
      </c>
      <c r="F18" s="21" t="s">
        <v>34</v>
      </c>
      <c r="G18" s="10" t="s">
        <v>52</v>
      </c>
      <c r="I18" s="10" t="s">
        <v>52</v>
      </c>
      <c r="J18" s="10" t="s">
        <v>52</v>
      </c>
      <c r="K18" s="10" t="s">
        <v>52</v>
      </c>
      <c r="L18" s="10" t="s">
        <v>52</v>
      </c>
    </row>
    <row r="19" customFormat="false" ht="15" hidden="false" customHeight="false" outlineLevel="0" collapsed="false">
      <c r="A19" s="20" t="s">
        <v>65</v>
      </c>
      <c r="B19" s="8" t="s">
        <v>32</v>
      </c>
      <c r="C19" s="8" t="s">
        <v>13</v>
      </c>
      <c r="D19" s="8" t="s">
        <v>14</v>
      </c>
      <c r="E19" s="21" t="s">
        <v>66</v>
      </c>
      <c r="F19" s="21" t="s">
        <v>67</v>
      </c>
      <c r="G19" s="10" t="n">
        <v>86400</v>
      </c>
      <c r="I19" s="10" t="n">
        <v>86400</v>
      </c>
      <c r="J19" s="10" t="n">
        <v>86400</v>
      </c>
      <c r="K19" s="10" t="n">
        <v>86400</v>
      </c>
      <c r="L19" s="10" t="n">
        <v>86400</v>
      </c>
    </row>
    <row r="20" customFormat="false" ht="15" hidden="false" customHeight="false" outlineLevel="0" collapsed="false">
      <c r="A20" s="22" t="s">
        <v>68</v>
      </c>
      <c r="B20" s="8" t="s">
        <v>32</v>
      </c>
      <c r="C20" s="8" t="s">
        <v>13</v>
      </c>
      <c r="D20" s="8" t="s">
        <v>14</v>
      </c>
      <c r="E20" s="23" t="s">
        <v>69</v>
      </c>
      <c r="F20" s="23" t="s">
        <v>34</v>
      </c>
      <c r="G20" s="10" t="s">
        <v>52</v>
      </c>
      <c r="I20" s="10" t="s">
        <v>35</v>
      </c>
      <c r="J20" s="10" t="s">
        <v>35</v>
      </c>
      <c r="K20" s="10" t="s">
        <v>35</v>
      </c>
      <c r="L20" s="10" t="s">
        <v>35</v>
      </c>
    </row>
    <row r="21" customFormat="false" ht="15" hidden="false" customHeight="false" outlineLevel="0" collapsed="false">
      <c r="A21" s="22" t="s">
        <v>70</v>
      </c>
      <c r="B21" s="8" t="s">
        <v>32</v>
      </c>
      <c r="C21" s="8" t="s">
        <v>13</v>
      </c>
      <c r="D21" s="8" t="s">
        <v>14</v>
      </c>
      <c r="E21" s="23" t="s">
        <v>71</v>
      </c>
      <c r="F21" s="23" t="s">
        <v>38</v>
      </c>
      <c r="G21" s="10" t="n">
        <v>3</v>
      </c>
      <c r="I21" s="10" t="n">
        <v>3</v>
      </c>
      <c r="J21" s="10" t="n">
        <v>3</v>
      </c>
      <c r="K21" s="10" t="n">
        <v>3</v>
      </c>
      <c r="L21" s="10" t="n">
        <v>3</v>
      </c>
      <c r="N21" s="24" t="s">
        <v>72</v>
      </c>
    </row>
    <row r="22" customFormat="false" ht="15" hidden="false" customHeight="false" outlineLevel="0" collapsed="false">
      <c r="A22" s="22" t="s">
        <v>73</v>
      </c>
      <c r="B22" s="8" t="s">
        <v>32</v>
      </c>
      <c r="C22" s="8" t="s">
        <v>13</v>
      </c>
      <c r="D22" s="8" t="s">
        <v>14</v>
      </c>
      <c r="E22" s="23" t="s">
        <v>74</v>
      </c>
      <c r="F22" s="23" t="s">
        <v>34</v>
      </c>
      <c r="G22" s="10" t="s">
        <v>52</v>
      </c>
      <c r="I22" s="10" t="s">
        <v>52</v>
      </c>
      <c r="J22" s="10" t="s">
        <v>52</v>
      </c>
      <c r="K22" s="10" t="s">
        <v>52</v>
      </c>
      <c r="L22" s="10" t="s">
        <v>52</v>
      </c>
    </row>
    <row r="23" customFormat="false" ht="15" hidden="false" customHeight="false" outlineLevel="0" collapsed="false">
      <c r="A23" s="22" t="s">
        <v>75</v>
      </c>
      <c r="B23" s="8" t="s">
        <v>32</v>
      </c>
      <c r="C23" s="8" t="s">
        <v>13</v>
      </c>
      <c r="D23" s="8" t="s">
        <v>14</v>
      </c>
      <c r="E23" s="23" t="s">
        <v>76</v>
      </c>
      <c r="F23" s="23" t="s">
        <v>34</v>
      </c>
      <c r="G23" s="10" t="s">
        <v>52</v>
      </c>
      <c r="I23" s="10" t="s">
        <v>52</v>
      </c>
      <c r="J23" s="10" t="s">
        <v>52</v>
      </c>
      <c r="K23" s="10" t="s">
        <v>52</v>
      </c>
      <c r="L23" s="10" t="s">
        <v>52</v>
      </c>
    </row>
    <row r="24" customFormat="false" ht="15" hidden="false" customHeight="false" outlineLevel="0" collapsed="false">
      <c r="A24" s="22" t="s">
        <v>77</v>
      </c>
      <c r="B24" s="8" t="s">
        <v>32</v>
      </c>
      <c r="C24" s="8" t="s">
        <v>13</v>
      </c>
      <c r="D24" s="8" t="s">
        <v>14</v>
      </c>
      <c r="E24" s="23" t="s">
        <v>78</v>
      </c>
      <c r="F24" s="23" t="s">
        <v>34</v>
      </c>
      <c r="G24" s="10" t="s">
        <v>52</v>
      </c>
      <c r="I24" s="10" t="s">
        <v>52</v>
      </c>
      <c r="J24" s="10" t="s">
        <v>52</v>
      </c>
      <c r="K24" s="10" t="s">
        <v>52</v>
      </c>
      <c r="L24" s="10" t="s">
        <v>52</v>
      </c>
    </row>
    <row r="25" customFormat="false" ht="15" hidden="false" customHeight="false" outlineLevel="0" collapsed="false">
      <c r="A25" s="22" t="s">
        <v>79</v>
      </c>
      <c r="B25" s="8" t="s">
        <v>32</v>
      </c>
      <c r="C25" s="8" t="s">
        <v>13</v>
      </c>
      <c r="D25" s="8" t="s">
        <v>14</v>
      </c>
      <c r="E25" s="23" t="s">
        <v>80</v>
      </c>
      <c r="F25" s="23" t="s">
        <v>34</v>
      </c>
      <c r="G25" s="10" t="s">
        <v>52</v>
      </c>
      <c r="I25" s="10" t="s">
        <v>52</v>
      </c>
      <c r="J25" s="10" t="s">
        <v>52</v>
      </c>
      <c r="K25" s="10" t="s">
        <v>52</v>
      </c>
      <c r="L25" s="10" t="s">
        <v>52</v>
      </c>
    </row>
    <row r="26" customFormat="false" ht="15" hidden="false" customHeight="false" outlineLevel="0" collapsed="false">
      <c r="A26" s="22" t="s">
        <v>81</v>
      </c>
      <c r="B26" s="8" t="s">
        <v>32</v>
      </c>
      <c r="C26" s="8" t="s">
        <v>13</v>
      </c>
      <c r="D26" s="8" t="s">
        <v>14</v>
      </c>
      <c r="E26" s="23" t="s">
        <v>82</v>
      </c>
      <c r="F26" s="23" t="s">
        <v>34</v>
      </c>
      <c r="G26" s="10" t="s">
        <v>52</v>
      </c>
      <c r="I26" s="10" t="s">
        <v>52</v>
      </c>
      <c r="J26" s="10" t="s">
        <v>52</v>
      </c>
      <c r="K26" s="10" t="s">
        <v>52</v>
      </c>
      <c r="L26" s="10" t="s">
        <v>52</v>
      </c>
    </row>
    <row r="27" customFormat="false" ht="15" hidden="false" customHeight="false" outlineLevel="0" collapsed="false">
      <c r="A27" s="22" t="s">
        <v>83</v>
      </c>
      <c r="B27" s="8" t="s">
        <v>32</v>
      </c>
      <c r="C27" s="8" t="s">
        <v>13</v>
      </c>
      <c r="D27" s="8" t="s">
        <v>14</v>
      </c>
      <c r="E27" s="23" t="s">
        <v>84</v>
      </c>
      <c r="F27" s="23" t="s">
        <v>34</v>
      </c>
      <c r="G27" s="10" t="s">
        <v>52</v>
      </c>
      <c r="I27" s="10" t="s">
        <v>52</v>
      </c>
      <c r="J27" s="10" t="s">
        <v>52</v>
      </c>
      <c r="K27" s="10" t="s">
        <v>52</v>
      </c>
      <c r="L27" s="10" t="s">
        <v>52</v>
      </c>
    </row>
    <row r="28" customFormat="false" ht="15" hidden="false" customHeight="false" outlineLevel="0" collapsed="false">
      <c r="A28" s="22" t="s">
        <v>85</v>
      </c>
      <c r="B28" s="8" t="s">
        <v>32</v>
      </c>
      <c r="C28" s="8" t="s">
        <v>13</v>
      </c>
      <c r="D28" s="8" t="s">
        <v>14</v>
      </c>
      <c r="E28" s="23" t="s">
        <v>86</v>
      </c>
      <c r="F28" s="23" t="s">
        <v>87</v>
      </c>
      <c r="G28" s="10" t="n">
        <v>0.33</v>
      </c>
      <c r="I28" s="10" t="n">
        <v>0.33</v>
      </c>
      <c r="J28" s="10" t="n">
        <v>0.33</v>
      </c>
      <c r="K28" s="10" t="n">
        <v>0.33</v>
      </c>
      <c r="L28" s="10" t="n">
        <v>0.33</v>
      </c>
    </row>
    <row r="29" customFormat="false" ht="15" hidden="false" customHeight="false" outlineLevel="0" collapsed="false">
      <c r="A29" s="22" t="s">
        <v>88</v>
      </c>
      <c r="B29" s="8" t="s">
        <v>32</v>
      </c>
      <c r="C29" s="8" t="s">
        <v>13</v>
      </c>
      <c r="D29" s="8" t="s">
        <v>14</v>
      </c>
      <c r="E29" s="23" t="s">
        <v>89</v>
      </c>
      <c r="F29" s="23" t="s">
        <v>34</v>
      </c>
      <c r="G29" s="10" t="s">
        <v>52</v>
      </c>
      <c r="I29" s="10" t="s">
        <v>52</v>
      </c>
      <c r="J29" s="10" t="s">
        <v>52</v>
      </c>
      <c r="K29" s="10" t="s">
        <v>52</v>
      </c>
      <c r="L29" s="10" t="s">
        <v>52</v>
      </c>
    </row>
    <row r="30" customFormat="false" ht="15" hidden="false" customHeight="false" outlineLevel="0" collapsed="false">
      <c r="A30" s="22" t="s">
        <v>90</v>
      </c>
      <c r="B30" s="8" t="s">
        <v>32</v>
      </c>
      <c r="C30" s="8" t="s">
        <v>13</v>
      </c>
      <c r="D30" s="8" t="s">
        <v>14</v>
      </c>
      <c r="E30" s="23" t="s">
        <v>91</v>
      </c>
      <c r="F30" s="23" t="s">
        <v>34</v>
      </c>
      <c r="G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</row>
    <row r="31" customFormat="false" ht="15" hidden="false" customHeight="false" outlineLevel="0" collapsed="false">
      <c r="A31" s="22" t="s">
        <v>92</v>
      </c>
      <c r="B31" s="8" t="s">
        <v>32</v>
      </c>
      <c r="C31" s="8" t="s">
        <v>13</v>
      </c>
      <c r="D31" s="8" t="s">
        <v>14</v>
      </c>
      <c r="E31" s="23" t="s">
        <v>93</v>
      </c>
      <c r="F31" s="23" t="s">
        <v>34</v>
      </c>
      <c r="G31" s="10" t="s">
        <v>52</v>
      </c>
      <c r="I31" s="10" t="s">
        <v>52</v>
      </c>
      <c r="J31" s="10" t="s">
        <v>52</v>
      </c>
      <c r="K31" s="10" t="s">
        <v>52</v>
      </c>
      <c r="L31" s="10" t="s">
        <v>52</v>
      </c>
    </row>
    <row r="32" customFormat="false" ht="15" hidden="false" customHeight="false" outlineLevel="0" collapsed="false">
      <c r="A32" s="25" t="s">
        <v>94</v>
      </c>
      <c r="B32" s="8" t="s">
        <v>32</v>
      </c>
      <c r="C32" s="8" t="s">
        <v>13</v>
      </c>
      <c r="D32" s="8" t="s">
        <v>14</v>
      </c>
      <c r="E32" s="26" t="s">
        <v>95</v>
      </c>
      <c r="F32" s="26" t="s">
        <v>34</v>
      </c>
      <c r="G32" s="10" t="s">
        <v>35</v>
      </c>
      <c r="I32" s="10" t="s">
        <v>35</v>
      </c>
      <c r="J32" s="10" t="s">
        <v>35</v>
      </c>
      <c r="K32" s="10" t="s">
        <v>35</v>
      </c>
      <c r="L32" s="10" t="s">
        <v>35</v>
      </c>
    </row>
    <row r="33" customFormat="false" ht="15" hidden="false" customHeight="false" outlineLevel="0" collapsed="false">
      <c r="A33" s="25" t="s">
        <v>96</v>
      </c>
      <c r="B33" s="8" t="s">
        <v>32</v>
      </c>
      <c r="C33" s="8" t="s">
        <v>13</v>
      </c>
      <c r="D33" s="8" t="s">
        <v>14</v>
      </c>
      <c r="E33" s="26" t="s">
        <v>97</v>
      </c>
      <c r="F33" s="26" t="s">
        <v>16</v>
      </c>
      <c r="G33" s="10" t="s">
        <v>98</v>
      </c>
      <c r="I33" s="27" t="s">
        <v>99</v>
      </c>
      <c r="J33" s="27" t="s">
        <v>99</v>
      </c>
      <c r="K33" s="27" t="s">
        <v>99</v>
      </c>
      <c r="L33" s="27" t="s">
        <v>99</v>
      </c>
    </row>
    <row r="34" customFormat="false" ht="15" hidden="false" customHeight="false" outlineLevel="0" collapsed="false">
      <c r="A34" s="25" t="s">
        <v>100</v>
      </c>
      <c r="B34" s="8" t="s">
        <v>32</v>
      </c>
      <c r="C34" s="8" t="s">
        <v>13</v>
      </c>
      <c r="D34" s="8" t="s">
        <v>14</v>
      </c>
      <c r="E34" s="26" t="s">
        <v>101</v>
      </c>
      <c r="F34" s="26" t="s">
        <v>102</v>
      </c>
      <c r="G34" s="10" t="n">
        <v>1E-006</v>
      </c>
      <c r="I34" s="10" t="n">
        <v>1E-006</v>
      </c>
      <c r="J34" s="10" t="n">
        <v>1E-006</v>
      </c>
      <c r="K34" s="10" t="n">
        <v>1E-006</v>
      </c>
      <c r="L34" s="10" t="n">
        <v>1E-006</v>
      </c>
    </row>
    <row r="35" customFormat="false" ht="15" hidden="false" customHeight="false" outlineLevel="0" collapsed="false">
      <c r="A35" s="25" t="s">
        <v>103</v>
      </c>
      <c r="B35" s="8" t="s">
        <v>32</v>
      </c>
      <c r="C35" s="8" t="s">
        <v>13</v>
      </c>
      <c r="D35" s="8" t="s">
        <v>14</v>
      </c>
      <c r="E35" s="26" t="s">
        <v>104</v>
      </c>
      <c r="F35" s="26" t="s">
        <v>102</v>
      </c>
      <c r="G35" s="10" t="n">
        <v>0.0002</v>
      </c>
      <c r="I35" s="10" t="n">
        <v>0.001</v>
      </c>
      <c r="J35" s="10" t="n">
        <v>0.001</v>
      </c>
      <c r="K35" s="10" t="n">
        <v>0.001</v>
      </c>
      <c r="L35" s="10" t="n">
        <v>0.001</v>
      </c>
    </row>
    <row r="36" customFormat="false" ht="15" hidden="false" customHeight="false" outlineLevel="0" collapsed="false">
      <c r="A36" s="25" t="s">
        <v>105</v>
      </c>
      <c r="B36" s="8" t="s">
        <v>32</v>
      </c>
      <c r="C36" s="8" t="s">
        <v>13</v>
      </c>
      <c r="D36" s="8" t="s">
        <v>14</v>
      </c>
      <c r="E36" s="26" t="s">
        <v>106</v>
      </c>
      <c r="F36" s="26" t="s">
        <v>34</v>
      </c>
      <c r="G36" s="10" t="s">
        <v>35</v>
      </c>
      <c r="I36" s="10" t="s">
        <v>35</v>
      </c>
      <c r="J36" s="10" t="s">
        <v>35</v>
      </c>
      <c r="K36" s="10" t="s">
        <v>35</v>
      </c>
      <c r="L36" s="10" t="s">
        <v>35</v>
      </c>
    </row>
    <row r="37" customFormat="false" ht="15" hidden="false" customHeight="false" outlineLevel="0" collapsed="false">
      <c r="A37" s="25" t="s">
        <v>107</v>
      </c>
      <c r="B37" s="8" t="s">
        <v>32</v>
      </c>
      <c r="C37" s="8" t="s">
        <v>13</v>
      </c>
      <c r="D37" s="8" t="s">
        <v>14</v>
      </c>
      <c r="E37" s="26" t="s">
        <v>108</v>
      </c>
      <c r="F37" s="26" t="s">
        <v>16</v>
      </c>
      <c r="G37" s="10" t="s">
        <v>109</v>
      </c>
      <c r="I37" s="10" t="s">
        <v>109</v>
      </c>
      <c r="J37" s="10" t="s">
        <v>109</v>
      </c>
      <c r="K37" s="10" t="s">
        <v>109</v>
      </c>
      <c r="L37" s="10" t="s">
        <v>109</v>
      </c>
    </row>
    <row r="38" customFormat="false" ht="15" hidden="false" customHeight="false" outlineLevel="0" collapsed="false">
      <c r="A38" s="25" t="s">
        <v>110</v>
      </c>
      <c r="B38" s="8" t="s">
        <v>32</v>
      </c>
      <c r="C38" s="8" t="s">
        <v>13</v>
      </c>
      <c r="D38" s="8" t="s">
        <v>14</v>
      </c>
      <c r="E38" s="26" t="s">
        <v>111</v>
      </c>
      <c r="F38" s="26" t="s">
        <v>34</v>
      </c>
      <c r="G38" s="10" t="s">
        <v>35</v>
      </c>
      <c r="I38" s="10" t="s">
        <v>35</v>
      </c>
      <c r="J38" s="10" t="s">
        <v>35</v>
      </c>
      <c r="K38" s="10" t="s">
        <v>35</v>
      </c>
      <c r="L38" s="10" t="s">
        <v>35</v>
      </c>
    </row>
    <row r="39" customFormat="false" ht="15" hidden="false" customHeight="false" outlineLevel="0" collapsed="false">
      <c r="A39" s="25" t="s">
        <v>112</v>
      </c>
      <c r="B39" s="8" t="s">
        <v>32</v>
      </c>
      <c r="C39" s="8" t="s">
        <v>13</v>
      </c>
      <c r="D39" s="8" t="s">
        <v>14</v>
      </c>
      <c r="E39" s="26" t="s">
        <v>113</v>
      </c>
      <c r="F39" s="26" t="s">
        <v>34</v>
      </c>
      <c r="G39" s="10" t="s">
        <v>52</v>
      </c>
      <c r="I39" s="10" t="s">
        <v>52</v>
      </c>
      <c r="J39" s="10" t="s">
        <v>52</v>
      </c>
      <c r="K39" s="10" t="s">
        <v>52</v>
      </c>
      <c r="L39" s="10" t="s">
        <v>52</v>
      </c>
    </row>
    <row r="40" customFormat="false" ht="15" hidden="false" customHeight="false" outlineLevel="0" collapsed="false">
      <c r="A40" s="25" t="s">
        <v>114</v>
      </c>
      <c r="B40" s="8" t="s">
        <v>32</v>
      </c>
      <c r="C40" s="8" t="s">
        <v>13</v>
      </c>
      <c r="D40" s="8" t="s">
        <v>14</v>
      </c>
      <c r="E40" s="26" t="s">
        <v>115</v>
      </c>
      <c r="F40" s="26" t="s">
        <v>38</v>
      </c>
      <c r="G40" s="10" t="n">
        <v>120</v>
      </c>
      <c r="I40" s="10" t="n">
        <v>120</v>
      </c>
      <c r="J40" s="10" t="n">
        <v>120</v>
      </c>
      <c r="K40" s="10" t="n">
        <v>120</v>
      </c>
      <c r="L40" s="10" t="n">
        <v>120</v>
      </c>
    </row>
    <row r="41" customFormat="false" ht="15" hidden="false" customHeight="false" outlineLevel="0" collapsed="false">
      <c r="A41" s="25" t="s">
        <v>116</v>
      </c>
      <c r="B41" s="8" t="s">
        <v>32</v>
      </c>
      <c r="C41" s="8" t="s">
        <v>13</v>
      </c>
      <c r="D41" s="8" t="s">
        <v>14</v>
      </c>
      <c r="E41" s="26" t="s">
        <v>117</v>
      </c>
      <c r="F41" s="26" t="s">
        <v>118</v>
      </c>
      <c r="G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</row>
    <row r="42" customFormat="false" ht="15" hidden="false" customHeight="false" outlineLevel="0" collapsed="false">
      <c r="A42" s="25" t="s">
        <v>119</v>
      </c>
      <c r="B42" s="8" t="s">
        <v>32</v>
      </c>
      <c r="C42" s="8" t="s">
        <v>13</v>
      </c>
      <c r="D42" s="8" t="s">
        <v>14</v>
      </c>
      <c r="E42" s="26" t="s">
        <v>120</v>
      </c>
      <c r="F42" s="26" t="s">
        <v>118</v>
      </c>
      <c r="G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</row>
    <row r="43" customFormat="false" ht="15" hidden="false" customHeight="false" outlineLevel="0" collapsed="false">
      <c r="A43" s="25" t="s">
        <v>121</v>
      </c>
      <c r="B43" s="8" t="s">
        <v>32</v>
      </c>
      <c r="C43" s="8" t="s">
        <v>13</v>
      </c>
      <c r="D43" s="8" t="s">
        <v>14</v>
      </c>
      <c r="E43" s="26" t="s">
        <v>122</v>
      </c>
      <c r="F43" s="26" t="s">
        <v>118</v>
      </c>
      <c r="G43" s="10" t="n">
        <v>-0.1</v>
      </c>
      <c r="I43" s="10" t="n">
        <v>-0.1</v>
      </c>
      <c r="J43" s="10" t="n">
        <v>-0.1</v>
      </c>
      <c r="K43" s="10" t="n">
        <v>-0.1</v>
      </c>
      <c r="L43" s="10" t="n">
        <v>-0.1</v>
      </c>
    </row>
    <row r="44" customFormat="false" ht="15" hidden="false" customHeight="false" outlineLevel="0" collapsed="false">
      <c r="A44" s="25" t="s">
        <v>123</v>
      </c>
      <c r="B44" s="8" t="s">
        <v>32</v>
      </c>
      <c r="C44" s="8" t="s">
        <v>13</v>
      </c>
      <c r="D44" s="8" t="s">
        <v>14</v>
      </c>
      <c r="E44" s="26" t="s">
        <v>124</v>
      </c>
      <c r="F44" s="26" t="s">
        <v>118</v>
      </c>
      <c r="G44" s="10" t="n">
        <v>-0.2</v>
      </c>
      <c r="I44" s="10" t="n">
        <v>-0.2</v>
      </c>
      <c r="J44" s="10" t="n">
        <v>-0.2</v>
      </c>
      <c r="K44" s="10" t="n">
        <v>-0.2</v>
      </c>
      <c r="L44" s="10" t="n">
        <v>-0.2</v>
      </c>
    </row>
    <row r="45" customFormat="false" ht="15" hidden="false" customHeight="false" outlineLevel="0" collapsed="false">
      <c r="A45" s="25" t="s">
        <v>125</v>
      </c>
      <c r="B45" s="8" t="s">
        <v>32</v>
      </c>
      <c r="C45" s="8" t="s">
        <v>13</v>
      </c>
      <c r="D45" s="8" t="s">
        <v>14</v>
      </c>
      <c r="E45" s="26" t="s">
        <v>126</v>
      </c>
      <c r="F45" s="26" t="s">
        <v>118</v>
      </c>
      <c r="G45" s="10" t="n">
        <v>0.4</v>
      </c>
      <c r="I45" s="10" t="n">
        <v>0.4</v>
      </c>
      <c r="J45" s="10" t="n">
        <v>0.4</v>
      </c>
      <c r="K45" s="10" t="n">
        <v>0.4</v>
      </c>
      <c r="L45" s="10" t="n">
        <v>0.4</v>
      </c>
    </row>
    <row r="46" customFormat="false" ht="15" hidden="false" customHeight="false" outlineLevel="0" collapsed="false">
      <c r="A46" s="25" t="s">
        <v>127</v>
      </c>
      <c r="B46" s="8" t="s">
        <v>32</v>
      </c>
      <c r="C46" s="8" t="s">
        <v>13</v>
      </c>
      <c r="D46" s="8" t="s">
        <v>14</v>
      </c>
      <c r="E46" s="26" t="s">
        <v>128</v>
      </c>
      <c r="F46" s="26" t="s">
        <v>129</v>
      </c>
      <c r="G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</row>
    <row r="47" customFormat="false" ht="15" hidden="false" customHeight="false" outlineLevel="0" collapsed="false">
      <c r="A47" s="25" t="s">
        <v>130</v>
      </c>
      <c r="B47" s="8" t="s">
        <v>32</v>
      </c>
      <c r="C47" s="8" t="s">
        <v>13</v>
      </c>
      <c r="D47" s="8" t="s">
        <v>14</v>
      </c>
      <c r="E47" s="26" t="s">
        <v>131</v>
      </c>
      <c r="F47" s="26" t="s">
        <v>38</v>
      </c>
      <c r="G47" s="10" t="n">
        <v>1200</v>
      </c>
      <c r="I47" s="10" t="n">
        <v>1200</v>
      </c>
      <c r="J47" s="10" t="n">
        <v>1200</v>
      </c>
      <c r="K47" s="10" t="n">
        <v>1200</v>
      </c>
      <c r="L47" s="10" t="n">
        <v>1200</v>
      </c>
    </row>
    <row r="48" customFormat="false" ht="15" hidden="false" customHeight="false" outlineLevel="0" collapsed="false">
      <c r="A48" s="25" t="s">
        <v>132</v>
      </c>
      <c r="B48" s="8" t="s">
        <v>32</v>
      </c>
      <c r="C48" s="8" t="s">
        <v>13</v>
      </c>
      <c r="D48" s="8" t="s">
        <v>14</v>
      </c>
      <c r="E48" s="26" t="s">
        <v>133</v>
      </c>
      <c r="F48" s="26" t="s">
        <v>38</v>
      </c>
      <c r="G48" s="10" t="n">
        <v>1200</v>
      </c>
      <c r="I48" s="10" t="n">
        <v>1200</v>
      </c>
      <c r="J48" s="10" t="n">
        <v>1200</v>
      </c>
      <c r="K48" s="10" t="n">
        <v>1200</v>
      </c>
      <c r="L48" s="10" t="n">
        <v>1200</v>
      </c>
    </row>
    <row r="49" customFormat="false" ht="15" hidden="false" customHeight="false" outlineLevel="0" collapsed="false">
      <c r="A49" s="25" t="s">
        <v>134</v>
      </c>
      <c r="B49" s="8" t="s">
        <v>32</v>
      </c>
      <c r="C49" s="8" t="s">
        <v>13</v>
      </c>
      <c r="D49" s="8" t="s">
        <v>14</v>
      </c>
      <c r="E49" s="26" t="s">
        <v>135</v>
      </c>
      <c r="F49" s="26" t="s">
        <v>136</v>
      </c>
      <c r="G49" s="10" t="s">
        <v>137</v>
      </c>
      <c r="I49" s="10" t="s">
        <v>137</v>
      </c>
      <c r="J49" s="10" t="s">
        <v>137</v>
      </c>
      <c r="K49" s="10" t="s">
        <v>137</v>
      </c>
      <c r="L49" s="10" t="s">
        <v>137</v>
      </c>
    </row>
    <row r="50" customFormat="false" ht="15" hidden="false" customHeight="false" outlineLevel="0" collapsed="false">
      <c r="A50" s="25" t="s">
        <v>138</v>
      </c>
      <c r="B50" s="8" t="s">
        <v>32</v>
      </c>
      <c r="C50" s="8" t="s">
        <v>13</v>
      </c>
      <c r="D50" s="8" t="s">
        <v>14</v>
      </c>
      <c r="E50" s="26" t="s">
        <v>139</v>
      </c>
      <c r="F50" s="26" t="s">
        <v>34</v>
      </c>
      <c r="G50" s="10" t="s">
        <v>35</v>
      </c>
      <c r="I50" s="10" t="s">
        <v>35</v>
      </c>
      <c r="J50" s="10" t="s">
        <v>35</v>
      </c>
      <c r="K50" s="10" t="s">
        <v>35</v>
      </c>
      <c r="L50" s="10" t="s">
        <v>35</v>
      </c>
    </row>
    <row r="51" customFormat="false" ht="15" hidden="false" customHeight="false" outlineLevel="0" collapsed="false">
      <c r="A51" s="28" t="s">
        <v>140</v>
      </c>
      <c r="B51" s="8" t="s">
        <v>32</v>
      </c>
      <c r="C51" s="8" t="s">
        <v>13</v>
      </c>
      <c r="D51" s="8" t="s">
        <v>14</v>
      </c>
      <c r="E51" s="29" t="s">
        <v>141</v>
      </c>
      <c r="F51" s="29" t="s">
        <v>34</v>
      </c>
      <c r="G51" s="10" t="s">
        <v>35</v>
      </c>
      <c r="I51" s="10" t="s">
        <v>35</v>
      </c>
      <c r="J51" s="10" t="s">
        <v>35</v>
      </c>
      <c r="K51" s="10" t="s">
        <v>35</v>
      </c>
      <c r="L51" s="10" t="s">
        <v>35</v>
      </c>
    </row>
    <row r="52" customFormat="false" ht="15" hidden="false" customHeight="false" outlineLevel="0" collapsed="false">
      <c r="A52" s="28" t="s">
        <v>142</v>
      </c>
      <c r="B52" s="8" t="s">
        <v>32</v>
      </c>
      <c r="C52" s="8" t="s">
        <v>13</v>
      </c>
      <c r="D52" s="8" t="s">
        <v>14</v>
      </c>
      <c r="E52" s="29" t="s">
        <v>143</v>
      </c>
      <c r="F52" s="29" t="s">
        <v>118</v>
      </c>
      <c r="G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</row>
    <row r="53" customFormat="false" ht="15" hidden="false" customHeight="false" outlineLevel="0" collapsed="false">
      <c r="A53" s="28" t="s">
        <v>144</v>
      </c>
      <c r="B53" s="8" t="s">
        <v>32</v>
      </c>
      <c r="C53" s="8" t="s">
        <v>13</v>
      </c>
      <c r="D53" s="8" t="s">
        <v>14</v>
      </c>
      <c r="E53" s="29" t="s">
        <v>145</v>
      </c>
      <c r="F53" s="29" t="s">
        <v>118</v>
      </c>
      <c r="G53" s="10" t="n">
        <v>0.5</v>
      </c>
      <c r="I53" s="10" t="n">
        <v>0.5</v>
      </c>
      <c r="J53" s="10" t="n">
        <v>0.5</v>
      </c>
      <c r="K53" s="10" t="n">
        <v>0.5</v>
      </c>
      <c r="L53" s="10" t="n">
        <v>0.5</v>
      </c>
    </row>
    <row r="54" customFormat="false" ht="15" hidden="false" customHeight="false" outlineLevel="0" collapsed="false">
      <c r="A54" s="28" t="s">
        <v>146</v>
      </c>
      <c r="B54" s="8" t="s">
        <v>32</v>
      </c>
      <c r="C54" s="8" t="s">
        <v>13</v>
      </c>
      <c r="D54" s="8" t="s">
        <v>14</v>
      </c>
      <c r="E54" s="29" t="s">
        <v>147</v>
      </c>
      <c r="F54" s="29" t="s">
        <v>118</v>
      </c>
      <c r="G54" s="10" t="n">
        <v>0.05</v>
      </c>
      <c r="I54" s="10" t="n">
        <v>0.05</v>
      </c>
      <c r="J54" s="10" t="n">
        <v>0.05</v>
      </c>
      <c r="K54" s="10" t="n">
        <v>0.05</v>
      </c>
      <c r="L54" s="10" t="n">
        <v>0.05</v>
      </c>
    </row>
    <row r="55" customFormat="false" ht="15" hidden="false" customHeight="false" outlineLevel="0" collapsed="false">
      <c r="A55" s="30" t="s">
        <v>148</v>
      </c>
      <c r="B55" s="8" t="s">
        <v>32</v>
      </c>
      <c r="C55" s="8" t="s">
        <v>13</v>
      </c>
      <c r="D55" s="8" t="s">
        <v>14</v>
      </c>
      <c r="E55" s="31" t="s">
        <v>149</v>
      </c>
      <c r="F55" s="31" t="s">
        <v>118</v>
      </c>
      <c r="G55" s="10" t="n">
        <v>0.001</v>
      </c>
      <c r="I55" s="10" t="n">
        <v>0.001</v>
      </c>
      <c r="J55" s="10" t="n">
        <v>0.001</v>
      </c>
      <c r="K55" s="10" t="n">
        <v>0.001</v>
      </c>
      <c r="L55" s="10" t="n">
        <v>0.001</v>
      </c>
    </row>
    <row r="56" customFormat="false" ht="15" hidden="false" customHeight="false" outlineLevel="0" collapsed="false">
      <c r="A56" s="30" t="s">
        <v>150</v>
      </c>
      <c r="B56" s="8" t="s">
        <v>32</v>
      </c>
      <c r="C56" s="8" t="s">
        <v>13</v>
      </c>
      <c r="D56" s="8" t="s">
        <v>14</v>
      </c>
      <c r="E56" s="31" t="s">
        <v>151</v>
      </c>
      <c r="F56" s="31" t="s">
        <v>118</v>
      </c>
      <c r="G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</row>
    <row r="57" customFormat="false" ht="15" hidden="false" customHeight="false" outlineLevel="0" collapsed="false">
      <c r="A57" s="30" t="s">
        <v>152</v>
      </c>
      <c r="B57" s="8" t="s">
        <v>32</v>
      </c>
      <c r="C57" s="8" t="s">
        <v>13</v>
      </c>
      <c r="D57" s="8" t="s">
        <v>14</v>
      </c>
      <c r="E57" s="31" t="s">
        <v>153</v>
      </c>
      <c r="F57" s="31" t="s">
        <v>154</v>
      </c>
      <c r="G57" s="10" t="n">
        <v>0.0001</v>
      </c>
      <c r="I57" s="10" t="n">
        <v>0.0001</v>
      </c>
      <c r="J57" s="10" t="n">
        <v>0.0001</v>
      </c>
      <c r="K57" s="10" t="n">
        <v>0.0001</v>
      </c>
      <c r="L57" s="10" t="n">
        <v>0.0001</v>
      </c>
    </row>
    <row r="58" customFormat="false" ht="15" hidden="false" customHeight="false" outlineLevel="0" collapsed="false">
      <c r="A58" s="30" t="s">
        <v>155</v>
      </c>
      <c r="B58" s="8" t="s">
        <v>32</v>
      </c>
      <c r="C58" s="8" t="s">
        <v>13</v>
      </c>
      <c r="D58" s="8" t="s">
        <v>14</v>
      </c>
      <c r="E58" s="31" t="s">
        <v>156</v>
      </c>
      <c r="F58" s="31" t="s">
        <v>154</v>
      </c>
      <c r="G58" s="10" t="n">
        <v>0.0001</v>
      </c>
      <c r="I58" s="10" t="n">
        <v>0.0001</v>
      </c>
      <c r="J58" s="10" t="n">
        <v>0.0001</v>
      </c>
      <c r="K58" s="10" t="n">
        <v>0.0001</v>
      </c>
      <c r="L58" s="10" t="n">
        <v>0.0001</v>
      </c>
    </row>
    <row r="59" customFormat="false" ht="15" hidden="false" customHeight="false" outlineLevel="0" collapsed="false">
      <c r="A59" s="32" t="s">
        <v>157</v>
      </c>
      <c r="B59" s="8" t="s">
        <v>32</v>
      </c>
      <c r="C59" s="8" t="s">
        <v>13</v>
      </c>
      <c r="D59" s="8" t="s">
        <v>14</v>
      </c>
      <c r="E59" s="33" t="s">
        <v>158</v>
      </c>
      <c r="F59" s="33" t="s">
        <v>118</v>
      </c>
      <c r="G59" s="10" t="n">
        <v>0.0007</v>
      </c>
      <c r="I59" s="10" t="n">
        <v>0.0007</v>
      </c>
      <c r="J59" s="10" t="n">
        <v>0.0007</v>
      </c>
      <c r="K59" s="10" t="n">
        <v>0.0007</v>
      </c>
      <c r="L59" s="10" t="n">
        <v>0.0007</v>
      </c>
    </row>
    <row r="60" customFormat="false" ht="15" hidden="false" customHeight="false" outlineLevel="0" collapsed="false">
      <c r="A60" s="32" t="s">
        <v>159</v>
      </c>
      <c r="B60" s="8" t="s">
        <v>32</v>
      </c>
      <c r="C60" s="8" t="s">
        <v>13</v>
      </c>
      <c r="D60" s="8" t="s">
        <v>14</v>
      </c>
      <c r="E60" s="33" t="s">
        <v>160</v>
      </c>
      <c r="F60" s="33" t="s">
        <v>118</v>
      </c>
      <c r="G60" s="10" t="n">
        <v>0.000122</v>
      </c>
      <c r="I60" s="10" t="n">
        <v>0.000122</v>
      </c>
      <c r="J60" s="10" t="n">
        <v>0.000122</v>
      </c>
      <c r="K60" s="10" t="n">
        <v>0.000122</v>
      </c>
      <c r="L60" s="10" t="n">
        <v>0.000122</v>
      </c>
    </row>
    <row r="61" customFormat="false" ht="15" hidden="false" customHeight="false" outlineLevel="0" collapsed="false">
      <c r="A61" s="32" t="s">
        <v>161</v>
      </c>
      <c r="B61" s="8" t="s">
        <v>32</v>
      </c>
      <c r="C61" s="8" t="s">
        <v>13</v>
      </c>
      <c r="D61" s="8" t="s">
        <v>14</v>
      </c>
      <c r="E61" s="33" t="s">
        <v>162</v>
      </c>
      <c r="F61" s="33" t="s">
        <v>118</v>
      </c>
      <c r="G61" s="10" t="n">
        <v>1</v>
      </c>
      <c r="I61" s="10" t="n">
        <v>1</v>
      </c>
      <c r="J61" s="10" t="n">
        <v>1</v>
      </c>
      <c r="K61" s="10" t="n">
        <v>1</v>
      </c>
      <c r="L61" s="10" t="n">
        <v>1</v>
      </c>
    </row>
    <row r="62" customFormat="false" ht="15" hidden="false" customHeight="false" outlineLevel="0" collapsed="false">
      <c r="A62" s="32" t="s">
        <v>163</v>
      </c>
      <c r="B62" s="8" t="s">
        <v>32</v>
      </c>
      <c r="C62" s="8" t="s">
        <v>13</v>
      </c>
      <c r="D62" s="8" t="s">
        <v>14</v>
      </c>
      <c r="E62" s="33" t="s">
        <v>164</v>
      </c>
      <c r="F62" s="33" t="s">
        <v>165</v>
      </c>
      <c r="G62" s="10" t="n">
        <v>0.95</v>
      </c>
      <c r="I62" s="10" t="n">
        <v>0.95</v>
      </c>
      <c r="J62" s="10" t="n">
        <v>0.95</v>
      </c>
      <c r="K62" s="10" t="n">
        <v>0.95</v>
      </c>
      <c r="L62" s="10" t="n">
        <v>0.95</v>
      </c>
    </row>
    <row r="63" customFormat="false" ht="15" hidden="false" customHeight="false" outlineLevel="0" collapsed="false">
      <c r="A63" s="32" t="s">
        <v>166</v>
      </c>
      <c r="B63" s="8" t="s">
        <v>32</v>
      </c>
      <c r="C63" s="8" t="s">
        <v>13</v>
      </c>
      <c r="D63" s="8" t="s">
        <v>14</v>
      </c>
      <c r="E63" s="33" t="s">
        <v>167</v>
      </c>
      <c r="F63" s="33" t="s">
        <v>34</v>
      </c>
      <c r="G63" s="10" t="s">
        <v>52</v>
      </c>
      <c r="I63" s="10" t="s">
        <v>52</v>
      </c>
      <c r="J63" s="10" t="s">
        <v>52</v>
      </c>
      <c r="K63" s="10" t="s">
        <v>52</v>
      </c>
      <c r="L63" s="10" t="s">
        <v>52</v>
      </c>
    </row>
    <row r="64" customFormat="false" ht="15" hidden="false" customHeight="false" outlineLevel="0" collapsed="false">
      <c r="A64" s="32" t="s">
        <v>168</v>
      </c>
      <c r="B64" s="8" t="s">
        <v>32</v>
      </c>
      <c r="C64" s="8" t="s">
        <v>13</v>
      </c>
      <c r="D64" s="8" t="s">
        <v>14</v>
      </c>
      <c r="E64" s="33" t="s">
        <v>169</v>
      </c>
      <c r="F64" s="33" t="s">
        <v>170</v>
      </c>
      <c r="G64" s="10" t="n">
        <v>5</v>
      </c>
      <c r="I64" s="10" t="n">
        <v>5</v>
      </c>
      <c r="J64" s="10" t="n">
        <v>5</v>
      </c>
      <c r="K64" s="10" t="n">
        <v>5</v>
      </c>
      <c r="L64" s="10" t="n">
        <v>5</v>
      </c>
    </row>
    <row r="65" customFormat="false" ht="15" hidden="false" customHeight="false" outlineLevel="0" collapsed="false">
      <c r="A65" s="32" t="s">
        <v>171</v>
      </c>
      <c r="B65" s="8" t="s">
        <v>32</v>
      </c>
      <c r="C65" s="8" t="s">
        <v>13</v>
      </c>
      <c r="D65" s="8" t="s">
        <v>14</v>
      </c>
      <c r="E65" s="33" t="s">
        <v>172</v>
      </c>
      <c r="F65" s="33" t="s">
        <v>34</v>
      </c>
      <c r="G65" s="10" t="s">
        <v>52</v>
      </c>
      <c r="I65" s="10" t="s">
        <v>52</v>
      </c>
      <c r="J65" s="10" t="s">
        <v>52</v>
      </c>
      <c r="K65" s="10" t="s">
        <v>52</v>
      </c>
      <c r="L65" s="10" t="s">
        <v>52</v>
      </c>
    </row>
    <row r="66" customFormat="false" ht="15" hidden="false" customHeight="false" outlineLevel="0" collapsed="false">
      <c r="A66" s="32" t="s">
        <v>173</v>
      </c>
      <c r="B66" s="8" t="s">
        <v>32</v>
      </c>
      <c r="C66" s="8" t="s">
        <v>13</v>
      </c>
      <c r="D66" s="8" t="s">
        <v>14</v>
      </c>
      <c r="E66" s="33" t="s">
        <v>174</v>
      </c>
      <c r="F66" s="33" t="s">
        <v>170</v>
      </c>
      <c r="G66" s="10" t="n">
        <v>50</v>
      </c>
      <c r="I66" s="10" t="n">
        <v>50</v>
      </c>
      <c r="J66" s="10" t="n">
        <v>50</v>
      </c>
      <c r="K66" s="10" t="n">
        <v>50</v>
      </c>
      <c r="L66" s="10" t="n">
        <v>50</v>
      </c>
    </row>
    <row r="67" customFormat="false" ht="15" hidden="false" customHeight="false" outlineLevel="0" collapsed="false">
      <c r="A67" s="32" t="s">
        <v>175</v>
      </c>
      <c r="B67" s="8" t="s">
        <v>32</v>
      </c>
      <c r="C67" s="8" t="s">
        <v>13</v>
      </c>
      <c r="D67" s="8" t="s">
        <v>14</v>
      </c>
      <c r="E67" s="33" t="s">
        <v>176</v>
      </c>
      <c r="F67" s="33" t="s">
        <v>177</v>
      </c>
      <c r="G67" s="10" t="n">
        <v>1453890.89418848</v>
      </c>
      <c r="I67" s="10" t="n">
        <v>1453890.89418848</v>
      </c>
      <c r="J67" s="10" t="n">
        <v>1453890.89418848</v>
      </c>
      <c r="K67" s="10" t="n">
        <v>1453890.89418848</v>
      </c>
      <c r="L67" s="10" t="n">
        <v>1453890.89418848</v>
      </c>
    </row>
    <row r="68" customFormat="false" ht="15" hidden="false" customHeight="false" outlineLevel="0" collapsed="false">
      <c r="A68" s="32" t="s">
        <v>178</v>
      </c>
      <c r="B68" s="8" t="s">
        <v>32</v>
      </c>
      <c r="C68" s="8" t="s">
        <v>13</v>
      </c>
      <c r="D68" s="8" t="s">
        <v>14</v>
      </c>
      <c r="E68" s="33" t="s">
        <v>179</v>
      </c>
      <c r="F68" s="33" t="s">
        <v>180</v>
      </c>
      <c r="G68" s="10" t="n">
        <v>1.38888888888889E-005</v>
      </c>
      <c r="I68" s="10" t="n">
        <v>1.38888888888889E-005</v>
      </c>
      <c r="J68" s="10" t="n">
        <v>1.38888888888889E-005</v>
      </c>
      <c r="K68" s="10" t="n">
        <v>1.38888888888889E-005</v>
      </c>
      <c r="L68" s="10" t="n">
        <v>1.38888888888889E-005</v>
      </c>
    </row>
    <row r="69" customFormat="false" ht="15" hidden="false" customHeight="false" outlineLevel="0" collapsed="false">
      <c r="A69" s="32" t="s">
        <v>181</v>
      </c>
      <c r="B69" s="8" t="s">
        <v>32</v>
      </c>
      <c r="C69" s="8" t="s">
        <v>13</v>
      </c>
      <c r="D69" s="8" t="s">
        <v>14</v>
      </c>
      <c r="E69" s="33" t="s">
        <v>182</v>
      </c>
      <c r="F69" s="33" t="s">
        <v>183</v>
      </c>
      <c r="G69" s="10" t="n">
        <v>0.000457638888888889</v>
      </c>
      <c r="I69" s="10" t="n">
        <v>0.000650115740740741</v>
      </c>
      <c r="J69" s="10" t="n">
        <v>0.000650115740740741</v>
      </c>
      <c r="K69" s="10" t="n">
        <v>0.000650115740740741</v>
      </c>
      <c r="L69" s="10" t="n">
        <v>0.000650115740740741</v>
      </c>
    </row>
    <row r="70" customFormat="false" ht="15" hidden="false" customHeight="false" outlineLevel="0" collapsed="false">
      <c r="A70" s="32" t="s">
        <v>184</v>
      </c>
      <c r="B70" s="8" t="s">
        <v>32</v>
      </c>
      <c r="C70" s="8" t="s">
        <v>13</v>
      </c>
      <c r="D70" s="8" t="s">
        <v>14</v>
      </c>
      <c r="E70" s="33" t="s">
        <v>185</v>
      </c>
      <c r="F70" s="33" t="s">
        <v>118</v>
      </c>
      <c r="G70" s="10" t="n">
        <v>0.00363</v>
      </c>
      <c r="I70" s="10" t="n">
        <v>0.00474</v>
      </c>
      <c r="J70" s="10" t="n">
        <v>0.00474</v>
      </c>
      <c r="K70" s="10" t="n">
        <v>0.00474</v>
      </c>
      <c r="L70" s="10" t="n">
        <v>0.00474</v>
      </c>
    </row>
    <row r="71" customFormat="false" ht="15" hidden="false" customHeight="false" outlineLevel="0" collapsed="false">
      <c r="A71" s="32" t="s">
        <v>186</v>
      </c>
      <c r="B71" s="8" t="s">
        <v>32</v>
      </c>
      <c r="C71" s="8" t="s">
        <v>13</v>
      </c>
      <c r="D71" s="8" t="s">
        <v>14</v>
      </c>
      <c r="E71" s="33" t="s">
        <v>187</v>
      </c>
      <c r="F71" s="33" t="s">
        <v>177</v>
      </c>
      <c r="G71" s="10" t="n">
        <v>491356.8</v>
      </c>
      <c r="I71" s="10" t="n">
        <v>282528</v>
      </c>
      <c r="J71" s="10" t="n">
        <v>282528</v>
      </c>
      <c r="K71" s="10" t="n">
        <v>282528</v>
      </c>
      <c r="L71" s="10" t="n">
        <v>282528</v>
      </c>
    </row>
    <row r="72" customFormat="false" ht="15" hidden="false" customHeight="false" outlineLevel="0" collapsed="false">
      <c r="A72" s="32" t="s">
        <v>188</v>
      </c>
      <c r="B72" s="8" t="s">
        <v>32</v>
      </c>
      <c r="C72" s="8" t="s">
        <v>13</v>
      </c>
      <c r="D72" s="8" t="s">
        <v>14</v>
      </c>
      <c r="E72" s="33" t="s">
        <v>189</v>
      </c>
      <c r="F72" s="33" t="s">
        <v>165</v>
      </c>
      <c r="G72" s="10" t="n">
        <v>0.58</v>
      </c>
      <c r="I72" s="10" t="n">
        <v>0.57</v>
      </c>
      <c r="J72" s="10" t="n">
        <v>0.57</v>
      </c>
      <c r="K72" s="10" t="n">
        <v>0.57</v>
      </c>
      <c r="L72" s="10" t="n">
        <v>0.57</v>
      </c>
    </row>
    <row r="73" customFormat="false" ht="15" hidden="false" customHeight="false" outlineLevel="0" collapsed="false">
      <c r="A73" s="32" t="s">
        <v>190</v>
      </c>
      <c r="B73" s="8" t="s">
        <v>32</v>
      </c>
      <c r="C73" s="8" t="s">
        <v>13</v>
      </c>
      <c r="D73" s="8" t="s">
        <v>14</v>
      </c>
      <c r="E73" s="33" t="s">
        <v>191</v>
      </c>
      <c r="F73" s="33" t="s">
        <v>192</v>
      </c>
      <c r="G73" s="10" t="n">
        <v>0.258620689655172</v>
      </c>
      <c r="I73" s="10" t="n">
        <v>0.16</v>
      </c>
      <c r="J73" s="10" t="n">
        <v>0.16</v>
      </c>
      <c r="K73" s="10" t="n">
        <v>0.16</v>
      </c>
      <c r="L73" s="10" t="n">
        <v>0.16</v>
      </c>
    </row>
    <row r="74" customFormat="false" ht="15" hidden="false" customHeight="false" outlineLevel="0" collapsed="false">
      <c r="A74" s="32" t="s">
        <v>193</v>
      </c>
      <c r="B74" s="8" t="s">
        <v>32</v>
      </c>
      <c r="C74" s="8" t="s">
        <v>13</v>
      </c>
      <c r="D74" s="8" t="s">
        <v>14</v>
      </c>
      <c r="E74" s="33" t="s">
        <v>194</v>
      </c>
      <c r="F74" s="33" t="s">
        <v>195</v>
      </c>
      <c r="G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</row>
    <row r="75" customFormat="false" ht="15" hidden="false" customHeight="false" outlineLevel="0" collapsed="false">
      <c r="A75" s="34" t="s">
        <v>196</v>
      </c>
      <c r="B75" s="8" t="s">
        <v>32</v>
      </c>
      <c r="C75" s="8" t="s">
        <v>13</v>
      </c>
      <c r="D75" s="8" t="s">
        <v>14</v>
      </c>
      <c r="E75" s="35" t="s">
        <v>197</v>
      </c>
      <c r="F75" s="35" t="s">
        <v>198</v>
      </c>
      <c r="G75" s="10" t="n">
        <v>745476480000</v>
      </c>
      <c r="I75" s="10" t="n">
        <v>745476480000</v>
      </c>
      <c r="J75" s="10" t="n">
        <v>745476480000</v>
      </c>
      <c r="K75" s="10" t="n">
        <v>745476480000</v>
      </c>
      <c r="L75" s="10" t="n">
        <v>745476480000</v>
      </c>
    </row>
    <row r="76" customFormat="false" ht="15" hidden="false" customHeight="false" outlineLevel="0" collapsed="false">
      <c r="A76" s="34" t="s">
        <v>199</v>
      </c>
      <c r="B76" s="8" t="s">
        <v>32</v>
      </c>
      <c r="C76" s="8" t="s">
        <v>13</v>
      </c>
      <c r="D76" s="8" t="s">
        <v>14</v>
      </c>
      <c r="E76" s="35" t="s">
        <v>200</v>
      </c>
      <c r="F76" s="35" t="s">
        <v>201</v>
      </c>
      <c r="G76" s="10" t="n">
        <v>100</v>
      </c>
      <c r="I76" s="10" t="n">
        <v>100</v>
      </c>
      <c r="J76" s="10" t="n">
        <v>100</v>
      </c>
      <c r="K76" s="10" t="n">
        <v>100</v>
      </c>
      <c r="L76" s="10" t="n">
        <v>100</v>
      </c>
    </row>
    <row r="77" customFormat="false" ht="15" hidden="false" customHeight="false" outlineLevel="0" collapsed="false">
      <c r="A77" s="34" t="s">
        <v>202</v>
      </c>
      <c r="B77" s="8" t="s">
        <v>32</v>
      </c>
      <c r="C77" s="8" t="s">
        <v>13</v>
      </c>
      <c r="D77" s="8" t="s">
        <v>14</v>
      </c>
      <c r="E77" s="35" t="s">
        <v>203</v>
      </c>
      <c r="F77" s="35" t="s">
        <v>34</v>
      </c>
      <c r="G77" s="10" t="s">
        <v>35</v>
      </c>
      <c r="I77" s="10" t="s">
        <v>35</v>
      </c>
      <c r="J77" s="10" t="s">
        <v>35</v>
      </c>
      <c r="K77" s="10" t="s">
        <v>35</v>
      </c>
      <c r="L77" s="10" t="s">
        <v>35</v>
      </c>
    </row>
    <row r="78" customFormat="false" ht="15" hidden="false" customHeight="false" outlineLevel="0" collapsed="false">
      <c r="A78" s="34" t="s">
        <v>204</v>
      </c>
      <c r="B78" s="8" t="s">
        <v>32</v>
      </c>
      <c r="C78" s="8" t="s">
        <v>13</v>
      </c>
      <c r="D78" s="8" t="s">
        <v>14</v>
      </c>
      <c r="E78" s="35" t="s">
        <v>205</v>
      </c>
      <c r="F78" s="35" t="s">
        <v>177</v>
      </c>
      <c r="G78" s="10" t="n">
        <v>29203.2</v>
      </c>
      <c r="I78" s="10" t="n">
        <v>21600</v>
      </c>
      <c r="J78" s="10" t="n">
        <v>21600</v>
      </c>
      <c r="K78" s="10" t="n">
        <v>21600</v>
      </c>
      <c r="L78" s="10" t="n">
        <v>21600</v>
      </c>
    </row>
    <row r="79" customFormat="false" ht="15" hidden="false" customHeight="false" outlineLevel="0" collapsed="false">
      <c r="A79" s="34" t="s">
        <v>206</v>
      </c>
      <c r="B79" s="8" t="s">
        <v>32</v>
      </c>
      <c r="C79" s="8" t="s">
        <v>13</v>
      </c>
      <c r="D79" s="8" t="s">
        <v>14</v>
      </c>
      <c r="E79" s="35" t="s">
        <v>207</v>
      </c>
      <c r="F79" s="35" t="s">
        <v>192</v>
      </c>
      <c r="G79" s="10" t="n">
        <v>0.5</v>
      </c>
      <c r="I79" s="10" t="n">
        <v>0.5</v>
      </c>
      <c r="J79" s="10" t="n">
        <v>0.5</v>
      </c>
      <c r="K79" s="10" t="n">
        <v>0.5</v>
      </c>
      <c r="L79" s="10" t="n">
        <v>0.5</v>
      </c>
    </row>
    <row r="80" customFormat="false" ht="15" hidden="false" customHeight="false" outlineLevel="0" collapsed="false">
      <c r="A80" s="34" t="s">
        <v>208</v>
      </c>
      <c r="B80" s="8" t="s">
        <v>32</v>
      </c>
      <c r="C80" s="8" t="s">
        <v>13</v>
      </c>
      <c r="D80" s="8" t="s">
        <v>14</v>
      </c>
      <c r="E80" s="35" t="s">
        <v>209</v>
      </c>
      <c r="F80" s="35" t="s">
        <v>177</v>
      </c>
      <c r="G80" s="10" t="n">
        <v>387936</v>
      </c>
      <c r="I80" s="10" t="n">
        <v>60480</v>
      </c>
      <c r="J80" s="10" t="n">
        <v>60480</v>
      </c>
      <c r="K80" s="10" t="n">
        <v>60480</v>
      </c>
      <c r="L80" s="10" t="n">
        <v>60480</v>
      </c>
    </row>
    <row r="81" customFormat="false" ht="15" hidden="false" customHeight="false" outlineLevel="0" collapsed="false">
      <c r="A81" s="34" t="s">
        <v>210</v>
      </c>
      <c r="B81" s="8" t="s">
        <v>32</v>
      </c>
      <c r="C81" s="8" t="s">
        <v>13</v>
      </c>
      <c r="D81" s="8" t="s">
        <v>14</v>
      </c>
      <c r="E81" s="35" t="s">
        <v>211</v>
      </c>
      <c r="F81" s="35" t="s">
        <v>192</v>
      </c>
      <c r="G81" s="10" t="n">
        <v>0.85</v>
      </c>
      <c r="I81" s="10" t="n">
        <v>0.85</v>
      </c>
      <c r="J81" s="10" t="n">
        <v>0.85</v>
      </c>
      <c r="K81" s="10" t="n">
        <v>0.85</v>
      </c>
      <c r="L81" s="10" t="n">
        <v>0.85</v>
      </c>
    </row>
    <row r="82" customFormat="false" ht="15" hidden="false" customHeight="false" outlineLevel="0" collapsed="false">
      <c r="A82" s="34" t="s">
        <v>212</v>
      </c>
      <c r="B82" s="8" t="s">
        <v>32</v>
      </c>
      <c r="C82" s="8" t="s">
        <v>13</v>
      </c>
      <c r="D82" s="8" t="s">
        <v>14</v>
      </c>
      <c r="E82" s="35" t="s">
        <v>213</v>
      </c>
      <c r="F82" s="35" t="s">
        <v>177</v>
      </c>
      <c r="G82" s="10" t="n">
        <v>518400</v>
      </c>
      <c r="I82" s="10" t="n">
        <v>518400</v>
      </c>
      <c r="J82" s="10" t="n">
        <v>518400</v>
      </c>
      <c r="K82" s="10" t="n">
        <v>518400</v>
      </c>
      <c r="L82" s="10" t="n">
        <v>518400</v>
      </c>
    </row>
    <row r="83" customFormat="false" ht="15" hidden="false" customHeight="false" outlineLevel="0" collapsed="false">
      <c r="A83" s="34" t="s">
        <v>214</v>
      </c>
      <c r="B83" s="8" t="s">
        <v>32</v>
      </c>
      <c r="C83" s="8" t="s">
        <v>13</v>
      </c>
      <c r="D83" s="8" t="s">
        <v>14</v>
      </c>
      <c r="E83" s="35" t="s">
        <v>215</v>
      </c>
      <c r="F83" s="35" t="s">
        <v>177</v>
      </c>
      <c r="G83" s="10" t="n">
        <v>5184000</v>
      </c>
      <c r="I83" s="10" t="n">
        <v>5184000</v>
      </c>
      <c r="J83" s="10" t="n">
        <v>5184000</v>
      </c>
      <c r="K83" s="10" t="n">
        <v>5184000</v>
      </c>
      <c r="L83" s="10" t="n">
        <v>5184000</v>
      </c>
    </row>
    <row r="84" customFormat="false" ht="15" hidden="false" customHeight="false" outlineLevel="0" collapsed="false">
      <c r="A84" s="32" t="s">
        <v>216</v>
      </c>
      <c r="B84" s="8" t="s">
        <v>32</v>
      </c>
      <c r="C84" s="8" t="s">
        <v>13</v>
      </c>
      <c r="D84" s="8" t="s">
        <v>14</v>
      </c>
      <c r="E84" s="33" t="s">
        <v>217</v>
      </c>
      <c r="F84" s="33" t="s">
        <v>218</v>
      </c>
      <c r="G84" s="10" t="n">
        <v>259200</v>
      </c>
      <c r="I84" s="10" t="n">
        <v>50000</v>
      </c>
      <c r="J84" s="10" t="n">
        <v>50000</v>
      </c>
      <c r="K84" s="10" t="n">
        <v>50000</v>
      </c>
      <c r="L84" s="10" t="n">
        <v>50000</v>
      </c>
    </row>
    <row r="85" customFormat="false" ht="15" hidden="false" customHeight="false" outlineLevel="0" collapsed="false">
      <c r="A85" s="32" t="s">
        <v>219</v>
      </c>
      <c r="B85" s="8" t="s">
        <v>32</v>
      </c>
      <c r="C85" s="8" t="s">
        <v>13</v>
      </c>
      <c r="D85" s="8" t="s">
        <v>14</v>
      </c>
      <c r="E85" s="33" t="s">
        <v>220</v>
      </c>
      <c r="F85" s="33" t="s">
        <v>221</v>
      </c>
      <c r="G85" s="10" t="n">
        <v>140000</v>
      </c>
      <c r="I85" s="10" t="n">
        <v>140000</v>
      </c>
      <c r="J85" s="10" t="n">
        <v>140000</v>
      </c>
      <c r="K85" s="10" t="n">
        <v>140000</v>
      </c>
      <c r="L85" s="10" t="n">
        <v>140000</v>
      </c>
    </row>
    <row r="86" customFormat="false" ht="15" hidden="false" customHeight="false" outlineLevel="0" collapsed="false">
      <c r="A86" s="32" t="s">
        <v>222</v>
      </c>
      <c r="B86" s="8" t="s">
        <v>32</v>
      </c>
      <c r="C86" s="8" t="s">
        <v>13</v>
      </c>
      <c r="D86" s="8" t="s">
        <v>14</v>
      </c>
      <c r="E86" s="33" t="s">
        <v>223</v>
      </c>
      <c r="F86" s="33" t="s">
        <v>224</v>
      </c>
      <c r="G86" s="10" t="n">
        <v>0.036636137</v>
      </c>
      <c r="I86" s="10" t="n">
        <v>0.036636137</v>
      </c>
      <c r="J86" s="10" t="n">
        <v>0.036636137</v>
      </c>
      <c r="K86" s="10" t="n">
        <v>0.036636137</v>
      </c>
      <c r="L86" s="10" t="n">
        <v>0.036636137</v>
      </c>
    </row>
    <row r="87" customFormat="false" ht="15" hidden="false" customHeight="false" outlineLevel="0" collapsed="false">
      <c r="A87" s="32" t="s">
        <v>225</v>
      </c>
      <c r="B87" s="8" t="s">
        <v>32</v>
      </c>
      <c r="C87" s="8" t="s">
        <v>13</v>
      </c>
      <c r="D87" s="8" t="s">
        <v>14</v>
      </c>
      <c r="E87" s="33" t="s">
        <v>226</v>
      </c>
      <c r="F87" s="33" t="s">
        <v>118</v>
      </c>
      <c r="G87" s="10" t="n">
        <v>0.0045</v>
      </c>
      <c r="I87" s="10" t="n">
        <v>0.0045</v>
      </c>
      <c r="J87" s="10" t="n">
        <v>0.0045</v>
      </c>
      <c r="K87" s="10" t="n">
        <v>0.0045</v>
      </c>
      <c r="L87" s="10" t="n">
        <v>0.0045</v>
      </c>
    </row>
    <row r="88" customFormat="false" ht="15" hidden="false" customHeight="false" outlineLevel="0" collapsed="false">
      <c r="A88" s="32" t="s">
        <v>227</v>
      </c>
      <c r="B88" s="8" t="s">
        <v>32</v>
      </c>
      <c r="C88" s="8" t="s">
        <v>13</v>
      </c>
      <c r="D88" s="8" t="s">
        <v>14</v>
      </c>
      <c r="E88" s="33" t="s">
        <v>228</v>
      </c>
      <c r="F88" s="33" t="s">
        <v>192</v>
      </c>
      <c r="G88" s="10" t="n">
        <v>0.05</v>
      </c>
      <c r="I88" s="10" t="n">
        <v>0.05</v>
      </c>
      <c r="J88" s="10" t="n">
        <v>0.05</v>
      </c>
      <c r="K88" s="10" t="n">
        <v>0.05</v>
      </c>
      <c r="L88" s="10" t="n">
        <v>0.05</v>
      </c>
    </row>
    <row r="89" customFormat="false" ht="15" hidden="false" customHeight="false" outlineLevel="0" collapsed="false">
      <c r="A89" s="36" t="s">
        <v>229</v>
      </c>
      <c r="B89" s="8" t="s">
        <v>32</v>
      </c>
      <c r="C89" s="8" t="s">
        <v>13</v>
      </c>
      <c r="D89" s="8" t="s">
        <v>14</v>
      </c>
      <c r="E89" s="37" t="s">
        <v>230</v>
      </c>
      <c r="F89" s="37" t="s">
        <v>118</v>
      </c>
      <c r="G89" s="10" t="n">
        <v>6E-006</v>
      </c>
      <c r="I89" s="10" t="n">
        <v>6E-006</v>
      </c>
      <c r="J89" s="10" t="n">
        <v>6E-006</v>
      </c>
      <c r="K89" s="10" t="n">
        <v>6E-006</v>
      </c>
      <c r="L89" s="10" t="n">
        <v>6E-006</v>
      </c>
    </row>
    <row r="90" customFormat="false" ht="15" hidden="false" customHeight="false" outlineLevel="0" collapsed="false">
      <c r="A90" s="36" t="s">
        <v>231</v>
      </c>
      <c r="B90" s="8" t="s">
        <v>32</v>
      </c>
      <c r="C90" s="8" t="s">
        <v>13</v>
      </c>
      <c r="D90" s="8" t="s">
        <v>14</v>
      </c>
      <c r="E90" s="37" t="s">
        <v>232</v>
      </c>
      <c r="F90" s="37" t="s">
        <v>118</v>
      </c>
      <c r="G90" s="10" t="n">
        <v>0.001</v>
      </c>
      <c r="I90" s="10" t="n">
        <v>0.001</v>
      </c>
      <c r="J90" s="10" t="n">
        <v>0.001</v>
      </c>
      <c r="K90" s="10" t="n">
        <v>0.001</v>
      </c>
      <c r="L90" s="10" t="n">
        <v>0.001</v>
      </c>
    </row>
    <row r="91" customFormat="false" ht="15" hidden="false" customHeight="false" outlineLevel="0" collapsed="false">
      <c r="A91" s="36" t="s">
        <v>233</v>
      </c>
      <c r="B91" s="8" t="s">
        <v>32</v>
      </c>
      <c r="C91" s="8" t="s">
        <v>13</v>
      </c>
      <c r="D91" s="8" t="s">
        <v>14</v>
      </c>
      <c r="E91" s="37" t="s">
        <v>234</v>
      </c>
      <c r="F91" s="37" t="s">
        <v>235</v>
      </c>
      <c r="G91" s="10" t="n">
        <v>375000000</v>
      </c>
      <c r="I91" s="10" t="n">
        <v>375000000</v>
      </c>
      <c r="J91" s="10" t="n">
        <v>375000000</v>
      </c>
      <c r="K91" s="10" t="n">
        <v>375000000</v>
      </c>
      <c r="L91" s="10" t="n">
        <v>375000000</v>
      </c>
    </row>
    <row r="92" customFormat="false" ht="15" hidden="false" customHeight="false" outlineLevel="0" collapsed="false">
      <c r="A92" s="36" t="s">
        <v>236</v>
      </c>
      <c r="B92" s="8" t="s">
        <v>32</v>
      </c>
      <c r="C92" s="8" t="s">
        <v>13</v>
      </c>
      <c r="D92" s="8" t="s">
        <v>14</v>
      </c>
      <c r="E92" s="37" t="s">
        <v>237</v>
      </c>
      <c r="F92" s="37" t="s">
        <v>238</v>
      </c>
      <c r="G92" s="10" t="n">
        <v>0.0037037037037037</v>
      </c>
      <c r="I92" s="10" t="n">
        <v>0.0037037037037037</v>
      </c>
      <c r="J92" s="10" t="n">
        <v>0.0037037037037037</v>
      </c>
      <c r="K92" s="10" t="n">
        <v>0.0037037037037037</v>
      </c>
      <c r="L92" s="10" t="n">
        <v>0.0037037037037037</v>
      </c>
    </row>
    <row r="93" customFormat="false" ht="15" hidden="false" customHeight="false" outlineLevel="0" collapsed="false">
      <c r="A93" s="36" t="s">
        <v>239</v>
      </c>
      <c r="B93" s="8" t="s">
        <v>32</v>
      </c>
      <c r="C93" s="8" t="s">
        <v>13</v>
      </c>
      <c r="D93" s="8" t="s">
        <v>14</v>
      </c>
      <c r="E93" s="37" t="s">
        <v>240</v>
      </c>
      <c r="F93" s="37" t="s">
        <v>67</v>
      </c>
      <c r="G93" s="10" t="n">
        <v>165600</v>
      </c>
      <c r="I93" s="10" t="n">
        <v>165600</v>
      </c>
      <c r="J93" s="10" t="n">
        <v>165600</v>
      </c>
      <c r="K93" s="10" t="n">
        <v>165600</v>
      </c>
      <c r="L93" s="10" t="n">
        <v>165600</v>
      </c>
    </row>
    <row r="94" customFormat="false" ht="15" hidden="false" customHeight="false" outlineLevel="0" collapsed="false">
      <c r="A94" s="25" t="s">
        <v>241</v>
      </c>
      <c r="B94" s="8" t="s">
        <v>32</v>
      </c>
      <c r="C94" s="8" t="s">
        <v>13</v>
      </c>
      <c r="D94" s="8" t="s">
        <v>14</v>
      </c>
      <c r="E94" s="26" t="s">
        <v>242</v>
      </c>
      <c r="F94" s="26" t="s">
        <v>243</v>
      </c>
      <c r="G94" s="10" t="n">
        <v>20</v>
      </c>
      <c r="I94" s="10" t="n">
        <v>20</v>
      </c>
      <c r="J94" s="10" t="n">
        <v>20</v>
      </c>
      <c r="K94" s="10" t="n">
        <v>20</v>
      </c>
      <c r="L94" s="10" t="n">
        <v>20</v>
      </c>
    </row>
    <row r="95" customFormat="false" ht="15" hidden="false" customHeight="false" outlineLevel="0" collapsed="false">
      <c r="A95" s="25" t="s">
        <v>244</v>
      </c>
      <c r="B95" s="8" t="s">
        <v>32</v>
      </c>
      <c r="C95" s="8" t="s">
        <v>13</v>
      </c>
      <c r="D95" s="8" t="s">
        <v>14</v>
      </c>
      <c r="E95" s="26" t="s">
        <v>245</v>
      </c>
      <c r="F95" s="26" t="s">
        <v>192</v>
      </c>
      <c r="G95" s="10" t="n">
        <v>1</v>
      </c>
      <c r="I95" s="10" t="n">
        <v>1</v>
      </c>
      <c r="J95" s="10" t="n">
        <v>1</v>
      </c>
      <c r="K95" s="10" t="n">
        <v>1</v>
      </c>
      <c r="L95" s="10" t="n">
        <v>1</v>
      </c>
    </row>
    <row r="96" customFormat="false" ht="15" hidden="false" customHeight="false" outlineLevel="0" collapsed="false">
      <c r="A96" s="25" t="s">
        <v>246</v>
      </c>
      <c r="B96" s="8" t="s">
        <v>32</v>
      </c>
      <c r="C96" s="8" t="s">
        <v>13</v>
      </c>
      <c r="D96" s="8" t="s">
        <v>14</v>
      </c>
      <c r="E96" s="26" t="s">
        <v>247</v>
      </c>
      <c r="F96" s="26" t="s">
        <v>165</v>
      </c>
      <c r="G96" s="10" t="n">
        <v>21</v>
      </c>
      <c r="I96" s="10" t="n">
        <v>21</v>
      </c>
      <c r="J96" s="10" t="n">
        <v>21</v>
      </c>
      <c r="K96" s="10" t="n">
        <v>21</v>
      </c>
      <c r="L96" s="10" t="n">
        <v>21</v>
      </c>
    </row>
    <row r="97" customFormat="false" ht="15" hidden="false" customHeight="false" outlineLevel="0" collapsed="false">
      <c r="A97" s="38" t="s">
        <v>248</v>
      </c>
      <c r="B97" s="8" t="s">
        <v>32</v>
      </c>
      <c r="C97" s="8" t="s">
        <v>13</v>
      </c>
      <c r="D97" s="8" t="s">
        <v>14</v>
      </c>
      <c r="E97" s="39" t="s">
        <v>249</v>
      </c>
      <c r="F97" s="39" t="s">
        <v>250</v>
      </c>
      <c r="G97" s="10" t="n">
        <v>0.64</v>
      </c>
      <c r="I97" s="10" t="n">
        <v>0.64</v>
      </c>
      <c r="J97" s="10" t="n">
        <v>0.64</v>
      </c>
      <c r="K97" s="10" t="n">
        <v>0.64</v>
      </c>
      <c r="L97" s="10" t="n">
        <v>0.64</v>
      </c>
    </row>
    <row r="98" customFormat="false" ht="15" hidden="false" customHeight="false" outlineLevel="0" collapsed="false">
      <c r="A98" s="38" t="s">
        <v>251</v>
      </c>
      <c r="B98" s="8" t="s">
        <v>32</v>
      </c>
      <c r="C98" s="8" t="s">
        <v>13</v>
      </c>
      <c r="D98" s="8" t="s">
        <v>14</v>
      </c>
      <c r="E98" s="39" t="s">
        <v>252</v>
      </c>
      <c r="F98" s="39" t="s">
        <v>250</v>
      </c>
      <c r="G98" s="10" t="n">
        <v>8</v>
      </c>
      <c r="I98" s="10" t="n">
        <v>8</v>
      </c>
      <c r="J98" s="10" t="n">
        <v>8</v>
      </c>
      <c r="K98" s="10" t="n">
        <v>8</v>
      </c>
      <c r="L98" s="10" t="n">
        <v>8</v>
      </c>
    </row>
    <row r="99" customFormat="false" ht="15" hidden="false" customHeight="false" outlineLevel="0" collapsed="false">
      <c r="A99" s="38" t="s">
        <v>253</v>
      </c>
      <c r="B99" s="8" t="s">
        <v>32</v>
      </c>
      <c r="C99" s="8" t="s">
        <v>13</v>
      </c>
      <c r="D99" s="8" t="s">
        <v>14</v>
      </c>
      <c r="E99" s="39" t="s">
        <v>254</v>
      </c>
      <c r="F99" s="39" t="s">
        <v>250</v>
      </c>
      <c r="G99" s="10" t="n">
        <v>10</v>
      </c>
      <c r="I99" s="10" t="n">
        <v>10</v>
      </c>
      <c r="J99" s="10" t="n">
        <v>10</v>
      </c>
      <c r="K99" s="10" t="n">
        <v>10</v>
      </c>
      <c r="L99" s="10" t="n">
        <v>10</v>
      </c>
    </row>
    <row r="100" customFormat="false" ht="15" hidden="false" customHeight="false" outlineLevel="0" collapsed="false">
      <c r="A100" s="38" t="s">
        <v>255</v>
      </c>
      <c r="B100" s="8" t="s">
        <v>32</v>
      </c>
      <c r="C100" s="8" t="s">
        <v>13</v>
      </c>
      <c r="D100" s="8" t="s">
        <v>14</v>
      </c>
      <c r="E100" s="39" t="s">
        <v>256</v>
      </c>
      <c r="F100" s="39" t="s">
        <v>250</v>
      </c>
      <c r="G100" s="10" t="n">
        <v>8</v>
      </c>
      <c r="I100" s="10" t="n">
        <v>8</v>
      </c>
      <c r="J100" s="10" t="n">
        <v>8</v>
      </c>
      <c r="K100" s="10" t="n">
        <v>8</v>
      </c>
      <c r="L100" s="10" t="n">
        <v>8</v>
      </c>
    </row>
    <row r="101" customFormat="false" ht="15" hidden="false" customHeight="false" outlineLevel="0" collapsed="false">
      <c r="A101" s="38" t="s">
        <v>257</v>
      </c>
      <c r="B101" s="8" t="s">
        <v>32</v>
      </c>
      <c r="C101" s="8" t="s">
        <v>13</v>
      </c>
      <c r="D101" s="8" t="s">
        <v>14</v>
      </c>
      <c r="E101" s="39" t="s">
        <v>258</v>
      </c>
      <c r="F101" s="39" t="s">
        <v>165</v>
      </c>
      <c r="G101" s="10" t="n">
        <v>1</v>
      </c>
      <c r="I101" s="10" t="n">
        <v>1</v>
      </c>
      <c r="J101" s="10" t="n">
        <v>1</v>
      </c>
      <c r="K101" s="10" t="n">
        <v>1</v>
      </c>
      <c r="L101" s="10" t="n">
        <v>1</v>
      </c>
    </row>
    <row r="102" customFormat="false" ht="15" hidden="false" customHeight="false" outlineLevel="0" collapsed="false">
      <c r="A102" s="38" t="s">
        <v>259</v>
      </c>
      <c r="B102" s="8" t="s">
        <v>32</v>
      </c>
      <c r="C102" s="8" t="s">
        <v>13</v>
      </c>
      <c r="D102" s="8" t="s">
        <v>14</v>
      </c>
      <c r="E102" s="39" t="s">
        <v>260</v>
      </c>
      <c r="F102" s="39" t="s">
        <v>261</v>
      </c>
      <c r="G102" s="10" t="n">
        <v>0.5</v>
      </c>
      <c r="I102" s="10" t="n">
        <v>0.5</v>
      </c>
      <c r="J102" s="10" t="n">
        <v>0.5</v>
      </c>
      <c r="K102" s="10" t="n">
        <v>0.5</v>
      </c>
      <c r="L102" s="10" t="n">
        <v>0.5</v>
      </c>
    </row>
    <row r="103" customFormat="false" ht="15" hidden="false" customHeight="false" outlineLevel="0" collapsed="false">
      <c r="A103" s="38" t="s">
        <v>262</v>
      </c>
      <c r="B103" s="8" t="s">
        <v>32</v>
      </c>
      <c r="C103" s="8" t="s">
        <v>13</v>
      </c>
      <c r="D103" s="8" t="s">
        <v>14</v>
      </c>
      <c r="E103" s="39" t="s">
        <v>263</v>
      </c>
      <c r="F103" s="39" t="s">
        <v>264</v>
      </c>
      <c r="G103" s="10" t="n">
        <f aca="false">G101</f>
        <v>1</v>
      </c>
      <c r="I103" s="10" t="n">
        <f aca="false">10/0.1</f>
        <v>100</v>
      </c>
      <c r="J103" s="10" t="n">
        <f aca="false">10/0.1</f>
        <v>100</v>
      </c>
      <c r="K103" s="10" t="n">
        <f aca="false">10/0.1</f>
        <v>100</v>
      </c>
      <c r="L103" s="10" t="n">
        <f aca="false">10/0.1</f>
        <v>100</v>
      </c>
    </row>
    <row r="104" customFormat="false" ht="15" hidden="false" customHeight="false" outlineLevel="0" collapsed="false">
      <c r="A104" s="38" t="s">
        <v>265</v>
      </c>
      <c r="B104" s="8" t="s">
        <v>32</v>
      </c>
      <c r="C104" s="8" t="s">
        <v>13</v>
      </c>
      <c r="D104" s="8" t="s">
        <v>14</v>
      </c>
      <c r="E104" s="39" t="s">
        <v>263</v>
      </c>
      <c r="F104" s="39" t="s">
        <v>264</v>
      </c>
      <c r="G104" s="10" t="n">
        <f aca="false">3*G101</f>
        <v>3</v>
      </c>
      <c r="I104" s="10" t="n">
        <f aca="false">150/0.1</f>
        <v>1500</v>
      </c>
      <c r="J104" s="10" t="n">
        <f aca="false">150/0.1</f>
        <v>1500</v>
      </c>
      <c r="K104" s="10" t="n">
        <f aca="false">150/0.1</f>
        <v>1500</v>
      </c>
      <c r="L104" s="10" t="n">
        <f aca="false">150/0.1</f>
        <v>1500</v>
      </c>
    </row>
    <row r="105" customFormat="false" ht="15" hidden="false" customHeight="false" outlineLevel="0" collapsed="false">
      <c r="A105" s="38" t="s">
        <v>266</v>
      </c>
      <c r="B105" s="8" t="s">
        <v>32</v>
      </c>
      <c r="C105" s="8" t="s">
        <v>13</v>
      </c>
      <c r="D105" s="8" t="s">
        <v>14</v>
      </c>
      <c r="E105" s="39" t="s">
        <v>263</v>
      </c>
      <c r="F105" s="39" t="s">
        <v>264</v>
      </c>
      <c r="G105" s="10" t="n">
        <f aca="false">G96</f>
        <v>21</v>
      </c>
      <c r="I105" s="10" t="n">
        <f aca="false">20/0.1</f>
        <v>200</v>
      </c>
      <c r="J105" s="10" t="n">
        <f aca="false">20/0.1</f>
        <v>200</v>
      </c>
      <c r="K105" s="10" t="n">
        <f aca="false">20/0.1</f>
        <v>200</v>
      </c>
      <c r="L105" s="10" t="n">
        <f aca="false">20/0.1</f>
        <v>200</v>
      </c>
    </row>
    <row r="106" customFormat="false" ht="15" hidden="false" customHeight="false" outlineLevel="0" collapsed="false">
      <c r="A106" s="38" t="s">
        <v>267</v>
      </c>
      <c r="B106" s="8" t="s">
        <v>32</v>
      </c>
      <c r="C106" s="8" t="s">
        <v>13</v>
      </c>
      <c r="D106" s="8" t="s">
        <v>14</v>
      </c>
      <c r="E106" s="39" t="s">
        <v>263</v>
      </c>
      <c r="F106" s="39" t="s">
        <v>264</v>
      </c>
      <c r="G106" s="10" t="n">
        <f aca="false">10*G96</f>
        <v>210</v>
      </c>
      <c r="I106" s="10" t="n">
        <f aca="false">400/0.1</f>
        <v>4000</v>
      </c>
      <c r="J106" s="10" t="n">
        <f aca="false">400/0.1</f>
        <v>4000</v>
      </c>
      <c r="K106" s="10" t="n">
        <f aca="false">400/0.1</f>
        <v>4000</v>
      </c>
      <c r="L106" s="10" t="n">
        <f aca="false">400/0.1</f>
        <v>4000</v>
      </c>
    </row>
    <row r="107" customFormat="false" ht="15" hidden="false" customHeight="false" outlineLevel="0" collapsed="false">
      <c r="A107" s="38" t="s">
        <v>268</v>
      </c>
      <c r="B107" s="8" t="s">
        <v>32</v>
      </c>
      <c r="C107" s="8" t="s">
        <v>13</v>
      </c>
      <c r="D107" s="8" t="s">
        <v>14</v>
      </c>
      <c r="E107" s="39" t="s">
        <v>269</v>
      </c>
      <c r="F107" s="39" t="s">
        <v>177</v>
      </c>
      <c r="G107" s="10" t="n">
        <v>0</v>
      </c>
      <c r="I107" s="10" t="n">
        <f aca="false">10/0.1</f>
        <v>100</v>
      </c>
      <c r="J107" s="10" t="n">
        <f aca="false">10/0.1</f>
        <v>100</v>
      </c>
      <c r="K107" s="10" t="n">
        <f aca="false">10/0.1</f>
        <v>100</v>
      </c>
      <c r="L107" s="10" t="n">
        <f aca="false">10/0.1</f>
        <v>100</v>
      </c>
    </row>
    <row r="108" customFormat="false" ht="15" hidden="false" customHeight="false" outlineLevel="0" collapsed="false">
      <c r="A108" s="38" t="s">
        <v>270</v>
      </c>
      <c r="B108" s="8" t="s">
        <v>32</v>
      </c>
      <c r="C108" s="8" t="s">
        <v>13</v>
      </c>
      <c r="D108" s="8" t="s">
        <v>14</v>
      </c>
      <c r="E108" s="39" t="s">
        <v>271</v>
      </c>
      <c r="F108" s="39" t="s">
        <v>177</v>
      </c>
      <c r="G108" s="10" t="n">
        <v>1589760</v>
      </c>
      <c r="I108" s="10" t="n">
        <f aca="false">150/0.1</f>
        <v>1500</v>
      </c>
      <c r="J108" s="10" t="n">
        <f aca="false">150/0.1</f>
        <v>1500</v>
      </c>
      <c r="K108" s="10" t="n">
        <f aca="false">150/0.1</f>
        <v>1500</v>
      </c>
      <c r="L108" s="10" t="n">
        <f aca="false">150/0.1</f>
        <v>1500</v>
      </c>
    </row>
    <row r="109" customFormat="false" ht="15" hidden="false" customHeight="false" outlineLevel="0" collapsed="false">
      <c r="A109" s="38" t="s">
        <v>272</v>
      </c>
      <c r="B109" s="8" t="s">
        <v>32</v>
      </c>
      <c r="C109" s="8" t="s">
        <v>13</v>
      </c>
      <c r="D109" s="8" t="s">
        <v>14</v>
      </c>
      <c r="E109" s="39" t="s">
        <v>273</v>
      </c>
      <c r="F109" s="39" t="s">
        <v>177</v>
      </c>
      <c r="G109" s="10" t="n">
        <v>6171428.57142857</v>
      </c>
      <c r="I109" s="10" t="n">
        <f aca="false">20/0.1</f>
        <v>200</v>
      </c>
      <c r="J109" s="10" t="n">
        <f aca="false">20/0.1</f>
        <v>200</v>
      </c>
      <c r="K109" s="10" t="n">
        <f aca="false">20/0.1</f>
        <v>200</v>
      </c>
      <c r="L109" s="10" t="n">
        <f aca="false">20/0.1</f>
        <v>200</v>
      </c>
    </row>
    <row r="110" customFormat="false" ht="15" hidden="false" customHeight="false" outlineLevel="0" collapsed="false">
      <c r="A110" s="38" t="s">
        <v>274</v>
      </c>
      <c r="B110" s="8" t="s">
        <v>32</v>
      </c>
      <c r="C110" s="8" t="s">
        <v>13</v>
      </c>
      <c r="D110" s="8" t="s">
        <v>14</v>
      </c>
      <c r="E110" s="39" t="s">
        <v>275</v>
      </c>
      <c r="F110" s="39" t="s">
        <v>177</v>
      </c>
      <c r="G110" s="10" t="n">
        <v>6171428.57142857</v>
      </c>
      <c r="I110" s="10" t="n">
        <f aca="false">400/0.1</f>
        <v>4000</v>
      </c>
      <c r="J110" s="10" t="n">
        <f aca="false">400/0.1</f>
        <v>4000</v>
      </c>
      <c r="K110" s="10" t="n">
        <f aca="false">400/0.1</f>
        <v>4000</v>
      </c>
      <c r="L110" s="10" t="n">
        <f aca="false">400/0.1</f>
        <v>4000</v>
      </c>
    </row>
    <row r="111" customFormat="false" ht="15" hidden="false" customHeight="false" outlineLevel="0" collapsed="false">
      <c r="A111" s="38" t="s">
        <v>276</v>
      </c>
      <c r="B111" s="8" t="s">
        <v>32</v>
      </c>
      <c r="C111" s="8" t="s">
        <v>13</v>
      </c>
      <c r="D111" s="8" t="s">
        <v>14</v>
      </c>
      <c r="E111" s="39" t="s">
        <v>277</v>
      </c>
      <c r="F111" s="39" t="s">
        <v>278</v>
      </c>
      <c r="G111" s="10" t="n">
        <v>100</v>
      </c>
      <c r="I111" s="10" t="n">
        <v>100</v>
      </c>
      <c r="J111" s="10" t="n">
        <v>100</v>
      </c>
      <c r="K111" s="10" t="n">
        <v>100</v>
      </c>
      <c r="L111" s="10" t="n">
        <v>100</v>
      </c>
    </row>
    <row r="112" customFormat="false" ht="14.25" hidden="false" customHeight="true" outlineLevel="0" collapsed="false">
      <c r="A112" s="38" t="s">
        <v>279</v>
      </c>
      <c r="B112" s="8" t="s">
        <v>32</v>
      </c>
      <c r="C112" s="8" t="s">
        <v>13</v>
      </c>
      <c r="D112" s="8" t="s">
        <v>14</v>
      </c>
      <c r="E112" s="39" t="s">
        <v>280</v>
      </c>
      <c r="F112" s="39" t="s">
        <v>281</v>
      </c>
      <c r="G112" s="10" t="n">
        <v>280800</v>
      </c>
      <c r="I112" s="10" t="n">
        <v>280800</v>
      </c>
      <c r="J112" s="10" t="n">
        <v>280800</v>
      </c>
      <c r="K112" s="10" t="n">
        <v>280800</v>
      </c>
      <c r="L112" s="10" t="n">
        <v>280800</v>
      </c>
    </row>
    <row r="113" customFormat="false" ht="15" hidden="false" customHeight="false" outlineLevel="0" collapsed="false">
      <c r="A113" s="38" t="s">
        <v>282</v>
      </c>
      <c r="B113" s="8" t="s">
        <v>32</v>
      </c>
      <c r="C113" s="8" t="s">
        <v>13</v>
      </c>
      <c r="D113" s="8" t="s">
        <v>14</v>
      </c>
      <c r="E113" s="39" t="s">
        <v>283</v>
      </c>
      <c r="F113" s="39" t="s">
        <v>284</v>
      </c>
      <c r="G113" s="10" t="n">
        <v>1.28472222222222E-005</v>
      </c>
      <c r="I113" s="10" t="n">
        <f aca="false">1.11 / 10</f>
        <v>0.111</v>
      </c>
      <c r="J113" s="10" t="n">
        <f aca="false">1.11 / 10</f>
        <v>0.111</v>
      </c>
      <c r="K113" s="10" t="n">
        <f aca="false">1.11 / 10</f>
        <v>0.111</v>
      </c>
      <c r="L113" s="10" t="n">
        <f aca="false">1.11 / 10</f>
        <v>0.111</v>
      </c>
    </row>
    <row r="114" customFormat="false" ht="15" hidden="false" customHeight="false" outlineLevel="0" collapsed="false">
      <c r="A114" s="38" t="s">
        <v>285</v>
      </c>
      <c r="B114" s="8" t="s">
        <v>32</v>
      </c>
      <c r="C114" s="8" t="s">
        <v>13</v>
      </c>
      <c r="D114" s="8" t="s">
        <v>14</v>
      </c>
      <c r="E114" s="39" t="s">
        <v>286</v>
      </c>
      <c r="F114" s="39" t="s">
        <v>278</v>
      </c>
      <c r="G114" s="10" t="n">
        <v>100</v>
      </c>
      <c r="I114" s="10" t="n">
        <v>100</v>
      </c>
      <c r="J114" s="10" t="n">
        <v>100</v>
      </c>
      <c r="K114" s="10" t="n">
        <v>100</v>
      </c>
      <c r="L114" s="10" t="n">
        <v>100</v>
      </c>
    </row>
    <row r="115" customFormat="false" ht="14.25" hidden="false" customHeight="true" outlineLevel="0" collapsed="false">
      <c r="A115" s="38" t="s">
        <v>287</v>
      </c>
      <c r="B115" s="8" t="s">
        <v>32</v>
      </c>
      <c r="C115" s="8" t="s">
        <v>13</v>
      </c>
      <c r="D115" s="8" t="s">
        <v>14</v>
      </c>
      <c r="E115" s="39" t="s">
        <v>288</v>
      </c>
      <c r="F115" s="39" t="s">
        <v>281</v>
      </c>
      <c r="G115" s="10" t="n">
        <v>459648</v>
      </c>
      <c r="I115" s="10" t="n">
        <v>459648</v>
      </c>
      <c r="J115" s="10" t="n">
        <v>459648</v>
      </c>
      <c r="K115" s="10" t="n">
        <v>459648</v>
      </c>
      <c r="L115" s="10" t="n">
        <v>459648</v>
      </c>
    </row>
    <row r="116" customFormat="false" ht="15" hidden="false" customHeight="false" outlineLevel="0" collapsed="false">
      <c r="A116" s="38" t="s">
        <v>289</v>
      </c>
      <c r="B116" s="8" t="s">
        <v>32</v>
      </c>
      <c r="C116" s="8" t="s">
        <v>13</v>
      </c>
      <c r="D116" s="8" t="s">
        <v>14</v>
      </c>
      <c r="E116" s="39" t="s">
        <v>290</v>
      </c>
      <c r="F116" s="39" t="s">
        <v>284</v>
      </c>
      <c r="G116" s="10" t="n">
        <v>1.28472222222222E-005</v>
      </c>
      <c r="I116" s="10" t="n">
        <f aca="false">1.11/8</f>
        <v>0.13875</v>
      </c>
      <c r="J116" s="10" t="n">
        <f aca="false">1.11/8</f>
        <v>0.13875</v>
      </c>
      <c r="K116" s="10" t="n">
        <f aca="false">1.11/8</f>
        <v>0.13875</v>
      </c>
      <c r="L116" s="10" t="n">
        <f aca="false">1.11/8</f>
        <v>0.13875</v>
      </c>
    </row>
    <row r="117" customFormat="false" ht="15" hidden="false" customHeight="false" outlineLevel="0" collapsed="false">
      <c r="A117" s="38" t="s">
        <v>291</v>
      </c>
      <c r="B117" s="8" t="s">
        <v>32</v>
      </c>
      <c r="C117" s="8" t="s">
        <v>13</v>
      </c>
      <c r="D117" s="8" t="s">
        <v>14</v>
      </c>
      <c r="E117" s="39" t="s">
        <v>292</v>
      </c>
      <c r="F117" s="39" t="s">
        <v>177</v>
      </c>
      <c r="G117" s="10" t="n">
        <v>21600</v>
      </c>
      <c r="I117" s="10" t="n">
        <v>21600</v>
      </c>
      <c r="J117" s="10" t="n">
        <v>21600</v>
      </c>
      <c r="K117" s="10" t="n">
        <v>21600</v>
      </c>
      <c r="L117" s="10" t="n">
        <v>21600</v>
      </c>
    </row>
    <row r="118" customFormat="false" ht="15" hidden="false" customHeight="false" outlineLevel="0" collapsed="false">
      <c r="A118" s="38" t="s">
        <v>293</v>
      </c>
      <c r="B118" s="8" t="s">
        <v>32</v>
      </c>
      <c r="C118" s="8" t="s">
        <v>13</v>
      </c>
      <c r="D118" s="8" t="s">
        <v>14</v>
      </c>
      <c r="E118" s="39" t="s">
        <v>294</v>
      </c>
      <c r="F118" s="39" t="s">
        <v>177</v>
      </c>
      <c r="G118" s="10" t="n">
        <v>172800</v>
      </c>
      <c r="I118" s="10" t="n">
        <v>43200</v>
      </c>
      <c r="J118" s="10" t="n">
        <v>43200</v>
      </c>
      <c r="K118" s="10" t="n">
        <v>43200</v>
      </c>
      <c r="L118" s="10" t="n">
        <v>43200</v>
      </c>
    </row>
    <row r="119" customFormat="false" ht="15" hidden="false" customHeight="false" outlineLevel="0" collapsed="false">
      <c r="A119" s="25" t="s">
        <v>295</v>
      </c>
      <c r="B119" s="8" t="s">
        <v>32</v>
      </c>
      <c r="C119" s="8" t="s">
        <v>13</v>
      </c>
      <c r="D119" s="8" t="s">
        <v>14</v>
      </c>
      <c r="E119" s="26" t="s">
        <v>296</v>
      </c>
      <c r="F119" s="26" t="s">
        <v>297</v>
      </c>
      <c r="G119" s="10" t="n">
        <v>0.8</v>
      </c>
      <c r="I119" s="10" t="n">
        <v>0.8</v>
      </c>
      <c r="J119" s="10" t="n">
        <v>0.8</v>
      </c>
      <c r="K119" s="10" t="n">
        <v>0.8</v>
      </c>
      <c r="L119" s="10" t="n">
        <v>0.8</v>
      </c>
    </row>
    <row r="120" customFormat="false" ht="15" hidden="false" customHeight="false" outlineLevel="0" collapsed="false">
      <c r="A120" s="25" t="s">
        <v>298</v>
      </c>
      <c r="B120" s="8" t="s">
        <v>32</v>
      </c>
      <c r="C120" s="8" t="s">
        <v>13</v>
      </c>
      <c r="D120" s="8" t="s">
        <v>14</v>
      </c>
      <c r="E120" s="26" t="s">
        <v>299</v>
      </c>
      <c r="F120" s="26" t="s">
        <v>300</v>
      </c>
      <c r="G120" s="10" t="n">
        <v>0.000208333333333333</v>
      </c>
      <c r="I120" s="10" t="n">
        <f aca="false">0.000208333333333333 / 2</f>
        <v>0.000104166666666667</v>
      </c>
      <c r="J120" s="10" t="n">
        <f aca="false">0.000208333333333333 / 2</f>
        <v>0.000104166666666667</v>
      </c>
      <c r="K120" s="10" t="n">
        <f aca="false">0.000208333333333333 / 2</f>
        <v>0.000104166666666667</v>
      </c>
      <c r="L120" s="10" t="n">
        <f aca="false">0.000208333333333333 / 2</f>
        <v>0.000104166666666667</v>
      </c>
    </row>
    <row r="121" customFormat="false" ht="15" hidden="false" customHeight="false" outlineLevel="0" collapsed="false">
      <c r="A121" s="25" t="s">
        <v>301</v>
      </c>
      <c r="B121" s="8" t="s">
        <v>32</v>
      </c>
      <c r="C121" s="8" t="s">
        <v>13</v>
      </c>
      <c r="D121" s="8" t="s">
        <v>14</v>
      </c>
      <c r="E121" s="26" t="s">
        <v>302</v>
      </c>
      <c r="F121" s="26" t="s">
        <v>303</v>
      </c>
      <c r="G121" s="10" t="n">
        <v>5.79E-007</v>
      </c>
      <c r="I121" s="10" t="n">
        <v>5.79E-007</v>
      </c>
      <c r="J121" s="10" t="n">
        <v>5.79E-007</v>
      </c>
      <c r="K121" s="10" t="n">
        <v>5.79E-007</v>
      </c>
      <c r="L121" s="10" t="n">
        <v>5.79E-007</v>
      </c>
    </row>
    <row r="122" customFormat="false" ht="15" hidden="false" customHeight="false" outlineLevel="0" collapsed="false">
      <c r="A122" s="25" t="s">
        <v>304</v>
      </c>
      <c r="B122" s="8" t="s">
        <v>32</v>
      </c>
      <c r="C122" s="8" t="s">
        <v>13</v>
      </c>
      <c r="D122" s="8" t="s">
        <v>14</v>
      </c>
      <c r="E122" s="26" t="s">
        <v>305</v>
      </c>
      <c r="F122" s="26" t="s">
        <v>300</v>
      </c>
      <c r="G122" s="10" t="n">
        <v>0.000208333333333333</v>
      </c>
      <c r="I122" s="10" t="n">
        <v>0.000208333333333333</v>
      </c>
      <c r="J122" s="10" t="n">
        <v>0.000208333333333333</v>
      </c>
      <c r="K122" s="10" t="n">
        <v>0.000208333333333333</v>
      </c>
      <c r="L122" s="10" t="n">
        <v>0.000208333333333333</v>
      </c>
    </row>
    <row r="123" customFormat="false" ht="15" hidden="false" customHeight="false" outlineLevel="0" collapsed="false">
      <c r="A123" s="25" t="s">
        <v>306</v>
      </c>
      <c r="B123" s="8" t="s">
        <v>32</v>
      </c>
      <c r="C123" s="8" t="s">
        <v>13</v>
      </c>
      <c r="D123" s="8" t="s">
        <v>14</v>
      </c>
      <c r="E123" s="26" t="s">
        <v>307</v>
      </c>
      <c r="F123" s="26" t="s">
        <v>300</v>
      </c>
      <c r="G123" s="10" t="n">
        <v>1E-005</v>
      </c>
      <c r="I123" s="10" t="n">
        <v>0</v>
      </c>
      <c r="J123" s="10" t="n">
        <v>0</v>
      </c>
      <c r="K123" s="10" t="n">
        <v>0</v>
      </c>
      <c r="L123" s="10" t="n">
        <v>0</v>
      </c>
    </row>
    <row r="124" customFormat="false" ht="15" hidden="false" customHeight="false" outlineLevel="0" collapsed="false">
      <c r="A124" s="25" t="s">
        <v>308</v>
      </c>
      <c r="B124" s="8" t="s">
        <v>32</v>
      </c>
      <c r="C124" s="8" t="s">
        <v>13</v>
      </c>
      <c r="D124" s="8" t="s">
        <v>14</v>
      </c>
      <c r="E124" s="26" t="s">
        <v>309</v>
      </c>
      <c r="F124" s="26" t="s">
        <v>300</v>
      </c>
      <c r="G124" s="10" t="n">
        <v>1E-005</v>
      </c>
      <c r="I124" s="10" t="n">
        <v>0</v>
      </c>
      <c r="J124" s="10" t="n">
        <v>0</v>
      </c>
      <c r="K124" s="10" t="n">
        <v>0</v>
      </c>
      <c r="L124" s="10" t="n">
        <v>0</v>
      </c>
    </row>
    <row r="125" customFormat="false" ht="15" hidden="false" customHeight="false" outlineLevel="0" collapsed="false">
      <c r="A125" s="40" t="s">
        <v>310</v>
      </c>
      <c r="B125" s="8" t="s">
        <v>32</v>
      </c>
      <c r="C125" s="8" t="s">
        <v>13</v>
      </c>
      <c r="D125" s="8" t="s">
        <v>14</v>
      </c>
      <c r="E125" s="41" t="s">
        <v>311</v>
      </c>
      <c r="F125" s="41" t="s">
        <v>312</v>
      </c>
      <c r="G125" s="10" t="n">
        <v>2E-007</v>
      </c>
      <c r="I125" s="10" t="n">
        <v>0</v>
      </c>
      <c r="J125" s="10" t="n">
        <v>0</v>
      </c>
      <c r="K125" s="10" t="n">
        <v>0</v>
      </c>
      <c r="L125" s="10" t="n">
        <v>0</v>
      </c>
    </row>
    <row r="126" customFormat="false" ht="15" hidden="false" customHeight="false" outlineLevel="0" collapsed="false">
      <c r="A126" s="40" t="s">
        <v>313</v>
      </c>
      <c r="B126" s="8" t="s">
        <v>32</v>
      </c>
      <c r="C126" s="8" t="s">
        <v>13</v>
      </c>
      <c r="D126" s="8" t="s">
        <v>14</v>
      </c>
      <c r="E126" s="41" t="s">
        <v>314</v>
      </c>
      <c r="F126" s="41" t="s">
        <v>315</v>
      </c>
      <c r="G126" s="10" t="n">
        <f aca="false">1000 * 0.000001 / 12</f>
        <v>8.33333333333333E-005</v>
      </c>
      <c r="I126" s="10" t="n">
        <f aca="false">1000 * 0.000001 / 12</f>
        <v>8.33333333333333E-005</v>
      </c>
      <c r="J126" s="10" t="n">
        <f aca="false">1000 * 0.000001 / 12</f>
        <v>8.33333333333333E-005</v>
      </c>
      <c r="K126" s="10" t="n">
        <f aca="false">1000 * 0.000001 / 12</f>
        <v>8.33333333333333E-005</v>
      </c>
      <c r="L126" s="10" t="n">
        <f aca="false">1000 * 0.000001 / 12</f>
        <v>8.33333333333333E-005</v>
      </c>
    </row>
    <row r="127" customFormat="false" ht="15" hidden="false" customHeight="false" outlineLevel="0" collapsed="false">
      <c r="A127" s="40" t="s">
        <v>316</v>
      </c>
      <c r="B127" s="8" t="s">
        <v>32</v>
      </c>
      <c r="C127" s="8" t="s">
        <v>13</v>
      </c>
      <c r="D127" s="8" t="s">
        <v>14</v>
      </c>
      <c r="E127" s="41" t="s">
        <v>317</v>
      </c>
      <c r="F127" s="41" t="s">
        <v>34</v>
      </c>
      <c r="G127" s="10" t="s">
        <v>52</v>
      </c>
      <c r="I127" s="10" t="s">
        <v>35</v>
      </c>
      <c r="J127" s="10" t="s">
        <v>35</v>
      </c>
      <c r="K127" s="10" t="s">
        <v>35</v>
      </c>
      <c r="L127" s="10" t="s">
        <v>35</v>
      </c>
    </row>
    <row r="128" customFormat="false" ht="15" hidden="false" customHeight="false" outlineLevel="0" collapsed="false">
      <c r="A128" s="42" t="s">
        <v>318</v>
      </c>
      <c r="B128" s="8" t="s">
        <v>32</v>
      </c>
      <c r="C128" s="8" t="s">
        <v>13</v>
      </c>
      <c r="D128" s="8" t="s">
        <v>14</v>
      </c>
      <c r="E128" s="43" t="s">
        <v>319</v>
      </c>
      <c r="F128" s="43" t="s">
        <v>320</v>
      </c>
      <c r="G128" s="10" t="n">
        <v>0.0005</v>
      </c>
      <c r="I128" s="10" t="n">
        <v>0.0005</v>
      </c>
      <c r="J128" s="10" t="n">
        <v>0.0005</v>
      </c>
      <c r="K128" s="10" t="n">
        <v>0.0005</v>
      </c>
      <c r="L128" s="10" t="n">
        <v>0.0005</v>
      </c>
    </row>
    <row r="129" customFormat="false" ht="15" hidden="false" customHeight="false" outlineLevel="0" collapsed="false">
      <c r="A129" s="42" t="s">
        <v>321</v>
      </c>
      <c r="B129" s="8" t="s">
        <v>32</v>
      </c>
      <c r="C129" s="8" t="s">
        <v>13</v>
      </c>
      <c r="D129" s="8" t="s">
        <v>14</v>
      </c>
      <c r="E129" s="43" t="s">
        <v>322</v>
      </c>
      <c r="F129" s="43" t="s">
        <v>323</v>
      </c>
      <c r="G129" s="10" t="n">
        <v>1E-009</v>
      </c>
      <c r="I129" s="10" t="n">
        <f aca="false">0.0000000000005/100/2 * 2</f>
        <v>5E-015</v>
      </c>
      <c r="J129" s="10" t="n">
        <f aca="false">0.0000000000005/100/2 * 2</f>
        <v>5E-015</v>
      </c>
      <c r="K129" s="10" t="n">
        <f aca="false">0.0000000000005/100/2 * 2</f>
        <v>5E-015</v>
      </c>
      <c r="L129" s="10" t="n">
        <f aca="false">0.0000000000005/100/2 * 2</f>
        <v>5E-015</v>
      </c>
    </row>
    <row r="130" customFormat="false" ht="15" hidden="false" customHeight="false" outlineLevel="0" collapsed="false">
      <c r="A130" s="42" t="s">
        <v>324</v>
      </c>
      <c r="B130" s="8" t="s">
        <v>32</v>
      </c>
      <c r="C130" s="8" t="s">
        <v>13</v>
      </c>
      <c r="D130" s="8" t="s">
        <v>14</v>
      </c>
      <c r="E130" s="43" t="s">
        <v>322</v>
      </c>
      <c r="F130" s="43" t="s">
        <v>323</v>
      </c>
      <c r="G130" s="10" t="n">
        <v>1E-009</v>
      </c>
      <c r="I130" s="10" t="n">
        <f aca="false">0.000005/3600/100</f>
        <v>1.38888888888889E-011</v>
      </c>
      <c r="J130" s="10" t="n">
        <f aca="false">0.000005/3600/100</f>
        <v>1.38888888888889E-011</v>
      </c>
      <c r="K130" s="10" t="n">
        <f aca="false">0.000005/3600/100</f>
        <v>1.38888888888889E-011</v>
      </c>
      <c r="L130" s="10" t="n">
        <f aca="false">0.000005/3600/100</f>
        <v>1.38888888888889E-011</v>
      </c>
    </row>
    <row r="131" customFormat="false" ht="15" hidden="false" customHeight="false" outlineLevel="0" collapsed="false">
      <c r="A131" s="42" t="s">
        <v>325</v>
      </c>
      <c r="B131" s="8" t="s">
        <v>32</v>
      </c>
      <c r="C131" s="8" t="s">
        <v>13</v>
      </c>
      <c r="D131" s="8" t="s">
        <v>14</v>
      </c>
      <c r="E131" s="43" t="s">
        <v>326</v>
      </c>
      <c r="F131" s="43" t="s">
        <v>243</v>
      </c>
      <c r="G131" s="10" t="n">
        <v>10</v>
      </c>
      <c r="I131" s="10" t="n">
        <v>10</v>
      </c>
      <c r="J131" s="10" t="n">
        <v>10</v>
      </c>
      <c r="K131" s="10" t="n">
        <v>10</v>
      </c>
      <c r="L131" s="10" t="n">
        <v>10</v>
      </c>
    </row>
    <row r="132" customFormat="false" ht="15" hidden="false" customHeight="false" outlineLevel="0" collapsed="false">
      <c r="A132" s="42" t="s">
        <v>327</v>
      </c>
      <c r="B132" s="8" t="s">
        <v>32</v>
      </c>
      <c r="C132" s="8" t="s">
        <v>13</v>
      </c>
      <c r="D132" s="8" t="s">
        <v>14</v>
      </c>
      <c r="E132" s="43" t="s">
        <v>328</v>
      </c>
      <c r="F132" s="43" t="s">
        <v>329</v>
      </c>
      <c r="G132" s="10" t="n">
        <v>-0.04</v>
      </c>
      <c r="I132" s="10" t="n">
        <v>-0.04</v>
      </c>
      <c r="J132" s="10" t="n">
        <v>-0.04</v>
      </c>
      <c r="K132" s="10" t="n">
        <v>-0.04</v>
      </c>
      <c r="L132" s="10" t="n">
        <v>-0.04</v>
      </c>
    </row>
    <row r="133" customFormat="false" ht="15" hidden="false" customHeight="false" outlineLevel="0" collapsed="false">
      <c r="A133" s="42" t="s">
        <v>330</v>
      </c>
      <c r="B133" s="8" t="s">
        <v>32</v>
      </c>
      <c r="C133" s="8" t="s">
        <v>13</v>
      </c>
      <c r="D133" s="8" t="s">
        <v>14</v>
      </c>
      <c r="E133" s="43" t="s">
        <v>331</v>
      </c>
      <c r="F133" s="43" t="s">
        <v>192</v>
      </c>
      <c r="G133" s="10" t="n">
        <v>2.9</v>
      </c>
      <c r="I133" s="10" t="n">
        <v>2.9</v>
      </c>
      <c r="J133" s="10" t="n">
        <v>2.9</v>
      </c>
      <c r="K133" s="10" t="n">
        <v>2.9</v>
      </c>
      <c r="L133" s="10" t="n">
        <v>2.9</v>
      </c>
    </row>
    <row r="134" customFormat="false" ht="15" hidden="false" customHeight="false" outlineLevel="0" collapsed="false">
      <c r="A134" s="42" t="s">
        <v>332</v>
      </c>
      <c r="B134" s="8" t="s">
        <v>32</v>
      </c>
      <c r="C134" s="8" t="s">
        <v>13</v>
      </c>
      <c r="D134" s="8" t="s">
        <v>14</v>
      </c>
      <c r="E134" s="43" t="s">
        <v>333</v>
      </c>
      <c r="F134" s="43" t="s">
        <v>38</v>
      </c>
      <c r="G134" s="10" t="n">
        <v>1</v>
      </c>
      <c r="I134" s="10" t="n">
        <v>1</v>
      </c>
      <c r="J134" s="10" t="n">
        <v>1</v>
      </c>
      <c r="K134" s="10" t="n">
        <v>1</v>
      </c>
      <c r="L134" s="10" t="n">
        <v>1</v>
      </c>
    </row>
    <row r="135" customFormat="false" ht="15" hidden="false" customHeight="false" outlineLevel="0" collapsed="false">
      <c r="A135" s="42" t="s">
        <v>334</v>
      </c>
      <c r="B135" s="8" t="s">
        <v>32</v>
      </c>
      <c r="C135" s="8" t="s">
        <v>13</v>
      </c>
      <c r="D135" s="8" t="s">
        <v>14</v>
      </c>
      <c r="E135" s="43" t="s">
        <v>311</v>
      </c>
      <c r="F135" s="43" t="s">
        <v>312</v>
      </c>
      <c r="G135" s="10" t="n">
        <v>6E-005</v>
      </c>
      <c r="I135" s="10" t="n">
        <v>2E-007</v>
      </c>
      <c r="J135" s="10" t="n">
        <v>2E-007</v>
      </c>
      <c r="K135" s="10" t="n">
        <v>2E-007</v>
      </c>
      <c r="L135" s="10" t="n">
        <v>2E-007</v>
      </c>
    </row>
    <row r="136" customFormat="false" ht="15" hidden="false" customHeight="false" outlineLevel="0" collapsed="false">
      <c r="A136" s="42" t="s">
        <v>335</v>
      </c>
      <c r="B136" s="8" t="s">
        <v>32</v>
      </c>
      <c r="C136" s="8" t="s">
        <v>13</v>
      </c>
      <c r="D136" s="8" t="s">
        <v>14</v>
      </c>
      <c r="E136" s="43" t="s">
        <v>336</v>
      </c>
      <c r="F136" s="43" t="s">
        <v>243</v>
      </c>
      <c r="G136" s="10" t="n">
        <v>2E-007</v>
      </c>
      <c r="I136" s="44" t="n">
        <f aca="false">0.0000002*100</f>
        <v>2E-005</v>
      </c>
      <c r="J136" s="44" t="n">
        <f aca="false">0.0000002*100</f>
        <v>2E-005</v>
      </c>
      <c r="K136" s="44" t="n">
        <f aca="false">0.0000002*100</f>
        <v>2E-005</v>
      </c>
      <c r="L136" s="44" t="n">
        <f aca="false">0.0000002*100</f>
        <v>2E-005</v>
      </c>
    </row>
    <row r="137" customFormat="false" ht="15" hidden="false" customHeight="false" outlineLevel="0" collapsed="false">
      <c r="A137" s="42" t="s">
        <v>337</v>
      </c>
      <c r="B137" s="8" t="s">
        <v>32</v>
      </c>
      <c r="C137" s="8" t="s">
        <v>13</v>
      </c>
      <c r="D137" s="8" t="s">
        <v>14</v>
      </c>
      <c r="E137" s="43" t="s">
        <v>336</v>
      </c>
      <c r="F137" s="43" t="s">
        <v>243</v>
      </c>
      <c r="G137" s="10" t="n">
        <v>10</v>
      </c>
      <c r="I137" s="10" t="n">
        <v>10</v>
      </c>
      <c r="J137" s="10" t="n">
        <v>10</v>
      </c>
      <c r="K137" s="10" t="n">
        <v>10</v>
      </c>
      <c r="L137" s="10" t="n">
        <v>10</v>
      </c>
    </row>
    <row r="138" customFormat="false" ht="15" hidden="false" customHeight="false" outlineLevel="0" collapsed="false">
      <c r="A138" s="42" t="s">
        <v>338</v>
      </c>
      <c r="B138" s="8" t="s">
        <v>32</v>
      </c>
      <c r="C138" s="8" t="s">
        <v>13</v>
      </c>
      <c r="D138" s="8" t="s">
        <v>14</v>
      </c>
      <c r="E138" s="43" t="s">
        <v>339</v>
      </c>
      <c r="F138" s="43" t="s">
        <v>329</v>
      </c>
      <c r="G138" s="10" t="n">
        <v>-0.04</v>
      </c>
      <c r="I138" s="10" t="n">
        <v>-0.04</v>
      </c>
      <c r="J138" s="10" t="n">
        <v>-0.04</v>
      </c>
      <c r="K138" s="10" t="n">
        <v>-0.04</v>
      </c>
      <c r="L138" s="10" t="n">
        <v>-0.04</v>
      </c>
    </row>
    <row r="139" customFormat="false" ht="15" hidden="false" customHeight="false" outlineLevel="0" collapsed="false">
      <c r="A139" s="42" t="s">
        <v>340</v>
      </c>
      <c r="B139" s="8" t="s">
        <v>32</v>
      </c>
      <c r="C139" s="8" t="s">
        <v>13</v>
      </c>
      <c r="D139" s="8" t="s">
        <v>14</v>
      </c>
      <c r="E139" s="43" t="s">
        <v>341</v>
      </c>
      <c r="F139" s="43" t="s">
        <v>192</v>
      </c>
      <c r="G139" s="10" t="n">
        <v>2.9</v>
      </c>
      <c r="I139" s="10" t="n">
        <v>2.9</v>
      </c>
      <c r="J139" s="10" t="n">
        <v>2.9</v>
      </c>
      <c r="K139" s="10" t="n">
        <v>2.9</v>
      </c>
      <c r="L139" s="10" t="n">
        <v>2.9</v>
      </c>
    </row>
    <row r="140" customFormat="false" ht="15" hidden="false" customHeight="false" outlineLevel="0" collapsed="false">
      <c r="A140" s="42" t="s">
        <v>342</v>
      </c>
      <c r="B140" s="8" t="s">
        <v>32</v>
      </c>
      <c r="C140" s="8" t="s">
        <v>13</v>
      </c>
      <c r="D140" s="8" t="s">
        <v>14</v>
      </c>
      <c r="E140" s="43" t="s">
        <v>343</v>
      </c>
      <c r="F140" s="43" t="s">
        <v>38</v>
      </c>
      <c r="G140" s="10" t="n">
        <v>1</v>
      </c>
      <c r="I140" s="10" t="n">
        <v>1</v>
      </c>
      <c r="J140" s="10" t="n">
        <v>1</v>
      </c>
      <c r="K140" s="10" t="n">
        <v>1</v>
      </c>
      <c r="L140" s="10" t="n">
        <v>1</v>
      </c>
    </row>
    <row r="141" customFormat="false" ht="15" hidden="false" customHeight="false" outlineLevel="0" collapsed="false">
      <c r="A141" s="42" t="s">
        <v>344</v>
      </c>
      <c r="B141" s="8" t="s">
        <v>32</v>
      </c>
      <c r="C141" s="8" t="s">
        <v>13</v>
      </c>
      <c r="D141" s="8" t="s">
        <v>14</v>
      </c>
      <c r="E141" s="43" t="s">
        <v>345</v>
      </c>
      <c r="F141" s="43" t="s">
        <v>192</v>
      </c>
      <c r="G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</row>
    <row r="142" customFormat="false" ht="15" hidden="false" customHeight="false" outlineLevel="0" collapsed="false">
      <c r="A142" s="45" t="s">
        <v>346</v>
      </c>
      <c r="B142" s="8" t="s">
        <v>32</v>
      </c>
      <c r="C142" s="8" t="s">
        <v>13</v>
      </c>
      <c r="D142" s="8" t="s">
        <v>14</v>
      </c>
      <c r="E142" s="46" t="s">
        <v>347</v>
      </c>
      <c r="F142" s="46" t="s">
        <v>300</v>
      </c>
      <c r="G142" s="10" t="n">
        <v>0.000166666666666667</v>
      </c>
      <c r="I142" s="10" t="n">
        <f aca="false">0.01*3</f>
        <v>0.03</v>
      </c>
      <c r="J142" s="10" t="n">
        <f aca="false">0.01*3</f>
        <v>0.03</v>
      </c>
      <c r="K142" s="10" t="n">
        <f aca="false">0.01*3</f>
        <v>0.03</v>
      </c>
      <c r="L142" s="10" t="n">
        <f aca="false">0.01*3</f>
        <v>0.03</v>
      </c>
    </row>
    <row r="143" customFormat="false" ht="15" hidden="false" customHeight="false" outlineLevel="0" collapsed="false">
      <c r="A143" s="38" t="s">
        <v>348</v>
      </c>
      <c r="B143" s="8" t="s">
        <v>32</v>
      </c>
      <c r="C143" s="8" t="s">
        <v>13</v>
      </c>
      <c r="D143" s="8" t="s">
        <v>14</v>
      </c>
      <c r="E143" s="39" t="s">
        <v>349</v>
      </c>
      <c r="F143" s="39" t="s">
        <v>300</v>
      </c>
      <c r="G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</row>
    <row r="144" customFormat="false" ht="15" hidden="false" customHeight="false" outlineLevel="0" collapsed="false">
      <c r="A144" s="38" t="s">
        <v>350</v>
      </c>
      <c r="B144" s="8" t="s">
        <v>32</v>
      </c>
      <c r="C144" s="8" t="s">
        <v>13</v>
      </c>
      <c r="D144" s="8" t="s">
        <v>14</v>
      </c>
      <c r="E144" s="39" t="s">
        <v>351</v>
      </c>
      <c r="F144" s="39" t="s">
        <v>300</v>
      </c>
      <c r="G144" s="10" t="n">
        <v>0.002</v>
      </c>
      <c r="I144" s="10" t="n">
        <v>0.002</v>
      </c>
      <c r="J144" s="10" t="n">
        <v>0.002</v>
      </c>
      <c r="K144" s="10" t="n">
        <v>0.002</v>
      </c>
      <c r="L144" s="10" t="n">
        <v>0.002</v>
      </c>
    </row>
    <row r="145" customFormat="false" ht="15" hidden="false" customHeight="false" outlineLevel="0" collapsed="false">
      <c r="A145" s="38" t="s">
        <v>352</v>
      </c>
      <c r="B145" s="8" t="s">
        <v>32</v>
      </c>
      <c r="C145" s="8" t="s">
        <v>13</v>
      </c>
      <c r="D145" s="8" t="s">
        <v>14</v>
      </c>
      <c r="E145" s="39" t="s">
        <v>353</v>
      </c>
      <c r="F145" s="39" t="s">
        <v>300</v>
      </c>
      <c r="G145" s="10" t="n">
        <v>4E-006</v>
      </c>
      <c r="I145" s="10" t="n">
        <v>4E-006</v>
      </c>
      <c r="J145" s="10" t="n">
        <v>4E-006</v>
      </c>
      <c r="K145" s="10" t="n">
        <v>4E-006</v>
      </c>
      <c r="L145" s="10" t="n">
        <v>4E-006</v>
      </c>
    </row>
    <row r="146" customFormat="false" ht="15" hidden="false" customHeight="false" outlineLevel="0" collapsed="false">
      <c r="A146" s="38" t="s">
        <v>354</v>
      </c>
      <c r="B146" s="8" t="s">
        <v>32</v>
      </c>
      <c r="C146" s="8" t="s">
        <v>13</v>
      </c>
      <c r="D146" s="8" t="s">
        <v>14</v>
      </c>
      <c r="E146" s="39" t="s">
        <v>355</v>
      </c>
      <c r="F146" s="39" t="s">
        <v>356</v>
      </c>
      <c r="G146" s="10" t="n">
        <v>3.77E-010</v>
      </c>
      <c r="I146" s="10" t="n">
        <v>3.77E-010</v>
      </c>
      <c r="J146" s="10" t="n">
        <v>3.77E-010</v>
      </c>
      <c r="K146" s="10" t="n">
        <v>3.77E-010</v>
      </c>
      <c r="L146" s="10" t="n">
        <v>3.77E-010</v>
      </c>
    </row>
    <row r="147" customFormat="false" ht="15" hidden="false" customHeight="false" outlineLevel="0" collapsed="false">
      <c r="A147" s="38" t="s">
        <v>357</v>
      </c>
      <c r="B147" s="8" t="s">
        <v>32</v>
      </c>
      <c r="C147" s="8" t="s">
        <v>13</v>
      </c>
      <c r="D147" s="8" t="s">
        <v>14</v>
      </c>
      <c r="E147" s="39" t="s">
        <v>358</v>
      </c>
      <c r="F147" s="39" t="s">
        <v>243</v>
      </c>
      <c r="G147" s="10" t="n">
        <v>20</v>
      </c>
      <c r="I147" s="10" t="n">
        <v>20</v>
      </c>
      <c r="J147" s="10" t="n">
        <v>20</v>
      </c>
      <c r="K147" s="10" t="n">
        <v>20</v>
      </c>
      <c r="L147" s="10" t="n">
        <v>20</v>
      </c>
    </row>
    <row r="148" customFormat="false" ht="15" hidden="false" customHeight="false" outlineLevel="0" collapsed="false">
      <c r="A148" s="38" t="s">
        <v>359</v>
      </c>
      <c r="B148" s="8" t="s">
        <v>32</v>
      </c>
      <c r="C148" s="8" t="s">
        <v>13</v>
      </c>
      <c r="D148" s="8" t="s">
        <v>14</v>
      </c>
      <c r="E148" s="39" t="s">
        <v>360</v>
      </c>
      <c r="F148" s="39" t="s">
        <v>329</v>
      </c>
      <c r="G148" s="10" t="n">
        <v>-0.06</v>
      </c>
      <c r="I148" s="10" t="n">
        <v>-0.06</v>
      </c>
      <c r="J148" s="10" t="n">
        <v>-0.06</v>
      </c>
      <c r="K148" s="10" t="n">
        <v>-0.06</v>
      </c>
      <c r="L148" s="10" t="n">
        <v>-0.06</v>
      </c>
    </row>
    <row r="149" customFormat="false" ht="15" hidden="false" customHeight="false" outlineLevel="0" collapsed="false">
      <c r="A149" s="38" t="s">
        <v>361</v>
      </c>
      <c r="B149" s="8" t="s">
        <v>32</v>
      </c>
      <c r="C149" s="8" t="s">
        <v>13</v>
      </c>
      <c r="D149" s="8" t="s">
        <v>14</v>
      </c>
      <c r="E149" s="39" t="s">
        <v>362</v>
      </c>
      <c r="F149" s="39" t="s">
        <v>192</v>
      </c>
      <c r="G149" s="10" t="n">
        <v>0.891</v>
      </c>
      <c r="I149" s="10" t="n">
        <v>0.891</v>
      </c>
      <c r="J149" s="10" t="n">
        <v>0.891</v>
      </c>
      <c r="K149" s="10" t="n">
        <v>0.891</v>
      </c>
      <c r="L149" s="10" t="n">
        <v>0.891</v>
      </c>
    </row>
    <row r="150" customFormat="false" ht="15" hidden="false" customHeight="false" outlineLevel="0" collapsed="false">
      <c r="A150" s="38" t="s">
        <v>363</v>
      </c>
      <c r="B150" s="8" t="s">
        <v>32</v>
      </c>
      <c r="C150" s="8" t="s">
        <v>13</v>
      </c>
      <c r="D150" s="8" t="s">
        <v>14</v>
      </c>
      <c r="E150" s="39" t="s">
        <v>364</v>
      </c>
      <c r="F150" s="39" t="s">
        <v>38</v>
      </c>
      <c r="G150" s="10" t="n">
        <v>1</v>
      </c>
      <c r="I150" s="10" t="n">
        <v>1</v>
      </c>
      <c r="J150" s="10" t="n">
        <v>1</v>
      </c>
      <c r="K150" s="10" t="n">
        <v>1</v>
      </c>
      <c r="L150" s="10" t="n">
        <v>1</v>
      </c>
    </row>
    <row r="151" customFormat="false" ht="15" hidden="false" customHeight="false" outlineLevel="0" collapsed="false">
      <c r="A151" s="38" t="s">
        <v>365</v>
      </c>
      <c r="B151" s="8" t="s">
        <v>32</v>
      </c>
      <c r="C151" s="8" t="s">
        <v>13</v>
      </c>
      <c r="D151" s="8" t="s">
        <v>14</v>
      </c>
      <c r="E151" s="39" t="s">
        <v>366</v>
      </c>
      <c r="F151" s="39" t="s">
        <v>300</v>
      </c>
      <c r="G151" s="10" t="n">
        <v>4E-005</v>
      </c>
      <c r="I151" s="10" t="n">
        <v>4E-005</v>
      </c>
      <c r="J151" s="10" t="n">
        <v>4E-005</v>
      </c>
      <c r="K151" s="10" t="n">
        <v>4E-005</v>
      </c>
      <c r="L151" s="10" t="n">
        <v>4E-005</v>
      </c>
    </row>
    <row r="152" customFormat="false" ht="15" hidden="false" customHeight="false" outlineLevel="0" collapsed="false">
      <c r="A152" s="25" t="s">
        <v>367</v>
      </c>
      <c r="B152" s="8" t="s">
        <v>32</v>
      </c>
      <c r="C152" s="8" t="s">
        <v>13</v>
      </c>
      <c r="D152" s="8" t="s">
        <v>14</v>
      </c>
      <c r="E152" s="26" t="s">
        <v>368</v>
      </c>
      <c r="F152" s="26" t="s">
        <v>356</v>
      </c>
      <c r="G152" s="10" t="n">
        <v>5.83333333333333E-009</v>
      </c>
      <c r="I152" s="10" t="n">
        <v>5.83333333333333E-009</v>
      </c>
      <c r="J152" s="10" t="n">
        <v>5.83333333333333E-009</v>
      </c>
      <c r="K152" s="10" t="n">
        <v>5.83333333333333E-009</v>
      </c>
      <c r="L152" s="10" t="n">
        <v>5.83333333333333E-009</v>
      </c>
    </row>
    <row r="153" customFormat="false" ht="15" hidden="false" customHeight="false" outlineLevel="0" collapsed="false">
      <c r="A153" s="25" t="s">
        <v>369</v>
      </c>
      <c r="B153" s="8" t="s">
        <v>32</v>
      </c>
      <c r="C153" s="8" t="s">
        <v>13</v>
      </c>
      <c r="D153" s="8" t="s">
        <v>14</v>
      </c>
      <c r="E153" s="26" t="s">
        <v>370</v>
      </c>
      <c r="F153" s="26" t="s">
        <v>243</v>
      </c>
      <c r="G153" s="10" t="n">
        <v>20</v>
      </c>
      <c r="I153" s="10" t="n">
        <v>20</v>
      </c>
      <c r="J153" s="10" t="n">
        <v>20</v>
      </c>
      <c r="K153" s="10" t="n">
        <v>20</v>
      </c>
      <c r="L153" s="10" t="n">
        <v>20</v>
      </c>
    </row>
    <row r="154" customFormat="false" ht="15" hidden="false" customHeight="false" outlineLevel="0" collapsed="false">
      <c r="A154" s="25" t="s">
        <v>371</v>
      </c>
      <c r="B154" s="8" t="s">
        <v>32</v>
      </c>
      <c r="C154" s="8" t="s">
        <v>13</v>
      </c>
      <c r="D154" s="8" t="s">
        <v>14</v>
      </c>
      <c r="E154" s="26" t="s">
        <v>372</v>
      </c>
      <c r="F154" s="26" t="s">
        <v>329</v>
      </c>
      <c r="G154" s="10" t="n">
        <v>-0.06</v>
      </c>
      <c r="I154" s="10" t="n">
        <v>-0.06</v>
      </c>
      <c r="J154" s="10" t="n">
        <v>-0.06</v>
      </c>
      <c r="K154" s="10" t="n">
        <v>-0.06</v>
      </c>
      <c r="L154" s="10" t="n">
        <v>-0.06</v>
      </c>
    </row>
    <row r="155" customFormat="false" ht="15" hidden="false" customHeight="false" outlineLevel="0" collapsed="false">
      <c r="A155" s="25" t="s">
        <v>373</v>
      </c>
      <c r="B155" s="8" t="s">
        <v>32</v>
      </c>
      <c r="C155" s="8" t="s">
        <v>13</v>
      </c>
      <c r="D155" s="8" t="s">
        <v>14</v>
      </c>
      <c r="E155" s="26" t="s">
        <v>374</v>
      </c>
      <c r="F155" s="26" t="s">
        <v>192</v>
      </c>
      <c r="G155" s="10" t="n">
        <v>0.891</v>
      </c>
      <c r="I155" s="10" t="n">
        <v>0.891</v>
      </c>
      <c r="J155" s="10" t="n">
        <v>0.891</v>
      </c>
      <c r="K155" s="10" t="n">
        <v>0.891</v>
      </c>
      <c r="L155" s="10" t="n">
        <v>0.891</v>
      </c>
    </row>
    <row r="156" customFormat="false" ht="15" hidden="false" customHeight="false" outlineLevel="0" collapsed="false">
      <c r="A156" s="25" t="s">
        <v>375</v>
      </c>
      <c r="B156" s="8" t="s">
        <v>32</v>
      </c>
      <c r="C156" s="8" t="s">
        <v>13</v>
      </c>
      <c r="D156" s="8" t="s">
        <v>14</v>
      </c>
      <c r="E156" s="26" t="s">
        <v>376</v>
      </c>
      <c r="F156" s="26" t="s">
        <v>38</v>
      </c>
      <c r="G156" s="10" t="n">
        <v>1</v>
      </c>
      <c r="I156" s="10" t="n">
        <v>1</v>
      </c>
      <c r="J156" s="10" t="n">
        <v>1</v>
      </c>
      <c r="K156" s="10" t="n">
        <v>1</v>
      </c>
      <c r="L156" s="10" t="n">
        <v>1</v>
      </c>
    </row>
    <row r="157" customFormat="false" ht="15" hidden="false" customHeight="false" outlineLevel="0" collapsed="false">
      <c r="A157" s="25" t="s">
        <v>377</v>
      </c>
      <c r="B157" s="8" t="s">
        <v>32</v>
      </c>
      <c r="C157" s="8" t="s">
        <v>13</v>
      </c>
      <c r="D157" s="8" t="s">
        <v>14</v>
      </c>
      <c r="E157" s="26" t="s">
        <v>378</v>
      </c>
      <c r="F157" s="26" t="s">
        <v>300</v>
      </c>
      <c r="G157" s="10" t="n">
        <v>4E-005</v>
      </c>
      <c r="I157" s="10" t="n">
        <v>4E-005</v>
      </c>
      <c r="J157" s="10" t="n">
        <v>4E-005</v>
      </c>
      <c r="K157" s="10" t="n">
        <v>4E-005</v>
      </c>
      <c r="L157" s="10" t="n">
        <v>4E-005</v>
      </c>
    </row>
    <row r="158" customFormat="false" ht="15" hidden="false" customHeight="false" outlineLevel="0" collapsed="false">
      <c r="A158" s="22" t="s">
        <v>379</v>
      </c>
      <c r="B158" s="8" t="s">
        <v>32</v>
      </c>
      <c r="C158" s="8" t="s">
        <v>13</v>
      </c>
      <c r="D158" s="8" t="s">
        <v>14</v>
      </c>
      <c r="E158" s="23" t="s">
        <v>380</v>
      </c>
      <c r="F158" s="23" t="s">
        <v>356</v>
      </c>
      <c r="G158" s="10" t="n">
        <v>5E-008</v>
      </c>
      <c r="I158" s="10" t="n">
        <v>4E-008</v>
      </c>
      <c r="J158" s="10" t="n">
        <v>4E-008</v>
      </c>
      <c r="K158" s="10" t="n">
        <v>4E-008</v>
      </c>
      <c r="L158" s="10" t="n">
        <v>4E-008</v>
      </c>
    </row>
    <row r="159" customFormat="false" ht="15" hidden="false" customHeight="false" outlineLevel="0" collapsed="false">
      <c r="A159" s="22" t="s">
        <v>381</v>
      </c>
      <c r="B159" s="8" t="s">
        <v>32</v>
      </c>
      <c r="C159" s="8" t="s">
        <v>13</v>
      </c>
      <c r="D159" s="8" t="s">
        <v>14</v>
      </c>
      <c r="E159" s="23" t="s">
        <v>382</v>
      </c>
      <c r="F159" s="23" t="s">
        <v>243</v>
      </c>
      <c r="G159" s="10" t="n">
        <v>20</v>
      </c>
      <c r="I159" s="10" t="n">
        <v>20</v>
      </c>
      <c r="J159" s="10" t="n">
        <v>20</v>
      </c>
      <c r="K159" s="10" t="n">
        <v>20</v>
      </c>
      <c r="L159" s="10" t="n">
        <v>20</v>
      </c>
    </row>
    <row r="160" customFormat="false" ht="15" hidden="false" customHeight="false" outlineLevel="0" collapsed="false">
      <c r="A160" s="22" t="s">
        <v>383</v>
      </c>
      <c r="B160" s="8" t="s">
        <v>32</v>
      </c>
      <c r="C160" s="8" t="s">
        <v>13</v>
      </c>
      <c r="D160" s="8" t="s">
        <v>14</v>
      </c>
      <c r="E160" s="23" t="s">
        <v>384</v>
      </c>
      <c r="F160" s="23" t="s">
        <v>329</v>
      </c>
      <c r="G160" s="10" t="n">
        <v>-0.0442</v>
      </c>
      <c r="I160" s="10" t="n">
        <v>-0.0442</v>
      </c>
      <c r="J160" s="10" t="n">
        <v>-0.0442</v>
      </c>
      <c r="K160" s="10" t="n">
        <v>-0.0442</v>
      </c>
      <c r="L160" s="10" t="n">
        <v>-0.0442</v>
      </c>
    </row>
    <row r="161" customFormat="false" ht="15" hidden="false" customHeight="false" outlineLevel="0" collapsed="false">
      <c r="A161" s="22" t="s">
        <v>385</v>
      </c>
      <c r="B161" s="8" t="s">
        <v>32</v>
      </c>
      <c r="C161" s="8" t="s">
        <v>13</v>
      </c>
      <c r="D161" s="8" t="s">
        <v>14</v>
      </c>
      <c r="E161" s="23" t="s">
        <v>386</v>
      </c>
      <c r="F161" s="23" t="s">
        <v>192</v>
      </c>
      <c r="G161" s="10" t="n">
        <v>1.55</v>
      </c>
      <c r="I161" s="10" t="n">
        <v>1.55</v>
      </c>
      <c r="J161" s="10" t="n">
        <v>1.55</v>
      </c>
      <c r="K161" s="10" t="n">
        <v>1.55</v>
      </c>
      <c r="L161" s="10" t="n">
        <v>1.55</v>
      </c>
    </row>
    <row r="162" customFormat="false" ht="15" hidden="false" customHeight="false" outlineLevel="0" collapsed="false">
      <c r="A162" s="22" t="s">
        <v>387</v>
      </c>
      <c r="B162" s="8" t="s">
        <v>32</v>
      </c>
      <c r="C162" s="8" t="s">
        <v>13</v>
      </c>
      <c r="D162" s="8" t="s">
        <v>14</v>
      </c>
      <c r="E162" s="23" t="s">
        <v>388</v>
      </c>
      <c r="F162" s="23" t="s">
        <v>38</v>
      </c>
      <c r="G162" s="10" t="n">
        <v>1</v>
      </c>
      <c r="I162" s="10" t="n">
        <v>1</v>
      </c>
      <c r="J162" s="10" t="n">
        <v>1</v>
      </c>
      <c r="K162" s="10" t="n">
        <v>1</v>
      </c>
      <c r="L162" s="10" t="n">
        <v>1</v>
      </c>
    </row>
    <row r="163" customFormat="false" ht="15" hidden="false" customHeight="false" outlineLevel="0" collapsed="false">
      <c r="A163" s="22" t="s">
        <v>389</v>
      </c>
      <c r="B163" s="8" t="s">
        <v>32</v>
      </c>
      <c r="C163" s="8" t="s">
        <v>13</v>
      </c>
      <c r="D163" s="8" t="s">
        <v>14</v>
      </c>
      <c r="E163" s="23" t="s">
        <v>390</v>
      </c>
      <c r="F163" s="23" t="s">
        <v>300</v>
      </c>
      <c r="G163" s="10" t="n">
        <v>0.000278</v>
      </c>
      <c r="I163" s="10" t="n">
        <v>0.000278</v>
      </c>
      <c r="J163" s="10" t="n">
        <v>0.000278</v>
      </c>
      <c r="K163" s="10" t="n">
        <v>0.000278</v>
      </c>
      <c r="L163" s="10" t="n">
        <v>0.000278</v>
      </c>
    </row>
    <row r="164" customFormat="false" ht="15" hidden="false" customHeight="false" outlineLevel="0" collapsed="false">
      <c r="A164" s="47" t="s">
        <v>391</v>
      </c>
      <c r="B164" s="8" t="s">
        <v>32</v>
      </c>
      <c r="C164" s="8" t="s">
        <v>13</v>
      </c>
      <c r="D164" s="8" t="s">
        <v>14</v>
      </c>
      <c r="E164" s="48" t="s">
        <v>392</v>
      </c>
      <c r="F164" s="48" t="s">
        <v>393</v>
      </c>
      <c r="G164" s="10" t="n">
        <v>4.73E-007</v>
      </c>
      <c r="I164" s="10" t="n">
        <f aca="false">0.0000000000025/5</f>
        <v>5E-013</v>
      </c>
      <c r="J164" s="10" t="n">
        <f aca="false">0.0000000000025/5</f>
        <v>5E-013</v>
      </c>
      <c r="K164" s="10" t="n">
        <f aca="false">0.0000000000025/5</f>
        <v>5E-013</v>
      </c>
      <c r="L164" s="10" t="n">
        <f aca="false">0.0000000000025/5</f>
        <v>5E-013</v>
      </c>
    </row>
    <row r="165" customFormat="false" ht="15" hidden="false" customHeight="false" outlineLevel="0" collapsed="false">
      <c r="A165" s="47" t="s">
        <v>394</v>
      </c>
      <c r="B165" s="8" t="s">
        <v>32</v>
      </c>
      <c r="C165" s="8" t="s">
        <v>13</v>
      </c>
      <c r="D165" s="8" t="s">
        <v>14</v>
      </c>
      <c r="E165" s="48" t="s">
        <v>395</v>
      </c>
      <c r="F165" s="48" t="s">
        <v>243</v>
      </c>
      <c r="G165" s="10" t="n">
        <v>20</v>
      </c>
      <c r="I165" s="10" t="n">
        <v>20</v>
      </c>
      <c r="J165" s="10" t="n">
        <v>20</v>
      </c>
      <c r="K165" s="10" t="n">
        <v>20</v>
      </c>
      <c r="L165" s="10" t="n">
        <v>20</v>
      </c>
    </row>
    <row r="166" customFormat="false" ht="15" hidden="false" customHeight="false" outlineLevel="0" collapsed="false">
      <c r="A166" s="47" t="s">
        <v>396</v>
      </c>
      <c r="B166" s="8" t="s">
        <v>32</v>
      </c>
      <c r="C166" s="8" t="s">
        <v>13</v>
      </c>
      <c r="D166" s="8" t="s">
        <v>14</v>
      </c>
      <c r="E166" s="48" t="s">
        <v>397</v>
      </c>
      <c r="F166" s="48" t="s">
        <v>329</v>
      </c>
      <c r="G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</row>
    <row r="167" customFormat="false" ht="15" hidden="false" customHeight="false" outlineLevel="0" collapsed="false">
      <c r="A167" s="47" t="s">
        <v>398</v>
      </c>
      <c r="B167" s="8" t="s">
        <v>32</v>
      </c>
      <c r="C167" s="8" t="s">
        <v>13</v>
      </c>
      <c r="D167" s="8" t="s">
        <v>14</v>
      </c>
      <c r="E167" s="48" t="s">
        <v>399</v>
      </c>
      <c r="F167" s="48" t="s">
        <v>192</v>
      </c>
      <c r="G167" s="10" t="n">
        <v>1</v>
      </c>
      <c r="I167" s="10" t="n">
        <v>1</v>
      </c>
      <c r="J167" s="10" t="n">
        <v>1</v>
      </c>
      <c r="K167" s="10" t="n">
        <v>1</v>
      </c>
      <c r="L167" s="10" t="n">
        <v>1</v>
      </c>
    </row>
    <row r="168" customFormat="false" ht="15" hidden="false" customHeight="false" outlineLevel="0" collapsed="false">
      <c r="A168" s="47" t="s">
        <v>400</v>
      </c>
      <c r="B168" s="8" t="s">
        <v>32</v>
      </c>
      <c r="C168" s="8" t="s">
        <v>13</v>
      </c>
      <c r="D168" s="8" t="s">
        <v>14</v>
      </c>
      <c r="E168" s="48" t="s">
        <v>401</v>
      </c>
      <c r="F168" s="48" t="s">
        <v>38</v>
      </c>
      <c r="G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</row>
    <row r="169" customFormat="false" ht="15" hidden="false" customHeight="false" outlineLevel="0" collapsed="false">
      <c r="A169" s="47" t="s">
        <v>402</v>
      </c>
      <c r="B169" s="8" t="s">
        <v>32</v>
      </c>
      <c r="C169" s="8" t="s">
        <v>13</v>
      </c>
      <c r="D169" s="8" t="s">
        <v>14</v>
      </c>
      <c r="E169" s="48" t="s">
        <v>403</v>
      </c>
      <c r="F169" s="48" t="s">
        <v>192</v>
      </c>
      <c r="G169" s="10" t="n">
        <v>0.4</v>
      </c>
      <c r="I169" s="10" t="n">
        <v>0.4</v>
      </c>
      <c r="J169" s="10" t="n">
        <v>0.4</v>
      </c>
      <c r="K169" s="10" t="n">
        <v>0.4</v>
      </c>
      <c r="L169" s="10" t="n">
        <v>0.4</v>
      </c>
    </row>
    <row r="170" customFormat="false" ht="15" hidden="false" customHeight="false" outlineLevel="0" collapsed="false">
      <c r="A170" s="49" t="s">
        <v>404</v>
      </c>
      <c r="B170" s="8" t="s">
        <v>32</v>
      </c>
      <c r="C170" s="8" t="s">
        <v>13</v>
      </c>
      <c r="D170" s="8" t="s">
        <v>14</v>
      </c>
      <c r="E170" s="50" t="s">
        <v>405</v>
      </c>
      <c r="F170" s="50" t="s">
        <v>356</v>
      </c>
      <c r="G170" s="10" t="n">
        <v>3.21E-006</v>
      </c>
      <c r="I170" s="10" t="n">
        <v>2E-009</v>
      </c>
      <c r="J170" s="10" t="n">
        <v>2E-009</v>
      </c>
      <c r="K170" s="10" t="n">
        <v>2E-009</v>
      </c>
      <c r="L170" s="10" t="n">
        <v>2E-009</v>
      </c>
    </row>
    <row r="171" customFormat="false" ht="15" hidden="false" customHeight="false" outlineLevel="0" collapsed="false">
      <c r="A171" s="49" t="s">
        <v>406</v>
      </c>
      <c r="B171" s="8" t="s">
        <v>32</v>
      </c>
      <c r="C171" s="8" t="s">
        <v>13</v>
      </c>
      <c r="D171" s="8" t="s">
        <v>14</v>
      </c>
      <c r="E171" s="50" t="s">
        <v>407</v>
      </c>
      <c r="F171" s="50" t="s">
        <v>243</v>
      </c>
      <c r="G171" s="10" t="n">
        <v>25</v>
      </c>
      <c r="I171" s="10" t="n">
        <v>25</v>
      </c>
      <c r="J171" s="10" t="n">
        <v>25</v>
      </c>
      <c r="K171" s="10" t="n">
        <v>25</v>
      </c>
      <c r="L171" s="10" t="n">
        <v>25</v>
      </c>
    </row>
    <row r="172" customFormat="false" ht="15" hidden="false" customHeight="false" outlineLevel="0" collapsed="false">
      <c r="A172" s="49" t="s">
        <v>408</v>
      </c>
      <c r="B172" s="8" t="s">
        <v>32</v>
      </c>
      <c r="C172" s="8" t="s">
        <v>13</v>
      </c>
      <c r="D172" s="8" t="s">
        <v>14</v>
      </c>
      <c r="E172" s="50" t="s">
        <v>409</v>
      </c>
      <c r="F172" s="50" t="s">
        <v>329</v>
      </c>
      <c r="G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</row>
    <row r="173" customFormat="false" ht="15" hidden="false" customHeight="false" outlineLevel="0" collapsed="false">
      <c r="A173" s="49" t="s">
        <v>410</v>
      </c>
      <c r="B173" s="8" t="s">
        <v>32</v>
      </c>
      <c r="C173" s="8" t="s">
        <v>13</v>
      </c>
      <c r="D173" s="8" t="s">
        <v>14</v>
      </c>
      <c r="E173" s="50" t="s">
        <v>411</v>
      </c>
      <c r="F173" s="50" t="s">
        <v>192</v>
      </c>
      <c r="G173" s="10" t="n">
        <v>3.98</v>
      </c>
      <c r="I173" s="10" t="n">
        <v>3.98</v>
      </c>
      <c r="J173" s="10" t="n">
        <v>3.98</v>
      </c>
      <c r="K173" s="10" t="n">
        <v>3.98</v>
      </c>
      <c r="L173" s="10" t="n">
        <v>3.98</v>
      </c>
    </row>
    <row r="174" customFormat="false" ht="15" hidden="false" customHeight="false" outlineLevel="0" collapsed="false">
      <c r="A174" s="49" t="s">
        <v>412</v>
      </c>
      <c r="B174" s="8" t="s">
        <v>32</v>
      </c>
      <c r="C174" s="8" t="s">
        <v>13</v>
      </c>
      <c r="D174" s="8" t="s">
        <v>14</v>
      </c>
      <c r="E174" s="50" t="s">
        <v>413</v>
      </c>
      <c r="F174" s="50" t="s">
        <v>38</v>
      </c>
      <c r="G174" s="10" t="n">
        <v>1</v>
      </c>
      <c r="I174" s="10" t="n">
        <v>1</v>
      </c>
      <c r="J174" s="10" t="n">
        <v>1</v>
      </c>
      <c r="K174" s="10" t="n">
        <v>1</v>
      </c>
      <c r="L174" s="10" t="n">
        <v>1</v>
      </c>
    </row>
    <row r="175" customFormat="false" ht="15" hidden="false" customHeight="false" outlineLevel="0" collapsed="false">
      <c r="A175" s="49" t="s">
        <v>414</v>
      </c>
      <c r="B175" s="8" t="s">
        <v>32</v>
      </c>
      <c r="C175" s="8" t="s">
        <v>13</v>
      </c>
      <c r="D175" s="8" t="s">
        <v>14</v>
      </c>
      <c r="E175" s="50" t="s">
        <v>415</v>
      </c>
      <c r="F175" s="50" t="s">
        <v>300</v>
      </c>
      <c r="G175" s="10" t="n">
        <v>0.000166666666666667</v>
      </c>
      <c r="I175" s="10" t="n">
        <v>0.000166666666666667</v>
      </c>
      <c r="J175" s="10" t="n">
        <v>0.000166666666666667</v>
      </c>
      <c r="K175" s="10" t="n">
        <v>0.000166666666666667</v>
      </c>
      <c r="L175" s="10" t="n">
        <v>0.000166666666666667</v>
      </c>
    </row>
    <row r="176" customFormat="false" ht="15" hidden="false" customHeight="false" outlineLevel="0" collapsed="false">
      <c r="A176" s="28" t="s">
        <v>416</v>
      </c>
      <c r="B176" s="8" t="s">
        <v>32</v>
      </c>
      <c r="C176" s="8" t="s">
        <v>13</v>
      </c>
      <c r="D176" s="8" t="s">
        <v>14</v>
      </c>
      <c r="E176" s="29" t="s">
        <v>417</v>
      </c>
      <c r="F176" s="29" t="s">
        <v>418</v>
      </c>
      <c r="G176" s="10" t="n">
        <v>1E-008</v>
      </c>
      <c r="I176" s="10" t="n">
        <v>1E-008</v>
      </c>
      <c r="J176" s="10" t="n">
        <v>1E-008</v>
      </c>
      <c r="K176" s="10" t="n">
        <v>1E-008</v>
      </c>
      <c r="L176" s="10" t="n">
        <v>1E-008</v>
      </c>
    </row>
    <row r="177" customFormat="false" ht="15" hidden="false" customHeight="false" outlineLevel="0" collapsed="false">
      <c r="A177" s="28" t="s">
        <v>419</v>
      </c>
      <c r="B177" s="8" t="s">
        <v>32</v>
      </c>
      <c r="C177" s="8" t="s">
        <v>13</v>
      </c>
      <c r="D177" s="8" t="s">
        <v>14</v>
      </c>
      <c r="E177" s="29" t="s">
        <v>420</v>
      </c>
      <c r="F177" s="29" t="s">
        <v>243</v>
      </c>
      <c r="G177" s="10" t="n">
        <v>20</v>
      </c>
      <c r="I177" s="10" t="n">
        <v>20</v>
      </c>
      <c r="J177" s="10" t="n">
        <v>20</v>
      </c>
      <c r="K177" s="10" t="n">
        <v>20</v>
      </c>
      <c r="L177" s="10" t="n">
        <v>20</v>
      </c>
    </row>
    <row r="178" customFormat="false" ht="15" hidden="false" customHeight="false" outlineLevel="0" collapsed="false">
      <c r="A178" s="28" t="s">
        <v>421</v>
      </c>
      <c r="B178" s="8" t="s">
        <v>32</v>
      </c>
      <c r="C178" s="8" t="s">
        <v>13</v>
      </c>
      <c r="D178" s="8" t="s">
        <v>14</v>
      </c>
      <c r="E178" s="29" t="s">
        <v>422</v>
      </c>
      <c r="F178" s="29" t="s">
        <v>329</v>
      </c>
      <c r="G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</row>
    <row r="179" customFormat="false" ht="15" hidden="false" customHeight="false" outlineLevel="0" collapsed="false">
      <c r="A179" s="28" t="s">
        <v>423</v>
      </c>
      <c r="B179" s="8" t="s">
        <v>32</v>
      </c>
      <c r="C179" s="8" t="s">
        <v>13</v>
      </c>
      <c r="D179" s="8" t="s">
        <v>14</v>
      </c>
      <c r="E179" s="29" t="s">
        <v>424</v>
      </c>
      <c r="F179" s="29" t="s">
        <v>192</v>
      </c>
      <c r="G179" s="10" t="n">
        <v>2</v>
      </c>
      <c r="I179" s="10" t="n">
        <v>2</v>
      </c>
      <c r="J179" s="10" t="n">
        <v>2</v>
      </c>
      <c r="K179" s="10" t="n">
        <v>2</v>
      </c>
      <c r="L179" s="10" t="n">
        <v>2</v>
      </c>
    </row>
    <row r="180" customFormat="false" ht="15" hidden="false" customHeight="false" outlineLevel="0" collapsed="false">
      <c r="A180" s="28" t="s">
        <v>425</v>
      </c>
      <c r="B180" s="8" t="s">
        <v>32</v>
      </c>
      <c r="C180" s="8" t="s">
        <v>13</v>
      </c>
      <c r="D180" s="8" t="s">
        <v>14</v>
      </c>
      <c r="E180" s="29" t="s">
        <v>426</v>
      </c>
      <c r="F180" s="29" t="s">
        <v>38</v>
      </c>
      <c r="G180" s="10" t="n">
        <v>1</v>
      </c>
      <c r="I180" s="10" t="n">
        <v>1</v>
      </c>
      <c r="J180" s="10" t="n">
        <v>1</v>
      </c>
      <c r="K180" s="10" t="n">
        <v>1</v>
      </c>
      <c r="L180" s="10" t="n">
        <v>1</v>
      </c>
    </row>
    <row r="181" customFormat="false" ht="15" hidden="false" customHeight="false" outlineLevel="0" collapsed="false">
      <c r="A181" s="28" t="s">
        <v>427</v>
      </c>
      <c r="B181" s="8" t="s">
        <v>32</v>
      </c>
      <c r="C181" s="8" t="s">
        <v>13</v>
      </c>
      <c r="D181" s="8" t="s">
        <v>14</v>
      </c>
      <c r="E181" s="29" t="s">
        <v>428</v>
      </c>
      <c r="F181" s="29" t="s">
        <v>300</v>
      </c>
      <c r="G181" s="10" t="n">
        <v>8.33333333333333E-005</v>
      </c>
      <c r="I181" s="10" t="n">
        <v>8.33333333333333E-005</v>
      </c>
      <c r="J181" s="10" t="n">
        <v>8.33333333333333E-005</v>
      </c>
      <c r="K181" s="10" t="n">
        <v>8.33333333333333E-005</v>
      </c>
      <c r="L181" s="10" t="n">
        <v>8.33333333333333E-005</v>
      </c>
    </row>
    <row r="182" customFormat="false" ht="15" hidden="false" customHeight="false" outlineLevel="0" collapsed="false">
      <c r="A182" s="28" t="s">
        <v>429</v>
      </c>
      <c r="B182" s="8" t="s">
        <v>32</v>
      </c>
      <c r="C182" s="8" t="s">
        <v>13</v>
      </c>
      <c r="D182" s="8" t="s">
        <v>14</v>
      </c>
      <c r="E182" s="29" t="s">
        <v>430</v>
      </c>
      <c r="F182" s="29" t="s">
        <v>192</v>
      </c>
      <c r="G182" s="10" t="n">
        <v>1</v>
      </c>
      <c r="I182" s="10" t="n">
        <v>1</v>
      </c>
      <c r="J182" s="10" t="n">
        <v>1</v>
      </c>
      <c r="K182" s="10" t="n">
        <v>1</v>
      </c>
      <c r="L182" s="10" t="n">
        <v>1</v>
      </c>
    </row>
    <row r="183" customFormat="false" ht="15" hidden="false" customHeight="false" outlineLevel="0" collapsed="false">
      <c r="A183" s="51" t="s">
        <v>431</v>
      </c>
      <c r="B183" s="8" t="s">
        <v>32</v>
      </c>
      <c r="C183" s="8" t="s">
        <v>13</v>
      </c>
      <c r="D183" s="8" t="s">
        <v>14</v>
      </c>
      <c r="E183" s="52" t="s">
        <v>432</v>
      </c>
      <c r="F183" s="52" t="s">
        <v>433</v>
      </c>
      <c r="G183" s="10" t="n">
        <v>2.35330507911489E-008</v>
      </c>
      <c r="I183" s="10" t="n">
        <v>2.35330507911489E-008</v>
      </c>
      <c r="J183" s="10" t="n">
        <v>2.35330507911489E-008</v>
      </c>
      <c r="K183" s="10" t="n">
        <v>2.35330507911489E-008</v>
      </c>
      <c r="L183" s="10" t="n">
        <v>2.35330507911489E-008</v>
      </c>
    </row>
    <row r="184" customFormat="false" ht="15" hidden="false" customHeight="false" outlineLevel="0" collapsed="false">
      <c r="A184" s="51" t="s">
        <v>434</v>
      </c>
      <c r="B184" s="8" t="s">
        <v>32</v>
      </c>
      <c r="C184" s="8" t="s">
        <v>13</v>
      </c>
      <c r="D184" s="8" t="s">
        <v>14</v>
      </c>
      <c r="E184" s="52" t="s">
        <v>435</v>
      </c>
      <c r="F184" s="52" t="s">
        <v>243</v>
      </c>
      <c r="G184" s="10" t="n">
        <v>20</v>
      </c>
      <c r="I184" s="10" t="n">
        <v>20</v>
      </c>
      <c r="J184" s="10" t="n">
        <v>20</v>
      </c>
      <c r="K184" s="10" t="n">
        <v>20</v>
      </c>
      <c r="L184" s="10" t="n">
        <v>20</v>
      </c>
    </row>
    <row r="185" customFormat="false" ht="15" hidden="false" customHeight="false" outlineLevel="0" collapsed="false">
      <c r="A185" s="51" t="s">
        <v>436</v>
      </c>
      <c r="B185" s="8" t="s">
        <v>32</v>
      </c>
      <c r="C185" s="8" t="s">
        <v>13</v>
      </c>
      <c r="D185" s="8" t="s">
        <v>14</v>
      </c>
      <c r="E185" s="52" t="s">
        <v>437</v>
      </c>
      <c r="F185" s="52" t="s">
        <v>329</v>
      </c>
      <c r="G185" s="10" t="n">
        <v>-0.187</v>
      </c>
      <c r="I185" s="10" t="n">
        <v>-0.187</v>
      </c>
      <c r="J185" s="10" t="n">
        <v>-0.187</v>
      </c>
      <c r="K185" s="10" t="n">
        <v>-0.187</v>
      </c>
      <c r="L185" s="10" t="n">
        <v>-0.187</v>
      </c>
    </row>
    <row r="186" customFormat="false" ht="15" hidden="false" customHeight="false" outlineLevel="0" collapsed="false">
      <c r="A186" s="51" t="s">
        <v>438</v>
      </c>
      <c r="B186" s="8" t="s">
        <v>32</v>
      </c>
      <c r="C186" s="8" t="s">
        <v>13</v>
      </c>
      <c r="D186" s="8" t="s">
        <v>14</v>
      </c>
      <c r="E186" s="52" t="s">
        <v>439</v>
      </c>
      <c r="F186" s="52" t="s">
        <v>192</v>
      </c>
      <c r="G186" s="10" t="n">
        <v>2.48</v>
      </c>
      <c r="I186" s="10" t="n">
        <v>2.48</v>
      </c>
      <c r="J186" s="10" t="n">
        <v>2.48</v>
      </c>
      <c r="K186" s="10" t="n">
        <v>2.48</v>
      </c>
      <c r="L186" s="10" t="n">
        <v>2.48</v>
      </c>
    </row>
    <row r="187" customFormat="false" ht="15" hidden="false" customHeight="false" outlineLevel="0" collapsed="false">
      <c r="A187" s="51" t="s">
        <v>440</v>
      </c>
      <c r="B187" s="8" t="s">
        <v>32</v>
      </c>
      <c r="C187" s="8" t="s">
        <v>13</v>
      </c>
      <c r="D187" s="8" t="s">
        <v>14</v>
      </c>
      <c r="E187" s="52" t="s">
        <v>441</v>
      </c>
      <c r="F187" s="52" t="s">
        <v>38</v>
      </c>
      <c r="G187" s="10" t="n">
        <v>1</v>
      </c>
      <c r="I187" s="10" t="n">
        <v>1</v>
      </c>
      <c r="J187" s="10" t="n">
        <v>1</v>
      </c>
      <c r="K187" s="10" t="n">
        <v>1</v>
      </c>
      <c r="L187" s="10" t="n">
        <v>1</v>
      </c>
    </row>
    <row r="188" customFormat="false" ht="15" hidden="false" customHeight="false" outlineLevel="0" collapsed="false">
      <c r="A188" s="51" t="s">
        <v>442</v>
      </c>
      <c r="B188" s="8" t="s">
        <v>32</v>
      </c>
      <c r="C188" s="8" t="s">
        <v>13</v>
      </c>
      <c r="D188" s="8" t="s">
        <v>14</v>
      </c>
      <c r="E188" s="52" t="s">
        <v>443</v>
      </c>
      <c r="F188" s="52" t="s">
        <v>444</v>
      </c>
      <c r="G188" s="10" t="n">
        <v>0.00061060227588121</v>
      </c>
      <c r="I188" s="10" t="n">
        <v>0.00061060227588121</v>
      </c>
      <c r="J188" s="10" t="n">
        <v>0.00061060227588121</v>
      </c>
      <c r="K188" s="10" t="n">
        <v>0.00061060227588121</v>
      </c>
      <c r="L188" s="10" t="n">
        <v>0.00061060227588121</v>
      </c>
    </row>
    <row r="189" customFormat="false" ht="15" hidden="false" customHeight="false" outlineLevel="0" collapsed="false">
      <c r="A189" s="38" t="s">
        <v>445</v>
      </c>
      <c r="B189" s="8" t="s">
        <v>32</v>
      </c>
      <c r="C189" s="8" t="s">
        <v>13</v>
      </c>
      <c r="D189" s="8" t="s">
        <v>14</v>
      </c>
      <c r="E189" s="39" t="s">
        <v>446</v>
      </c>
      <c r="F189" s="39" t="s">
        <v>356</v>
      </c>
      <c r="G189" s="10" t="n">
        <v>6.41E-009</v>
      </c>
      <c r="I189" s="10" t="n">
        <v>4E-007</v>
      </c>
      <c r="J189" s="10" t="n">
        <v>4E-007</v>
      </c>
      <c r="K189" s="10" t="n">
        <v>4E-007</v>
      </c>
      <c r="L189" s="10" t="n">
        <v>4E-007</v>
      </c>
    </row>
    <row r="190" customFormat="false" ht="15" hidden="false" customHeight="false" outlineLevel="0" collapsed="false">
      <c r="A190" s="38" t="s">
        <v>447</v>
      </c>
      <c r="B190" s="8" t="s">
        <v>32</v>
      </c>
      <c r="C190" s="8" t="s">
        <v>13</v>
      </c>
      <c r="D190" s="8" t="s">
        <v>14</v>
      </c>
      <c r="E190" s="39" t="s">
        <v>448</v>
      </c>
      <c r="F190" s="39" t="s">
        <v>243</v>
      </c>
      <c r="G190" s="10" t="n">
        <v>25</v>
      </c>
      <c r="I190" s="10" t="n">
        <v>25</v>
      </c>
      <c r="J190" s="10" t="n">
        <v>25</v>
      </c>
      <c r="K190" s="10" t="n">
        <v>25</v>
      </c>
      <c r="L190" s="10" t="n">
        <v>25</v>
      </c>
    </row>
    <row r="191" customFormat="false" ht="15" hidden="false" customHeight="false" outlineLevel="0" collapsed="false">
      <c r="A191" s="38" t="s">
        <v>449</v>
      </c>
      <c r="B191" s="8" t="s">
        <v>32</v>
      </c>
      <c r="C191" s="8" t="s">
        <v>13</v>
      </c>
      <c r="D191" s="8" t="s">
        <v>14</v>
      </c>
      <c r="E191" s="39" t="s">
        <v>450</v>
      </c>
      <c r="F191" s="39" t="s">
        <v>329</v>
      </c>
      <c r="G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</row>
    <row r="192" customFormat="false" ht="15" hidden="false" customHeight="false" outlineLevel="0" collapsed="false">
      <c r="A192" s="38" t="s">
        <v>451</v>
      </c>
      <c r="B192" s="8" t="s">
        <v>32</v>
      </c>
      <c r="C192" s="8" t="s">
        <v>13</v>
      </c>
      <c r="D192" s="8" t="s">
        <v>14</v>
      </c>
      <c r="E192" s="39" t="s">
        <v>452</v>
      </c>
      <c r="F192" s="39" t="s">
        <v>192</v>
      </c>
      <c r="G192" s="10" t="n">
        <v>3.98</v>
      </c>
      <c r="I192" s="10" t="n">
        <v>3.98</v>
      </c>
      <c r="J192" s="10" t="n">
        <v>3.98</v>
      </c>
      <c r="K192" s="10" t="n">
        <v>3.98</v>
      </c>
      <c r="L192" s="10" t="n">
        <v>3.98</v>
      </c>
    </row>
    <row r="193" customFormat="false" ht="15" hidden="false" customHeight="false" outlineLevel="0" collapsed="false">
      <c r="A193" s="38" t="s">
        <v>453</v>
      </c>
      <c r="B193" s="8" t="s">
        <v>32</v>
      </c>
      <c r="C193" s="8" t="s">
        <v>13</v>
      </c>
      <c r="D193" s="8" t="s">
        <v>14</v>
      </c>
      <c r="E193" s="39" t="s">
        <v>454</v>
      </c>
      <c r="F193" s="39" t="s">
        <v>38</v>
      </c>
      <c r="G193" s="10" t="n">
        <v>1</v>
      </c>
      <c r="I193" s="10" t="n">
        <v>1</v>
      </c>
      <c r="J193" s="10" t="n">
        <v>1</v>
      </c>
      <c r="K193" s="10" t="n">
        <v>1</v>
      </c>
      <c r="L193" s="10" t="n">
        <v>1</v>
      </c>
    </row>
    <row r="194" customFormat="false" ht="15" hidden="false" customHeight="false" outlineLevel="0" collapsed="false">
      <c r="A194" s="38" t="s">
        <v>455</v>
      </c>
      <c r="B194" s="8" t="s">
        <v>32</v>
      </c>
      <c r="C194" s="8" t="s">
        <v>13</v>
      </c>
      <c r="D194" s="8" t="s">
        <v>14</v>
      </c>
      <c r="E194" s="39" t="s">
        <v>456</v>
      </c>
      <c r="F194" s="39" t="s">
        <v>300</v>
      </c>
      <c r="G194" s="10" t="n">
        <v>8.33333333333333E-005</v>
      </c>
      <c r="I194" s="10" t="n">
        <v>8.33333333333333E-005</v>
      </c>
      <c r="J194" s="10" t="n">
        <v>8.33333333333333E-005</v>
      </c>
      <c r="K194" s="10" t="n">
        <v>8.33333333333333E-005</v>
      </c>
      <c r="L194" s="10" t="n">
        <v>8.33333333333333E-005</v>
      </c>
    </row>
    <row r="195" customFormat="false" ht="15" hidden="false" customHeight="false" outlineLevel="0" collapsed="false">
      <c r="A195" s="20" t="s">
        <v>457</v>
      </c>
      <c r="B195" s="8" t="s">
        <v>32</v>
      </c>
      <c r="C195" s="8" t="s">
        <v>13</v>
      </c>
      <c r="D195" s="8" t="s">
        <v>14</v>
      </c>
      <c r="E195" s="21" t="s">
        <v>458</v>
      </c>
      <c r="F195" s="21" t="s">
        <v>356</v>
      </c>
      <c r="G195" s="10" t="n">
        <v>6.41E-009</v>
      </c>
      <c r="I195" s="10" t="n">
        <v>4E-007</v>
      </c>
      <c r="J195" s="10" t="n">
        <v>4E-007</v>
      </c>
      <c r="K195" s="10" t="n">
        <v>4E-007</v>
      </c>
      <c r="L195" s="10" t="n">
        <v>4E-007</v>
      </c>
    </row>
    <row r="196" customFormat="false" ht="15" hidden="false" customHeight="false" outlineLevel="0" collapsed="false">
      <c r="A196" s="20" t="s">
        <v>459</v>
      </c>
      <c r="B196" s="8" t="s">
        <v>32</v>
      </c>
      <c r="C196" s="8" t="s">
        <v>13</v>
      </c>
      <c r="D196" s="8" t="s">
        <v>14</v>
      </c>
      <c r="E196" s="21" t="s">
        <v>460</v>
      </c>
      <c r="F196" s="21" t="s">
        <v>243</v>
      </c>
      <c r="G196" s="10" t="n">
        <v>25</v>
      </c>
      <c r="I196" s="10" t="n">
        <v>25</v>
      </c>
      <c r="J196" s="10" t="n">
        <v>25</v>
      </c>
      <c r="K196" s="10" t="n">
        <v>25</v>
      </c>
      <c r="L196" s="10" t="n">
        <v>25</v>
      </c>
    </row>
    <row r="197" customFormat="false" ht="15" hidden="false" customHeight="false" outlineLevel="0" collapsed="false">
      <c r="A197" s="20" t="s">
        <v>461</v>
      </c>
      <c r="B197" s="8" t="s">
        <v>32</v>
      </c>
      <c r="C197" s="8" t="s">
        <v>13</v>
      </c>
      <c r="D197" s="8" t="s">
        <v>14</v>
      </c>
      <c r="E197" s="21" t="s">
        <v>462</v>
      </c>
      <c r="F197" s="21" t="s">
        <v>329</v>
      </c>
      <c r="G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</row>
    <row r="198" customFormat="false" ht="15" hidden="false" customHeight="false" outlineLevel="0" collapsed="false">
      <c r="A198" s="20" t="s">
        <v>463</v>
      </c>
      <c r="B198" s="8" t="s">
        <v>32</v>
      </c>
      <c r="C198" s="8" t="s">
        <v>13</v>
      </c>
      <c r="D198" s="8" t="s">
        <v>14</v>
      </c>
      <c r="E198" s="21" t="s">
        <v>464</v>
      </c>
      <c r="F198" s="21" t="s">
        <v>192</v>
      </c>
      <c r="G198" s="10" t="n">
        <v>3.98</v>
      </c>
      <c r="I198" s="10" t="n">
        <v>3.98</v>
      </c>
      <c r="J198" s="10" t="n">
        <v>3.98</v>
      </c>
      <c r="K198" s="10" t="n">
        <v>3.98</v>
      </c>
      <c r="L198" s="10" t="n">
        <v>3.98</v>
      </c>
    </row>
    <row r="199" customFormat="false" ht="15" hidden="false" customHeight="false" outlineLevel="0" collapsed="false">
      <c r="A199" s="20" t="s">
        <v>465</v>
      </c>
      <c r="B199" s="8" t="s">
        <v>32</v>
      </c>
      <c r="C199" s="8" t="s">
        <v>13</v>
      </c>
      <c r="D199" s="8" t="s">
        <v>14</v>
      </c>
      <c r="E199" s="21" t="s">
        <v>466</v>
      </c>
      <c r="F199" s="21" t="s">
        <v>38</v>
      </c>
      <c r="G199" s="10" t="n">
        <v>1</v>
      </c>
      <c r="I199" s="10" t="n">
        <v>1</v>
      </c>
      <c r="J199" s="10" t="n">
        <v>1</v>
      </c>
      <c r="K199" s="10" t="n">
        <v>1</v>
      </c>
      <c r="L199" s="10" t="n">
        <v>1</v>
      </c>
    </row>
    <row r="200" customFormat="false" ht="15" hidden="false" customHeight="false" outlineLevel="0" collapsed="false">
      <c r="A200" s="20" t="s">
        <v>467</v>
      </c>
      <c r="B200" s="8" t="s">
        <v>32</v>
      </c>
      <c r="C200" s="8" t="s">
        <v>13</v>
      </c>
      <c r="D200" s="8" t="s">
        <v>14</v>
      </c>
      <c r="E200" s="21" t="s">
        <v>468</v>
      </c>
      <c r="F200" s="21" t="s">
        <v>300</v>
      </c>
      <c r="G200" s="10" t="n">
        <v>8.33333333333333E-005</v>
      </c>
      <c r="I200" s="10" t="n">
        <v>8.33333333333333E-005</v>
      </c>
      <c r="J200" s="10" t="n">
        <v>8.33333333333333E-005</v>
      </c>
      <c r="K200" s="10" t="n">
        <v>8.33333333333333E-005</v>
      </c>
      <c r="L200" s="10" t="n">
        <v>8.33333333333333E-005</v>
      </c>
    </row>
    <row r="201" customFormat="false" ht="15" hidden="false" customHeight="false" outlineLevel="0" collapsed="false">
      <c r="A201" s="53" t="s">
        <v>469</v>
      </c>
      <c r="B201" s="8" t="s">
        <v>32</v>
      </c>
      <c r="C201" s="8" t="s">
        <v>13</v>
      </c>
      <c r="D201" s="8" t="s">
        <v>14</v>
      </c>
      <c r="E201" s="54" t="s">
        <v>470</v>
      </c>
      <c r="F201" s="54" t="s">
        <v>471</v>
      </c>
      <c r="G201" s="10" t="n">
        <v>3.205E-009</v>
      </c>
      <c r="I201" s="10" t="n">
        <v>2E-007</v>
      </c>
      <c r="J201" s="10" t="n">
        <v>2E-007</v>
      </c>
      <c r="K201" s="10" t="n">
        <v>2E-007</v>
      </c>
      <c r="L201" s="10" t="n">
        <v>2E-007</v>
      </c>
    </row>
    <row r="202" customFormat="false" ht="15" hidden="false" customHeight="false" outlineLevel="0" collapsed="false">
      <c r="A202" s="53" t="s">
        <v>472</v>
      </c>
      <c r="B202" s="8" t="s">
        <v>32</v>
      </c>
      <c r="C202" s="8" t="s">
        <v>13</v>
      </c>
      <c r="D202" s="8" t="s">
        <v>14</v>
      </c>
      <c r="E202" s="54" t="s">
        <v>473</v>
      </c>
      <c r="F202" s="54" t="s">
        <v>243</v>
      </c>
      <c r="G202" s="10" t="n">
        <v>25</v>
      </c>
      <c r="I202" s="10" t="n">
        <v>25</v>
      </c>
      <c r="J202" s="10" t="n">
        <v>25</v>
      </c>
      <c r="K202" s="10" t="n">
        <v>25</v>
      </c>
      <c r="L202" s="10" t="n">
        <v>25</v>
      </c>
    </row>
    <row r="203" customFormat="false" ht="15" hidden="false" customHeight="false" outlineLevel="0" collapsed="false">
      <c r="A203" s="53" t="s">
        <v>474</v>
      </c>
      <c r="B203" s="8" t="s">
        <v>32</v>
      </c>
      <c r="C203" s="8" t="s">
        <v>13</v>
      </c>
      <c r="D203" s="8" t="s">
        <v>14</v>
      </c>
      <c r="E203" s="54" t="s">
        <v>475</v>
      </c>
      <c r="F203" s="54" t="s">
        <v>329</v>
      </c>
      <c r="G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</row>
    <row r="204" customFormat="false" ht="15" hidden="false" customHeight="false" outlineLevel="0" collapsed="false">
      <c r="A204" s="53" t="s">
        <v>476</v>
      </c>
      <c r="B204" s="8" t="s">
        <v>32</v>
      </c>
      <c r="C204" s="8" t="s">
        <v>13</v>
      </c>
      <c r="D204" s="8" t="s">
        <v>14</v>
      </c>
      <c r="E204" s="54" t="s">
        <v>477</v>
      </c>
      <c r="F204" s="54" t="s">
        <v>192</v>
      </c>
      <c r="G204" s="10" t="n">
        <v>3.98</v>
      </c>
      <c r="I204" s="10" t="n">
        <v>3.98</v>
      </c>
      <c r="J204" s="10" t="n">
        <v>3.98</v>
      </c>
      <c r="K204" s="10" t="n">
        <v>3.98</v>
      </c>
      <c r="L204" s="10" t="n">
        <v>3.98</v>
      </c>
    </row>
    <row r="205" customFormat="false" ht="15" hidden="false" customHeight="false" outlineLevel="0" collapsed="false">
      <c r="A205" s="53" t="s">
        <v>478</v>
      </c>
      <c r="B205" s="8" t="s">
        <v>32</v>
      </c>
      <c r="C205" s="8" t="s">
        <v>13</v>
      </c>
      <c r="D205" s="8" t="s">
        <v>14</v>
      </c>
      <c r="E205" s="54" t="s">
        <v>479</v>
      </c>
      <c r="F205" s="54" t="s">
        <v>38</v>
      </c>
      <c r="G205" s="10" t="n">
        <v>1</v>
      </c>
      <c r="I205" s="10" t="n">
        <v>1</v>
      </c>
      <c r="J205" s="10" t="n">
        <v>1</v>
      </c>
      <c r="K205" s="10" t="n">
        <v>1</v>
      </c>
      <c r="L205" s="10" t="n">
        <v>1</v>
      </c>
    </row>
    <row r="206" customFormat="false" ht="15" hidden="false" customHeight="false" outlineLevel="0" collapsed="false">
      <c r="A206" s="53" t="s">
        <v>480</v>
      </c>
      <c r="B206" s="8" t="s">
        <v>32</v>
      </c>
      <c r="C206" s="8" t="s">
        <v>13</v>
      </c>
      <c r="D206" s="8" t="s">
        <v>14</v>
      </c>
      <c r="E206" s="54" t="s">
        <v>481</v>
      </c>
      <c r="F206" s="54" t="s">
        <v>482</v>
      </c>
      <c r="G206" s="10" t="n">
        <v>8.33333333333333E-005</v>
      </c>
      <c r="I206" s="10" t="n">
        <v>8.33333333333333E-005</v>
      </c>
      <c r="J206" s="10" t="n">
        <v>8.33333333333333E-005</v>
      </c>
      <c r="K206" s="10" t="n">
        <v>8.33333333333333E-005</v>
      </c>
      <c r="L206" s="10" t="n">
        <v>8.33333333333333E-005</v>
      </c>
    </row>
    <row r="207" customFormat="false" ht="15" hidden="false" customHeight="false" outlineLevel="0" collapsed="false">
      <c r="A207" s="55" t="s">
        <v>483</v>
      </c>
      <c r="B207" s="56" t="s">
        <v>32</v>
      </c>
      <c r="C207" s="56" t="s">
        <v>13</v>
      </c>
      <c r="D207" s="8" t="s">
        <v>14</v>
      </c>
      <c r="E207" s="57" t="s">
        <v>484</v>
      </c>
      <c r="F207" s="57" t="s">
        <v>16</v>
      </c>
      <c r="G207" s="10" t="s">
        <v>485</v>
      </c>
      <c r="I207" s="10" t="s">
        <v>485</v>
      </c>
      <c r="J207" s="10" t="s">
        <v>485</v>
      </c>
      <c r="K207" s="10" t="s">
        <v>485</v>
      </c>
      <c r="L207" s="10" t="s">
        <v>485</v>
      </c>
    </row>
    <row r="208" customFormat="false" ht="15" hidden="false" customHeight="false" outlineLevel="0" collapsed="false">
      <c r="A208" s="4" t="s">
        <v>486</v>
      </c>
      <c r="B208" s="8" t="s">
        <v>32</v>
      </c>
      <c r="C208" s="8" t="s">
        <v>487</v>
      </c>
      <c r="D208" s="8" t="s">
        <v>488</v>
      </c>
      <c r="E208" s="54" t="s">
        <v>489</v>
      </c>
      <c r="F208" s="54" t="s">
        <v>490</v>
      </c>
      <c r="G208" s="10" t="n">
        <f aca="false">0.00002</f>
        <v>2E-005</v>
      </c>
      <c r="I208" s="10" t="n">
        <f aca="false">0.0000005*0.4285*10/2.028*4</f>
        <v>4.2258382642998E-006</v>
      </c>
      <c r="J208" s="10" t="n">
        <f aca="false">0.0000005*0.4285*10/2.028*4</f>
        <v>4.2258382642998E-006</v>
      </c>
      <c r="K208" s="10" t="n">
        <f aca="false">0.0000005*0.4285*10/2.028*4</f>
        <v>4.2258382642998E-006</v>
      </c>
      <c r="L208" s="10" t="n">
        <f aca="false">0.0000005*0.4285*10/2.028*4</f>
        <v>4.2258382642998E-006</v>
      </c>
      <c r="N208" s="1"/>
      <c r="O208" s="1"/>
      <c r="P208" s="1"/>
      <c r="Q208" s="1"/>
      <c r="R208" s="1"/>
      <c r="S208" s="1"/>
      <c r="T208" s="1"/>
      <c r="U208" s="1"/>
    </row>
    <row r="209" customFormat="false" ht="15" hidden="false" customHeight="false" outlineLevel="0" collapsed="false">
      <c r="A209" s="4" t="s">
        <v>491</v>
      </c>
      <c r="B209" s="8" t="s">
        <v>32</v>
      </c>
      <c r="C209" s="8" t="s">
        <v>487</v>
      </c>
      <c r="D209" s="8" t="s">
        <v>488</v>
      </c>
      <c r="E209" s="54" t="s">
        <v>492</v>
      </c>
      <c r="F209" s="54" t="s">
        <v>493</v>
      </c>
      <c r="G209" s="10" t="n">
        <v>0.3</v>
      </c>
      <c r="I209" s="10" t="n">
        <v>0.25</v>
      </c>
      <c r="J209" s="10" t="n">
        <v>0.31</v>
      </c>
      <c r="K209" s="10" t="n">
        <v>0.31</v>
      </c>
      <c r="L209" s="10" t="n">
        <v>0.31</v>
      </c>
      <c r="N209" s="58"/>
      <c r="O209" s="58"/>
      <c r="P209" s="58"/>
      <c r="Q209" s="58"/>
      <c r="R209" s="58"/>
      <c r="S209" s="58"/>
      <c r="T209" s="58"/>
      <c r="U209" s="58"/>
    </row>
    <row r="210" customFormat="false" ht="15" hidden="false" customHeight="false" outlineLevel="0" collapsed="false">
      <c r="A210" s="4" t="s">
        <v>494</v>
      </c>
      <c r="B210" s="8" t="s">
        <v>32</v>
      </c>
      <c r="C210" s="8" t="s">
        <v>487</v>
      </c>
      <c r="D210" s="8" t="s">
        <v>488</v>
      </c>
      <c r="E210" s="59" t="s">
        <v>495</v>
      </c>
      <c r="F210" s="59" t="s">
        <v>496</v>
      </c>
      <c r="G210" s="10" t="n">
        <f aca="false">0.00002 / 14</f>
        <v>1.42857142857143E-006</v>
      </c>
      <c r="I210" s="10" t="n">
        <f aca="false">0.00002 / 14</f>
        <v>1.42857142857143E-006</v>
      </c>
      <c r="J210" s="10" t="n">
        <f aca="false">0.00002 / 14</f>
        <v>1.42857142857143E-006</v>
      </c>
      <c r="K210" s="10" t="n">
        <f aca="false">0.00002 / 14</f>
        <v>1.42857142857143E-006</v>
      </c>
      <c r="L210" s="10" t="n">
        <f aca="false">0.00002 / 14</f>
        <v>1.42857142857143E-006</v>
      </c>
      <c r="N210" s="3"/>
      <c r="O210" s="3"/>
      <c r="P210" s="3"/>
      <c r="Q210" s="3"/>
      <c r="R210" s="3"/>
      <c r="S210" s="3"/>
      <c r="T210" s="3"/>
      <c r="U210" s="3"/>
    </row>
    <row r="211" customFormat="false" ht="15" hidden="false" customHeight="false" outlineLevel="0" collapsed="false">
      <c r="A211" s="4" t="s">
        <v>497</v>
      </c>
      <c r="B211" s="8" t="s">
        <v>32</v>
      </c>
      <c r="C211" s="8" t="s">
        <v>487</v>
      </c>
      <c r="D211" s="8" t="s">
        <v>488</v>
      </c>
      <c r="E211" s="59" t="s">
        <v>498</v>
      </c>
      <c r="F211" s="59" t="s">
        <v>499</v>
      </c>
      <c r="G211" s="10" t="s">
        <v>24</v>
      </c>
      <c r="I211" s="10" t="s">
        <v>24</v>
      </c>
      <c r="J211" s="10" t="s">
        <v>24</v>
      </c>
      <c r="K211" s="10" t="s">
        <v>24</v>
      </c>
      <c r="L211" s="10" t="s">
        <v>24</v>
      </c>
      <c r="N211" s="3"/>
      <c r="O211" s="3"/>
      <c r="P211" s="3"/>
      <c r="Q211" s="3"/>
      <c r="R211" s="3"/>
      <c r="S211" s="3"/>
      <c r="T211" s="3"/>
      <c r="U211" s="3"/>
    </row>
    <row r="212" customFormat="false" ht="15" hidden="false" customHeight="false" outlineLevel="0" collapsed="false">
      <c r="A212" s="4" t="s">
        <v>500</v>
      </c>
      <c r="B212" s="8" t="s">
        <v>32</v>
      </c>
      <c r="C212" s="8" t="s">
        <v>487</v>
      </c>
      <c r="D212" s="8" t="s">
        <v>488</v>
      </c>
      <c r="E212" s="59" t="s">
        <v>501</v>
      </c>
      <c r="F212" s="59" t="s">
        <v>499</v>
      </c>
      <c r="G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N212" s="3"/>
      <c r="O212" s="3"/>
      <c r="P212" s="3"/>
      <c r="Q212" s="3"/>
      <c r="R212" s="3"/>
      <c r="S212" s="3"/>
      <c r="T212" s="3"/>
      <c r="U212" s="3"/>
    </row>
    <row r="213" customFormat="false" ht="15" hidden="false" customHeight="false" outlineLevel="0" collapsed="false">
      <c r="A213" s="4" t="s">
        <v>502</v>
      </c>
      <c r="B213" s="8" t="s">
        <v>32</v>
      </c>
      <c r="C213" s="8" t="s">
        <v>487</v>
      </c>
      <c r="D213" s="8" t="s">
        <v>488</v>
      </c>
      <c r="E213" s="59" t="s">
        <v>503</v>
      </c>
      <c r="F213" s="59" t="s">
        <v>499</v>
      </c>
      <c r="G213" s="10" t="n">
        <v>0.001</v>
      </c>
      <c r="I213" s="10" t="n">
        <v>0.001</v>
      </c>
      <c r="J213" s="10" t="n">
        <v>0.001</v>
      </c>
      <c r="K213" s="10" t="n">
        <v>0.001</v>
      </c>
      <c r="L213" s="10" t="n">
        <v>0.001</v>
      </c>
      <c r="N213" s="3"/>
      <c r="O213" s="3"/>
      <c r="P213" s="3"/>
      <c r="Q213" s="3"/>
      <c r="R213" s="3"/>
      <c r="S213" s="3"/>
      <c r="T213" s="3"/>
      <c r="U213" s="3"/>
    </row>
    <row r="214" customFormat="false" ht="15" hidden="false" customHeight="false" outlineLevel="0" collapsed="false">
      <c r="A214" s="4" t="s">
        <v>504</v>
      </c>
      <c r="B214" s="8" t="s">
        <v>32</v>
      </c>
      <c r="C214" s="8" t="s">
        <v>13</v>
      </c>
      <c r="D214" s="8" t="s">
        <v>14</v>
      </c>
      <c r="E214" s="59" t="s">
        <v>505</v>
      </c>
      <c r="F214" s="59" t="s">
        <v>506</v>
      </c>
      <c r="G214" s="10" t="n">
        <f aca="false">1.25*0.000001</f>
        <v>1.25E-006</v>
      </c>
      <c r="I214" s="10" t="n">
        <f aca="false">1250*0.000001/5</f>
        <v>0.00025</v>
      </c>
      <c r="J214" s="10" t="n">
        <f aca="false">1250*0.000001/5</f>
        <v>0.00025</v>
      </c>
      <c r="K214" s="10" t="n">
        <f aca="false">1250*0.000001/5</f>
        <v>0.00025</v>
      </c>
      <c r="L214" s="10" t="n">
        <f aca="false">1250*0.000001/5</f>
        <v>0.00025</v>
      </c>
      <c r="N214" s="58"/>
      <c r="O214" s="58"/>
      <c r="P214" s="58"/>
      <c r="Q214" s="58"/>
      <c r="R214" s="58"/>
      <c r="S214" s="58"/>
      <c r="T214" s="58"/>
      <c r="U214" s="58"/>
    </row>
    <row r="215" customFormat="false" ht="15" hidden="false" customHeight="false" outlineLevel="0" collapsed="false">
      <c r="A215" s="4" t="s">
        <v>507</v>
      </c>
      <c r="B215" s="8" t="s">
        <v>32</v>
      </c>
      <c r="C215" s="8" t="s">
        <v>13</v>
      </c>
      <c r="D215" s="8" t="s">
        <v>14</v>
      </c>
      <c r="E215" s="59" t="s">
        <v>508</v>
      </c>
      <c r="F215" s="59" t="s">
        <v>509</v>
      </c>
      <c r="G215" s="10" t="n">
        <v>0.0002</v>
      </c>
      <c r="I215" s="10" t="n">
        <v>0.0002</v>
      </c>
      <c r="J215" s="10" t="n">
        <v>0.0002</v>
      </c>
      <c r="K215" s="10" t="n">
        <v>0.0002</v>
      </c>
      <c r="L215" s="10" t="n">
        <v>0.0002</v>
      </c>
      <c r="N215" s="58"/>
      <c r="O215" s="58"/>
      <c r="P215" s="58"/>
      <c r="Q215" s="58"/>
      <c r="R215" s="58"/>
      <c r="S215" s="58"/>
      <c r="T215" s="58"/>
      <c r="U215" s="58"/>
    </row>
    <row r="216" customFormat="false" ht="15" hidden="false" customHeight="false" outlineLevel="0" collapsed="false">
      <c r="A216" s="4" t="s">
        <v>510</v>
      </c>
      <c r="B216" s="8" t="s">
        <v>32</v>
      </c>
      <c r="C216" s="8" t="s">
        <v>13</v>
      </c>
      <c r="D216" s="8" t="s">
        <v>14</v>
      </c>
      <c r="E216" s="59" t="s">
        <v>511</v>
      </c>
      <c r="F216" s="59" t="s">
        <v>512</v>
      </c>
      <c r="G216" s="10" t="n">
        <v>2.5E-012</v>
      </c>
      <c r="I216" s="10" t="n">
        <f aca="false">0.0000000000025*10</f>
        <v>2.5E-011</v>
      </c>
      <c r="J216" s="10" t="n">
        <f aca="false">0.0000000000025</f>
        <v>2.5E-012</v>
      </c>
      <c r="K216" s="10" t="n">
        <f aca="false">0.0000000000025</f>
        <v>2.5E-012</v>
      </c>
      <c r="L216" s="10" t="n">
        <f aca="false">0.0000000000025*10</f>
        <v>2.5E-011</v>
      </c>
      <c r="N216" s="58"/>
      <c r="O216" s="58"/>
      <c r="P216" s="58"/>
      <c r="Q216" s="58"/>
      <c r="R216" s="58"/>
      <c r="S216" s="58"/>
      <c r="T216" s="58"/>
      <c r="U216" s="58"/>
    </row>
    <row r="217" customFormat="false" ht="15" hidden="false" customHeight="false" outlineLevel="0" collapsed="false">
      <c r="A217" s="4" t="s">
        <v>513</v>
      </c>
      <c r="B217" s="8" t="s">
        <v>32</v>
      </c>
      <c r="C217" s="8" t="s">
        <v>13</v>
      </c>
      <c r="D217" s="8" t="s">
        <v>14</v>
      </c>
      <c r="E217" s="59" t="s">
        <v>514</v>
      </c>
      <c r="F217" s="59" t="s">
        <v>512</v>
      </c>
      <c r="G217" s="10" t="n">
        <v>2.5E-012</v>
      </c>
      <c r="I217" s="10" t="n">
        <f aca="false">I164</f>
        <v>5E-013</v>
      </c>
      <c r="J217" s="10" t="n">
        <f aca="false">J164</f>
        <v>5E-013</v>
      </c>
      <c r="K217" s="10" t="n">
        <f aca="false">K164</f>
        <v>5E-013</v>
      </c>
      <c r="L217" s="10" t="n">
        <f aca="false">L164</f>
        <v>5E-013</v>
      </c>
      <c r="N217" s="58"/>
      <c r="O217" s="58"/>
      <c r="P217" s="58"/>
      <c r="Q217" s="58"/>
      <c r="R217" s="58"/>
      <c r="S217" s="58"/>
      <c r="T217" s="58"/>
      <c r="U217" s="58"/>
    </row>
    <row r="218" customFormat="false" ht="15" hidden="false" customHeight="false" outlineLevel="0" collapsed="false">
      <c r="A218" s="4" t="s">
        <v>515</v>
      </c>
      <c r="B218" s="8" t="s">
        <v>32</v>
      </c>
      <c r="C218" s="8" t="s">
        <v>13</v>
      </c>
      <c r="D218" s="8" t="s">
        <v>14</v>
      </c>
      <c r="E218" s="59" t="s">
        <v>516</v>
      </c>
      <c r="F218" s="59" t="s">
        <v>512</v>
      </c>
      <c r="G218" s="10" t="n">
        <v>1.2E-008</v>
      </c>
      <c r="I218" s="10" t="n">
        <f aca="false">0.00000000005 *2</f>
        <v>1E-010</v>
      </c>
      <c r="J218" s="10" t="n">
        <f aca="false">0.00000000005 *2</f>
        <v>1E-010</v>
      </c>
      <c r="K218" s="10" t="n">
        <f aca="false">0.00000000005 *2</f>
        <v>1E-010</v>
      </c>
      <c r="L218" s="10" t="n">
        <f aca="false">0.00000000005 *2</f>
        <v>1E-010</v>
      </c>
      <c r="N218" s="58"/>
      <c r="O218" s="58"/>
      <c r="P218" s="58"/>
      <c r="Q218" s="58"/>
      <c r="R218" s="58"/>
      <c r="S218" s="58"/>
      <c r="T218" s="58"/>
      <c r="U218" s="58"/>
    </row>
    <row r="219" customFormat="false" ht="15" hidden="false" customHeight="false" outlineLevel="0" collapsed="false">
      <c r="A219" s="4" t="s">
        <v>517</v>
      </c>
      <c r="B219" s="8" t="s">
        <v>32</v>
      </c>
      <c r="C219" s="8" t="s">
        <v>13</v>
      </c>
      <c r="D219" s="8" t="s">
        <v>14</v>
      </c>
      <c r="E219" s="59" t="s">
        <v>516</v>
      </c>
      <c r="F219" s="59" t="s">
        <v>512</v>
      </c>
      <c r="G219" s="10" t="n">
        <v>1.2E-008</v>
      </c>
      <c r="I219" s="10" t="n">
        <f aca="false">I218/10/4</f>
        <v>2.5E-012</v>
      </c>
      <c r="J219" s="10" t="n">
        <f aca="false">J218</f>
        <v>1E-010</v>
      </c>
      <c r="K219" s="10" t="n">
        <f aca="false">K218</f>
        <v>1E-010</v>
      </c>
      <c r="L219" s="10" t="n">
        <f aca="false">L218</f>
        <v>1E-010</v>
      </c>
      <c r="N219" s="58"/>
      <c r="O219" s="58"/>
      <c r="P219" s="58"/>
      <c r="Q219" s="58"/>
      <c r="R219" s="58"/>
      <c r="S219" s="58"/>
      <c r="T219" s="58"/>
      <c r="U219" s="58"/>
    </row>
    <row r="220" customFormat="false" ht="15" hidden="false" customHeight="false" outlineLevel="0" collapsed="false">
      <c r="A220" s="4" t="s">
        <v>518</v>
      </c>
      <c r="B220" s="8" t="s">
        <v>32</v>
      </c>
      <c r="C220" s="8" t="s">
        <v>13</v>
      </c>
      <c r="D220" s="8" t="s">
        <v>14</v>
      </c>
      <c r="E220" s="59" t="s">
        <v>516</v>
      </c>
      <c r="F220" s="59" t="s">
        <v>519</v>
      </c>
      <c r="G220" s="10"/>
      <c r="I220" s="10" t="n">
        <f aca="false">0.00000001</f>
        <v>1E-008</v>
      </c>
      <c r="J220" s="10" t="n">
        <v>0</v>
      </c>
      <c r="K220" s="10" t="n">
        <v>0</v>
      </c>
      <c r="L220" s="10" t="n">
        <v>0</v>
      </c>
      <c r="N220" s="58"/>
      <c r="O220" s="58"/>
      <c r="P220" s="58"/>
      <c r="Q220" s="58"/>
      <c r="R220" s="58"/>
      <c r="S220" s="58"/>
      <c r="T220" s="58"/>
      <c r="U220" s="58"/>
    </row>
    <row r="221" customFormat="false" ht="15" hidden="false" customHeight="false" outlineLevel="0" collapsed="false">
      <c r="A221" s="4" t="s">
        <v>520</v>
      </c>
      <c r="B221" s="8" t="s">
        <v>32</v>
      </c>
      <c r="C221" s="8" t="s">
        <v>13</v>
      </c>
      <c r="D221" s="8" t="s">
        <v>14</v>
      </c>
      <c r="E221" s="59" t="s">
        <v>521</v>
      </c>
      <c r="F221" s="59" t="s">
        <v>496</v>
      </c>
      <c r="G221" s="10"/>
      <c r="I221" s="10" t="n">
        <f aca="false">100</f>
        <v>100</v>
      </c>
      <c r="J221" s="10" t="n">
        <f aca="false">100</f>
        <v>100</v>
      </c>
      <c r="K221" s="10" t="n">
        <f aca="false">100</f>
        <v>100</v>
      </c>
      <c r="L221" s="10" t="n">
        <f aca="false">100</f>
        <v>100</v>
      </c>
      <c r="N221" s="58"/>
      <c r="O221" s="58"/>
      <c r="P221" s="58"/>
      <c r="Q221" s="58"/>
      <c r="R221" s="58"/>
      <c r="S221" s="58"/>
      <c r="T221" s="58"/>
      <c r="U221" s="58"/>
    </row>
    <row r="222" customFormat="false" ht="15" hidden="false" customHeight="false" outlineLevel="0" collapsed="false">
      <c r="A222" s="4" t="s">
        <v>522</v>
      </c>
      <c r="B222" s="8" t="s">
        <v>32</v>
      </c>
      <c r="C222" s="8" t="s">
        <v>13</v>
      </c>
      <c r="D222" s="8" t="s">
        <v>14</v>
      </c>
      <c r="E222" s="59" t="s">
        <v>523</v>
      </c>
      <c r="F222" s="59" t="s">
        <v>524</v>
      </c>
      <c r="G222" s="10" t="n">
        <v>1E-007</v>
      </c>
      <c r="I222" s="10" t="n">
        <f aca="false">0.000001 / 10000 / 4 / 10 /5</f>
        <v>5E-013</v>
      </c>
      <c r="J222" s="10" t="n">
        <f aca="false">0.000001 / 10000 / 4 / 10 /5</f>
        <v>5E-013</v>
      </c>
      <c r="K222" s="10" t="n">
        <f aca="false">0.000001 / 10000 / 4 / 10 /5</f>
        <v>5E-013</v>
      </c>
      <c r="L222" s="10" t="n">
        <f aca="false">0.000001 / 10000 / 4 / 10 /5</f>
        <v>5E-013</v>
      </c>
      <c r="N222" s="58"/>
      <c r="O222" s="58"/>
      <c r="P222" s="58"/>
      <c r="Q222" s="58"/>
      <c r="R222" s="58"/>
      <c r="S222" s="58"/>
      <c r="T222" s="58"/>
      <c r="U222" s="58"/>
    </row>
    <row r="223" customFormat="false" ht="15" hidden="false" customHeight="false" outlineLevel="0" collapsed="false">
      <c r="A223" s="4" t="s">
        <v>525</v>
      </c>
      <c r="B223" s="8" t="s">
        <v>32</v>
      </c>
      <c r="C223" s="8" t="s">
        <v>13</v>
      </c>
      <c r="D223" s="8" t="s">
        <v>14</v>
      </c>
      <c r="E223" s="59" t="s">
        <v>523</v>
      </c>
      <c r="F223" s="59" t="s">
        <v>524</v>
      </c>
      <c r="G223" s="10" t="n">
        <v>1E-007</v>
      </c>
      <c r="I223" s="10" t="n">
        <v>0</v>
      </c>
      <c r="J223" s="10" t="n">
        <v>0</v>
      </c>
      <c r="K223" s="10" t="n">
        <v>0</v>
      </c>
      <c r="L223" s="10" t="n">
        <v>0</v>
      </c>
      <c r="N223" s="58"/>
      <c r="O223" s="58"/>
      <c r="P223" s="58"/>
      <c r="Q223" s="58"/>
      <c r="R223" s="58"/>
      <c r="S223" s="58"/>
      <c r="T223" s="58"/>
      <c r="U223" s="58"/>
    </row>
    <row r="224" customFormat="false" ht="15" hidden="false" customHeight="false" outlineLevel="0" collapsed="false">
      <c r="A224" s="4" t="s">
        <v>526</v>
      </c>
      <c r="B224" s="8" t="s">
        <v>32</v>
      </c>
      <c r="C224" s="8" t="s">
        <v>13</v>
      </c>
      <c r="D224" s="8" t="s">
        <v>14</v>
      </c>
      <c r="E224" s="59" t="s">
        <v>527</v>
      </c>
      <c r="F224" s="59" t="s">
        <v>519</v>
      </c>
      <c r="G224" s="10" t="n">
        <f aca="false">2*0.00001</f>
        <v>2E-005</v>
      </c>
      <c r="I224" s="10" t="n">
        <f aca="false">0.00001 / 10 / 5 / 10 * 6</f>
        <v>1.2E-007</v>
      </c>
      <c r="J224" s="10" t="n">
        <f aca="false">0.00001 / 10 / 5 / 10 * 6 * 5</f>
        <v>6E-007</v>
      </c>
      <c r="K224" s="10" t="n">
        <f aca="false">0.00001 / 10 / 5 / 10 * 6 * 5</f>
        <v>6E-007</v>
      </c>
      <c r="L224" s="10" t="n">
        <f aca="false">0.00001 / 10 / 5 / 10 * 6</f>
        <v>1.2E-007</v>
      </c>
      <c r="N224" s="58"/>
      <c r="O224" s="58"/>
      <c r="P224" s="58"/>
      <c r="Q224" s="58"/>
      <c r="R224" s="58"/>
      <c r="S224" s="58"/>
      <c r="T224" s="58"/>
      <c r="U224" s="58"/>
    </row>
    <row r="225" customFormat="false" ht="15" hidden="false" customHeight="false" outlineLevel="0" collapsed="false">
      <c r="A225" s="4" t="s">
        <v>528</v>
      </c>
      <c r="B225" s="8" t="s">
        <v>32</v>
      </c>
      <c r="C225" s="8" t="s">
        <v>13</v>
      </c>
      <c r="D225" s="8" t="s">
        <v>14</v>
      </c>
      <c r="E225" s="59" t="s">
        <v>529</v>
      </c>
      <c r="F225" s="59" t="s">
        <v>519</v>
      </c>
      <c r="G225" s="10"/>
      <c r="I225" s="10" t="n">
        <f aca="false">0.001</f>
        <v>0.001</v>
      </c>
      <c r="J225" s="10" t="n">
        <f aca="false">0.001</f>
        <v>0.001</v>
      </c>
      <c r="K225" s="10" t="n">
        <f aca="false">0.001</f>
        <v>0.001</v>
      </c>
      <c r="L225" s="10" t="n">
        <f aca="false">0.001</f>
        <v>0.001</v>
      </c>
      <c r="N225" s="58"/>
      <c r="O225" s="58"/>
      <c r="P225" s="58"/>
      <c r="Q225" s="58"/>
      <c r="R225" s="58"/>
      <c r="S225" s="58"/>
      <c r="T225" s="58"/>
      <c r="U225" s="58"/>
    </row>
    <row r="226" customFormat="false" ht="15" hidden="false" customHeight="false" outlineLevel="0" collapsed="false">
      <c r="A226" s="4" t="s">
        <v>530</v>
      </c>
      <c r="B226" s="8" t="s">
        <v>32</v>
      </c>
      <c r="C226" s="8" t="s">
        <v>13</v>
      </c>
      <c r="D226" s="8" t="s">
        <v>14</v>
      </c>
      <c r="E226" s="59" t="s">
        <v>531</v>
      </c>
      <c r="F226" s="59" t="s">
        <v>519</v>
      </c>
      <c r="G226" s="60" t="n">
        <v>1E-005</v>
      </c>
      <c r="I226" s="10" t="n">
        <f aca="false">0.00001 /5 /2/4 * 4 * 0.6 * 10*2</f>
        <v>1.2E-005</v>
      </c>
      <c r="J226" s="10" t="n">
        <f aca="false">0.00001 /5 /2/4 * 4 * 0.6 * 10*2</f>
        <v>1.2E-005</v>
      </c>
      <c r="K226" s="10" t="n">
        <f aca="false">0.00001 /5 /2/4 * 4 * 0.6 * 10*2 * 100</f>
        <v>0.0012</v>
      </c>
      <c r="L226" s="10" t="n">
        <f aca="false">0.00001 /5 /2/4 * 4 * 0.6 * 10*2</f>
        <v>1.2E-005</v>
      </c>
      <c r="N226" s="58"/>
      <c r="O226" s="58"/>
      <c r="P226" s="58"/>
      <c r="Q226" s="58"/>
      <c r="R226" s="58"/>
      <c r="S226" s="58"/>
      <c r="T226" s="58"/>
      <c r="U226" s="58"/>
    </row>
    <row r="227" customFormat="false" ht="14.25" hidden="false" customHeight="true" outlineLevel="0" collapsed="false">
      <c r="A227" s="61" t="s">
        <v>532</v>
      </c>
      <c r="B227" s="8" t="s">
        <v>32</v>
      </c>
      <c r="C227" s="8" t="s">
        <v>532</v>
      </c>
      <c r="D227" s="8" t="s">
        <v>533</v>
      </c>
      <c r="E227" s="59" t="s">
        <v>534</v>
      </c>
      <c r="F227" s="59" t="s">
        <v>34</v>
      </c>
      <c r="G227" s="10" t="s">
        <v>35</v>
      </c>
      <c r="I227" s="10" t="s">
        <v>35</v>
      </c>
      <c r="J227" s="10" t="s">
        <v>35</v>
      </c>
      <c r="K227" s="10" t="s">
        <v>35</v>
      </c>
      <c r="L227" s="10" t="s">
        <v>35</v>
      </c>
    </row>
    <row r="228" customFormat="false" ht="15" hidden="false" customHeight="false" outlineLevel="0" collapsed="false">
      <c r="A228" s="4" t="s">
        <v>535</v>
      </c>
      <c r="B228" s="8" t="s">
        <v>32</v>
      </c>
      <c r="C228" s="8" t="s">
        <v>13</v>
      </c>
      <c r="D228" s="8" t="s">
        <v>14</v>
      </c>
      <c r="E228" s="59" t="s">
        <v>536</v>
      </c>
      <c r="F228" s="59" t="s">
        <v>496</v>
      </c>
      <c r="G228" s="10" t="n">
        <v>0.2</v>
      </c>
      <c r="I228" s="10" t="n">
        <v>0.2</v>
      </c>
      <c r="J228" s="10" t="n">
        <v>0.2</v>
      </c>
      <c r="K228" s="10" t="n">
        <v>0.2</v>
      </c>
      <c r="L228" s="10" t="n">
        <v>0.2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customFormat="false" ht="15" hidden="false" customHeight="false" outlineLevel="0" collapsed="false">
      <c r="A229" s="4" t="s">
        <v>537</v>
      </c>
      <c r="B229" s="8" t="s">
        <v>32</v>
      </c>
      <c r="C229" s="8" t="s">
        <v>487</v>
      </c>
      <c r="D229" s="8" t="s">
        <v>488</v>
      </c>
      <c r="E229" s="59" t="s">
        <v>538</v>
      </c>
      <c r="F229" s="59" t="s">
        <v>499</v>
      </c>
      <c r="G229" s="10" t="s">
        <v>24</v>
      </c>
      <c r="I229" s="10" t="s">
        <v>24</v>
      </c>
      <c r="J229" s="10" t="s">
        <v>24</v>
      </c>
      <c r="K229" s="10" t="s">
        <v>24</v>
      </c>
      <c r="L229" s="10" t="s">
        <v>24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customFormat="false" ht="15" hidden="false" customHeight="false" outlineLevel="0" collapsed="false">
      <c r="A230" s="4" t="s">
        <v>539</v>
      </c>
      <c r="B230" s="8" t="s">
        <v>32</v>
      </c>
      <c r="C230" s="8" t="s">
        <v>487</v>
      </c>
      <c r="D230" s="8" t="s">
        <v>488</v>
      </c>
      <c r="E230" s="59" t="s">
        <v>540</v>
      </c>
      <c r="F230" s="59" t="s">
        <v>499</v>
      </c>
      <c r="G230" s="10" t="n">
        <f aca="false">2*0.1</f>
        <v>0.2</v>
      </c>
      <c r="I230" s="10" t="n">
        <f aca="false">2*0.1</f>
        <v>0.2</v>
      </c>
      <c r="J230" s="10" t="n">
        <f aca="false">2*0.1</f>
        <v>0.2</v>
      </c>
      <c r="K230" s="10" t="n">
        <f aca="false">2*0.1</f>
        <v>0.2</v>
      </c>
      <c r="L230" s="10" t="n">
        <f aca="false">2*0.1</f>
        <v>0.2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customFormat="false" ht="15" hidden="false" customHeight="false" outlineLevel="0" collapsed="false">
      <c r="A231" s="4" t="s">
        <v>541</v>
      </c>
      <c r="B231" s="8" t="s">
        <v>32</v>
      </c>
      <c r="C231" s="8" t="s">
        <v>487</v>
      </c>
      <c r="D231" s="8" t="s">
        <v>488</v>
      </c>
      <c r="E231" s="59" t="s">
        <v>542</v>
      </c>
      <c r="F231" s="59" t="s">
        <v>499</v>
      </c>
      <c r="G231" s="10" t="n">
        <v>0.001</v>
      </c>
      <c r="I231" s="10" t="n">
        <v>0.001</v>
      </c>
      <c r="J231" s="10" t="n">
        <v>0.001</v>
      </c>
      <c r="K231" s="10" t="n">
        <v>0.001</v>
      </c>
      <c r="L231" s="10" t="n">
        <v>0.001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customFormat="false" ht="15" hidden="false" customHeight="false" outlineLevel="0" collapsed="false">
      <c r="A232" s="4" t="s">
        <v>543</v>
      </c>
      <c r="B232" s="8" t="s">
        <v>32</v>
      </c>
      <c r="C232" s="8" t="s">
        <v>13</v>
      </c>
      <c r="D232" s="8" t="s">
        <v>14</v>
      </c>
      <c r="E232" s="59" t="s">
        <v>544</v>
      </c>
      <c r="F232" s="59" t="s">
        <v>545</v>
      </c>
      <c r="G232" s="10" t="n">
        <v>1E-005</v>
      </c>
      <c r="I232" s="10" t="n">
        <f aca="false">0.00001 / 2 * 10 /2 / 3 / 3 / 3</f>
        <v>9.25925925925926E-007</v>
      </c>
      <c r="J232" s="10" t="n">
        <f aca="false">0.00001 / 2</f>
        <v>5E-006</v>
      </c>
      <c r="K232" s="10" t="n">
        <f aca="false">0.00001 / 2</f>
        <v>5E-006</v>
      </c>
      <c r="L232" s="10" t="n">
        <f aca="false">0.00001 / 2</f>
        <v>5E-006</v>
      </c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1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</row>
    <row r="233" customFormat="false" ht="15" hidden="false" customHeight="false" outlineLevel="0" collapsed="false">
      <c r="A233" s="4" t="s">
        <v>546</v>
      </c>
      <c r="B233" s="8" t="s">
        <v>32</v>
      </c>
      <c r="C233" s="8" t="s">
        <v>13</v>
      </c>
      <c r="D233" s="8" t="s">
        <v>14</v>
      </c>
      <c r="E233" s="59" t="s">
        <v>547</v>
      </c>
      <c r="F233" s="59" t="s">
        <v>499</v>
      </c>
      <c r="G233" s="63" t="n">
        <v>1E-005</v>
      </c>
      <c r="I233" s="10" t="n">
        <f aca="false">0.000000005 / 5 *10 / 2 / 3 / 2 / 2</f>
        <v>4.16666666666667E-010</v>
      </c>
      <c r="J233" s="10" t="n">
        <f aca="false">0.000000005 / 5</f>
        <v>1E-009</v>
      </c>
      <c r="K233" s="10" t="n">
        <f aca="false">0.000000005 / 5</f>
        <v>1E-009</v>
      </c>
      <c r="L233" s="10" t="n">
        <f aca="false">0.000000005 / 5</f>
        <v>1E-009</v>
      </c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1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</row>
    <row r="234" customFormat="false" ht="15" hidden="false" customHeight="false" outlineLevel="0" collapsed="false">
      <c r="A234" s="4" t="s">
        <v>548</v>
      </c>
      <c r="B234" s="8" t="s">
        <v>32</v>
      </c>
      <c r="C234" s="8" t="s">
        <v>487</v>
      </c>
      <c r="D234" s="8" t="s">
        <v>488</v>
      </c>
      <c r="E234" s="54" t="s">
        <v>489</v>
      </c>
      <c r="F234" s="54" t="s">
        <v>490</v>
      </c>
      <c r="G234" s="10" t="n">
        <f aca="false">0.00002 / 14 / 5</f>
        <v>2.85714285714286E-007</v>
      </c>
      <c r="I234" s="10" t="n">
        <v>0</v>
      </c>
      <c r="J234" s="10" t="n">
        <v>0</v>
      </c>
      <c r="K234" s="10" t="n">
        <v>0</v>
      </c>
      <c r="L234" s="10" t="n">
        <v>0</v>
      </c>
      <c r="N234" s="1"/>
      <c r="O234" s="1"/>
      <c r="P234" s="1"/>
      <c r="Q234" s="1"/>
      <c r="R234" s="1"/>
      <c r="S234" s="1"/>
      <c r="T234" s="1"/>
      <c r="U234" s="1"/>
    </row>
    <row r="235" customFormat="false" ht="15" hidden="false" customHeight="false" outlineLevel="0" collapsed="false">
      <c r="A235" s="4" t="s">
        <v>549</v>
      </c>
      <c r="B235" s="8" t="s">
        <v>32</v>
      </c>
      <c r="C235" s="8" t="s">
        <v>487</v>
      </c>
      <c r="D235" s="8" t="s">
        <v>488</v>
      </c>
      <c r="E235" s="54" t="s">
        <v>489</v>
      </c>
      <c r="F235" s="54" t="s">
        <v>490</v>
      </c>
      <c r="G235" s="10" t="n">
        <f aca="false">0.00002 / 14 / 5 /10</f>
        <v>2.85714285714286E-008</v>
      </c>
      <c r="I235" s="10" t="n">
        <v>0</v>
      </c>
      <c r="J235" s="10" t="n">
        <v>0</v>
      </c>
      <c r="K235" s="10" t="n">
        <v>0</v>
      </c>
      <c r="L235" s="10" t="n">
        <v>0</v>
      </c>
      <c r="N235" s="1"/>
      <c r="O235" s="1"/>
      <c r="P235" s="1"/>
      <c r="Q235" s="1"/>
      <c r="R235" s="1"/>
      <c r="S235" s="1"/>
      <c r="T235" s="1"/>
      <c r="U235" s="1"/>
    </row>
    <row r="236" customFormat="false" ht="15" hidden="false" customHeight="false" outlineLevel="0" collapsed="false">
      <c r="A236" s="1" t="s">
        <v>550</v>
      </c>
      <c r="B236" s="8" t="s">
        <v>32</v>
      </c>
      <c r="C236" s="8" t="s">
        <v>13</v>
      </c>
      <c r="D236" s="8" t="s">
        <v>14</v>
      </c>
      <c r="E236" s="54" t="s">
        <v>551</v>
      </c>
      <c r="F236" s="54" t="s">
        <v>264</v>
      </c>
      <c r="G236" s="10" t="n">
        <v>-1</v>
      </c>
      <c r="I236" s="10" t="s">
        <v>35</v>
      </c>
      <c r="J236" s="10" t="s">
        <v>35</v>
      </c>
      <c r="K236" s="10" t="s">
        <v>35</v>
      </c>
      <c r="L236" s="10" t="s">
        <v>35</v>
      </c>
      <c r="N236" s="1"/>
      <c r="O236" s="1"/>
      <c r="P236" s="1"/>
      <c r="Q236" s="1"/>
      <c r="R236" s="1"/>
      <c r="S236" s="1"/>
      <c r="T236" s="1"/>
      <c r="U236" s="1"/>
    </row>
    <row r="237" customFormat="false" ht="15" hidden="false" customHeight="false" outlineLevel="0" collapsed="false">
      <c r="A237" s="42" t="s">
        <v>552</v>
      </c>
      <c r="B237" s="8" t="s">
        <v>32</v>
      </c>
      <c r="C237" s="8" t="s">
        <v>13</v>
      </c>
      <c r="D237" s="8" t="s">
        <v>14</v>
      </c>
      <c r="E237" s="43" t="s">
        <v>553</v>
      </c>
      <c r="F237" s="43" t="s">
        <v>554</v>
      </c>
      <c r="G237" s="10" t="n">
        <v>1E-009</v>
      </c>
      <c r="I237" s="10" t="n">
        <f aca="false">0.0000000000005* (6 * 12 / 0.44) * 0.0173 / 14 / 1.4 / 10 / 2 * 2</f>
        <v>7.22170686456401E-015</v>
      </c>
      <c r="J237" s="10" t="n">
        <f aca="false">0.0000000000005* (6 * 12 / 0.44) * 0.0173 / 14 / 1.4 / 10 / 2 /2</f>
        <v>1.805426716141E-015</v>
      </c>
      <c r="K237" s="10" t="n">
        <f aca="false">0.0000000000005* (6 * 12 / 0.44) * 0.0173 / 14 / 1.4 / 10 / 2 /2</f>
        <v>1.805426716141E-015</v>
      </c>
      <c r="L237" s="10" t="n">
        <f aca="false">0.0000000000005* (6 * 12 / 0.44) * 0.0173 / 14 / 1.4 / 10 / 2 /2</f>
        <v>1.805426716141E-015</v>
      </c>
    </row>
    <row r="238" customFormat="false" ht="15" hidden="false" customHeight="false" outlineLevel="0" collapsed="false">
      <c r="A238" s="42" t="s">
        <v>555</v>
      </c>
      <c r="B238" s="8" t="s">
        <v>32</v>
      </c>
      <c r="C238" s="8" t="s">
        <v>13</v>
      </c>
      <c r="D238" s="8" t="s">
        <v>14</v>
      </c>
      <c r="E238" s="43" t="s">
        <v>553</v>
      </c>
      <c r="F238" s="43" t="s">
        <v>554</v>
      </c>
      <c r="G238" s="10" t="n">
        <v>1E-009</v>
      </c>
      <c r="I238" s="10" t="n">
        <f aca="false">0.000001/3600/10/10</f>
        <v>2.77777777777778E-012</v>
      </c>
      <c r="J238" s="10" t="n">
        <f aca="false">0.000001/3600/10/10</f>
        <v>2.77777777777778E-012</v>
      </c>
      <c r="K238" s="10" t="n">
        <f aca="false">0.000001/3600/10/10</f>
        <v>2.77777777777778E-012</v>
      </c>
      <c r="L238" s="10" t="n">
        <f aca="false">0.000001/3600/10/10</f>
        <v>2.77777777777778E-012</v>
      </c>
    </row>
    <row r="239" customFormat="false" ht="15" hidden="false" customHeight="false" outlineLevel="0" collapsed="false">
      <c r="A239" s="4" t="s">
        <v>556</v>
      </c>
      <c r="B239" s="8" t="s">
        <v>32</v>
      </c>
      <c r="C239" s="8" t="s">
        <v>13</v>
      </c>
      <c r="D239" s="8" t="s">
        <v>14</v>
      </c>
      <c r="E239" s="59" t="s">
        <v>557</v>
      </c>
      <c r="F239" s="59" t="s">
        <v>558</v>
      </c>
      <c r="G239" s="59" t="n">
        <v>0.1</v>
      </c>
      <c r="I239" s="10" t="n">
        <v>0.1</v>
      </c>
      <c r="J239" s="10" t="n">
        <v>0.01</v>
      </c>
      <c r="K239" s="10" t="n">
        <v>0.01</v>
      </c>
      <c r="L239" s="10" t="n">
        <v>0.01</v>
      </c>
    </row>
    <row r="1048576" customFormat="false" ht="12.8" hidden="false" customHeight="false" outlineLevel="0" collapsed="false"/>
  </sheetData>
  <conditionalFormatting sqref="I239:L23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7:L23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2:L232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3:L23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S4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X4:AD4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4:W4 AV4 G4 O4:Q4 I4:K4 M4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F4:AL4 AN4:AQ4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6:L216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L2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L3 I5:L5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:L6 G227 I227:L227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:L7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:L8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L9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:L10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:L11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:L12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:L13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:L14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:L15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:L16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:L17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:L18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:L19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:L20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:L2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:L22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:L23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4:L2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6:L26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7:L27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8:L28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9:L29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0:L30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1:L31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2:L32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3:L3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4:L34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5:L35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6:L36">
    <cfRule type="colorScale" priority="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7:L37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8:L38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9:L39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0:L40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1:L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2:L42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3:L43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4:L44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5:L45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6:L46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7:L4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8:L48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9:L49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0:L50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1:L51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2:L52">
    <cfRule type="colorScale" priority="1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3:L53">
    <cfRule type="colorScale" priority="1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4:L54">
    <cfRule type="colorScale" priority="1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5:L55">
    <cfRule type="colorScale" priority="1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6:L56">
    <cfRule type="colorScale" priority="1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7:L57">
    <cfRule type="colorScale" priority="1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8:L58">
    <cfRule type="colorScale" priority="1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9:L59">
    <cfRule type="colorScale" priority="1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0:L60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1:L61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2:L62">
    <cfRule type="colorScale" priority="1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3:L63">
    <cfRule type="colorScale" priority="1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4:L64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5:L65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6:L66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7:L67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8:L68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9:L6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0:L70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1:L71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2:L72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3:L73">
    <cfRule type="colorScale" priority="1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4:L74">
    <cfRule type="colorScale" priority="1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5:L75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6:L76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7:L77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8:L78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9:L79">
    <cfRule type="colorScale" priority="1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0:L80">
    <cfRule type="colorScale" priority="1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1:L81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2:L82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3:L83">
    <cfRule type="colorScale" priority="1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4:L84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5:L85">
    <cfRule type="colorScale" priority="1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6:L86">
    <cfRule type="colorScale" priority="1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7:L87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8:L88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9:L89">
    <cfRule type="colorScale" priority="1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0:L90">
    <cfRule type="colorScale" priority="1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1:L91">
    <cfRule type="colorScale" priority="1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2:L92">
    <cfRule type="colorScale" priority="1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3:L93">
    <cfRule type="colorScale" priority="1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4:L94">
    <cfRule type="colorScale" priority="2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5:L95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6:L96">
    <cfRule type="colorScale" priority="2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7:L97">
    <cfRule type="colorScale" priority="2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8:L98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9:L99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0:L100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1:L101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2:L102">
    <cfRule type="colorScale" priority="2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3:L103">
    <cfRule type="colorScale" priority="2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4:L104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5:L105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6:L106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7:L107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8:L108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9:L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0:L110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1:L111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2:L112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3:L113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4:L114">
    <cfRule type="colorScale" priority="2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5:L115">
    <cfRule type="colorScale" priority="2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6:L116">
    <cfRule type="colorScale" priority="2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7:L117">
    <cfRule type="colorScale" priority="2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8:L118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9:L119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0:L120">
    <cfRule type="colorScale" priority="2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1:L121">
    <cfRule type="colorScale" priority="2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2:L122">
    <cfRule type="colorScale" priority="2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3:L123">
    <cfRule type="colorScale" priority="2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4:L124">
    <cfRule type="colorScale" priority="2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5:L125">
    <cfRule type="colorScale" priority="2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6:L126">
    <cfRule type="colorScale" priority="2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7:L127">
    <cfRule type="colorScale" priority="2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8:L128">
    <cfRule type="colorScale" priority="2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9:L130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1:L131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2:L132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3:L133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4:L134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5:L135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6:L136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7:L137">
    <cfRule type="colorScale" priority="2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8:L138">
    <cfRule type="colorScale" priority="2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9:L139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0:L14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1:L141">
    <cfRule type="colorScale" priority="2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2:L142">
    <cfRule type="colorScale" priority="2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3:L14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4:L144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5:L145">
    <cfRule type="colorScale" priority="2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6:L146">
    <cfRule type="colorScale" priority="3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7:L147">
    <cfRule type="colorScale" priority="3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8:L148">
    <cfRule type="colorScale" priority="3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9:L149">
    <cfRule type="colorScale" priority="3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0:L150">
    <cfRule type="colorScale" priority="3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1:L151">
    <cfRule type="colorScale" priority="3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2:L152">
    <cfRule type="colorScale" priority="3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3:L153">
    <cfRule type="colorScale" priority="3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4:L154">
    <cfRule type="colorScale" priority="3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5:L155">
    <cfRule type="colorScale" priority="3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6:L156">
    <cfRule type="colorScale" priority="3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7:L157">
    <cfRule type="colorScale" priority="3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8:L158">
    <cfRule type="colorScale" priority="3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9:L159">
    <cfRule type="colorScale" priority="3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0:L160">
    <cfRule type="colorScale" priority="3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1:L161">
    <cfRule type="colorScale" priority="3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2:L162">
    <cfRule type="colorScale" priority="3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3:L163">
    <cfRule type="colorScale" priority="3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4:L164">
    <cfRule type="colorScale" priority="3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5:L165">
    <cfRule type="colorScale" priority="3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6:L166">
    <cfRule type="colorScale" priority="3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7:L167">
    <cfRule type="colorScale" priority="3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8:L168">
    <cfRule type="colorScale" priority="3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9:L169">
    <cfRule type="colorScale" priority="3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0:L170">
    <cfRule type="colorScale" priority="3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1:L171">
    <cfRule type="colorScale" priority="3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2:L172">
    <cfRule type="colorScale" priority="3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3:L173">
    <cfRule type="colorScale" priority="3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4:L174">
    <cfRule type="colorScale" priority="3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5:L175">
    <cfRule type="colorScale" priority="3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6:L176">
    <cfRule type="colorScale" priority="3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7:L177">
    <cfRule type="colorScale" priority="3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8:L178">
    <cfRule type="colorScale" priority="3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9:L179">
    <cfRule type="colorScale" priority="3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0:L180">
    <cfRule type="colorScale" priority="3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1:L181">
    <cfRule type="colorScale" priority="3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2:L182">
    <cfRule type="colorScale" priority="3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3:L183">
    <cfRule type="colorScale" priority="3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4:L184">
    <cfRule type="colorScale" priority="3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5:L185">
    <cfRule type="colorScale" priority="3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6:L186">
    <cfRule type="colorScale" priority="3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7:L187">
    <cfRule type="colorScale" priority="3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8:L188">
    <cfRule type="colorScale" priority="3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9:L189">
    <cfRule type="colorScale" priority="3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0:L190">
    <cfRule type="colorScale" priority="3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1:L191">
    <cfRule type="colorScale" priority="3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2:L192">
    <cfRule type="colorScale" priority="3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3:L193">
    <cfRule type="colorScale" priority="3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4:L194">
    <cfRule type="colorScale" priority="3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5:L195">
    <cfRule type="colorScale" priority="3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6:L196">
    <cfRule type="colorScale" priority="4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7:L197">
    <cfRule type="colorScale" priority="4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8:L198">
    <cfRule type="colorScale" priority="4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9:L199">
    <cfRule type="colorScale" priority="4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0:L200">
    <cfRule type="colorScale" priority="4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1:L201">
    <cfRule type="colorScale" priority="4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2:L202">
    <cfRule type="colorScale" priority="4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3:L203">
    <cfRule type="colorScale" priority="4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4:L204">
    <cfRule type="colorScale" priority="4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5:L205">
    <cfRule type="colorScale" priority="4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6:L206">
    <cfRule type="colorScale" priority="4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7:L207">
    <cfRule type="colorScale" priority="4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8:L208">
    <cfRule type="colorScale" priority="4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9:L209">
    <cfRule type="colorScale" priority="4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0:L210">
    <cfRule type="colorScale" priority="4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1:L211">
    <cfRule type="colorScale" priority="4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2:L212">
    <cfRule type="colorScale" priority="4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3:L213">
    <cfRule type="colorScale" priority="4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4:L215">
    <cfRule type="colorScale" priority="4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7:L217">
    <cfRule type="colorScale" priority="4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8:L219">
    <cfRule type="colorScale" priority="4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0:L221">
    <cfRule type="colorScale" priority="4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2:L223">
    <cfRule type="colorScale" priority="4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4:L224">
    <cfRule type="colorScale" priority="4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5:L225">
    <cfRule type="colorScale" priority="4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6:L226">
    <cfRule type="colorScale" priority="4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8:L231">
    <cfRule type="colorScale" priority="4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2">
    <cfRule type="colorScale" priority="4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3">
    <cfRule type="colorScale" priority="4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4:L235">
    <cfRule type="colorScale" priority="4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6:L236">
    <cfRule type="colorScale" priority="4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7 I238:L238">
    <cfRule type="colorScale" priority="4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">
    <cfRule type="colorScale" priority="4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 G5">
    <cfRule type="colorScale" priority="4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">
    <cfRule type="colorScale" priority="4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">
    <cfRule type="colorScale" priority="4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">
    <cfRule type="colorScale" priority="4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">
    <cfRule type="colorScale" priority="4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">
    <cfRule type="colorScale" priority="4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">
    <cfRule type="colorScale" priority="4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">
    <cfRule type="colorScale" priority="4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">
    <cfRule type="colorScale" priority="4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">
    <cfRule type="colorScale" priority="4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">
    <cfRule type="colorScale" priority="4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">
    <cfRule type="colorScale" priority="4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">
    <cfRule type="colorScale" priority="4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">
    <cfRule type="colorScale" priority="4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">
    <cfRule type="colorScale" priority="4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">
    <cfRule type="colorScale" priority="4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">
    <cfRule type="colorScale" priority="4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">
    <cfRule type="colorScale" priority="5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">
    <cfRule type="colorScale" priority="5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6">
    <cfRule type="colorScale" priority="5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7">
    <cfRule type="colorScale" priority="5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8">
    <cfRule type="colorScale" priority="5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9">
    <cfRule type="colorScale" priority="5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0">
    <cfRule type="colorScale" priority="5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1">
    <cfRule type="colorScale" priority="5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2">
    <cfRule type="colorScale" priority="5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3">
    <cfRule type="colorScale" priority="5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4">
    <cfRule type="colorScale" priority="5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5">
    <cfRule type="colorScale" priority="5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6">
    <cfRule type="colorScale" priority="5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7">
    <cfRule type="colorScale" priority="5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8">
    <cfRule type="colorScale" priority="5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9">
    <cfRule type="colorScale" priority="5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0">
    <cfRule type="colorScale" priority="5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1">
    <cfRule type="colorScale" priority="5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2">
    <cfRule type="colorScale" priority="5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3">
    <cfRule type="colorScale" priority="5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4">
    <cfRule type="colorScale" priority="5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5">
    <cfRule type="colorScale" priority="5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6">
    <cfRule type="colorScale" priority="5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7">
    <cfRule type="colorScale" priority="5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8">
    <cfRule type="colorScale" priority="5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9">
    <cfRule type="colorScale" priority="5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0">
    <cfRule type="colorScale" priority="5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1">
    <cfRule type="colorScale" priority="5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2">
    <cfRule type="colorScale" priority="5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3">
    <cfRule type="colorScale" priority="5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4">
    <cfRule type="colorScale" priority="5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5">
    <cfRule type="colorScale" priority="5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6">
    <cfRule type="colorScale" priority="5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7">
    <cfRule type="colorScale" priority="5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8">
    <cfRule type="colorScale" priority="5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9">
    <cfRule type="colorScale" priority="5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0">
    <cfRule type="colorScale" priority="5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1">
    <cfRule type="colorScale" priority="5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2">
    <cfRule type="colorScale" priority="5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3">
    <cfRule type="colorScale" priority="5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4">
    <cfRule type="colorScale" priority="5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5">
    <cfRule type="colorScale" priority="5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6">
    <cfRule type="colorScale" priority="5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7">
    <cfRule type="colorScale" priority="5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8">
    <cfRule type="colorScale" priority="5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9">
    <cfRule type="colorScale" priority="5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0">
    <cfRule type="colorScale" priority="5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1">
    <cfRule type="colorScale" priority="5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2">
    <cfRule type="colorScale" priority="5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3">
    <cfRule type="colorScale" priority="5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4">
    <cfRule type="colorScale" priority="6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5">
    <cfRule type="colorScale" priority="6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6">
    <cfRule type="colorScale" priority="6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7">
    <cfRule type="colorScale" priority="6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8">
    <cfRule type="colorScale" priority="6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9">
    <cfRule type="colorScale" priority="6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0">
    <cfRule type="colorScale" priority="6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1">
    <cfRule type="colorScale" priority="6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2">
    <cfRule type="colorScale" priority="6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3">
    <cfRule type="colorScale" priority="6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4">
    <cfRule type="colorScale" priority="6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5">
    <cfRule type="colorScale" priority="6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6">
    <cfRule type="colorScale" priority="6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7">
    <cfRule type="colorScale" priority="6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8">
    <cfRule type="colorScale" priority="6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9">
    <cfRule type="colorScale" priority="6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0">
    <cfRule type="colorScale" priority="6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1">
    <cfRule type="colorScale" priority="6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2">
    <cfRule type="colorScale" priority="6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3">
    <cfRule type="colorScale" priority="6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4">
    <cfRule type="colorScale" priority="6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5">
    <cfRule type="colorScale" priority="6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6">
    <cfRule type="colorScale" priority="6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7">
    <cfRule type="colorScale" priority="6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8">
    <cfRule type="colorScale" priority="6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9">
    <cfRule type="colorScale" priority="6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0">
    <cfRule type="colorScale" priority="6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1">
    <cfRule type="colorScale" priority="6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2">
    <cfRule type="colorScale" priority="6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3">
    <cfRule type="colorScale" priority="6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4">
    <cfRule type="colorScale" priority="6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5">
    <cfRule type="colorScale" priority="6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6">
    <cfRule type="colorScale" priority="6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7">
    <cfRule type="colorScale" priority="6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8">
    <cfRule type="colorScale" priority="6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9">
    <cfRule type="colorScale" priority="6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0">
    <cfRule type="colorScale" priority="6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1">
    <cfRule type="colorScale" priority="6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2">
    <cfRule type="colorScale" priority="6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3">
    <cfRule type="colorScale" priority="6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4">
    <cfRule type="colorScale" priority="6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5">
    <cfRule type="colorScale" priority="6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6">
    <cfRule type="colorScale" priority="6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7">
    <cfRule type="colorScale" priority="6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8">
    <cfRule type="colorScale" priority="6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9">
    <cfRule type="colorScale" priority="6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0">
    <cfRule type="colorScale" priority="6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1">
    <cfRule type="colorScale" priority="6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2">
    <cfRule type="colorScale" priority="6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3">
    <cfRule type="colorScale" priority="6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4">
    <cfRule type="colorScale" priority="7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5">
    <cfRule type="colorScale" priority="7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6">
    <cfRule type="colorScale" priority="7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7">
    <cfRule type="colorScale" priority="7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8">
    <cfRule type="colorScale" priority="7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9:G130">
    <cfRule type="colorScale" priority="7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1">
    <cfRule type="colorScale" priority="7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2">
    <cfRule type="colorScale" priority="7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3">
    <cfRule type="colorScale" priority="7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4">
    <cfRule type="colorScale" priority="7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5">
    <cfRule type="colorScale" priority="7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6">
    <cfRule type="colorScale" priority="7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7">
    <cfRule type="colorScale" priority="7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8">
    <cfRule type="colorScale" priority="7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9">
    <cfRule type="colorScale" priority="7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0">
    <cfRule type="colorScale" priority="7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1">
    <cfRule type="colorScale" priority="7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2">
    <cfRule type="colorScale" priority="7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3">
    <cfRule type="colorScale" priority="7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4">
    <cfRule type="colorScale" priority="7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5">
    <cfRule type="colorScale" priority="7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6">
    <cfRule type="colorScale" priority="7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7">
    <cfRule type="colorScale" priority="7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8">
    <cfRule type="colorScale" priority="7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9">
    <cfRule type="colorScale" priority="7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0">
    <cfRule type="colorScale" priority="7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1">
    <cfRule type="colorScale" priority="7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2">
    <cfRule type="colorScale" priority="7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3">
    <cfRule type="colorScale" priority="7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4">
    <cfRule type="colorScale" priority="7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5">
    <cfRule type="colorScale" priority="7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6">
    <cfRule type="colorScale" priority="7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7">
    <cfRule type="colorScale" priority="7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8">
    <cfRule type="colorScale" priority="7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9">
    <cfRule type="colorScale" priority="7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0">
    <cfRule type="colorScale" priority="7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1">
    <cfRule type="colorScale" priority="7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2">
    <cfRule type="colorScale" priority="7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3">
    <cfRule type="colorScale" priority="7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4">
    <cfRule type="colorScale" priority="7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5">
    <cfRule type="colorScale" priority="7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6">
    <cfRule type="colorScale" priority="7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7">
    <cfRule type="colorScale" priority="7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8">
    <cfRule type="colorScale" priority="7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9">
    <cfRule type="colorScale" priority="7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0">
    <cfRule type="colorScale" priority="7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1">
    <cfRule type="colorScale" priority="7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2">
    <cfRule type="colorScale" priority="7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3">
    <cfRule type="colorScale" priority="7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4">
    <cfRule type="colorScale" priority="7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5">
    <cfRule type="colorScale" priority="8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6">
    <cfRule type="colorScale" priority="8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7">
    <cfRule type="colorScale" priority="8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8">
    <cfRule type="colorScale" priority="8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9">
    <cfRule type="colorScale" priority="8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0">
    <cfRule type="colorScale" priority="8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1">
    <cfRule type="colorScale" priority="8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2">
    <cfRule type="colorScale" priority="8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3">
    <cfRule type="colorScale" priority="8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4">
    <cfRule type="colorScale" priority="8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5">
    <cfRule type="colorScale" priority="8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6">
    <cfRule type="colorScale" priority="8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7">
    <cfRule type="colorScale" priority="8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8">
    <cfRule type="colorScale" priority="8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9">
    <cfRule type="colorScale" priority="8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0">
    <cfRule type="colorScale" priority="8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1">
    <cfRule type="colorScale" priority="8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2">
    <cfRule type="colorScale" priority="8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3">
    <cfRule type="colorScale" priority="8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4">
    <cfRule type="colorScale" priority="8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5">
    <cfRule type="colorScale" priority="8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6">
    <cfRule type="colorScale" priority="8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7">
    <cfRule type="colorScale" priority="8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8">
    <cfRule type="colorScale" priority="8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9">
    <cfRule type="colorScale" priority="8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0">
    <cfRule type="colorScale" priority="8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1">
    <cfRule type="colorScale" priority="8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2">
    <cfRule type="colorScale" priority="8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3">
    <cfRule type="colorScale" priority="8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4">
    <cfRule type="colorScale" priority="8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5">
    <cfRule type="colorScale" priority="8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6">
    <cfRule type="colorScale" priority="8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7">
    <cfRule type="colorScale" priority="8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8">
    <cfRule type="colorScale" priority="8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9">
    <cfRule type="colorScale" priority="8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0">
    <cfRule type="colorScale" priority="8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1">
    <cfRule type="colorScale" priority="8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2">
    <cfRule type="colorScale" priority="8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3">
    <cfRule type="colorScale" priority="8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5">
    <cfRule type="colorScale" priority="8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6:G217">
    <cfRule type="colorScale" priority="8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8:G221">
    <cfRule type="colorScale" priority="8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2:G223">
    <cfRule type="colorScale" priority="8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4:G225">
    <cfRule type="colorScale" priority="8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7:G238">
    <cfRule type="colorScale" priority="8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4:G25">
    <cfRule type="colorScale" priority="8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4">
    <cfRule type="colorScale" priority="8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8:G232">
    <cfRule type="colorScale" priority="8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4:G236">
    <cfRule type="colorScale" priority="8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49" activePane="bottomRight" state="frozen"/>
      <selection pane="topLeft" activeCell="A1" activeCellId="0" sqref="A1"/>
      <selection pane="topRight" activeCell="C1" activeCellId="0" sqref="C1"/>
      <selection pane="bottomLeft" activeCell="A149" activeCellId="0" sqref="A149"/>
      <selection pane="bottomRigh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2" min="1" style="2" width="35.71"/>
    <col collapsed="false" customWidth="true" hidden="false" outlineLevel="0" max="3" min="3" style="2" width="49.57"/>
  </cols>
  <sheetData>
    <row r="1" s="1" customFormat="true" ht="15" hidden="false" customHeight="false" outlineLevel="0" collapsed="false">
      <c r="A1" s="1" t="s">
        <v>559</v>
      </c>
      <c r="B1" s="1" t="s">
        <v>560</v>
      </c>
      <c r="C1" s="1" t="s">
        <v>561</v>
      </c>
    </row>
    <row r="2" customFormat="false" ht="15" hidden="false" customHeight="false" outlineLevel="0" collapsed="false">
      <c r="A2" s="2" t="s">
        <v>562</v>
      </c>
      <c r="B2" s="2" t="s">
        <v>31</v>
      </c>
      <c r="C2" s="2" t="str">
        <f aca="false">IF(ISNA(VLOOKUP(A2,$B$2:$B$170,1,FALSE())),A2,"")</f>
        <v>pi</v>
      </c>
    </row>
    <row r="3" customFormat="false" ht="15" hidden="false" customHeight="false" outlineLevel="0" collapsed="false">
      <c r="A3" s="2" t="s">
        <v>36</v>
      </c>
      <c r="B3" s="2" t="s">
        <v>36</v>
      </c>
      <c r="C3" s="2" t="str">
        <f aca="false">IF(ISNA(VLOOKUP(A3,$B$2:$B$170,1,FALSE())),A3,"")</f>
        <v/>
      </c>
    </row>
    <row r="4" customFormat="false" ht="15" hidden="false" customHeight="false" outlineLevel="0" collapsed="false">
      <c r="A4" s="2" t="s">
        <v>157</v>
      </c>
      <c r="B4" s="2" t="s">
        <v>39</v>
      </c>
      <c r="C4" s="2" t="str">
        <f aca="false">IF(ISNA(VLOOKUP(A4,$B$2:$B$170,1,FALSE())),A4,"")</f>
        <v/>
      </c>
    </row>
    <row r="5" customFormat="false" ht="15" hidden="false" customHeight="false" outlineLevel="0" collapsed="false">
      <c r="A5" s="2" t="s">
        <v>161</v>
      </c>
      <c r="B5" s="2" t="s">
        <v>42</v>
      </c>
      <c r="C5" s="2" t="str">
        <f aca="false">IF(ISNA(VLOOKUP(A5,$B$2:$B$170,1,FALSE())),A5,"")</f>
        <v/>
      </c>
    </row>
    <row r="6" customFormat="false" ht="15" hidden="false" customHeight="false" outlineLevel="0" collapsed="false">
      <c r="A6" s="2" t="s">
        <v>163</v>
      </c>
      <c r="B6" s="2" t="s">
        <v>44</v>
      </c>
      <c r="C6" s="2" t="str">
        <f aca="false">IF(ISNA(VLOOKUP(A6,$B$2:$B$170,1,FALSE())),A6,"")</f>
        <v/>
      </c>
    </row>
    <row r="7" customFormat="false" ht="15" hidden="false" customHeight="false" outlineLevel="0" collapsed="false">
      <c r="A7" s="2" t="s">
        <v>159</v>
      </c>
      <c r="B7" s="2" t="s">
        <v>563</v>
      </c>
      <c r="C7" s="2" t="str">
        <f aca="false">IF(ISNA(VLOOKUP(A7,$B$2:$B$170,1,FALSE())),A7,"")</f>
        <v/>
      </c>
    </row>
    <row r="8" customFormat="false" ht="15" hidden="false" customHeight="false" outlineLevel="0" collapsed="false">
      <c r="A8" s="2" t="s">
        <v>181</v>
      </c>
      <c r="B8" s="2" t="s">
        <v>46</v>
      </c>
      <c r="C8" s="2" t="str">
        <f aca="false">IF(ISNA(VLOOKUP(A8,$B$2:$B$170,1,FALSE())),A8,"")</f>
        <v/>
      </c>
    </row>
    <row r="9" customFormat="false" ht="15" hidden="false" customHeight="false" outlineLevel="0" collapsed="false">
      <c r="A9" s="2" t="s">
        <v>193</v>
      </c>
      <c r="B9" s="2" t="s">
        <v>50</v>
      </c>
      <c r="C9" s="2" t="str">
        <f aca="false">IF(ISNA(VLOOKUP(A9,$B$2:$B$170,1,FALSE())),A9,"")</f>
        <v/>
      </c>
    </row>
    <row r="10" customFormat="false" ht="15" hidden="false" customHeight="false" outlineLevel="0" collapsed="false">
      <c r="A10" s="2" t="s">
        <v>188</v>
      </c>
      <c r="B10" s="2" t="s">
        <v>53</v>
      </c>
      <c r="C10" s="2" t="str">
        <f aca="false">IF(ISNA(VLOOKUP(A10,$B$2:$B$170,1,FALSE())),A10,"")</f>
        <v/>
      </c>
    </row>
    <row r="11" customFormat="false" ht="15" hidden="false" customHeight="false" outlineLevel="0" collapsed="false">
      <c r="A11" s="2" t="s">
        <v>190</v>
      </c>
      <c r="B11" s="2" t="s">
        <v>56</v>
      </c>
      <c r="C11" s="2" t="str">
        <f aca="false">IF(ISNA(VLOOKUP(A11,$B$2:$B$170,1,FALSE())),A11,"")</f>
        <v/>
      </c>
    </row>
    <row r="12" customFormat="false" ht="15" hidden="false" customHeight="false" outlineLevel="0" collapsed="false">
      <c r="A12" s="2" t="s">
        <v>186</v>
      </c>
      <c r="B12" s="2" t="s">
        <v>90</v>
      </c>
      <c r="C12" s="2" t="str">
        <f aca="false">IF(ISNA(VLOOKUP(A12,$B$2:$B$170,1,FALSE())),A12,"")</f>
        <v/>
      </c>
    </row>
    <row r="13" customFormat="false" ht="15" hidden="false" customHeight="false" outlineLevel="0" collapsed="false">
      <c r="A13" s="2" t="s">
        <v>184</v>
      </c>
      <c r="B13" s="2" t="s">
        <v>68</v>
      </c>
      <c r="C13" s="2" t="str">
        <f aca="false">IF(ISNA(VLOOKUP(A13,$B$2:$B$170,1,FALSE())),A13,"")</f>
        <v/>
      </c>
    </row>
    <row r="14" customFormat="false" ht="15" hidden="false" customHeight="false" outlineLevel="0" collapsed="false">
      <c r="A14" s="2" t="s">
        <v>168</v>
      </c>
      <c r="B14" s="2" t="s">
        <v>70</v>
      </c>
      <c r="C14" s="2" t="str">
        <f aca="false">IF(ISNA(VLOOKUP(A14,$B$2:$B$170,1,FALSE())),A14,"")</f>
        <v/>
      </c>
    </row>
    <row r="15" customFormat="false" ht="15" hidden="false" customHeight="false" outlineLevel="0" collapsed="false">
      <c r="A15" s="2" t="s">
        <v>173</v>
      </c>
      <c r="B15" s="2" t="s">
        <v>83</v>
      </c>
      <c r="C15" s="2" t="str">
        <f aca="false">IF(ISNA(VLOOKUP(A15,$B$2:$B$170,1,FALSE())),A15,"")</f>
        <v/>
      </c>
    </row>
    <row r="16" customFormat="false" ht="15" hidden="false" customHeight="false" outlineLevel="0" collapsed="false">
      <c r="A16" s="2" t="s">
        <v>175</v>
      </c>
      <c r="B16" s="2" t="s">
        <v>85</v>
      </c>
      <c r="C16" s="2" t="str">
        <f aca="false">IF(ISNA(VLOOKUP(A16,$B$2:$B$170,1,FALSE())),A16,"")</f>
        <v/>
      </c>
    </row>
    <row r="17" customFormat="false" ht="15" hidden="false" customHeight="false" outlineLevel="0" collapsed="false">
      <c r="A17" s="2" t="s">
        <v>178</v>
      </c>
      <c r="B17" s="2" t="s">
        <v>88</v>
      </c>
      <c r="C17" s="2" t="str">
        <f aca="false">IF(ISNA(VLOOKUP(A17,$B$2:$B$170,1,FALSE())),A17,"")</f>
        <v/>
      </c>
    </row>
    <row r="18" customFormat="false" ht="15" hidden="false" customHeight="false" outlineLevel="0" collapsed="false">
      <c r="A18" s="2" t="s">
        <v>196</v>
      </c>
      <c r="B18" s="2" t="s">
        <v>138</v>
      </c>
      <c r="C18" s="2" t="str">
        <f aca="false">IF(ISNA(VLOOKUP(A18,$B$2:$B$170,1,FALSE())),A18,"")</f>
        <v/>
      </c>
    </row>
    <row r="19" customFormat="false" ht="15" hidden="false" customHeight="false" outlineLevel="0" collapsed="false">
      <c r="A19" s="2" t="s">
        <v>199</v>
      </c>
      <c r="B19" s="2" t="s">
        <v>140</v>
      </c>
      <c r="C19" s="2" t="str">
        <f aca="false">IF(ISNA(VLOOKUP(A19,$B$2:$B$170,1,FALSE())),A19,"")</f>
        <v/>
      </c>
    </row>
    <row r="20" customFormat="false" ht="15" hidden="false" customHeight="false" outlineLevel="0" collapsed="false">
      <c r="A20" s="2" t="s">
        <v>216</v>
      </c>
      <c r="B20" s="2" t="s">
        <v>142</v>
      </c>
      <c r="C20" s="2" t="str">
        <f aca="false">IF(ISNA(VLOOKUP(A20,$B$2:$B$170,1,FALSE())),A20,"")</f>
        <v/>
      </c>
    </row>
    <row r="21" customFormat="false" ht="15" hidden="false" customHeight="false" outlineLevel="0" collapsed="false">
      <c r="A21" s="2" t="s">
        <v>219</v>
      </c>
      <c r="B21" s="2" t="s">
        <v>144</v>
      </c>
      <c r="C21" s="2" t="str">
        <f aca="false">IF(ISNA(VLOOKUP(A21,$B$2:$B$170,1,FALSE())),A21,"")</f>
        <v/>
      </c>
    </row>
    <row r="22" customFormat="false" ht="15" hidden="false" customHeight="false" outlineLevel="0" collapsed="false">
      <c r="A22" s="2" t="s">
        <v>222</v>
      </c>
      <c r="B22" s="2" t="s">
        <v>146</v>
      </c>
      <c r="C22" s="2" t="str">
        <f aca="false">IF(ISNA(VLOOKUP(A22,$B$2:$B$170,1,FALSE())),A22,"")</f>
        <v/>
      </c>
    </row>
    <row r="23" customFormat="false" ht="15" hidden="false" customHeight="false" outlineLevel="0" collapsed="false">
      <c r="A23" s="2" t="s">
        <v>227</v>
      </c>
      <c r="B23" s="2" t="s">
        <v>94</v>
      </c>
      <c r="C23" s="2" t="str">
        <f aca="false">IF(ISNA(VLOOKUP(A23,$B$2:$B$170,1,FALSE())),A23,"")</f>
        <v/>
      </c>
    </row>
    <row r="24" customFormat="false" ht="15" hidden="false" customHeight="false" outlineLevel="0" collapsed="false">
      <c r="A24" s="2" t="s">
        <v>225</v>
      </c>
      <c r="B24" s="2" t="s">
        <v>96</v>
      </c>
      <c r="C24" s="2" t="str">
        <f aca="false">IF(ISNA(VLOOKUP(A24,$B$2:$B$170,1,FALSE())),A24,"")</f>
        <v/>
      </c>
    </row>
    <row r="25" customFormat="false" ht="15" hidden="false" customHeight="false" outlineLevel="0" collapsed="false">
      <c r="A25" s="2" t="s">
        <v>241</v>
      </c>
      <c r="B25" s="2" t="s">
        <v>100</v>
      </c>
      <c r="C25" s="2" t="str">
        <f aca="false">IF(ISNA(VLOOKUP(A25,$B$2:$B$170,1,FALSE())),A25,"")</f>
        <v/>
      </c>
    </row>
    <row r="26" customFormat="false" ht="15" hidden="false" customHeight="false" outlineLevel="0" collapsed="false">
      <c r="A26" s="2" t="s">
        <v>244</v>
      </c>
      <c r="B26" s="2" t="s">
        <v>103</v>
      </c>
      <c r="C26" s="2" t="str">
        <f aca="false">IF(ISNA(VLOOKUP(A26,$B$2:$B$170,1,FALSE())),A26,"")</f>
        <v/>
      </c>
    </row>
    <row r="27" customFormat="false" ht="15" hidden="false" customHeight="false" outlineLevel="0" collapsed="false">
      <c r="A27" s="2" t="s">
        <v>564</v>
      </c>
      <c r="B27" s="2" t="s">
        <v>105</v>
      </c>
      <c r="C27" s="2" t="str">
        <f aca="false">IF(ISNA(VLOOKUP(A27,$B$2:$B$170,1,FALSE())),A27,"")</f>
        <v>root_growth_T_ref</v>
      </c>
    </row>
    <row r="28" customFormat="false" ht="15" hidden="false" customHeight="false" outlineLevel="0" collapsed="false">
      <c r="A28" s="2" t="s">
        <v>565</v>
      </c>
      <c r="B28" s="2" t="s">
        <v>107</v>
      </c>
      <c r="C28" s="2" t="str">
        <f aca="false">IF(ISNA(VLOOKUP(A28,$B$2:$B$170,1,FALSE())),A28,"")</f>
        <v>root_growth_A</v>
      </c>
    </row>
    <row r="29" customFormat="false" ht="15" hidden="false" customHeight="false" outlineLevel="0" collapsed="false">
      <c r="A29" s="2" t="s">
        <v>566</v>
      </c>
      <c r="B29" s="2" t="s">
        <v>110</v>
      </c>
      <c r="C29" s="2" t="str">
        <f aca="false">IF(ISNA(VLOOKUP(A29,$B$2:$B$170,1,FALSE())),A29,"")</f>
        <v>root_growth_B</v>
      </c>
    </row>
    <row r="30" customFormat="false" ht="15" hidden="false" customHeight="false" outlineLevel="0" collapsed="false">
      <c r="A30" s="2" t="s">
        <v>567</v>
      </c>
      <c r="B30" s="2" t="s">
        <v>112</v>
      </c>
      <c r="C30" s="2" t="str">
        <f aca="false">IF(ISNA(VLOOKUP(A30,$B$2:$B$170,1,FALSE())),A30,"")</f>
        <v>root_growth_C</v>
      </c>
    </row>
    <row r="31" customFormat="false" ht="15" hidden="false" customHeight="false" outlineLevel="0" collapsed="false">
      <c r="A31" s="2" t="s">
        <v>229</v>
      </c>
      <c r="B31" s="2" t="s">
        <v>114</v>
      </c>
      <c r="C31" s="2" t="str">
        <f aca="false">IF(ISNA(VLOOKUP(A31,$B$2:$B$170,1,FALSE())),A31,"")</f>
        <v/>
      </c>
    </row>
    <row r="32" customFormat="false" ht="15" hidden="false" customHeight="false" outlineLevel="0" collapsed="false">
      <c r="A32" s="2" t="s">
        <v>231</v>
      </c>
      <c r="B32" s="2" t="s">
        <v>116</v>
      </c>
      <c r="C32" s="2" t="str">
        <f aca="false">IF(ISNA(VLOOKUP(A32,$B$2:$B$170,1,FALSE())),A32,"")</f>
        <v/>
      </c>
    </row>
    <row r="33" customFormat="false" ht="15" hidden="false" customHeight="false" outlineLevel="0" collapsed="false">
      <c r="A33" s="2" t="s">
        <v>233</v>
      </c>
      <c r="B33" s="2" t="s">
        <v>119</v>
      </c>
      <c r="C33" s="2" t="str">
        <f aca="false">IF(ISNA(VLOOKUP(A33,$B$2:$B$170,1,FALSE())),A33,"")</f>
        <v/>
      </c>
    </row>
    <row r="34" customFormat="false" ht="15" hidden="false" customHeight="false" outlineLevel="0" collapsed="false">
      <c r="A34" s="2" t="s">
        <v>236</v>
      </c>
      <c r="B34" s="2" t="s">
        <v>121</v>
      </c>
      <c r="C34" s="2" t="str">
        <f aca="false">IF(ISNA(VLOOKUP(A34,$B$2:$B$170,1,FALSE())),A34,"")</f>
        <v/>
      </c>
    </row>
    <row r="35" customFormat="false" ht="15" hidden="false" customHeight="false" outlineLevel="0" collapsed="false">
      <c r="A35" s="2" t="s">
        <v>239</v>
      </c>
      <c r="B35" s="2" t="s">
        <v>123</v>
      </c>
      <c r="C35" s="2" t="str">
        <f aca="false">IF(ISNA(VLOOKUP(A35,$B$2:$B$170,1,FALSE())),A35,"")</f>
        <v/>
      </c>
    </row>
    <row r="36" customFormat="false" ht="15" hidden="false" customHeight="false" outlineLevel="0" collapsed="false">
      <c r="A36" s="2" t="s">
        <v>295</v>
      </c>
      <c r="B36" s="2" t="s">
        <v>125</v>
      </c>
      <c r="C36" s="2" t="str">
        <f aca="false">IF(ISNA(VLOOKUP(A36,$B$2:$B$170,1,FALSE())),A36,"")</f>
        <v/>
      </c>
    </row>
    <row r="37" customFormat="false" ht="15" hidden="false" customHeight="false" outlineLevel="0" collapsed="false">
      <c r="A37" s="2" t="s">
        <v>379</v>
      </c>
      <c r="B37" s="2" t="s">
        <v>127</v>
      </c>
      <c r="C37" s="2" t="str">
        <f aca="false">IF(ISNA(VLOOKUP(A37,$B$2:$B$170,1,FALSE())),A37,"")</f>
        <v/>
      </c>
    </row>
    <row r="38" customFormat="false" ht="15" hidden="false" customHeight="false" outlineLevel="0" collapsed="false">
      <c r="A38" s="2" t="s">
        <v>381</v>
      </c>
      <c r="B38" s="2" t="s">
        <v>148</v>
      </c>
      <c r="C38" s="2" t="str">
        <f aca="false">IF(ISNA(VLOOKUP(A38,$B$2:$B$170,1,FALSE())),A38,"")</f>
        <v/>
      </c>
    </row>
    <row r="39" customFormat="false" ht="15" hidden="false" customHeight="false" outlineLevel="0" collapsed="false">
      <c r="A39" s="2" t="s">
        <v>383</v>
      </c>
      <c r="B39" s="2" t="s">
        <v>152</v>
      </c>
      <c r="C39" s="2" t="str">
        <f aca="false">IF(ISNA(VLOOKUP(A39,$B$2:$B$170,1,FALSE())),A39,"")</f>
        <v/>
      </c>
    </row>
    <row r="40" customFormat="false" ht="15" hidden="false" customHeight="false" outlineLevel="0" collapsed="false">
      <c r="A40" s="2" t="s">
        <v>385</v>
      </c>
      <c r="B40" s="2" t="s">
        <v>155</v>
      </c>
      <c r="C40" s="2" t="str">
        <f aca="false">IF(ISNA(VLOOKUP(A40,$B$2:$B$170,1,FALSE())),A40,"")</f>
        <v/>
      </c>
    </row>
    <row r="41" customFormat="false" ht="15" hidden="false" customHeight="false" outlineLevel="0" collapsed="false">
      <c r="A41" s="2" t="s">
        <v>387</v>
      </c>
      <c r="B41" s="2" t="s">
        <v>157</v>
      </c>
      <c r="C41" s="2" t="str">
        <f aca="false">IF(ISNA(VLOOKUP(A41,$B$2:$B$170,1,FALSE())),A41,"")</f>
        <v/>
      </c>
    </row>
    <row r="42" customFormat="false" ht="15" hidden="false" customHeight="false" outlineLevel="0" collapsed="false">
      <c r="A42" s="2" t="s">
        <v>389</v>
      </c>
      <c r="B42" s="2" t="s">
        <v>159</v>
      </c>
      <c r="C42" s="2" t="str">
        <f aca="false">IF(ISNA(VLOOKUP(A42,$B$2:$B$170,1,FALSE())),A42,"")</f>
        <v/>
      </c>
    </row>
    <row r="43" customFormat="false" ht="15" hidden="false" customHeight="false" outlineLevel="0" collapsed="false">
      <c r="A43" s="2" t="s">
        <v>568</v>
      </c>
      <c r="B43" s="2" t="s">
        <v>161</v>
      </c>
      <c r="C43" s="2" t="str">
        <f aca="false">IF(ISNA(VLOOKUP(A43,$B$2:$B$170,1,FALSE())),A43,"")</f>
        <v>expected_C_sucrose_root</v>
      </c>
    </row>
    <row r="44" customFormat="false" ht="15" hidden="false" customHeight="false" outlineLevel="0" collapsed="false">
      <c r="A44" s="2" t="s">
        <v>569</v>
      </c>
      <c r="B44" s="2" t="s">
        <v>163</v>
      </c>
      <c r="C44" s="2" t="str">
        <f aca="false">IF(ISNA(VLOOKUP(A44,$B$2:$B$170,1,FALSE())),A44,"")</f>
        <v>expected_C_hexose_root</v>
      </c>
    </row>
    <row r="45" customFormat="false" ht="15" hidden="false" customHeight="false" outlineLevel="0" collapsed="false">
      <c r="A45" s="2" t="s">
        <v>570</v>
      </c>
      <c r="B45" s="2" t="s">
        <v>168</v>
      </c>
      <c r="C45" s="2" t="str">
        <f aca="false">IF(ISNA(VLOOKUP(A45,$B$2:$B$170,1,FALSE())),A45,"")</f>
        <v>expected_C_hexose_soil</v>
      </c>
    </row>
    <row r="46" customFormat="false" ht="15" hidden="false" customHeight="false" outlineLevel="0" collapsed="false">
      <c r="A46" s="2" t="s">
        <v>571</v>
      </c>
      <c r="B46" s="2" t="s">
        <v>173</v>
      </c>
      <c r="C46" s="2" t="str">
        <f aca="false">IF(ISNA(VLOOKUP(A46,$B$2:$B$170,1,FALSE())),A46,"")</f>
        <v>expected_C_hexose_reserve</v>
      </c>
    </row>
    <row r="47" customFormat="false" ht="15" hidden="false" customHeight="false" outlineLevel="0" collapsed="false">
      <c r="A47" s="2" t="s">
        <v>248</v>
      </c>
      <c r="B47" s="2" t="s">
        <v>178</v>
      </c>
      <c r="C47" s="2" t="str">
        <f aca="false">IF(ISNA(VLOOKUP(A47,$B$2:$B$170,1,FALSE())),A47,"")</f>
        <v/>
      </c>
    </row>
    <row r="48" customFormat="false" ht="15" hidden="false" customHeight="false" outlineLevel="0" collapsed="false">
      <c r="A48" s="2" t="s">
        <v>572</v>
      </c>
      <c r="B48" s="2" t="s">
        <v>181</v>
      </c>
      <c r="C48" s="2" t="str">
        <f aca="false">IF(ISNA(VLOOKUP(A48,$B$2:$B$170,1,FALSE())),A48,"")</f>
        <v/>
      </c>
    </row>
    <row r="49" customFormat="false" ht="15" hidden="false" customHeight="false" outlineLevel="0" collapsed="false">
      <c r="A49" s="2" t="s">
        <v>573</v>
      </c>
      <c r="B49" s="2" t="s">
        <v>184</v>
      </c>
      <c r="C49" s="2" t="str">
        <f aca="false">IF(ISNA(VLOOKUP(A49,$B$2:$B$170,1,FALSE())),A49,"")</f>
        <v>surfacic_unloading_rate_reference</v>
      </c>
    </row>
    <row r="50" customFormat="false" ht="15" hidden="false" customHeight="false" outlineLevel="0" collapsed="false">
      <c r="A50" s="2" t="s">
        <v>574</v>
      </c>
      <c r="B50" s="2" t="s">
        <v>175</v>
      </c>
      <c r="C50" s="2" t="str">
        <f aca="false">IF(ISNA(VLOOKUP(A50,$B$2:$B$170,1,FALSE())),A50,"")</f>
        <v>surfacic_unloading_rate_primordium</v>
      </c>
    </row>
    <row r="51" customFormat="false" ht="15" hidden="false" customHeight="false" outlineLevel="0" collapsed="false">
      <c r="A51" s="2" t="s">
        <v>318</v>
      </c>
      <c r="B51" s="2" t="s">
        <v>186</v>
      </c>
      <c r="C51" s="2" t="str">
        <f aca="false">IF(ISNA(VLOOKUP(A51,$B$2:$B$170,1,FALSE())),A51,"")</f>
        <v/>
      </c>
    </row>
    <row r="52" customFormat="false" ht="15" hidden="false" customHeight="false" outlineLevel="0" collapsed="false">
      <c r="A52" s="2" t="s">
        <v>325</v>
      </c>
      <c r="B52" s="2" t="s">
        <v>188</v>
      </c>
      <c r="C52" s="2" t="str">
        <f aca="false">IF(ISNA(VLOOKUP(A52,$B$2:$B$170,1,FALSE())),A52,"")</f>
        <v/>
      </c>
    </row>
    <row r="53" customFormat="false" ht="15" hidden="false" customHeight="false" outlineLevel="0" collapsed="false">
      <c r="A53" s="2" t="s">
        <v>327</v>
      </c>
      <c r="B53" s="2" t="s">
        <v>190</v>
      </c>
      <c r="C53" s="2" t="str">
        <f aca="false">IF(ISNA(VLOOKUP(A53,$B$2:$B$170,1,FALSE())),A53,"")</f>
        <v/>
      </c>
    </row>
    <row r="54" customFormat="false" ht="15" hidden="false" customHeight="false" outlineLevel="0" collapsed="false">
      <c r="A54" s="2" t="s">
        <v>330</v>
      </c>
      <c r="B54" s="2" t="s">
        <v>193</v>
      </c>
      <c r="C54" s="2" t="str">
        <f aca="false">IF(ISNA(VLOOKUP(A54,$B$2:$B$170,1,FALSE())),A54,"")</f>
        <v/>
      </c>
    </row>
    <row r="55" customFormat="false" ht="15" hidden="false" customHeight="false" outlineLevel="0" collapsed="false">
      <c r="A55" s="2" t="s">
        <v>332</v>
      </c>
      <c r="B55" s="2" t="s">
        <v>196</v>
      </c>
      <c r="C55" s="2" t="str">
        <f aca="false">IF(ISNA(VLOOKUP(A55,$B$2:$B$170,1,FALSE())),A55,"")</f>
        <v/>
      </c>
    </row>
    <row r="56" customFormat="false" ht="15" hidden="false" customHeight="false" outlineLevel="0" collapsed="false">
      <c r="A56" s="2" t="s">
        <v>334</v>
      </c>
      <c r="B56" s="2" t="s">
        <v>199</v>
      </c>
      <c r="C56" s="2" t="str">
        <f aca="false">IF(ISNA(VLOOKUP(A56,$B$2:$B$170,1,FALSE())),A56,"")</f>
        <v/>
      </c>
    </row>
    <row r="57" customFormat="false" ht="15" hidden="false" customHeight="false" outlineLevel="0" collapsed="false">
      <c r="A57" s="2" t="s">
        <v>337</v>
      </c>
      <c r="B57" s="2" t="s">
        <v>216</v>
      </c>
      <c r="C57" s="2" t="str">
        <f aca="false">IF(ISNA(VLOOKUP(A57,$B$2:$B$170,1,FALSE())),A57,"")</f>
        <v/>
      </c>
    </row>
    <row r="58" customFormat="false" ht="15" hidden="false" customHeight="false" outlineLevel="0" collapsed="false">
      <c r="A58" s="2" t="s">
        <v>338</v>
      </c>
      <c r="B58" s="2" t="s">
        <v>219</v>
      </c>
      <c r="C58" s="2" t="str">
        <f aca="false">IF(ISNA(VLOOKUP(A58,$B$2:$B$170,1,FALSE())),A58,"")</f>
        <v/>
      </c>
    </row>
    <row r="59" customFormat="false" ht="15" hidden="false" customHeight="false" outlineLevel="0" collapsed="false">
      <c r="A59" s="2" t="s">
        <v>340</v>
      </c>
      <c r="B59" s="2" t="s">
        <v>222</v>
      </c>
      <c r="C59" s="2" t="str">
        <f aca="false">IF(ISNA(VLOOKUP(A59,$B$2:$B$170,1,FALSE())),A59,"")</f>
        <v/>
      </c>
    </row>
    <row r="60" customFormat="false" ht="15" hidden="false" customHeight="false" outlineLevel="0" collapsed="false">
      <c r="A60" s="2" t="s">
        <v>342</v>
      </c>
      <c r="B60" s="2" t="s">
        <v>225</v>
      </c>
      <c r="C60" s="2" t="str">
        <f aca="false">IF(ISNA(VLOOKUP(A60,$B$2:$B$170,1,FALSE())),A60,"")</f>
        <v/>
      </c>
    </row>
    <row r="61" customFormat="false" ht="15" hidden="false" customHeight="false" outlineLevel="0" collapsed="false">
      <c r="A61" s="2" t="s">
        <v>313</v>
      </c>
      <c r="B61" s="2" t="s">
        <v>227</v>
      </c>
      <c r="C61" s="2" t="str">
        <f aca="false">IF(ISNA(VLOOKUP(A61,$B$2:$B$170,1,FALSE())),A61,"")</f>
        <v/>
      </c>
    </row>
    <row r="62" customFormat="false" ht="15" hidden="false" customHeight="false" outlineLevel="0" collapsed="false">
      <c r="A62" s="2" t="s">
        <v>346</v>
      </c>
      <c r="B62" s="2" t="s">
        <v>229</v>
      </c>
      <c r="C62" s="2" t="str">
        <f aca="false">IF(ISNA(VLOOKUP(A62,$B$2:$B$170,1,FALSE())),A62,"")</f>
        <v/>
      </c>
    </row>
    <row r="63" customFormat="false" ht="15" hidden="false" customHeight="false" outlineLevel="0" collapsed="false">
      <c r="A63" s="2" t="s">
        <v>344</v>
      </c>
      <c r="B63" s="2" t="s">
        <v>231</v>
      </c>
      <c r="C63" s="2" t="str">
        <f aca="false">IF(ISNA(VLOOKUP(A63,$B$2:$B$170,1,FALSE())),A63,"")</f>
        <v/>
      </c>
    </row>
    <row r="64" customFormat="false" ht="15" hidden="false" customHeight="false" outlineLevel="0" collapsed="false">
      <c r="A64" s="2" t="s">
        <v>350</v>
      </c>
      <c r="B64" s="2" t="s">
        <v>233</v>
      </c>
      <c r="C64" s="2" t="str">
        <f aca="false">IF(ISNA(VLOOKUP(A64,$B$2:$B$170,1,FALSE())),A64,"")</f>
        <v/>
      </c>
    </row>
    <row r="65" customFormat="false" ht="15" hidden="false" customHeight="false" outlineLevel="0" collapsed="false">
      <c r="A65" s="2" t="s">
        <v>348</v>
      </c>
      <c r="B65" s="2" t="s">
        <v>236</v>
      </c>
      <c r="C65" s="2" t="str">
        <f aca="false">IF(ISNA(VLOOKUP(A65,$B$2:$B$170,1,FALSE())),A65,"")</f>
        <v/>
      </c>
    </row>
    <row r="66" customFormat="false" ht="15" hidden="false" customHeight="false" outlineLevel="0" collapsed="false">
      <c r="A66" s="2" t="s">
        <v>352</v>
      </c>
      <c r="B66" s="2" t="s">
        <v>239</v>
      </c>
      <c r="C66" s="2" t="str">
        <f aca="false">IF(ISNA(VLOOKUP(A66,$B$2:$B$170,1,FALSE())),A66,"")</f>
        <v/>
      </c>
    </row>
    <row r="67" customFormat="false" ht="15" hidden="false" customHeight="false" outlineLevel="0" collapsed="false">
      <c r="A67" s="2" t="s">
        <v>354</v>
      </c>
      <c r="B67" s="2" t="s">
        <v>575</v>
      </c>
      <c r="C67" s="2" t="str">
        <f aca="false">IF(ISNA(VLOOKUP(A67,$B$2:$B$170,1,FALSE())),A67,"")</f>
        <v/>
      </c>
    </row>
    <row r="68" customFormat="false" ht="15" hidden="false" customHeight="false" outlineLevel="0" collapsed="false">
      <c r="A68" s="2" t="s">
        <v>357</v>
      </c>
      <c r="B68" s="2" t="s">
        <v>576</v>
      </c>
      <c r="C68" s="2" t="str">
        <f aca="false">IF(ISNA(VLOOKUP(A68,$B$2:$B$170,1,FALSE())),A68,"")</f>
        <v/>
      </c>
    </row>
    <row r="69" customFormat="false" ht="15" hidden="false" customHeight="false" outlineLevel="0" collapsed="false">
      <c r="A69" s="2" t="s">
        <v>359</v>
      </c>
      <c r="B69" s="2" t="s">
        <v>577</v>
      </c>
      <c r="C69" s="2" t="str">
        <f aca="false">IF(ISNA(VLOOKUP(A69,$B$2:$B$170,1,FALSE())),A69,"")</f>
        <v/>
      </c>
    </row>
    <row r="70" customFormat="false" ht="15" hidden="false" customHeight="false" outlineLevel="0" collapsed="false">
      <c r="A70" s="2" t="s">
        <v>361</v>
      </c>
      <c r="B70" s="2" t="s">
        <v>578</v>
      </c>
      <c r="C70" s="2" t="str">
        <f aca="false">IF(ISNA(VLOOKUP(A70,$B$2:$B$170,1,FALSE())),A70,"")</f>
        <v/>
      </c>
    </row>
    <row r="71" customFormat="false" ht="15" hidden="false" customHeight="false" outlineLevel="0" collapsed="false">
      <c r="A71" s="2" t="s">
        <v>363</v>
      </c>
      <c r="B71" s="2" t="s">
        <v>241</v>
      </c>
      <c r="C71" s="2" t="str">
        <f aca="false">IF(ISNA(VLOOKUP(A71,$B$2:$B$170,1,FALSE())),A71,"")</f>
        <v/>
      </c>
    </row>
    <row r="72" customFormat="false" ht="15" hidden="false" customHeight="false" outlineLevel="0" collapsed="false">
      <c r="A72" s="2" t="s">
        <v>365</v>
      </c>
      <c r="B72" s="2" t="s">
        <v>244</v>
      </c>
      <c r="C72" s="2" t="str">
        <f aca="false">IF(ISNA(VLOOKUP(A72,$B$2:$B$170,1,FALSE())),A72,"")</f>
        <v/>
      </c>
    </row>
    <row r="73" customFormat="false" ht="15" hidden="false" customHeight="false" outlineLevel="0" collapsed="false">
      <c r="A73" s="2" t="s">
        <v>367</v>
      </c>
      <c r="B73" s="2" t="s">
        <v>246</v>
      </c>
      <c r="C73" s="2" t="str">
        <f aca="false">IF(ISNA(VLOOKUP(A73,$B$2:$B$170,1,FALSE())),A73,"")</f>
        <v/>
      </c>
    </row>
    <row r="74" customFormat="false" ht="15" hidden="false" customHeight="false" outlineLevel="0" collapsed="false">
      <c r="A74" s="2" t="s">
        <v>369</v>
      </c>
      <c r="B74" s="2" t="s">
        <v>295</v>
      </c>
      <c r="C74" s="2" t="str">
        <f aca="false">IF(ISNA(VLOOKUP(A74,$B$2:$B$170,1,FALSE())),A74,"")</f>
        <v/>
      </c>
    </row>
    <row r="75" customFormat="false" ht="15" hidden="false" customHeight="false" outlineLevel="0" collapsed="false">
      <c r="A75" s="2" t="s">
        <v>371</v>
      </c>
      <c r="B75" s="2" t="s">
        <v>298</v>
      </c>
      <c r="C75" s="2" t="str">
        <f aca="false">IF(ISNA(VLOOKUP(A75,$B$2:$B$170,1,FALSE())),A75,"")</f>
        <v/>
      </c>
    </row>
    <row r="76" customFormat="false" ht="15" hidden="false" customHeight="false" outlineLevel="0" collapsed="false">
      <c r="A76" s="2" t="s">
        <v>373</v>
      </c>
      <c r="B76" s="2" t="s">
        <v>301</v>
      </c>
      <c r="C76" s="2" t="str">
        <f aca="false">IF(ISNA(VLOOKUP(A76,$B$2:$B$170,1,FALSE())),A76,"")</f>
        <v/>
      </c>
    </row>
    <row r="77" customFormat="false" ht="15" hidden="false" customHeight="false" outlineLevel="0" collapsed="false">
      <c r="A77" s="2" t="s">
        <v>375</v>
      </c>
      <c r="B77" s="2" t="s">
        <v>304</v>
      </c>
      <c r="C77" s="2" t="str">
        <f aca="false">IF(ISNA(VLOOKUP(A77,$B$2:$B$170,1,FALSE())),A77,"")</f>
        <v/>
      </c>
    </row>
    <row r="78" customFormat="false" ht="15" hidden="false" customHeight="false" outlineLevel="0" collapsed="false">
      <c r="A78" s="2" t="s">
        <v>377</v>
      </c>
      <c r="B78" s="2" t="s">
        <v>248</v>
      </c>
      <c r="C78" s="2" t="str">
        <f aca="false">IF(ISNA(VLOOKUP(A78,$B$2:$B$170,1,FALSE())),A78,"")</f>
        <v/>
      </c>
    </row>
    <row r="79" customFormat="false" ht="15" hidden="false" customHeight="false" outlineLevel="0" collapsed="false">
      <c r="A79" s="2" t="s">
        <v>579</v>
      </c>
      <c r="B79" s="2" t="s">
        <v>318</v>
      </c>
      <c r="C79" s="2" t="str">
        <f aca="false">IF(ISNA(VLOOKUP(A79,$B$2:$B$170,1,FALSE())),A79,"")</f>
        <v>expected_exudation_efflux</v>
      </c>
    </row>
    <row r="80" customFormat="false" ht="15" hidden="false" customHeight="false" outlineLevel="0" collapsed="false">
      <c r="A80" s="2" t="s">
        <v>391</v>
      </c>
      <c r="B80" s="2" t="s">
        <v>325</v>
      </c>
      <c r="C80" s="2" t="str">
        <f aca="false">IF(ISNA(VLOOKUP(A80,$B$2:$B$170,1,FALSE())),A80,"")</f>
        <v/>
      </c>
    </row>
    <row r="81" customFormat="false" ht="15" hidden="false" customHeight="false" outlineLevel="0" collapsed="false">
      <c r="A81" s="2" t="s">
        <v>394</v>
      </c>
      <c r="B81" s="2" t="s">
        <v>327</v>
      </c>
      <c r="C81" s="2" t="str">
        <f aca="false">IF(ISNA(VLOOKUP(A81,$B$2:$B$170,1,FALSE())),A81,"")</f>
        <v/>
      </c>
    </row>
    <row r="82" customFormat="false" ht="15" hidden="false" customHeight="false" outlineLevel="0" collapsed="false">
      <c r="A82" s="2" t="s">
        <v>396</v>
      </c>
      <c r="B82" s="2" t="s">
        <v>330</v>
      </c>
      <c r="C82" s="2" t="str">
        <f aca="false">IF(ISNA(VLOOKUP(A82,$B$2:$B$170,1,FALSE())),A82,"")</f>
        <v/>
      </c>
    </row>
    <row r="83" customFormat="false" ht="15" hidden="false" customHeight="false" outlineLevel="0" collapsed="false">
      <c r="A83" s="2" t="s">
        <v>398</v>
      </c>
      <c r="B83" s="2" t="s">
        <v>332</v>
      </c>
      <c r="C83" s="2" t="str">
        <f aca="false">IF(ISNA(VLOOKUP(A83,$B$2:$B$170,1,FALSE())),A83,"")</f>
        <v/>
      </c>
    </row>
    <row r="84" customFormat="false" ht="15" hidden="false" customHeight="false" outlineLevel="0" collapsed="false">
      <c r="A84" s="2" t="s">
        <v>400</v>
      </c>
      <c r="B84" s="2" t="s">
        <v>313</v>
      </c>
      <c r="C84" s="2" t="str">
        <f aca="false">IF(ISNA(VLOOKUP(A84,$B$2:$B$170,1,FALSE())),A84,"")</f>
        <v/>
      </c>
    </row>
    <row r="85" customFormat="false" ht="15" hidden="false" customHeight="false" outlineLevel="0" collapsed="false">
      <c r="A85" s="2" t="s">
        <v>402</v>
      </c>
      <c r="B85" s="2" t="s">
        <v>334</v>
      </c>
      <c r="C85" s="2" t="str">
        <f aca="false">IF(ISNA(VLOOKUP(A85,$B$2:$B$170,1,FALSE())),A85,"")</f>
        <v/>
      </c>
    </row>
    <row r="86" customFormat="false" ht="15" hidden="false" customHeight="false" outlineLevel="0" collapsed="false">
      <c r="A86" s="2" t="s">
        <v>404</v>
      </c>
      <c r="B86" s="2" t="s">
        <v>337</v>
      </c>
      <c r="C86" s="2" t="str">
        <f aca="false">IF(ISNA(VLOOKUP(A86,$B$2:$B$170,1,FALSE())),A86,"")</f>
        <v/>
      </c>
    </row>
    <row r="87" customFormat="false" ht="15" hidden="false" customHeight="false" outlineLevel="0" collapsed="false">
      <c r="A87" s="2" t="s">
        <v>406</v>
      </c>
      <c r="B87" s="2" t="s">
        <v>338</v>
      </c>
      <c r="C87" s="2" t="str">
        <f aca="false">IF(ISNA(VLOOKUP(A87,$B$2:$B$170,1,FALSE())),A87,"")</f>
        <v/>
      </c>
    </row>
    <row r="88" customFormat="false" ht="15" hidden="false" customHeight="false" outlineLevel="0" collapsed="false">
      <c r="A88" s="2" t="s">
        <v>408</v>
      </c>
      <c r="B88" s="2" t="s">
        <v>340</v>
      </c>
      <c r="C88" s="2" t="str">
        <f aca="false">IF(ISNA(VLOOKUP(A88,$B$2:$B$170,1,FALSE())),A88,"")</f>
        <v/>
      </c>
    </row>
    <row r="89" customFormat="false" ht="15" hidden="false" customHeight="false" outlineLevel="0" collapsed="false">
      <c r="A89" s="2" t="s">
        <v>410</v>
      </c>
      <c r="B89" s="2" t="s">
        <v>342</v>
      </c>
      <c r="C89" s="2" t="str">
        <f aca="false">IF(ISNA(VLOOKUP(A89,$B$2:$B$170,1,FALSE())),A89,"")</f>
        <v/>
      </c>
    </row>
    <row r="90" customFormat="false" ht="15" hidden="false" customHeight="false" outlineLevel="0" collapsed="false">
      <c r="A90" s="2" t="s">
        <v>412</v>
      </c>
      <c r="B90" s="2" t="s">
        <v>344</v>
      </c>
      <c r="C90" s="2" t="str">
        <f aca="false">IF(ISNA(VLOOKUP(A90,$B$2:$B$170,1,FALSE())),A90,"")</f>
        <v/>
      </c>
    </row>
    <row r="91" customFormat="false" ht="15" hidden="false" customHeight="false" outlineLevel="0" collapsed="false">
      <c r="A91" s="2" t="s">
        <v>414</v>
      </c>
      <c r="B91" s="2" t="s">
        <v>346</v>
      </c>
      <c r="C91" s="2" t="str">
        <f aca="false">IF(ISNA(VLOOKUP(A91,$B$2:$B$170,1,FALSE())),A91,"")</f>
        <v/>
      </c>
    </row>
    <row r="92" customFormat="false" ht="15" hidden="false" customHeight="false" outlineLevel="0" collapsed="false">
      <c r="A92" s="2" t="s">
        <v>416</v>
      </c>
      <c r="B92" s="2" t="s">
        <v>348</v>
      </c>
      <c r="C92" s="2" t="str">
        <f aca="false">IF(ISNA(VLOOKUP(A92,$B$2:$B$170,1,FALSE())),A92,"")</f>
        <v/>
      </c>
    </row>
    <row r="93" customFormat="false" ht="15" hidden="false" customHeight="false" outlineLevel="0" collapsed="false">
      <c r="A93" s="2" t="s">
        <v>419</v>
      </c>
      <c r="B93" s="2" t="s">
        <v>350</v>
      </c>
      <c r="C93" s="2" t="str">
        <f aca="false">IF(ISNA(VLOOKUP(A93,$B$2:$B$170,1,FALSE())),A93,"")</f>
        <v/>
      </c>
    </row>
    <row r="94" customFormat="false" ht="15" hidden="false" customHeight="false" outlineLevel="0" collapsed="false">
      <c r="A94" s="2" t="s">
        <v>421</v>
      </c>
      <c r="B94" s="2" t="s">
        <v>352</v>
      </c>
      <c r="C94" s="2" t="str">
        <f aca="false">IF(ISNA(VLOOKUP(A94,$B$2:$B$170,1,FALSE())),A94,"")</f>
        <v/>
      </c>
    </row>
    <row r="95" customFormat="false" ht="15" hidden="false" customHeight="false" outlineLevel="0" collapsed="false">
      <c r="A95" s="2" t="s">
        <v>423</v>
      </c>
      <c r="B95" s="2" t="s">
        <v>354</v>
      </c>
      <c r="C95" s="2" t="str">
        <f aca="false">IF(ISNA(VLOOKUP(A95,$B$2:$B$170,1,FALSE())),A95,"")</f>
        <v/>
      </c>
    </row>
    <row r="96" customFormat="false" ht="15" hidden="false" customHeight="false" outlineLevel="0" collapsed="false">
      <c r="A96" s="2" t="s">
        <v>425</v>
      </c>
      <c r="B96" s="2" t="s">
        <v>357</v>
      </c>
      <c r="C96" s="2" t="str">
        <f aca="false">IF(ISNA(VLOOKUP(A96,$B$2:$B$170,1,FALSE())),A96,"")</f>
        <v/>
      </c>
    </row>
    <row r="97" customFormat="false" ht="15" hidden="false" customHeight="false" outlineLevel="0" collapsed="false">
      <c r="A97" s="2" t="s">
        <v>427</v>
      </c>
      <c r="B97" s="2" t="s">
        <v>359</v>
      </c>
      <c r="C97" s="2" t="str">
        <f aca="false">IF(ISNA(VLOOKUP(A97,$B$2:$B$170,1,FALSE())),A97,"")</f>
        <v/>
      </c>
    </row>
    <row r="98" customFormat="false" ht="15" hidden="false" customHeight="false" outlineLevel="0" collapsed="false">
      <c r="A98" s="2" t="s">
        <v>429</v>
      </c>
      <c r="B98" s="2" t="s">
        <v>361</v>
      </c>
      <c r="C98" s="2" t="str">
        <f aca="false">IF(ISNA(VLOOKUP(A98,$B$2:$B$170,1,FALSE())),A98,"")</f>
        <v/>
      </c>
    </row>
    <row r="99" customFormat="false" ht="15" hidden="false" customHeight="false" outlineLevel="0" collapsed="false">
      <c r="A99" s="2" t="s">
        <v>431</v>
      </c>
      <c r="B99" s="2" t="s">
        <v>363</v>
      </c>
      <c r="C99" s="2" t="str">
        <f aca="false">IF(ISNA(VLOOKUP(A99,$B$2:$B$170,1,FALSE())),A99,"")</f>
        <v/>
      </c>
    </row>
    <row r="100" customFormat="false" ht="15" hidden="false" customHeight="false" outlineLevel="0" collapsed="false">
      <c r="A100" s="2" t="s">
        <v>434</v>
      </c>
      <c r="B100" s="2" t="s">
        <v>365</v>
      </c>
      <c r="C100" s="2" t="str">
        <f aca="false">IF(ISNA(VLOOKUP(A100,$B$2:$B$170,1,FALSE())),A100,"")</f>
        <v/>
      </c>
    </row>
    <row r="101" customFormat="false" ht="15" hidden="false" customHeight="false" outlineLevel="0" collapsed="false">
      <c r="A101" s="2" t="s">
        <v>436</v>
      </c>
      <c r="B101" s="2" t="s">
        <v>367</v>
      </c>
      <c r="C101" s="2" t="str">
        <f aca="false">IF(ISNA(VLOOKUP(A101,$B$2:$B$170,1,FALSE())),A101,"")</f>
        <v/>
      </c>
    </row>
    <row r="102" customFormat="false" ht="15" hidden="false" customHeight="false" outlineLevel="0" collapsed="false">
      <c r="A102" s="2" t="s">
        <v>438</v>
      </c>
      <c r="B102" s="2" t="s">
        <v>369</v>
      </c>
      <c r="C102" s="2" t="str">
        <f aca="false">IF(ISNA(VLOOKUP(A102,$B$2:$B$170,1,FALSE())),A102,"")</f>
        <v/>
      </c>
    </row>
    <row r="103" customFormat="false" ht="15" hidden="false" customHeight="false" outlineLevel="0" collapsed="false">
      <c r="A103" s="2" t="s">
        <v>440</v>
      </c>
      <c r="B103" s="2" t="s">
        <v>371</v>
      </c>
      <c r="C103" s="2" t="str">
        <f aca="false">IF(ISNA(VLOOKUP(A103,$B$2:$B$170,1,FALSE())),A103,"")</f>
        <v/>
      </c>
    </row>
    <row r="104" customFormat="false" ht="15" hidden="false" customHeight="false" outlineLevel="0" collapsed="false">
      <c r="A104" s="2" t="s">
        <v>442</v>
      </c>
      <c r="B104" s="2" t="s">
        <v>373</v>
      </c>
      <c r="C104" s="2" t="str">
        <f aca="false">IF(ISNA(VLOOKUP(A104,$B$2:$B$170,1,FALSE())),A104,"")</f>
        <v/>
      </c>
    </row>
    <row r="105" customFormat="false" ht="15" hidden="false" customHeight="false" outlineLevel="0" collapsed="false">
      <c r="A105" s="2" t="s">
        <v>445</v>
      </c>
      <c r="B105" s="2" t="s">
        <v>375</v>
      </c>
      <c r="C105" s="2" t="str">
        <f aca="false">IF(ISNA(VLOOKUP(A105,$B$2:$B$170,1,FALSE())),A105,"")</f>
        <v/>
      </c>
    </row>
    <row r="106" customFormat="false" ht="15" hidden="false" customHeight="false" outlineLevel="0" collapsed="false">
      <c r="A106" s="2" t="s">
        <v>447</v>
      </c>
      <c r="B106" s="2" t="s">
        <v>377</v>
      </c>
      <c r="C106" s="2" t="str">
        <f aca="false">IF(ISNA(VLOOKUP(A106,$B$2:$B$170,1,FALSE())),A106,"")</f>
        <v/>
      </c>
    </row>
    <row r="107" customFormat="false" ht="15" hidden="false" customHeight="false" outlineLevel="0" collapsed="false">
      <c r="A107" s="2" t="s">
        <v>449</v>
      </c>
      <c r="B107" s="2" t="s">
        <v>379</v>
      </c>
      <c r="C107" s="2" t="str">
        <f aca="false">IF(ISNA(VLOOKUP(A107,$B$2:$B$170,1,FALSE())),A107,"")</f>
        <v/>
      </c>
    </row>
    <row r="108" customFormat="false" ht="15" hidden="false" customHeight="false" outlineLevel="0" collapsed="false">
      <c r="A108" s="2" t="s">
        <v>451</v>
      </c>
      <c r="B108" s="2" t="s">
        <v>381</v>
      </c>
      <c r="C108" s="2" t="str">
        <f aca="false">IF(ISNA(VLOOKUP(A108,$B$2:$B$170,1,FALSE())),A108,"")</f>
        <v/>
      </c>
    </row>
    <row r="109" customFormat="false" ht="15" hidden="false" customHeight="false" outlineLevel="0" collapsed="false">
      <c r="A109" s="2" t="s">
        <v>453</v>
      </c>
      <c r="B109" s="2" t="s">
        <v>383</v>
      </c>
      <c r="C109" s="2" t="str">
        <f aca="false">IF(ISNA(VLOOKUP(A109,$B$2:$B$170,1,FALSE())),A109,"")</f>
        <v/>
      </c>
    </row>
    <row r="110" customFormat="false" ht="15" hidden="false" customHeight="false" outlineLevel="0" collapsed="false">
      <c r="A110" s="2" t="s">
        <v>455</v>
      </c>
      <c r="B110" s="2" t="s">
        <v>385</v>
      </c>
      <c r="C110" s="2" t="str">
        <f aca="false">IF(ISNA(VLOOKUP(A110,$B$2:$B$170,1,FALSE())),A110,"")</f>
        <v/>
      </c>
    </row>
    <row r="111" customFormat="false" ht="15" hidden="false" customHeight="false" outlineLevel="0" collapsed="false">
      <c r="A111" s="2" t="s">
        <v>457</v>
      </c>
      <c r="B111" s="2" t="s">
        <v>387</v>
      </c>
      <c r="C111" s="2" t="str">
        <f aca="false">IF(ISNA(VLOOKUP(A111,$B$2:$B$170,1,FALSE())),A111,"")</f>
        <v/>
      </c>
    </row>
    <row r="112" customFormat="false" ht="15" hidden="false" customHeight="false" outlineLevel="0" collapsed="false">
      <c r="A112" s="2" t="s">
        <v>459</v>
      </c>
      <c r="B112" s="2" t="s">
        <v>389</v>
      </c>
      <c r="C112" s="2" t="str">
        <f aca="false">IF(ISNA(VLOOKUP(A112,$B$2:$B$170,1,FALSE())),A112,"")</f>
        <v/>
      </c>
    </row>
    <row r="113" customFormat="false" ht="15" hidden="false" customHeight="false" outlineLevel="0" collapsed="false">
      <c r="A113" s="2" t="s">
        <v>461</v>
      </c>
      <c r="B113" s="2" t="s">
        <v>572</v>
      </c>
      <c r="C113" s="2" t="str">
        <f aca="false">IF(ISNA(VLOOKUP(A113,$B$2:$B$170,1,FALSE())),A113,"")</f>
        <v/>
      </c>
    </row>
    <row r="114" customFormat="false" ht="15" hidden="false" customHeight="false" outlineLevel="0" collapsed="false">
      <c r="A114" s="2" t="s">
        <v>463</v>
      </c>
      <c r="B114" s="2" t="s">
        <v>391</v>
      </c>
      <c r="C114" s="2" t="str">
        <f aca="false">IF(ISNA(VLOOKUP(A114,$B$2:$B$170,1,FALSE())),A114,"")</f>
        <v/>
      </c>
    </row>
    <row r="115" customFormat="false" ht="15" hidden="false" customHeight="false" outlineLevel="0" collapsed="false">
      <c r="A115" s="2" t="s">
        <v>465</v>
      </c>
      <c r="B115" s="2" t="s">
        <v>394</v>
      </c>
      <c r="C115" s="2" t="str">
        <f aca="false">IF(ISNA(VLOOKUP(A115,$B$2:$B$170,1,FALSE())),A115,"")</f>
        <v/>
      </c>
    </row>
    <row r="116" customFormat="false" ht="15" hidden="false" customHeight="false" outlineLevel="0" collapsed="false">
      <c r="A116" s="2" t="s">
        <v>467</v>
      </c>
      <c r="B116" s="2" t="s">
        <v>396</v>
      </c>
      <c r="C116" s="2" t="str">
        <f aca="false">IF(ISNA(VLOOKUP(A116,$B$2:$B$170,1,FALSE())),A116,"")</f>
        <v/>
      </c>
    </row>
    <row r="117" customFormat="false" ht="15" hidden="false" customHeight="false" outlineLevel="0" collapsed="false">
      <c r="A117" s="2" t="s">
        <v>469</v>
      </c>
      <c r="B117" s="2" t="s">
        <v>398</v>
      </c>
      <c r="C117" s="2" t="str">
        <f aca="false">IF(ISNA(VLOOKUP(A117,$B$2:$B$170,1,FALSE())),A117,"")</f>
        <v/>
      </c>
    </row>
    <row r="118" customFormat="false" ht="15" hidden="false" customHeight="false" outlineLevel="0" collapsed="false">
      <c r="A118" s="2" t="s">
        <v>472</v>
      </c>
      <c r="B118" s="2" t="s">
        <v>400</v>
      </c>
      <c r="C118" s="2" t="str">
        <f aca="false">IF(ISNA(VLOOKUP(A118,$B$2:$B$170,1,FALSE())),A118,"")</f>
        <v/>
      </c>
    </row>
    <row r="119" customFormat="false" ht="15" hidden="false" customHeight="false" outlineLevel="0" collapsed="false">
      <c r="A119" s="2" t="s">
        <v>474</v>
      </c>
      <c r="B119" s="2" t="s">
        <v>402</v>
      </c>
      <c r="C119" s="2" t="str">
        <f aca="false">IF(ISNA(VLOOKUP(A119,$B$2:$B$170,1,FALSE())),A119,"")</f>
        <v/>
      </c>
    </row>
    <row r="120" customFormat="false" ht="15" hidden="false" customHeight="false" outlineLevel="0" collapsed="false">
      <c r="A120" s="2" t="s">
        <v>476</v>
      </c>
      <c r="B120" s="2" t="s">
        <v>404</v>
      </c>
      <c r="C120" s="2" t="str">
        <f aca="false">IF(ISNA(VLOOKUP(A120,$B$2:$B$170,1,FALSE())),A120,"")</f>
        <v/>
      </c>
    </row>
    <row r="121" customFormat="false" ht="15" hidden="false" customHeight="false" outlineLevel="0" collapsed="false">
      <c r="A121" s="2" t="s">
        <v>478</v>
      </c>
      <c r="B121" s="2" t="s">
        <v>406</v>
      </c>
      <c r="C121" s="2" t="str">
        <f aca="false">IF(ISNA(VLOOKUP(A121,$B$2:$B$170,1,FALSE())),A121,"")</f>
        <v/>
      </c>
    </row>
    <row r="122" customFormat="false" ht="15" hidden="false" customHeight="false" outlineLevel="0" collapsed="false">
      <c r="A122" s="2" t="s">
        <v>480</v>
      </c>
      <c r="B122" s="2" t="s">
        <v>408</v>
      </c>
      <c r="C122" s="2" t="str">
        <f aca="false">IF(ISNA(VLOOKUP(A122,$B$2:$B$170,1,FALSE())),A122,"")</f>
        <v/>
      </c>
    </row>
    <row r="123" customFormat="false" ht="15" hidden="false" customHeight="false" outlineLevel="0" collapsed="false">
      <c r="A123" s="2" t="s">
        <v>246</v>
      </c>
      <c r="B123" s="2" t="s">
        <v>410</v>
      </c>
      <c r="C123" s="2" t="str">
        <f aca="false">IF(ISNA(VLOOKUP(A123,$B$2:$B$170,1,FALSE())),A123,"")</f>
        <v/>
      </c>
    </row>
    <row r="124" customFormat="false" ht="15" hidden="false" customHeight="false" outlineLevel="0" collapsed="false">
      <c r="A124" s="2" t="s">
        <v>298</v>
      </c>
      <c r="B124" s="2" t="s">
        <v>412</v>
      </c>
      <c r="C124" s="2" t="str">
        <f aca="false">IF(ISNA(VLOOKUP(A124,$B$2:$B$170,1,FALSE())),A124,"")</f>
        <v/>
      </c>
    </row>
    <row r="125" customFormat="false" ht="15" hidden="false" customHeight="false" outlineLevel="0" collapsed="false">
      <c r="A125" s="2" t="s">
        <v>304</v>
      </c>
      <c r="B125" s="2" t="s">
        <v>414</v>
      </c>
      <c r="C125" s="2" t="str">
        <f aca="false">IF(ISNA(VLOOKUP(A125,$B$2:$B$170,1,FALSE())),A125,"")</f>
        <v/>
      </c>
    </row>
    <row r="126" customFormat="false" ht="15" hidden="false" customHeight="false" outlineLevel="0" collapsed="false">
      <c r="A126" s="2" t="s">
        <v>301</v>
      </c>
      <c r="B126" s="2" t="s">
        <v>416</v>
      </c>
      <c r="C126" s="2" t="str">
        <f aca="false">IF(ISNA(VLOOKUP(A126,$B$2:$B$170,1,FALSE())),A126,"")</f>
        <v/>
      </c>
    </row>
    <row r="127" customFormat="false" ht="15" hidden="false" customHeight="false" outlineLevel="0" collapsed="false">
      <c r="A127" s="2" t="s">
        <v>575</v>
      </c>
      <c r="B127" s="2" t="s">
        <v>419</v>
      </c>
      <c r="C127" s="2" t="str">
        <f aca="false">IF(ISNA(VLOOKUP(A127,$B$2:$B$170,1,FALSE())),A127,"")</f>
        <v/>
      </c>
    </row>
    <row r="128" customFormat="false" ht="15" hidden="false" customHeight="false" outlineLevel="0" collapsed="false">
      <c r="A128" s="2" t="s">
        <v>576</v>
      </c>
      <c r="B128" s="2" t="s">
        <v>421</v>
      </c>
      <c r="C128" s="2" t="str">
        <f aca="false">IF(ISNA(VLOOKUP(A128,$B$2:$B$170,1,FALSE())),A128,"")</f>
        <v/>
      </c>
    </row>
    <row r="129" customFormat="false" ht="15" hidden="false" customHeight="false" outlineLevel="0" collapsed="false">
      <c r="A129" s="2" t="s">
        <v>578</v>
      </c>
      <c r="B129" s="2" t="s">
        <v>423</v>
      </c>
      <c r="C129" s="2" t="str">
        <f aca="false">IF(ISNA(VLOOKUP(A129,$B$2:$B$170,1,FALSE())),A129,"")</f>
        <v/>
      </c>
    </row>
    <row r="130" customFormat="false" ht="15" hidden="false" customHeight="false" outlineLevel="0" collapsed="false">
      <c r="A130" s="2" t="s">
        <v>577</v>
      </c>
      <c r="B130" s="2" t="s">
        <v>425</v>
      </c>
      <c r="C130" s="2" t="str">
        <f aca="false">IF(ISNA(VLOOKUP(A130,$B$2:$B$170,1,FALSE())),A130,"")</f>
        <v/>
      </c>
    </row>
    <row r="131" customFormat="false" ht="15" hidden="false" customHeight="false" outlineLevel="0" collapsed="false">
      <c r="A131" s="2" t="s">
        <v>31</v>
      </c>
      <c r="B131" s="2" t="s">
        <v>427</v>
      </c>
      <c r="C131" s="2" t="str">
        <f aca="false">IF(ISNA(VLOOKUP(A131,$B$2:$B$170,1,FALSE())),A131,"")</f>
        <v/>
      </c>
    </row>
    <row r="132" customFormat="false" ht="15" hidden="false" customHeight="false" outlineLevel="0" collapsed="false">
      <c r="A132" s="2" t="s">
        <v>39</v>
      </c>
      <c r="B132" s="2" t="s">
        <v>429</v>
      </c>
      <c r="C132" s="2" t="str">
        <f aca="false">IF(ISNA(VLOOKUP(A132,$B$2:$B$170,1,FALSE())),A132,"")</f>
        <v/>
      </c>
    </row>
    <row r="133" customFormat="false" ht="15" hidden="false" customHeight="false" outlineLevel="0" collapsed="false">
      <c r="A133" s="2" t="s">
        <v>42</v>
      </c>
      <c r="B133" s="2" t="s">
        <v>431</v>
      </c>
      <c r="C133" s="2" t="str">
        <f aca="false">IF(ISNA(VLOOKUP(A133,$B$2:$B$170,1,FALSE())),A133,"")</f>
        <v/>
      </c>
    </row>
    <row r="134" customFormat="false" ht="15" hidden="false" customHeight="false" outlineLevel="0" collapsed="false">
      <c r="A134" s="2" t="s">
        <v>44</v>
      </c>
      <c r="B134" s="2" t="s">
        <v>434</v>
      </c>
      <c r="C134" s="2" t="str">
        <f aca="false">IF(ISNA(VLOOKUP(A134,$B$2:$B$170,1,FALSE())),A134,"")</f>
        <v/>
      </c>
    </row>
    <row r="135" customFormat="false" ht="15" hidden="false" customHeight="false" outlineLevel="0" collapsed="false">
      <c r="A135" s="2" t="s">
        <v>563</v>
      </c>
      <c r="B135" s="2" t="s">
        <v>436</v>
      </c>
      <c r="C135" s="2" t="str">
        <f aca="false">IF(ISNA(VLOOKUP(A135,$B$2:$B$170,1,FALSE())),A135,"")</f>
        <v/>
      </c>
    </row>
    <row r="136" customFormat="false" ht="15" hidden="false" customHeight="false" outlineLevel="0" collapsed="false">
      <c r="A136" s="2" t="s">
        <v>46</v>
      </c>
      <c r="B136" s="2" t="s">
        <v>438</v>
      </c>
      <c r="C136" s="2" t="str">
        <f aca="false">IF(ISNA(VLOOKUP(A136,$B$2:$B$170,1,FALSE())),A136,"")</f>
        <v/>
      </c>
    </row>
    <row r="137" customFormat="false" ht="15" hidden="false" customHeight="false" outlineLevel="0" collapsed="false">
      <c r="A137" s="2" t="s">
        <v>50</v>
      </c>
      <c r="B137" s="2" t="s">
        <v>440</v>
      </c>
      <c r="C137" s="2" t="str">
        <f aca="false">IF(ISNA(VLOOKUP(A137,$B$2:$B$170,1,FALSE())),A137,"")</f>
        <v/>
      </c>
    </row>
    <row r="138" customFormat="false" ht="15" hidden="false" customHeight="false" outlineLevel="0" collapsed="false">
      <c r="A138" s="2" t="s">
        <v>53</v>
      </c>
      <c r="B138" s="2" t="s">
        <v>442</v>
      </c>
      <c r="C138" s="2" t="str">
        <f aca="false">IF(ISNA(VLOOKUP(A138,$B$2:$B$170,1,FALSE())),A138,"")</f>
        <v/>
      </c>
    </row>
    <row r="139" customFormat="false" ht="15" hidden="false" customHeight="false" outlineLevel="0" collapsed="false">
      <c r="A139" s="2" t="s">
        <v>56</v>
      </c>
      <c r="B139" s="2" t="s">
        <v>445</v>
      </c>
      <c r="C139" s="2" t="str">
        <f aca="false">IF(ISNA(VLOOKUP(A139,$B$2:$B$170,1,FALSE())),A139,"")</f>
        <v/>
      </c>
    </row>
    <row r="140" customFormat="false" ht="15" hidden="false" customHeight="false" outlineLevel="0" collapsed="false">
      <c r="A140" s="2" t="s">
        <v>90</v>
      </c>
      <c r="B140" s="2" t="s">
        <v>447</v>
      </c>
      <c r="C140" s="2" t="str">
        <f aca="false">IF(ISNA(VLOOKUP(A140,$B$2:$B$170,1,FALSE())),A140,"")</f>
        <v/>
      </c>
    </row>
    <row r="141" customFormat="false" ht="15" hidden="false" customHeight="false" outlineLevel="0" collapsed="false">
      <c r="A141" s="2" t="s">
        <v>68</v>
      </c>
      <c r="B141" s="2" t="s">
        <v>449</v>
      </c>
      <c r="C141" s="2" t="str">
        <f aca="false">IF(ISNA(VLOOKUP(A141,$B$2:$B$170,1,FALSE())),A141,"")</f>
        <v/>
      </c>
    </row>
    <row r="142" customFormat="false" ht="15" hidden="false" customHeight="false" outlineLevel="0" collapsed="false">
      <c r="A142" s="2" t="s">
        <v>70</v>
      </c>
      <c r="B142" s="2" t="s">
        <v>451</v>
      </c>
      <c r="C142" s="2" t="str">
        <f aca="false">IF(ISNA(VLOOKUP(A142,$B$2:$B$170,1,FALSE())),A142,"")</f>
        <v/>
      </c>
    </row>
    <row r="143" customFormat="false" ht="15" hidden="false" customHeight="false" outlineLevel="0" collapsed="false">
      <c r="A143" s="2" t="s">
        <v>83</v>
      </c>
      <c r="B143" s="2" t="s">
        <v>453</v>
      </c>
      <c r="C143" s="2" t="str">
        <f aca="false">IF(ISNA(VLOOKUP(A143,$B$2:$B$170,1,FALSE())),A143,"")</f>
        <v/>
      </c>
    </row>
    <row r="144" customFormat="false" ht="15" hidden="false" customHeight="false" outlineLevel="0" collapsed="false">
      <c r="A144" s="2" t="s">
        <v>85</v>
      </c>
      <c r="B144" s="2" t="s">
        <v>455</v>
      </c>
      <c r="C144" s="2" t="str">
        <f aca="false">IF(ISNA(VLOOKUP(A144,$B$2:$B$170,1,FALSE())),A144,"")</f>
        <v/>
      </c>
    </row>
    <row r="145" customFormat="false" ht="15" hidden="false" customHeight="false" outlineLevel="0" collapsed="false">
      <c r="A145" s="2" t="s">
        <v>88</v>
      </c>
      <c r="B145" s="2" t="s">
        <v>457</v>
      </c>
      <c r="C145" s="2" t="str">
        <f aca="false">IF(ISNA(VLOOKUP(A145,$B$2:$B$170,1,FALSE())),A145,"")</f>
        <v/>
      </c>
    </row>
    <row r="146" customFormat="false" ht="15" hidden="false" customHeight="false" outlineLevel="0" collapsed="false">
      <c r="A146" s="2" t="s">
        <v>138</v>
      </c>
      <c r="B146" s="2" t="s">
        <v>459</v>
      </c>
      <c r="C146" s="2" t="str">
        <f aca="false">IF(ISNA(VLOOKUP(A146,$B$2:$B$170,1,FALSE())),A146,"")</f>
        <v/>
      </c>
    </row>
    <row r="147" customFormat="false" ht="15" hidden="false" customHeight="false" outlineLevel="0" collapsed="false">
      <c r="A147" s="2" t="s">
        <v>140</v>
      </c>
      <c r="B147" s="2" t="s">
        <v>461</v>
      </c>
      <c r="C147" s="2" t="str">
        <f aca="false">IF(ISNA(VLOOKUP(A147,$B$2:$B$170,1,FALSE())),A147,"")</f>
        <v/>
      </c>
    </row>
    <row r="148" customFormat="false" ht="15" hidden="false" customHeight="false" outlineLevel="0" collapsed="false">
      <c r="A148" s="2" t="s">
        <v>142</v>
      </c>
      <c r="B148" s="2" t="s">
        <v>463</v>
      </c>
      <c r="C148" s="2" t="str">
        <f aca="false">IF(ISNA(VLOOKUP(A148,$B$2:$B$170,1,FALSE())),A148,"")</f>
        <v/>
      </c>
    </row>
    <row r="149" customFormat="false" ht="15" hidden="false" customHeight="false" outlineLevel="0" collapsed="false">
      <c r="A149" s="2" t="s">
        <v>144</v>
      </c>
      <c r="B149" s="2" t="s">
        <v>465</v>
      </c>
      <c r="C149" s="2" t="str">
        <f aca="false">IF(ISNA(VLOOKUP(A149,$B$2:$B$170,1,FALSE())),A149,"")</f>
        <v/>
      </c>
    </row>
    <row r="150" customFormat="false" ht="15" hidden="false" customHeight="false" outlineLevel="0" collapsed="false">
      <c r="A150" s="2" t="s">
        <v>146</v>
      </c>
      <c r="B150" s="2" t="s">
        <v>467</v>
      </c>
      <c r="C150" s="2" t="str">
        <f aca="false">IF(ISNA(VLOOKUP(A150,$B$2:$B$170,1,FALSE())),A150,"")</f>
        <v/>
      </c>
    </row>
    <row r="151" customFormat="false" ht="15" hidden="false" customHeight="false" outlineLevel="0" collapsed="false">
      <c r="A151" s="2" t="s">
        <v>94</v>
      </c>
      <c r="B151" s="2" t="s">
        <v>469</v>
      </c>
      <c r="C151" s="2" t="str">
        <f aca="false">IF(ISNA(VLOOKUP(A151,$B$2:$B$170,1,FALSE())),A151,"")</f>
        <v/>
      </c>
    </row>
    <row r="152" customFormat="false" ht="15" hidden="false" customHeight="false" outlineLevel="0" collapsed="false">
      <c r="A152" s="2" t="s">
        <v>96</v>
      </c>
      <c r="B152" s="2" t="s">
        <v>472</v>
      </c>
      <c r="C152" s="2" t="str">
        <f aca="false">IF(ISNA(VLOOKUP(A152,$B$2:$B$170,1,FALSE())),A152,"")</f>
        <v/>
      </c>
    </row>
    <row r="153" customFormat="false" ht="15" hidden="false" customHeight="false" outlineLevel="0" collapsed="false">
      <c r="A153" s="2" t="s">
        <v>100</v>
      </c>
      <c r="B153" s="2" t="s">
        <v>474</v>
      </c>
      <c r="C153" s="2" t="str">
        <f aca="false">IF(ISNA(VLOOKUP(A153,$B$2:$B$170,1,FALSE())),A153,"")</f>
        <v/>
      </c>
    </row>
    <row r="154" customFormat="false" ht="15" hidden="false" customHeight="false" outlineLevel="0" collapsed="false">
      <c r="A154" s="2" t="s">
        <v>103</v>
      </c>
      <c r="B154" s="2" t="s">
        <v>476</v>
      </c>
      <c r="C154" s="2" t="str">
        <f aca="false">IF(ISNA(VLOOKUP(A154,$B$2:$B$170,1,FALSE())),A154,"")</f>
        <v/>
      </c>
    </row>
    <row r="155" customFormat="false" ht="15" hidden="false" customHeight="false" outlineLevel="0" collapsed="false">
      <c r="A155" s="2" t="s">
        <v>105</v>
      </c>
      <c r="B155" s="2" t="s">
        <v>478</v>
      </c>
      <c r="C155" s="2" t="str">
        <f aca="false">IF(ISNA(VLOOKUP(A155,$B$2:$B$170,1,FALSE())),A155,"")</f>
        <v/>
      </c>
    </row>
    <row r="156" customFormat="false" ht="15" hidden="false" customHeight="false" outlineLevel="0" collapsed="false">
      <c r="A156" s="2" t="s">
        <v>107</v>
      </c>
      <c r="B156" s="2" t="s">
        <v>480</v>
      </c>
      <c r="C156" s="2" t="str">
        <f aca="false">IF(ISNA(VLOOKUP(A156,$B$2:$B$170,1,FALSE())),A156,"")</f>
        <v/>
      </c>
    </row>
    <row r="157" customFormat="false" ht="15" hidden="false" customHeight="false" outlineLevel="0" collapsed="false">
      <c r="A157" s="2" t="s">
        <v>110</v>
      </c>
      <c r="B157" s="2" t="s">
        <v>483</v>
      </c>
      <c r="C157" s="2" t="str">
        <f aca="false">IF(ISNA(VLOOKUP(A157,$B$2:$B$170,1,FALSE())),A157,"")</f>
        <v/>
      </c>
    </row>
    <row r="158" customFormat="false" ht="15" hidden="false" customHeight="false" outlineLevel="0" collapsed="false">
      <c r="A158" s="2" t="s">
        <v>112</v>
      </c>
      <c r="C158" s="2" t="str">
        <f aca="false">IF(ISNA(VLOOKUP(A158,$B$2:$B$170,1,FALSE())),A158,"")</f>
        <v/>
      </c>
    </row>
    <row r="159" customFormat="false" ht="15" hidden="false" customHeight="false" outlineLevel="0" collapsed="false">
      <c r="A159" s="2" t="s">
        <v>114</v>
      </c>
      <c r="C159" s="2" t="str">
        <f aca="false">IF(ISNA(VLOOKUP(A159,$B$2:$B$170,1,FALSE())),A159,"")</f>
        <v/>
      </c>
    </row>
    <row r="160" customFormat="false" ht="15" hidden="false" customHeight="false" outlineLevel="0" collapsed="false">
      <c r="A160" s="2" t="s">
        <v>116</v>
      </c>
      <c r="C160" s="2" t="str">
        <f aca="false">IF(ISNA(VLOOKUP(A160,$B$2:$B$170,1,FALSE())),A160,"")</f>
        <v/>
      </c>
    </row>
    <row r="161" customFormat="false" ht="15" hidden="false" customHeight="false" outlineLevel="0" collapsed="false">
      <c r="A161" s="2" t="s">
        <v>119</v>
      </c>
      <c r="C161" s="2" t="str">
        <f aca="false">IF(ISNA(VLOOKUP(A161,$B$2:$B$170,1,FALSE())),A161,"")</f>
        <v/>
      </c>
    </row>
    <row r="162" customFormat="false" ht="15" hidden="false" customHeight="false" outlineLevel="0" collapsed="false">
      <c r="A162" s="2" t="s">
        <v>121</v>
      </c>
      <c r="C162" s="2" t="str">
        <f aca="false">IF(ISNA(VLOOKUP(A162,$B$2:$B$170,1,FALSE())),A162,"")</f>
        <v/>
      </c>
    </row>
    <row r="163" customFormat="false" ht="15" hidden="false" customHeight="false" outlineLevel="0" collapsed="false">
      <c r="A163" s="2" t="s">
        <v>123</v>
      </c>
      <c r="C163" s="2" t="str">
        <f aca="false">IF(ISNA(VLOOKUP(A163,$B$2:$B$170,1,FALSE())),A163,"")</f>
        <v/>
      </c>
    </row>
    <row r="164" customFormat="false" ht="15" hidden="false" customHeight="false" outlineLevel="0" collapsed="false">
      <c r="A164" s="2" t="s">
        <v>125</v>
      </c>
      <c r="C164" s="2" t="str">
        <f aca="false">IF(ISNA(VLOOKUP(A164,$B$2:$B$170,1,FALSE())),A164,"")</f>
        <v/>
      </c>
    </row>
    <row r="165" customFormat="false" ht="15" hidden="false" customHeight="false" outlineLevel="0" collapsed="false">
      <c r="A165" s="2" t="s">
        <v>127</v>
      </c>
      <c r="C165" s="2" t="str">
        <f aca="false">IF(ISNA(VLOOKUP(A165,$B$2:$B$170,1,FALSE())),A165,"")</f>
        <v/>
      </c>
    </row>
    <row r="166" customFormat="false" ht="15" hidden="false" customHeight="false" outlineLevel="0" collapsed="false">
      <c r="A166" s="2" t="s">
        <v>148</v>
      </c>
      <c r="C166" s="2" t="str">
        <f aca="false">IF(ISNA(VLOOKUP(A166,$B$2:$B$170,1,FALSE())),A166,"")</f>
        <v/>
      </c>
    </row>
    <row r="167" customFormat="false" ht="15" hidden="false" customHeight="false" outlineLevel="0" collapsed="false">
      <c r="A167" s="2" t="s">
        <v>152</v>
      </c>
      <c r="C167" s="2" t="str">
        <f aca="false">IF(ISNA(VLOOKUP(A167,$B$2:$B$170,1,FALSE())),A167,"")</f>
        <v/>
      </c>
    </row>
    <row r="168" customFormat="false" ht="15" hidden="false" customHeight="false" outlineLevel="0" collapsed="false">
      <c r="A168" s="2" t="s">
        <v>155</v>
      </c>
      <c r="C168" s="2" t="str">
        <f aca="false">IF(ISNA(VLOOKUP(A168,$B$2:$B$170,1,FALSE())),A168,"")</f>
        <v/>
      </c>
    </row>
    <row r="169" customFormat="false" ht="15" hidden="false" customHeight="false" outlineLevel="0" collapsed="false">
      <c r="A169" s="2" t="s">
        <v>483</v>
      </c>
      <c r="C169" s="2" t="str">
        <f aca="false">IF(ISNA(VLOOKUP(A169,$B$2:$B$170,1,FALSE())),A169,"")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2022-09-12T19:42:14Z</dcterms:created>
  <dc:creator>Frederic Rees</dc:creator>
  <dc:description/>
  <dc:language>en-GB</dc:language>
  <cp:lastModifiedBy/>
  <dcterms:modified xsi:type="dcterms:W3CDTF">2026-08-10T08:58:06Z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