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55262\work_home\tigerault\Wheat-BRIDGES_framework\Wheat-BRIDGES\simulations\scene\inputs\"/>
    </mc:Choice>
  </mc:AlternateContent>
  <xr:revisionPtr revIDLastSave="0" documentId="13_ncr:1_{9DA96082-2C7E-4F83-9A7B-24093819C3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19" i="2" l="1"/>
  <c r="K232" i="2"/>
  <c r="K233" i="2"/>
  <c r="J233" i="2"/>
  <c r="K237" i="2"/>
  <c r="J237" i="2"/>
  <c r="J232" i="2"/>
  <c r="J219" i="2"/>
  <c r="K238" i="2"/>
  <c r="K230" i="2"/>
  <c r="K227" i="2"/>
  <c r="K226" i="2"/>
  <c r="K225" i="2"/>
  <c r="K224" i="2"/>
  <c r="K222" i="2"/>
  <c r="K221" i="2"/>
  <c r="K218" i="2"/>
  <c r="K217" i="2"/>
  <c r="K216" i="2"/>
  <c r="K214" i="2"/>
  <c r="K210" i="2"/>
  <c r="K208" i="2"/>
  <c r="K164" i="2"/>
  <c r="K142" i="2"/>
  <c r="K136" i="2"/>
  <c r="K130" i="2"/>
  <c r="K129" i="2"/>
  <c r="K126" i="2"/>
  <c r="K120" i="2"/>
  <c r="K116" i="2"/>
  <c r="K113" i="2"/>
  <c r="K110" i="2"/>
  <c r="K109" i="2"/>
  <c r="K108" i="2"/>
  <c r="K107" i="2"/>
  <c r="K106" i="2"/>
  <c r="K105" i="2"/>
  <c r="K104" i="2"/>
  <c r="K103" i="2"/>
  <c r="J238" i="2" l="1"/>
  <c r="J230" i="2"/>
  <c r="J227" i="2"/>
  <c r="J226" i="2"/>
  <c r="J225" i="2"/>
  <c r="J224" i="2"/>
  <c r="J222" i="2"/>
  <c r="J221" i="2"/>
  <c r="J218" i="2"/>
  <c r="J216" i="2"/>
  <c r="J214" i="2"/>
  <c r="J210" i="2"/>
  <c r="J208" i="2"/>
  <c r="J164" i="2"/>
  <c r="J217" i="2" s="1"/>
  <c r="J142" i="2"/>
  <c r="J136" i="2"/>
  <c r="J130" i="2"/>
  <c r="J129" i="2"/>
  <c r="J126" i="2"/>
  <c r="J120" i="2"/>
  <c r="J116" i="2"/>
  <c r="J113" i="2"/>
  <c r="J110" i="2"/>
  <c r="J109" i="2"/>
  <c r="J108" i="2"/>
  <c r="J107" i="2"/>
  <c r="J106" i="2"/>
  <c r="J105" i="2"/>
  <c r="J104" i="2"/>
  <c r="J103" i="2"/>
  <c r="I216" i="2"/>
  <c r="I238" i="2"/>
  <c r="I237" i="2"/>
  <c r="I233" i="2"/>
  <c r="I232" i="2"/>
  <c r="I230" i="2"/>
  <c r="I227" i="2"/>
  <c r="I226" i="2"/>
  <c r="I225" i="2"/>
  <c r="I224" i="2"/>
  <c r="I222" i="2"/>
  <c r="I221" i="2"/>
  <c r="I220" i="2"/>
  <c r="I218" i="2"/>
  <c r="I219" i="2" s="1"/>
  <c r="I214" i="2"/>
  <c r="I210" i="2"/>
  <c r="I208" i="2"/>
  <c r="I164" i="2"/>
  <c r="I217" i="2" s="1"/>
  <c r="I142" i="2"/>
  <c r="I136" i="2"/>
  <c r="I130" i="2"/>
  <c r="I129" i="2"/>
  <c r="I126" i="2"/>
  <c r="I120" i="2"/>
  <c r="I116" i="2"/>
  <c r="I113" i="2"/>
  <c r="I110" i="2"/>
  <c r="I109" i="2"/>
  <c r="I108" i="2"/>
  <c r="I107" i="2"/>
  <c r="I106" i="2"/>
  <c r="I105" i="2"/>
  <c r="I104" i="2"/>
  <c r="I103" i="2"/>
  <c r="G235" i="2" l="1"/>
  <c r="G208" i="2" l="1"/>
  <c r="G234" i="2"/>
  <c r="G210" i="2" l="1"/>
  <c r="G230" i="2"/>
  <c r="G126" i="2" l="1"/>
  <c r="G106" i="2" l="1"/>
  <c r="G105" i="2"/>
  <c r="G104" i="2"/>
  <c r="G103" i="2"/>
  <c r="G224" i="2"/>
  <c r="G214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<sst xmlns="http://schemas.openxmlformats.org/spreadsheetml/2006/main" count="1909" uniqueCount="580">
  <si>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</si>
  <si>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</si>
  <si>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</si>
  <si>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</si>
  <si>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</si>
  <si>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</si>
  <si>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</si>
  <si>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</si>
  <si>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</si>
  <si>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</si>
  <si>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</si>
  <si>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</si>
  <si>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</si>
  <si>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</si>
  <si>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</si>
  <si>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</si>
  <si>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</si>
  <si>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</si>
  <si>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</si>
  <si>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</si>
  <si>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</si>
  <si>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</si>
  <si>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</si>
  <si>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</si>
  <si>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</si>
  <si>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</si>
  <si>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</si>
  <si>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</si>
  <si>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</si>
  <si>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</si>
  <si>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</si>
  <si>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</si>
  <si>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</si>
  <si>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</si>
  <si>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</si>
  <si>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</si>
  <si>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</si>
  <si>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</si>
  <si>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</si>
  <si>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</si>
  <si>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</si>
  <si>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</si>
  <si>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</si>
  <si>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</si>
  <si>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</si>
  <si>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</si>
  <si>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</si>
  <si>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</si>
  <si>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</si>
  <si>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</si>
  <si>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</si>
  <si>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</si>
  <si>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</si>
  <si>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</si>
  <si>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</si>
  <si>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</si>
  <si>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</si>
  <si>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</si>
  <si>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</si>
  <si>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</si>
  <si>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</si>
  <si>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</si>
  <si>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</si>
  <si>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</si>
  <si>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</si>
  <si>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</si>
  <si>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</si>
  <si>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</si>
  <si>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</si>
  <si>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</si>
  <si>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</si>
  <si>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</si>
  <si>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</si>
  <si>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</si>
  <si>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</si>
  <si>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</si>
  <si>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</si>
  <si>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</si>
  <si>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</si>
  <si>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</si>
  <si>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</si>
  <si>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</si>
  <si>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</si>
  <si>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</si>
  <si>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</si>
  <si>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</si>
  <si>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</si>
  <si>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</si>
  <si>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</si>
  <si>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</si>
  <si>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</si>
  <si>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</si>
  <si>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</si>
  <si>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</si>
  <si>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</si>
  <si>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</si>
  <si>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</si>
  <si>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</si>
  <si>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</si>
  <si>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</si>
  <si>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</si>
  <si>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</si>
  <si>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</si>
  <si>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</si>
  <si>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</si>
  <si>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</si>
  <si>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</si>
  <si>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</si>
  <si>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</si>
  <si>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</si>
  <si>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</si>
  <si>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</si>
  <si>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</si>
  <si>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</si>
  <si>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</si>
  <si>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</si>
  <si>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</si>
  <si>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</si>
  <si>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</si>
  <si>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</si>
  <si>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</si>
  <si>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</si>
  <si>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</si>
  <si>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</si>
  <si>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</si>
  <si>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</si>
  <si>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</si>
  <si>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</si>
  <si>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</si>
  <si>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</si>
  <si>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</si>
  <si>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</si>
  <si>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</si>
  <si>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</si>
  <si>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</si>
  <si>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</si>
  <si>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</si>
  <si>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</si>
  <si>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</si>
  <si>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</si>
  <si>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</si>
  <si>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</si>
  <si>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</si>
  <si>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</si>
  <si>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</si>
  <si>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</si>
  <si>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</si>
  <si>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</si>
  <si>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</si>
  <si>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</si>
  <si>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</si>
  <si>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</si>
  <si>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</si>
  <si>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</si>
  <si>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</si>
  <si>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</si>
  <si>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</si>
  <si>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</si>
  <si>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</si>
  <si>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</si>
  <si>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</si>
  <si>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</si>
  <si>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</si>
  <si>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</si>
  <si>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</si>
  <si>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</si>
  <si>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</si>
  <si>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</si>
  <si>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</si>
  <si>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</si>
  <si>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</si>
  <si>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</si>
  <si>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</si>
  <si>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</si>
  <si>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</si>
  <si>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</si>
  <si>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</si>
  <si>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</si>
  <si>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</si>
  <si>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</si>
  <si>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</si>
  <si>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</si>
  <si>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</si>
  <si>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</si>
  <si>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</si>
  <si>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</si>
  <si>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</si>
  <si>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</si>
  <si>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</si>
  <si>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</si>
  <si>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</si>
  <si>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</si>
  <si>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</si>
  <si>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</si>
  <si>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</si>
  <si>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</si>
  <si>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</si>
  <si>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</si>
  <si>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</si>
  <si>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</si>
  <si>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</si>
  <si>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</si>
  <si>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</si>
  <si>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</si>
  <si>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</si>
  <si>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</si>
  <si>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</si>
  <si>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</si>
  <si>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</si>
  <si>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</si>
  <si>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</si>
  <si>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</si>
  <si>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</si>
  <si>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</si>
  <si>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</si>
  <si>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</si>
  <si>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</si>
  <si>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</si>
  <si>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</si>
  <si>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</si>
  <si>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</si>
  <si>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</si>
  <si>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</si>
  <si>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</si>
  <si>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</si>
  <si>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</si>
  <si>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</si>
  <si>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</si>
  <si>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</si>
  <si>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</si>
  <si>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</si>
  <si>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</si>
  <si>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</si>
  <si>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</si>
  <si>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</si>
  <si>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</si>
  <si>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</si>
  <si>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</si>
  <si>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</si>
  <si>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</si>
  <si>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</si>
  <si>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</si>
  <si>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</si>
  <si>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</si>
  <si>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</si>
  <si>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</si>
  <si>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</si>
  <si>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</si>
  <si>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</si>
  <si>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</si>
  <si>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</si>
  <si>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</si>
  <si>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</si>
  <si>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</si>
  <si>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</si>
  <si>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</si>
  <si>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</si>
  <si>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</si>
  <si>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</si>
  <si>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</si>
  <si>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</si>
  <si>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</si>
  <si>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</si>
  <si>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</si>
  <si>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</si>
  <si>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</si>
  <si>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</si>
  <si>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</si>
  <si>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</si>
  <si>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</si>
  <si>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</si>
  <si>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</si>
  <si>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</si>
  <si>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</si>
  <si>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</si>
  <si>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</si>
  <si>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</si>
  <si>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</si>
  <si>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</si>
  <si>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</si>
  <si>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</si>
  <si>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</si>
  <si>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</si>
  <si>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</si>
  <si>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</si>
  <si>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</si>
  <si>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</si>
  <si>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</si>
  <si>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</si>
  <si>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</si>
  <si>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</si>
  <si>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</si>
  <si>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</si>
  <si>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</si>
  <si>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</si>
  <si>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</si>
  <si>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</si>
  <si>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</si>
  <si>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</si>
  <si>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</si>
  <si>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</si>
  <si>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</si>
  <si>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</si>
  <si>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</si>
  <si>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</si>
  <si>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</si>
  <si>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</si>
  <si>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</si>
  <si>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</si>
  <si>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</si>
  <si>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</si>
  <si>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</si>
  <si>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</si>
  <si>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</si>
  <si>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</si>
  <si>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</si>
  <si>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</si>
  <si>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</si>
  <si>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</si>
  <si>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</si>
  <si>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</si>
  <si>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</si>
  <si>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</si>
  <si>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</si>
  <si>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</si>
  <si>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</si>
  <si>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</si>
  <si>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</si>
  <si>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</si>
  <si>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</si>
  <si>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</si>
  <si>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</si>
  <si>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</si>
  <si>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</si>
  <si>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</si>
  <si>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</si>
  <si>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</si>
  <si>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</si>
  <si>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</si>
  <si>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</si>
  <si>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</si>
  <si>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</si>
  <si>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</si>
  <si>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</si>
  <si>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</si>
  <si>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</si>
  <si>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</si>
  <si>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</si>
  <si>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</si>
  <si>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</si>
  <si>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</si>
  <si>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</si>
  <si>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</si>
  <si>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</si>
  <si>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</si>
  <si>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</si>
  <si>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</si>
  <si>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</si>
  <si>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</si>
  <si>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</si>
  <si>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</si>
  <si>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</si>
  <si>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</si>
  <si>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</si>
  <si>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</si>
  <si>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</si>
  <si>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</si>
  <si>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</si>
  <si>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</si>
  <si>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</si>
  <si>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</si>
  <si>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</si>
  <si>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</si>
  <si>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</si>
  <si>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</si>
  <si>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</si>
  <si>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</si>
  <si>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</si>
  <si>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</si>
  <si>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</si>
  <si>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</si>
  <si>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</si>
  <si>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</si>
  <si>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</si>
  <si>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</si>
  <si>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</si>
  <si>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</si>
  <si>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</si>
  <si>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</si>
  <si>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</si>
  <si>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</si>
  <si>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</si>
  <si>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</si>
  <si>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</si>
  <si>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</si>
  <si>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</si>
  <si>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</si>
  <si>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</si>
  <si>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</si>
  <si>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</si>
  <si>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</si>
  <si>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</si>
  <si>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</si>
  <si>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</si>
  <si>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</si>
  <si>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</si>
  <si>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</si>
  <si>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</si>
  <si>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</si>
  <si>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</si>
  <si>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</si>
  <si>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</si>
  <si>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</si>
  <si>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</si>
  <si>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</si>
  <si>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</si>
  <si>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</si>
  <si>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</si>
  <si>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</si>
  <si>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</si>
  <si>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</si>
  <si>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</si>
  <si>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</si>
  <si>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</si>
  <si>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</si>
  <si>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</si>
  <si>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</si>
  <si>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</si>
  <si>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</si>
  <si>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</si>
  <si>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</si>
  <si>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</si>
  <si>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</si>
  <si>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</si>
  <si>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</si>
  <si>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</si>
  <si>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</si>
  <si>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</si>
  <si>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</si>
  <si>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</si>
  <si>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</si>
  <si>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</si>
  <si>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</si>
  <si>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</si>
  <si>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</si>
  <si>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</si>
  <si>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</si>
  <si>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</si>
  <si>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</si>
  <si>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</si>
  <si>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</si>
  <si>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</si>
  <si>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</si>
  <si>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</si>
  <si>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</si>
  <si>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</si>
  <si>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</si>
  <si>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</si>
  <si>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</si>
  <si>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</si>
  <si>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</si>
  <si>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</si>
  <si>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</si>
  <si>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</si>
  <si>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</si>
  <si>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</si>
  <si>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</si>
  <si>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</si>
  <si>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</si>
  <si>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</si>
  <si>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</si>
  <si>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</si>
  <si>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</si>
  <si>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</si>
  <si>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</si>
  <si>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</si>
  <si>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</si>
  <si>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</si>
  <si>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</si>
  <si>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</si>
  <si>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</si>
  <si>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</si>
  <si>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</si>
  <si>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</si>
  <si>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</si>
  <si>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</si>
  <si>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</si>
  <si>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</si>
  <si>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</si>
  <si>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</si>
  <si>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</si>
  <si>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</si>
  <si>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</si>
  <si>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</si>
  <si>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</si>
  <si>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</si>
  <si>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</si>
  <si>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</si>
  <si>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</si>
  <si>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</si>
  <si>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</si>
  <si>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</si>
  <si>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</si>
  <si>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</si>
  <si>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</si>
  <si>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</si>
  <si>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</si>
  <si>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</si>
  <si>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</si>
  <si>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</si>
  <si>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</si>
  <si>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</si>
  <si>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</si>
  <si>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</si>
  <si>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</si>
  <si>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</si>
  <si>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</si>
  <si>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</si>
  <si>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</si>
  <si>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</si>
  <si>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</si>
  <si>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</si>
  <si>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</si>
  <si>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</si>
  <si>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</si>
  <si>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</si>
  <si>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</si>
  <si>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</si>
  <si>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</si>
  <si>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</si>
  <si>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</si>
  <si>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</si>
  <si>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</si>
  <si>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</si>
  <si>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</si>
  <si>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</si>
  <si>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</si>
  <si>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</si>
  <si>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</si>
  <si>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</si>
  <si>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</si>
  <si>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</si>
  <si>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mol.s-1.g-1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</si>
  <si>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</si>
  <si>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</si>
  <si>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</si>
  <si>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</si>
  <si>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</si>
  <si>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</si>
  <si>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</si>
  <si>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</si>
  <si>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</si>
  <si>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</si>
  <si>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</si>
  <si>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</si>
  <si>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</si>
  <si>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</si>
  <si>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</si>
  <si>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</si>
  <si>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</si>
  <si>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</si>
  <si>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</si>
  <si>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</si>
  <si>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</si>
  <si>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</si>
  <si>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permeability_phloem_AA</t>
  </si>
  <si>
    <t>massic_reference_rate_of_AA_consumption_by_growth</t>
  </si>
  <si>
    <t>massic_reference_rate_of_hexose_consumption_by_growth</t>
  </si>
  <si>
    <t>diffusion_apoplasm</t>
  </si>
  <si>
    <t>Diffusion paramenter for exchanges between xylem apoplasm and soil solution</t>
  </si>
  <si>
    <t>WB_manuscript</t>
  </si>
  <si>
    <t>WB_defense1</t>
  </si>
  <si>
    <t>rain_intensity</t>
  </si>
  <si>
    <t>Input file containing rain intensity over time for the soil model</t>
  </si>
  <si>
    <t>mm</t>
  </si>
  <si>
    <t>WB_def_soil_1</t>
  </si>
  <si>
    <t xml:space="preserve"> </t>
  </si>
  <si>
    <t>increased_wall_resistance_factor</t>
  </si>
  <si>
    <t>stele wall resistance increase factor to avoid overestimation of xylem-phloem conductance</t>
  </si>
  <si>
    <t>dimensionless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</si>
</sst>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0" fillId="0" borderId="10" xfId="0" applyNumberFormat="1" applyBorder="1" applyAlignment="1">
      <alignment horizontal="left" vertical="center"/>
    </xf>
    <xf numFmtId="11" fontId="16" fillId="51" borderId="0" xfId="0" applyNumberFormat="1" applyFont="1" applyFill="1" applyAlignment="1">
      <alignment horizontal="left" vertical="center"/>
    </xf>
    <xf numFmtId="11" fontId="16" fillId="51" borderId="13" xfId="0" applyNumberFormat="1" applyFont="1" applyFill="1" applyBorder="1" applyAlignment="1">
      <alignment horizontal="left" vertical="center"/>
    </xf>
    <xf numFmtId="11" fontId="16" fillId="0" borderId="0" xfId="0" applyNumberFormat="1" applyFont="1" applyFill="1" applyBorder="1" applyAlignment="1">
      <alignment horizontal="left" vertical="center"/>
    </xf>
    <xf numFmtId="0" fontId="16" fillId="0" borderId="0" xfId="0" applyFont="1" applyFill="1" applyBorder="1"/>
    <xf numFmtId="0" fontId="0" fillId="0" borderId="0" xfId="0" applyFill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239"/>
  <sheetViews>
    <sheetView tabSelected="1" zoomScaleNormal="100" workbookViewId="0">
      <pane xSplit="6" ySplit="1" topLeftCell="H214" activePane="bottomRight" state="frozen"/>
      <selection pane="topRight" activeCell="G1" sqref="G1"/>
      <selection pane="bottomLeft" activeCell="A2" sqref="A2"/>
      <selection pane="bottomRight" activeCell="L239" sqref="L239"/>
    </sheetView>
  </sheetViews>
  <sheetFormatPr baseColWidth="10" defaultColWidth="11.42578125" defaultRowHeight="15" x14ac:dyDescent="0.25"/>
  <cols>
    <col min="1" max="1" width="32.7109375" style="1" customWidth="1"/>
    <col min="2" max="2" width="13.7109375" style="1" customWidth="1"/>
    <col min="3" max="3" width="16.28515625" style="1" customWidth="1"/>
    <col min="4" max="4" width="12.7109375" style="1" customWidth="1"/>
    <col min="5" max="5" width="13.7109375" customWidth="1"/>
    <col min="6" max="6" width="22.7109375" customWidth="1"/>
    <col min="7" max="7" width="16.28515625" style="36" customWidth="1"/>
    <col min="8" max="8" width="21.5703125" style="1" customWidth="1"/>
    <col min="9" max="9" width="28.42578125" style="1" customWidth="1"/>
    <col min="10" max="11" width="28.5703125" style="1" customWidth="1"/>
    <col min="12" max="12" width="21.5703125" style="1" customWidth="1"/>
  </cols>
  <sheetData>
    <row r="1" spans="1:47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3" t="s">
        <v>570</v>
      </c>
      <c r="J1" s="53" t="s">
        <v>571</v>
      </c>
      <c r="K1" s="53" t="s">
        <v>575</v>
      </c>
    </row>
    <row r="2" spans="1:47" s="1" customFormat="1" x14ac:dyDescent="0.25">
      <c r="A2" s="41" t="s">
        <v>481</v>
      </c>
      <c r="B2" s="3" t="s">
        <v>475</v>
      </c>
      <c r="C2" s="3" t="s">
        <v>483</v>
      </c>
      <c r="D2" s="3" t="s">
        <v>521</v>
      </c>
      <c r="E2" s="42" t="s">
        <v>447</v>
      </c>
      <c r="F2" s="42" t="s">
        <v>91</v>
      </c>
      <c r="G2" s="43" t="s">
        <v>478</v>
      </c>
      <c r="I2" s="43" t="s">
        <v>478</v>
      </c>
      <c r="J2" s="43" t="s">
        <v>478</v>
      </c>
      <c r="K2" s="43" t="s">
        <v>478</v>
      </c>
    </row>
    <row r="3" spans="1:47" s="1" customFormat="1" x14ac:dyDescent="0.25">
      <c r="A3" s="41" t="s">
        <v>479</v>
      </c>
      <c r="B3" s="3" t="s">
        <v>474</v>
      </c>
      <c r="C3" s="3" t="s">
        <v>483</v>
      </c>
      <c r="D3" s="3" t="s">
        <v>521</v>
      </c>
      <c r="E3" s="45" t="s">
        <v>477</v>
      </c>
      <c r="F3" s="45" t="s">
        <v>480</v>
      </c>
      <c r="G3" s="43" t="s">
        <v>476</v>
      </c>
      <c r="I3" s="43" t="s">
        <v>564</v>
      </c>
      <c r="J3" s="43" t="s">
        <v>564</v>
      </c>
      <c r="K3" s="43" t="s">
        <v>564</v>
      </c>
    </row>
    <row r="4" spans="1:47" s="1" customFormat="1" x14ac:dyDescent="0.25">
      <c r="A4" s="41" t="s">
        <v>572</v>
      </c>
      <c r="B4" s="3" t="s">
        <v>474</v>
      </c>
      <c r="C4" s="3" t="s">
        <v>483</v>
      </c>
      <c r="D4" s="3" t="s">
        <v>521</v>
      </c>
      <c r="E4" s="45" t="s">
        <v>573</v>
      </c>
      <c r="F4" s="45" t="s">
        <v>574</v>
      </c>
      <c r="G4" s="43" t="s">
        <v>485</v>
      </c>
      <c r="I4" s="57" t="s">
        <v>485</v>
      </c>
      <c r="J4" s="58" t="s">
        <v>485</v>
      </c>
      <c r="K4" s="43" t="s">
        <v>564</v>
      </c>
      <c r="L4" s="59"/>
      <c r="M4" s="60"/>
      <c r="N4" s="59"/>
      <c r="O4" s="59"/>
      <c r="P4" s="59"/>
      <c r="Q4" s="60"/>
      <c r="R4" s="60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61"/>
      <c r="AE4" s="59"/>
      <c r="AF4" s="59"/>
      <c r="AG4" s="59"/>
      <c r="AH4" s="59"/>
      <c r="AI4" s="59"/>
      <c r="AJ4" s="59"/>
      <c r="AK4" s="59"/>
      <c r="AL4" s="61"/>
      <c r="AM4" s="59"/>
      <c r="AN4" s="59"/>
      <c r="AO4" s="59"/>
      <c r="AP4" s="59"/>
      <c r="AQ4" s="61"/>
      <c r="AR4" s="59"/>
      <c r="AS4" s="61"/>
      <c r="AT4" s="61"/>
      <c r="AU4" s="59"/>
    </row>
    <row r="5" spans="1:47" s="1" customFormat="1" x14ac:dyDescent="0.25">
      <c r="A5" s="41" t="s">
        <v>556</v>
      </c>
      <c r="B5" s="3" t="s">
        <v>474</v>
      </c>
      <c r="C5" s="3" t="s">
        <v>483</v>
      </c>
      <c r="D5" s="3" t="s">
        <v>521</v>
      </c>
      <c r="E5" s="45" t="s">
        <v>557</v>
      </c>
      <c r="F5" s="45" t="s">
        <v>558</v>
      </c>
      <c r="G5" s="43" t="s">
        <v>476</v>
      </c>
      <c r="I5" s="43" t="s">
        <v>476</v>
      </c>
      <c r="J5" s="43" t="s">
        <v>476</v>
      </c>
      <c r="K5" s="43" t="s">
        <v>476</v>
      </c>
    </row>
    <row r="6" spans="1:47" x14ac:dyDescent="0.25">
      <c r="A6" s="3" t="s">
        <v>2</v>
      </c>
      <c r="B6" s="3" t="s">
        <v>473</v>
      </c>
      <c r="C6" s="3" t="s">
        <v>483</v>
      </c>
      <c r="D6" s="3" t="s">
        <v>521</v>
      </c>
      <c r="E6" s="4" t="s">
        <v>129</v>
      </c>
      <c r="F6" s="4" t="s">
        <v>94</v>
      </c>
      <c r="G6" s="43" t="s">
        <v>86</v>
      </c>
      <c r="I6" s="43" t="s">
        <v>86</v>
      </c>
      <c r="J6" s="43" t="s">
        <v>86</v>
      </c>
      <c r="K6" s="43" t="s">
        <v>86</v>
      </c>
    </row>
    <row r="7" spans="1:47" x14ac:dyDescent="0.25">
      <c r="A7" s="3" t="s">
        <v>3</v>
      </c>
      <c r="B7" s="3" t="s">
        <v>473</v>
      </c>
      <c r="C7" s="3" t="s">
        <v>483</v>
      </c>
      <c r="D7" s="3" t="s">
        <v>521</v>
      </c>
      <c r="E7" s="4" t="s">
        <v>130</v>
      </c>
      <c r="F7" s="4" t="s">
        <v>95</v>
      </c>
      <c r="G7" s="43">
        <v>1</v>
      </c>
      <c r="I7" s="43">
        <v>1</v>
      </c>
      <c r="J7" s="43">
        <v>1</v>
      </c>
      <c r="K7" s="43">
        <v>1</v>
      </c>
    </row>
    <row r="8" spans="1:47" x14ac:dyDescent="0.25">
      <c r="A8" s="5" t="s">
        <v>4</v>
      </c>
      <c r="B8" s="3" t="s">
        <v>473</v>
      </c>
      <c r="C8" s="3" t="s">
        <v>483</v>
      </c>
      <c r="D8" s="3" t="s">
        <v>521</v>
      </c>
      <c r="E8" s="6" t="s">
        <v>114</v>
      </c>
      <c r="F8" s="6" t="s">
        <v>93</v>
      </c>
      <c r="G8" s="43">
        <v>60</v>
      </c>
      <c r="I8" s="43">
        <v>180</v>
      </c>
      <c r="J8" s="43">
        <v>180</v>
      </c>
      <c r="K8" s="43">
        <v>180</v>
      </c>
    </row>
    <row r="9" spans="1:47" x14ac:dyDescent="0.25">
      <c r="A9" s="5" t="s">
        <v>5</v>
      </c>
      <c r="B9" s="3" t="s">
        <v>473</v>
      </c>
      <c r="C9" s="3" t="s">
        <v>483</v>
      </c>
      <c r="D9" s="3" t="s">
        <v>521</v>
      </c>
      <c r="E9" s="6" t="s">
        <v>115</v>
      </c>
      <c r="F9" s="6" t="s">
        <v>93</v>
      </c>
      <c r="G9" s="43">
        <v>4.1666666999999998E-2</v>
      </c>
      <c r="I9" s="43">
        <v>4.1666666999999998E-2</v>
      </c>
      <c r="J9" s="43">
        <v>4.1666666999999998E-2</v>
      </c>
      <c r="K9" s="43">
        <v>4.1666666999999998E-2</v>
      </c>
    </row>
    <row r="10" spans="1:47" x14ac:dyDescent="0.25">
      <c r="A10" s="5" t="s">
        <v>20</v>
      </c>
      <c r="B10" s="3" t="s">
        <v>473</v>
      </c>
      <c r="C10" s="3" t="s">
        <v>483</v>
      </c>
      <c r="D10" s="3" t="s">
        <v>521</v>
      </c>
      <c r="E10" s="6" t="s">
        <v>123</v>
      </c>
      <c r="F10" s="6" t="s">
        <v>93</v>
      </c>
      <c r="G10" s="43">
        <v>5</v>
      </c>
      <c r="I10" s="43">
        <v>4.1666666999999998E-2</v>
      </c>
      <c r="J10" s="43">
        <v>4.1666666999999998E-2</v>
      </c>
      <c r="K10" s="43">
        <v>4.1666666999999998E-2</v>
      </c>
    </row>
    <row r="11" spans="1:47" x14ac:dyDescent="0.25">
      <c r="A11" s="7" t="s">
        <v>1</v>
      </c>
      <c r="B11" s="3" t="s">
        <v>473</v>
      </c>
      <c r="C11" s="3" t="s">
        <v>483</v>
      </c>
      <c r="D11" s="3" t="s">
        <v>521</v>
      </c>
      <c r="E11" s="8" t="s">
        <v>113</v>
      </c>
      <c r="F11" s="8" t="s">
        <v>93</v>
      </c>
      <c r="G11" s="43">
        <v>1</v>
      </c>
      <c r="I11" s="43">
        <v>1</v>
      </c>
      <c r="J11" s="43">
        <v>1</v>
      </c>
      <c r="K11" s="43">
        <v>1</v>
      </c>
    </row>
    <row r="12" spans="1:47" x14ac:dyDescent="0.25">
      <c r="A12" s="7" t="s">
        <v>450</v>
      </c>
      <c r="B12" s="3" t="s">
        <v>473</v>
      </c>
      <c r="C12" s="3" t="s">
        <v>483</v>
      </c>
      <c r="D12" s="3" t="s">
        <v>521</v>
      </c>
      <c r="E12" s="8" t="s">
        <v>451</v>
      </c>
      <c r="F12" s="8" t="s">
        <v>93</v>
      </c>
      <c r="G12" s="43">
        <v>0</v>
      </c>
      <c r="I12" s="43">
        <v>0</v>
      </c>
      <c r="J12" s="43">
        <v>0</v>
      </c>
      <c r="K12" s="43">
        <v>0</v>
      </c>
    </row>
    <row r="13" spans="1:47" x14ac:dyDescent="0.25">
      <c r="A13" s="7" t="s">
        <v>6</v>
      </c>
      <c r="B13" s="3" t="s">
        <v>473</v>
      </c>
      <c r="C13" s="3" t="s">
        <v>483</v>
      </c>
      <c r="D13" s="3" t="s">
        <v>521</v>
      </c>
      <c r="E13" s="8" t="s">
        <v>131</v>
      </c>
      <c r="F13" s="8" t="s">
        <v>94</v>
      </c>
      <c r="G13" s="43" t="s">
        <v>87</v>
      </c>
      <c r="I13" s="43" t="s">
        <v>87</v>
      </c>
      <c r="J13" s="43" t="s">
        <v>87</v>
      </c>
      <c r="K13" s="43" t="s">
        <v>87</v>
      </c>
    </row>
    <row r="14" spans="1:47" x14ac:dyDescent="0.25">
      <c r="A14" s="7" t="s">
        <v>7</v>
      </c>
      <c r="B14" s="3" t="s">
        <v>473</v>
      </c>
      <c r="C14" s="3" t="s">
        <v>483</v>
      </c>
      <c r="D14" s="3" t="s">
        <v>521</v>
      </c>
      <c r="E14" s="8" t="s">
        <v>116</v>
      </c>
      <c r="F14" s="8" t="s">
        <v>96</v>
      </c>
      <c r="G14" s="43">
        <v>5.0000000000000001E-9</v>
      </c>
      <c r="I14" s="43">
        <v>5.0000000000000001E-9</v>
      </c>
      <c r="J14" s="43">
        <v>5.0000000000000001E-9</v>
      </c>
      <c r="K14" s="43">
        <v>5.0000000000000001E-9</v>
      </c>
    </row>
    <row r="15" spans="1:47" x14ac:dyDescent="0.25">
      <c r="A15" s="7" t="s">
        <v>8</v>
      </c>
      <c r="B15" s="3" t="s">
        <v>473</v>
      </c>
      <c r="C15" s="3" t="s">
        <v>483</v>
      </c>
      <c r="D15" s="3" t="s">
        <v>521</v>
      </c>
      <c r="E15" s="8" t="s">
        <v>117</v>
      </c>
      <c r="F15" s="8" t="s">
        <v>466</v>
      </c>
      <c r="G15" s="43">
        <v>10</v>
      </c>
      <c r="I15" s="43">
        <v>10</v>
      </c>
      <c r="J15" s="43">
        <v>10</v>
      </c>
      <c r="K15" s="43">
        <v>10</v>
      </c>
    </row>
    <row r="16" spans="1:47" x14ac:dyDescent="0.25">
      <c r="A16" s="7" t="s">
        <v>463</v>
      </c>
      <c r="B16" s="3" t="s">
        <v>473</v>
      </c>
      <c r="C16" s="3" t="s">
        <v>483</v>
      </c>
      <c r="D16" s="3" t="s">
        <v>521</v>
      </c>
      <c r="E16" s="8" t="s">
        <v>458</v>
      </c>
      <c r="F16" s="8" t="s">
        <v>94</v>
      </c>
      <c r="G16" s="43" t="s">
        <v>87</v>
      </c>
      <c r="I16" s="43" t="s">
        <v>87</v>
      </c>
      <c r="J16" s="43" t="s">
        <v>87</v>
      </c>
      <c r="K16" s="43" t="s">
        <v>87</v>
      </c>
    </row>
    <row r="17" spans="1:13" x14ac:dyDescent="0.25">
      <c r="A17" s="7" t="s">
        <v>464</v>
      </c>
      <c r="B17" s="3" t="s">
        <v>473</v>
      </c>
      <c r="C17" s="3" t="s">
        <v>483</v>
      </c>
      <c r="D17" s="3" t="s">
        <v>521</v>
      </c>
      <c r="E17" s="8" t="s">
        <v>465</v>
      </c>
      <c r="F17" s="8" t="s">
        <v>94</v>
      </c>
      <c r="G17" s="43" t="s">
        <v>87</v>
      </c>
      <c r="I17" s="43" t="s">
        <v>87</v>
      </c>
      <c r="J17" s="43" t="s">
        <v>87</v>
      </c>
      <c r="K17" s="43" t="s">
        <v>87</v>
      </c>
    </row>
    <row r="18" spans="1:13" x14ac:dyDescent="0.25">
      <c r="A18" s="7" t="s">
        <v>467</v>
      </c>
      <c r="B18" s="3" t="s">
        <v>473</v>
      </c>
      <c r="C18" s="3" t="s">
        <v>483</v>
      </c>
      <c r="D18" s="3" t="s">
        <v>521</v>
      </c>
      <c r="E18" s="8" t="s">
        <v>468</v>
      </c>
      <c r="F18" s="8" t="s">
        <v>94</v>
      </c>
      <c r="G18" s="43" t="s">
        <v>87</v>
      </c>
      <c r="I18" s="43" t="s">
        <v>87</v>
      </c>
      <c r="J18" s="43" t="s">
        <v>87</v>
      </c>
      <c r="K18" s="43" t="s">
        <v>87</v>
      </c>
    </row>
    <row r="19" spans="1:13" x14ac:dyDescent="0.25">
      <c r="A19" s="7" t="s">
        <v>469</v>
      </c>
      <c r="B19" s="3" t="s">
        <v>473</v>
      </c>
      <c r="C19" s="3" t="s">
        <v>483</v>
      </c>
      <c r="D19" s="3" t="s">
        <v>521</v>
      </c>
      <c r="E19" s="8" t="s">
        <v>470</v>
      </c>
      <c r="F19" s="8" t="s">
        <v>296</v>
      </c>
      <c r="G19" s="43">
        <v>86400</v>
      </c>
      <c r="I19" s="43">
        <v>86400</v>
      </c>
      <c r="J19" s="43">
        <v>86400</v>
      </c>
      <c r="K19" s="43">
        <v>86400</v>
      </c>
    </row>
    <row r="20" spans="1:13" x14ac:dyDescent="0.25">
      <c r="A20" s="9" t="s">
        <v>10</v>
      </c>
      <c r="B20" s="3" t="s">
        <v>473</v>
      </c>
      <c r="C20" s="3" t="s">
        <v>483</v>
      </c>
      <c r="D20" s="3" t="s">
        <v>521</v>
      </c>
      <c r="E20" s="10" t="s">
        <v>133</v>
      </c>
      <c r="F20" s="10" t="s">
        <v>94</v>
      </c>
      <c r="G20" s="43" t="s">
        <v>87</v>
      </c>
      <c r="I20" s="43" t="s">
        <v>86</v>
      </c>
      <c r="J20" s="43" t="s">
        <v>86</v>
      </c>
      <c r="K20" s="43" t="s">
        <v>86</v>
      </c>
    </row>
    <row r="21" spans="1:13" x14ac:dyDescent="0.25">
      <c r="A21" s="9" t="s">
        <v>11</v>
      </c>
      <c r="B21" s="3" t="s">
        <v>473</v>
      </c>
      <c r="C21" s="3" t="s">
        <v>483</v>
      </c>
      <c r="D21" s="3" t="s">
        <v>521</v>
      </c>
      <c r="E21" s="10" t="s">
        <v>118</v>
      </c>
      <c r="F21" s="10" t="s">
        <v>95</v>
      </c>
      <c r="G21" s="43">
        <v>3</v>
      </c>
      <c r="I21" s="43">
        <v>3</v>
      </c>
      <c r="J21" s="43">
        <v>3</v>
      </c>
      <c r="K21" s="43">
        <v>3</v>
      </c>
      <c r="M21" t="s">
        <v>576</v>
      </c>
    </row>
    <row r="22" spans="1:13" x14ac:dyDescent="0.25">
      <c r="A22" s="9" t="s">
        <v>362</v>
      </c>
      <c r="B22" s="3" t="s">
        <v>473</v>
      </c>
      <c r="C22" s="3" t="s">
        <v>483</v>
      </c>
      <c r="D22" s="3" t="s">
        <v>521</v>
      </c>
      <c r="E22" s="10" t="s">
        <v>363</v>
      </c>
      <c r="F22" s="10" t="s">
        <v>94</v>
      </c>
      <c r="G22" s="43" t="s">
        <v>87</v>
      </c>
      <c r="I22" s="43" t="s">
        <v>87</v>
      </c>
      <c r="J22" s="43" t="s">
        <v>87</v>
      </c>
      <c r="K22" s="43" t="s">
        <v>87</v>
      </c>
    </row>
    <row r="23" spans="1:13" x14ac:dyDescent="0.25">
      <c r="A23" s="9" t="s">
        <v>364</v>
      </c>
      <c r="B23" s="3" t="s">
        <v>473</v>
      </c>
      <c r="C23" s="3" t="s">
        <v>483</v>
      </c>
      <c r="D23" s="3" t="s">
        <v>521</v>
      </c>
      <c r="E23" s="10" t="s">
        <v>365</v>
      </c>
      <c r="F23" s="10" t="s">
        <v>94</v>
      </c>
      <c r="G23" s="43" t="s">
        <v>87</v>
      </c>
      <c r="I23" s="43" t="s">
        <v>87</v>
      </c>
      <c r="J23" s="43" t="s">
        <v>87</v>
      </c>
      <c r="K23" s="43" t="s">
        <v>87</v>
      </c>
    </row>
    <row r="24" spans="1:13" x14ac:dyDescent="0.25">
      <c r="A24" s="9" t="s">
        <v>376</v>
      </c>
      <c r="B24" s="3" t="s">
        <v>473</v>
      </c>
      <c r="C24" s="3" t="s">
        <v>483</v>
      </c>
      <c r="D24" s="3" t="s">
        <v>521</v>
      </c>
      <c r="E24" s="10" t="s">
        <v>377</v>
      </c>
      <c r="F24" s="10" t="s">
        <v>94</v>
      </c>
      <c r="G24" s="43" t="s">
        <v>87</v>
      </c>
      <c r="I24" s="43" t="s">
        <v>87</v>
      </c>
      <c r="J24" s="43" t="s">
        <v>87</v>
      </c>
      <c r="K24" s="43" t="s">
        <v>87</v>
      </c>
    </row>
    <row r="25" spans="1:13" x14ac:dyDescent="0.25">
      <c r="A25" s="9" t="s">
        <v>375</v>
      </c>
      <c r="B25" s="3" t="s">
        <v>473</v>
      </c>
      <c r="C25" s="3" t="s">
        <v>483</v>
      </c>
      <c r="D25" s="3" t="s">
        <v>521</v>
      </c>
      <c r="E25" s="10" t="s">
        <v>373</v>
      </c>
      <c r="F25" s="10" t="s">
        <v>94</v>
      </c>
      <c r="G25" s="43" t="s">
        <v>87</v>
      </c>
      <c r="I25" s="43" t="s">
        <v>87</v>
      </c>
      <c r="J25" s="43" t="s">
        <v>87</v>
      </c>
      <c r="K25" s="43" t="s">
        <v>87</v>
      </c>
    </row>
    <row r="26" spans="1:13" x14ac:dyDescent="0.25">
      <c r="A26" s="9" t="s">
        <v>374</v>
      </c>
      <c r="B26" s="3" t="s">
        <v>473</v>
      </c>
      <c r="C26" s="3" t="s">
        <v>483</v>
      </c>
      <c r="D26" s="3" t="s">
        <v>521</v>
      </c>
      <c r="E26" s="10" t="s">
        <v>372</v>
      </c>
      <c r="F26" s="10" t="s">
        <v>94</v>
      </c>
      <c r="G26" s="43" t="s">
        <v>87</v>
      </c>
      <c r="I26" s="43" t="s">
        <v>87</v>
      </c>
      <c r="J26" s="43" t="s">
        <v>87</v>
      </c>
      <c r="K26" s="43" t="s">
        <v>87</v>
      </c>
    </row>
    <row r="27" spans="1:13" x14ac:dyDescent="0.25">
      <c r="A27" s="9" t="s">
        <v>12</v>
      </c>
      <c r="B27" s="3" t="s">
        <v>473</v>
      </c>
      <c r="C27" s="3" t="s">
        <v>483</v>
      </c>
      <c r="D27" s="3" t="s">
        <v>521</v>
      </c>
      <c r="E27" s="10" t="s">
        <v>139</v>
      </c>
      <c r="F27" s="10" t="s">
        <v>94</v>
      </c>
      <c r="G27" s="43" t="s">
        <v>87</v>
      </c>
      <c r="I27" s="43" t="s">
        <v>87</v>
      </c>
      <c r="J27" s="43" t="s">
        <v>87</v>
      </c>
      <c r="K27" s="43" t="s">
        <v>87</v>
      </c>
    </row>
    <row r="28" spans="1:13" x14ac:dyDescent="0.25">
      <c r="A28" s="9" t="s">
        <v>13</v>
      </c>
      <c r="B28" s="3" t="s">
        <v>473</v>
      </c>
      <c r="C28" s="3" t="s">
        <v>483</v>
      </c>
      <c r="D28" s="3" t="s">
        <v>521</v>
      </c>
      <c r="E28" s="10" t="s">
        <v>119</v>
      </c>
      <c r="F28" s="10" t="s">
        <v>97</v>
      </c>
      <c r="G28" s="43">
        <v>0.33</v>
      </c>
      <c r="I28" s="43">
        <v>0.33</v>
      </c>
      <c r="J28" s="43">
        <v>0.33</v>
      </c>
      <c r="K28" s="43">
        <v>0.33</v>
      </c>
    </row>
    <row r="29" spans="1:13" x14ac:dyDescent="0.25">
      <c r="A29" s="9" t="s">
        <v>14</v>
      </c>
      <c r="B29" s="3" t="s">
        <v>473</v>
      </c>
      <c r="C29" s="3" t="s">
        <v>483</v>
      </c>
      <c r="D29" s="3" t="s">
        <v>521</v>
      </c>
      <c r="E29" s="10" t="s">
        <v>134</v>
      </c>
      <c r="F29" s="10" t="s">
        <v>94</v>
      </c>
      <c r="G29" s="43" t="s">
        <v>87</v>
      </c>
      <c r="I29" s="43" t="s">
        <v>87</v>
      </c>
      <c r="J29" s="43" t="s">
        <v>87</v>
      </c>
      <c r="K29" s="43" t="s">
        <v>87</v>
      </c>
    </row>
    <row r="30" spans="1:13" x14ac:dyDescent="0.25">
      <c r="A30" s="9" t="s">
        <v>9</v>
      </c>
      <c r="B30" s="3" t="s">
        <v>473</v>
      </c>
      <c r="C30" s="3" t="s">
        <v>483</v>
      </c>
      <c r="D30" s="3" t="s">
        <v>521</v>
      </c>
      <c r="E30" s="10" t="s">
        <v>132</v>
      </c>
      <c r="F30" s="10" t="s">
        <v>94</v>
      </c>
      <c r="G30" s="43" t="s">
        <v>87</v>
      </c>
      <c r="I30" s="43" t="s">
        <v>87</v>
      </c>
      <c r="J30" s="43" t="s">
        <v>87</v>
      </c>
      <c r="K30" s="43" t="s">
        <v>87</v>
      </c>
    </row>
    <row r="31" spans="1:13" x14ac:dyDescent="0.25">
      <c r="A31" s="9" t="s">
        <v>456</v>
      </c>
      <c r="B31" s="3" t="s">
        <v>473</v>
      </c>
      <c r="C31" s="3" t="s">
        <v>483</v>
      </c>
      <c r="D31" s="3" t="s">
        <v>521</v>
      </c>
      <c r="E31" s="10" t="s">
        <v>457</v>
      </c>
      <c r="F31" s="10" t="s">
        <v>94</v>
      </c>
      <c r="G31" s="43" t="s">
        <v>87</v>
      </c>
      <c r="I31" s="43" t="s">
        <v>87</v>
      </c>
      <c r="J31" s="43" t="s">
        <v>87</v>
      </c>
      <c r="K31" s="43" t="s">
        <v>87</v>
      </c>
    </row>
    <row r="32" spans="1:13" x14ac:dyDescent="0.25">
      <c r="A32" s="13" t="s">
        <v>21</v>
      </c>
      <c r="B32" s="3" t="s">
        <v>473</v>
      </c>
      <c r="C32" s="3" t="s">
        <v>483</v>
      </c>
      <c r="D32" s="3" t="s">
        <v>521</v>
      </c>
      <c r="E32" s="14" t="s">
        <v>137</v>
      </c>
      <c r="F32" s="14" t="s">
        <v>94</v>
      </c>
      <c r="G32" s="43" t="s">
        <v>86</v>
      </c>
      <c r="I32" s="43" t="s">
        <v>86</v>
      </c>
      <c r="J32" s="43" t="s">
        <v>86</v>
      </c>
      <c r="K32" s="43" t="s">
        <v>86</v>
      </c>
    </row>
    <row r="33" spans="1:11" x14ac:dyDescent="0.25">
      <c r="A33" s="13" t="s">
        <v>22</v>
      </c>
      <c r="B33" s="3" t="s">
        <v>473</v>
      </c>
      <c r="C33" s="3" t="s">
        <v>483</v>
      </c>
      <c r="D33" s="3" t="s">
        <v>521</v>
      </c>
      <c r="E33" s="14" t="s">
        <v>124</v>
      </c>
      <c r="F33" s="14" t="s">
        <v>91</v>
      </c>
      <c r="G33" s="43" t="s">
        <v>382</v>
      </c>
      <c r="I33" s="44" t="s">
        <v>436</v>
      </c>
      <c r="J33" s="44" t="s">
        <v>436</v>
      </c>
      <c r="K33" s="44" t="s">
        <v>436</v>
      </c>
    </row>
    <row r="34" spans="1:11" x14ac:dyDescent="0.25">
      <c r="A34" s="13" t="s">
        <v>23</v>
      </c>
      <c r="B34" s="3" t="s">
        <v>473</v>
      </c>
      <c r="C34" s="3" t="s">
        <v>483</v>
      </c>
      <c r="D34" s="3" t="s">
        <v>521</v>
      </c>
      <c r="E34" s="14" t="s">
        <v>125</v>
      </c>
      <c r="F34" s="14" t="s">
        <v>99</v>
      </c>
      <c r="G34" s="43">
        <v>9.9999999999999995E-7</v>
      </c>
      <c r="I34" s="43">
        <v>9.9999999999999995E-7</v>
      </c>
      <c r="J34" s="43">
        <v>9.9999999999999995E-7</v>
      </c>
      <c r="K34" s="43">
        <v>9.9999999999999995E-7</v>
      </c>
    </row>
    <row r="35" spans="1:11" x14ac:dyDescent="0.25">
      <c r="A35" s="13" t="s">
        <v>24</v>
      </c>
      <c r="B35" s="3" t="s">
        <v>473</v>
      </c>
      <c r="C35" s="3" t="s">
        <v>483</v>
      </c>
      <c r="D35" s="3" t="s">
        <v>521</v>
      </c>
      <c r="E35" s="14" t="s">
        <v>126</v>
      </c>
      <c r="F35" s="14" t="s">
        <v>99</v>
      </c>
      <c r="G35" s="43">
        <v>2.0000000000000001E-4</v>
      </c>
      <c r="I35" s="43">
        <v>1E-3</v>
      </c>
      <c r="J35" s="43">
        <v>1E-3</v>
      </c>
      <c r="K35" s="43">
        <v>1E-3</v>
      </c>
    </row>
    <row r="36" spans="1:11" x14ac:dyDescent="0.25">
      <c r="A36" s="13" t="s">
        <v>25</v>
      </c>
      <c r="B36" s="3" t="s">
        <v>473</v>
      </c>
      <c r="C36" s="3" t="s">
        <v>483</v>
      </c>
      <c r="D36" s="3" t="s">
        <v>521</v>
      </c>
      <c r="E36" s="14" t="s">
        <v>138</v>
      </c>
      <c r="F36" s="14" t="s">
        <v>94</v>
      </c>
      <c r="G36" s="43" t="s">
        <v>86</v>
      </c>
      <c r="I36" s="43" t="s">
        <v>86</v>
      </c>
      <c r="J36" s="43" t="s">
        <v>86</v>
      </c>
      <c r="K36" s="43" t="s">
        <v>86</v>
      </c>
    </row>
    <row r="37" spans="1:11" x14ac:dyDescent="0.25">
      <c r="A37" s="13" t="s">
        <v>26</v>
      </c>
      <c r="B37" s="3" t="s">
        <v>473</v>
      </c>
      <c r="C37" s="3" t="s">
        <v>483</v>
      </c>
      <c r="D37" s="3" t="s">
        <v>521</v>
      </c>
      <c r="E37" s="14" t="s">
        <v>127</v>
      </c>
      <c r="F37" s="14" t="s">
        <v>91</v>
      </c>
      <c r="G37" s="43" t="s">
        <v>88</v>
      </c>
      <c r="I37" s="43" t="s">
        <v>88</v>
      </c>
      <c r="J37" s="43" t="s">
        <v>88</v>
      </c>
      <c r="K37" s="43" t="s">
        <v>88</v>
      </c>
    </row>
    <row r="38" spans="1:11" x14ac:dyDescent="0.25">
      <c r="A38" s="13" t="s">
        <v>27</v>
      </c>
      <c r="B38" s="3" t="s">
        <v>473</v>
      </c>
      <c r="C38" s="3" t="s">
        <v>483</v>
      </c>
      <c r="D38" s="3" t="s">
        <v>521</v>
      </c>
      <c r="E38" s="14" t="s">
        <v>128</v>
      </c>
      <c r="F38" s="14" t="s">
        <v>94</v>
      </c>
      <c r="G38" s="43" t="s">
        <v>86</v>
      </c>
      <c r="I38" s="43" t="s">
        <v>86</v>
      </c>
      <c r="J38" s="43" t="s">
        <v>86</v>
      </c>
      <c r="K38" s="43" t="s">
        <v>86</v>
      </c>
    </row>
    <row r="39" spans="1:11" x14ac:dyDescent="0.25">
      <c r="A39" s="13" t="s">
        <v>28</v>
      </c>
      <c r="B39" s="3" t="s">
        <v>473</v>
      </c>
      <c r="C39" s="3" t="s">
        <v>483</v>
      </c>
      <c r="D39" s="3" t="s">
        <v>521</v>
      </c>
      <c r="E39" s="14" t="s">
        <v>140</v>
      </c>
      <c r="F39" s="14" t="s">
        <v>94</v>
      </c>
      <c r="G39" s="43" t="s">
        <v>87</v>
      </c>
      <c r="I39" s="43" t="s">
        <v>87</v>
      </c>
      <c r="J39" s="43" t="s">
        <v>87</v>
      </c>
      <c r="K39" s="43" t="s">
        <v>87</v>
      </c>
    </row>
    <row r="40" spans="1:11" x14ac:dyDescent="0.25">
      <c r="A40" s="13" t="s">
        <v>29</v>
      </c>
      <c r="B40" s="3" t="s">
        <v>473</v>
      </c>
      <c r="C40" s="3" t="s">
        <v>483</v>
      </c>
      <c r="D40" s="3" t="s">
        <v>521</v>
      </c>
      <c r="E40" s="14" t="s">
        <v>141</v>
      </c>
      <c r="F40" s="14" t="s">
        <v>95</v>
      </c>
      <c r="G40" s="43">
        <v>120</v>
      </c>
      <c r="I40" s="43">
        <v>120</v>
      </c>
      <c r="J40" s="43">
        <v>120</v>
      </c>
      <c r="K40" s="43">
        <v>120</v>
      </c>
    </row>
    <row r="41" spans="1:11" x14ac:dyDescent="0.25">
      <c r="A41" s="13" t="s">
        <v>30</v>
      </c>
      <c r="B41" s="3" t="s">
        <v>473</v>
      </c>
      <c r="C41" s="3" t="s">
        <v>483</v>
      </c>
      <c r="D41" s="3" t="s">
        <v>521</v>
      </c>
      <c r="E41" s="14" t="s">
        <v>142</v>
      </c>
      <c r="F41" s="14" t="s">
        <v>98</v>
      </c>
      <c r="G41" s="43">
        <v>0</v>
      </c>
      <c r="I41" s="43">
        <v>0</v>
      </c>
      <c r="J41" s="43">
        <v>0</v>
      </c>
      <c r="K41" s="43">
        <v>0</v>
      </c>
    </row>
    <row r="42" spans="1:11" x14ac:dyDescent="0.25">
      <c r="A42" s="13" t="s">
        <v>31</v>
      </c>
      <c r="B42" s="3" t="s">
        <v>473</v>
      </c>
      <c r="C42" s="3" t="s">
        <v>483</v>
      </c>
      <c r="D42" s="3" t="s">
        <v>521</v>
      </c>
      <c r="E42" s="14" t="s">
        <v>143</v>
      </c>
      <c r="F42" s="14" t="s">
        <v>98</v>
      </c>
      <c r="G42" s="43">
        <v>0</v>
      </c>
      <c r="I42" s="43">
        <v>0</v>
      </c>
      <c r="J42" s="43">
        <v>0</v>
      </c>
      <c r="K42" s="43">
        <v>0</v>
      </c>
    </row>
    <row r="43" spans="1:11" x14ac:dyDescent="0.25">
      <c r="A43" s="13" t="s">
        <v>32</v>
      </c>
      <c r="B43" s="3" t="s">
        <v>473</v>
      </c>
      <c r="C43" s="3" t="s">
        <v>483</v>
      </c>
      <c r="D43" s="3" t="s">
        <v>521</v>
      </c>
      <c r="E43" s="14" t="s">
        <v>144</v>
      </c>
      <c r="F43" s="14" t="s">
        <v>98</v>
      </c>
      <c r="G43" s="43">
        <v>-0.1</v>
      </c>
      <c r="I43" s="43">
        <v>-0.1</v>
      </c>
      <c r="J43" s="43">
        <v>-0.1</v>
      </c>
      <c r="K43" s="43">
        <v>-0.1</v>
      </c>
    </row>
    <row r="44" spans="1:11" x14ac:dyDescent="0.25">
      <c r="A44" s="13" t="s">
        <v>33</v>
      </c>
      <c r="B44" s="3" t="s">
        <v>473</v>
      </c>
      <c r="C44" s="3" t="s">
        <v>483</v>
      </c>
      <c r="D44" s="3" t="s">
        <v>521</v>
      </c>
      <c r="E44" s="14" t="s">
        <v>145</v>
      </c>
      <c r="F44" s="14" t="s">
        <v>98</v>
      </c>
      <c r="G44" s="43">
        <v>-0.2</v>
      </c>
      <c r="I44" s="43">
        <v>-0.2</v>
      </c>
      <c r="J44" s="43">
        <v>-0.2</v>
      </c>
      <c r="K44" s="43">
        <v>-0.2</v>
      </c>
    </row>
    <row r="45" spans="1:11" x14ac:dyDescent="0.25">
      <c r="A45" s="13" t="s">
        <v>34</v>
      </c>
      <c r="B45" s="3" t="s">
        <v>473</v>
      </c>
      <c r="C45" s="3" t="s">
        <v>483</v>
      </c>
      <c r="D45" s="3" t="s">
        <v>521</v>
      </c>
      <c r="E45" s="14" t="s">
        <v>146</v>
      </c>
      <c r="F45" s="14" t="s">
        <v>98</v>
      </c>
      <c r="G45" s="43">
        <v>0.4</v>
      </c>
      <c r="I45" s="43">
        <v>0.4</v>
      </c>
      <c r="J45" s="43">
        <v>0.4</v>
      </c>
      <c r="K45" s="43">
        <v>0.4</v>
      </c>
    </row>
    <row r="46" spans="1:11" x14ac:dyDescent="0.25">
      <c r="A46" s="13" t="s">
        <v>35</v>
      </c>
      <c r="B46" s="3" t="s">
        <v>473</v>
      </c>
      <c r="C46" s="3" t="s">
        <v>483</v>
      </c>
      <c r="D46" s="3" t="s">
        <v>521</v>
      </c>
      <c r="E46" s="14" t="s">
        <v>147</v>
      </c>
      <c r="F46" s="14" t="s">
        <v>101</v>
      </c>
      <c r="G46" s="43">
        <v>0</v>
      </c>
      <c r="I46" s="43">
        <v>0</v>
      </c>
      <c r="J46" s="43">
        <v>0</v>
      </c>
      <c r="K46" s="43">
        <v>0</v>
      </c>
    </row>
    <row r="47" spans="1:11" x14ac:dyDescent="0.25">
      <c r="A47" s="13" t="s">
        <v>437</v>
      </c>
      <c r="B47" s="3" t="s">
        <v>473</v>
      </c>
      <c r="C47" s="3" t="s">
        <v>483</v>
      </c>
      <c r="D47" s="3" t="s">
        <v>521</v>
      </c>
      <c r="E47" s="14" t="s">
        <v>439</v>
      </c>
      <c r="F47" s="14" t="s">
        <v>95</v>
      </c>
      <c r="G47" s="43">
        <v>1200</v>
      </c>
      <c r="I47" s="43">
        <v>1200</v>
      </c>
      <c r="J47" s="43">
        <v>1200</v>
      </c>
      <c r="K47" s="43">
        <v>1200</v>
      </c>
    </row>
    <row r="48" spans="1:11" x14ac:dyDescent="0.25">
      <c r="A48" s="13" t="s">
        <v>438</v>
      </c>
      <c r="B48" s="3" t="s">
        <v>473</v>
      </c>
      <c r="C48" s="3" t="s">
        <v>483</v>
      </c>
      <c r="D48" s="3" t="s">
        <v>521</v>
      </c>
      <c r="E48" s="14" t="s">
        <v>440</v>
      </c>
      <c r="F48" s="14" t="s">
        <v>95</v>
      </c>
      <c r="G48" s="43">
        <v>1200</v>
      </c>
      <c r="I48" s="43">
        <v>1200</v>
      </c>
      <c r="J48" s="43">
        <v>1200</v>
      </c>
      <c r="K48" s="43">
        <v>1200</v>
      </c>
    </row>
    <row r="49" spans="1:11" x14ac:dyDescent="0.25">
      <c r="A49" s="13" t="s">
        <v>459</v>
      </c>
      <c r="B49" s="3" t="s">
        <v>473</v>
      </c>
      <c r="C49" s="3" t="s">
        <v>483</v>
      </c>
      <c r="D49" s="3" t="s">
        <v>521</v>
      </c>
      <c r="E49" s="14" t="s">
        <v>460</v>
      </c>
      <c r="F49" s="14" t="s">
        <v>461</v>
      </c>
      <c r="G49" s="43" t="s">
        <v>462</v>
      </c>
      <c r="I49" s="43" t="s">
        <v>462</v>
      </c>
      <c r="J49" s="43" t="s">
        <v>462</v>
      </c>
      <c r="K49" s="43" t="s">
        <v>462</v>
      </c>
    </row>
    <row r="50" spans="1:11" x14ac:dyDescent="0.25">
      <c r="A50" s="13" t="s">
        <v>15</v>
      </c>
      <c r="B50" s="3" t="s">
        <v>473</v>
      </c>
      <c r="C50" s="3" t="s">
        <v>483</v>
      </c>
      <c r="D50" s="3" t="s">
        <v>521</v>
      </c>
      <c r="E50" s="14" t="s">
        <v>135</v>
      </c>
      <c r="F50" s="14" t="s">
        <v>94</v>
      </c>
      <c r="G50" s="43" t="s">
        <v>86</v>
      </c>
      <c r="I50" s="43" t="s">
        <v>86</v>
      </c>
      <c r="J50" s="43" t="s">
        <v>86</v>
      </c>
      <c r="K50" s="43" t="s">
        <v>86</v>
      </c>
    </row>
    <row r="51" spans="1:11" x14ac:dyDescent="0.25">
      <c r="A51" s="11" t="s">
        <v>16</v>
      </c>
      <c r="B51" s="3" t="s">
        <v>473</v>
      </c>
      <c r="C51" s="3" t="s">
        <v>483</v>
      </c>
      <c r="D51" s="3" t="s">
        <v>521</v>
      </c>
      <c r="E51" s="12" t="s">
        <v>136</v>
      </c>
      <c r="F51" s="12" t="s">
        <v>94</v>
      </c>
      <c r="G51" s="43" t="s">
        <v>86</v>
      </c>
      <c r="I51" s="43" t="s">
        <v>86</v>
      </c>
      <c r="J51" s="43" t="s">
        <v>86</v>
      </c>
      <c r="K51" s="43" t="s">
        <v>86</v>
      </c>
    </row>
    <row r="52" spans="1:11" x14ac:dyDescent="0.25">
      <c r="A52" s="11" t="s">
        <v>17</v>
      </c>
      <c r="B52" s="3" t="s">
        <v>473</v>
      </c>
      <c r="C52" s="3" t="s">
        <v>483</v>
      </c>
      <c r="D52" s="3" t="s">
        <v>521</v>
      </c>
      <c r="E52" s="12" t="s">
        <v>120</v>
      </c>
      <c r="F52" s="12" t="s">
        <v>98</v>
      </c>
      <c r="G52" s="43">
        <v>0</v>
      </c>
      <c r="I52" s="43">
        <v>0</v>
      </c>
      <c r="J52" s="43">
        <v>0</v>
      </c>
      <c r="K52" s="43">
        <v>0</v>
      </c>
    </row>
    <row r="53" spans="1:11" x14ac:dyDescent="0.25">
      <c r="A53" s="11" t="s">
        <v>18</v>
      </c>
      <c r="B53" s="3" t="s">
        <v>473</v>
      </c>
      <c r="C53" s="3" t="s">
        <v>483</v>
      </c>
      <c r="D53" s="3" t="s">
        <v>521</v>
      </c>
      <c r="E53" s="12" t="s">
        <v>121</v>
      </c>
      <c r="F53" s="12" t="s">
        <v>98</v>
      </c>
      <c r="G53" s="43">
        <v>0.5</v>
      </c>
      <c r="I53" s="43">
        <v>0.5</v>
      </c>
      <c r="J53" s="43">
        <v>0.5</v>
      </c>
      <c r="K53" s="43">
        <v>0.5</v>
      </c>
    </row>
    <row r="54" spans="1:11" x14ac:dyDescent="0.25">
      <c r="A54" s="11" t="s">
        <v>19</v>
      </c>
      <c r="B54" s="3" t="s">
        <v>473</v>
      </c>
      <c r="C54" s="3" t="s">
        <v>483</v>
      </c>
      <c r="D54" s="3" t="s">
        <v>521</v>
      </c>
      <c r="E54" s="12" t="s">
        <v>122</v>
      </c>
      <c r="F54" s="12" t="s">
        <v>98</v>
      </c>
      <c r="G54" s="43">
        <v>0.05</v>
      </c>
      <c r="I54" s="43">
        <v>0.05</v>
      </c>
      <c r="J54" s="43">
        <v>0.05</v>
      </c>
      <c r="K54" s="43">
        <v>0.05</v>
      </c>
    </row>
    <row r="55" spans="1:11" x14ac:dyDescent="0.25">
      <c r="A55" s="15" t="s">
        <v>36</v>
      </c>
      <c r="B55" s="3" t="s">
        <v>473</v>
      </c>
      <c r="C55" s="3" t="s">
        <v>483</v>
      </c>
      <c r="D55" s="3" t="s">
        <v>521</v>
      </c>
      <c r="E55" s="16" t="s">
        <v>148</v>
      </c>
      <c r="F55" s="16" t="s">
        <v>98</v>
      </c>
      <c r="G55" s="43">
        <v>1E-3</v>
      </c>
      <c r="I55" s="43">
        <v>1E-3</v>
      </c>
      <c r="J55" s="43">
        <v>1E-3</v>
      </c>
      <c r="K55" s="43">
        <v>1E-3</v>
      </c>
    </row>
    <row r="56" spans="1:11" x14ac:dyDescent="0.25">
      <c r="A56" s="15" t="s">
        <v>379</v>
      </c>
      <c r="B56" s="3" t="s">
        <v>473</v>
      </c>
      <c r="C56" s="3" t="s">
        <v>483</v>
      </c>
      <c r="D56" s="3" t="s">
        <v>521</v>
      </c>
      <c r="E56" s="16" t="s">
        <v>380</v>
      </c>
      <c r="F56" s="16" t="s">
        <v>98</v>
      </c>
      <c r="G56" s="43">
        <v>0</v>
      </c>
      <c r="I56" s="43">
        <v>0</v>
      </c>
      <c r="J56" s="43">
        <v>0</v>
      </c>
      <c r="K56" s="43">
        <v>0</v>
      </c>
    </row>
    <row r="57" spans="1:11" x14ac:dyDescent="0.25">
      <c r="A57" s="15" t="s">
        <v>37</v>
      </c>
      <c r="B57" s="3" t="s">
        <v>473</v>
      </c>
      <c r="C57" s="3" t="s">
        <v>483</v>
      </c>
      <c r="D57" s="3" t="s">
        <v>521</v>
      </c>
      <c r="E57" s="16" t="s">
        <v>149</v>
      </c>
      <c r="F57" s="16" t="s">
        <v>195</v>
      </c>
      <c r="G57" s="43">
        <v>1E-4</v>
      </c>
      <c r="I57" s="43">
        <v>1E-4</v>
      </c>
      <c r="J57" s="43">
        <v>1E-4</v>
      </c>
      <c r="K57" s="43">
        <v>1E-4</v>
      </c>
    </row>
    <row r="58" spans="1:11" x14ac:dyDescent="0.25">
      <c r="A58" s="15" t="s">
        <v>38</v>
      </c>
      <c r="B58" s="3" t="s">
        <v>473</v>
      </c>
      <c r="C58" s="3" t="s">
        <v>483</v>
      </c>
      <c r="D58" s="3" t="s">
        <v>521</v>
      </c>
      <c r="E58" s="16" t="s">
        <v>150</v>
      </c>
      <c r="F58" s="16" t="s">
        <v>195</v>
      </c>
      <c r="G58" s="43">
        <v>1E-4</v>
      </c>
      <c r="I58" s="43">
        <v>1E-4</v>
      </c>
      <c r="J58" s="43">
        <v>1E-4</v>
      </c>
      <c r="K58" s="43">
        <v>1E-4</v>
      </c>
    </row>
    <row r="59" spans="1:11" x14ac:dyDescent="0.25">
      <c r="A59" s="17" t="s">
        <v>39</v>
      </c>
      <c r="B59" s="3" t="s">
        <v>473</v>
      </c>
      <c r="C59" s="3" t="s">
        <v>483</v>
      </c>
      <c r="D59" s="3" t="s">
        <v>521</v>
      </c>
      <c r="E59" s="18" t="s">
        <v>151</v>
      </c>
      <c r="F59" s="18" t="s">
        <v>98</v>
      </c>
      <c r="G59" s="43">
        <v>6.9999999999999999E-4</v>
      </c>
      <c r="I59" s="43">
        <v>6.9999999999999999E-4</v>
      </c>
      <c r="J59" s="43">
        <v>6.9999999999999999E-4</v>
      </c>
      <c r="K59" s="43">
        <v>6.9999999999999999E-4</v>
      </c>
    </row>
    <row r="60" spans="1:11" x14ac:dyDescent="0.25">
      <c r="A60" s="17" t="s">
        <v>40</v>
      </c>
      <c r="B60" s="3" t="s">
        <v>473</v>
      </c>
      <c r="C60" s="3" t="s">
        <v>483</v>
      </c>
      <c r="D60" s="3" t="s">
        <v>521</v>
      </c>
      <c r="E60" s="18" t="s">
        <v>152</v>
      </c>
      <c r="F60" s="18" t="s">
        <v>98</v>
      </c>
      <c r="G60" s="43">
        <v>1.22E-4</v>
      </c>
      <c r="I60" s="43">
        <v>1.22E-4</v>
      </c>
      <c r="J60" s="43">
        <v>1.22E-4</v>
      </c>
      <c r="K60" s="43">
        <v>1.22E-4</v>
      </c>
    </row>
    <row r="61" spans="1:11" x14ac:dyDescent="0.25">
      <c r="A61" s="17" t="s">
        <v>206</v>
      </c>
      <c r="B61" s="3" t="s">
        <v>473</v>
      </c>
      <c r="C61" s="3" t="s">
        <v>483</v>
      </c>
      <c r="D61" s="3" t="s">
        <v>521</v>
      </c>
      <c r="E61" s="18" t="s">
        <v>284</v>
      </c>
      <c r="F61" s="18" t="s">
        <v>98</v>
      </c>
      <c r="G61" s="43">
        <v>1</v>
      </c>
      <c r="I61" s="43">
        <v>1</v>
      </c>
      <c r="J61" s="43">
        <v>1</v>
      </c>
      <c r="K61" s="43">
        <v>1</v>
      </c>
    </row>
    <row r="62" spans="1:11" x14ac:dyDescent="0.25">
      <c r="A62" s="17" t="s">
        <v>41</v>
      </c>
      <c r="B62" s="3" t="s">
        <v>473</v>
      </c>
      <c r="C62" s="3" t="s">
        <v>483</v>
      </c>
      <c r="D62" s="3" t="s">
        <v>521</v>
      </c>
      <c r="E62" s="18" t="s">
        <v>155</v>
      </c>
      <c r="F62" s="18" t="s">
        <v>102</v>
      </c>
      <c r="G62" s="43">
        <v>0.95</v>
      </c>
      <c r="I62" s="43">
        <v>0.95</v>
      </c>
      <c r="J62" s="43">
        <v>0.95</v>
      </c>
      <c r="K62" s="43">
        <v>0.95</v>
      </c>
    </row>
    <row r="63" spans="1:11" x14ac:dyDescent="0.25">
      <c r="A63" s="17" t="s">
        <v>406</v>
      </c>
      <c r="B63" s="3" t="s">
        <v>473</v>
      </c>
      <c r="C63" s="3" t="s">
        <v>483</v>
      </c>
      <c r="D63" s="3" t="s">
        <v>521</v>
      </c>
      <c r="E63" s="18" t="s">
        <v>407</v>
      </c>
      <c r="F63" s="18" t="s">
        <v>94</v>
      </c>
      <c r="G63" s="43" t="s">
        <v>87</v>
      </c>
      <c r="I63" s="43" t="s">
        <v>87</v>
      </c>
      <c r="J63" s="43" t="s">
        <v>87</v>
      </c>
      <c r="K63" s="43" t="s">
        <v>87</v>
      </c>
    </row>
    <row r="64" spans="1:11" x14ac:dyDescent="0.25">
      <c r="A64" s="17" t="s">
        <v>90</v>
      </c>
      <c r="B64" s="3" t="s">
        <v>473</v>
      </c>
      <c r="C64" s="3" t="s">
        <v>483</v>
      </c>
      <c r="D64" s="3" t="s">
        <v>521</v>
      </c>
      <c r="E64" s="18" t="s">
        <v>153</v>
      </c>
      <c r="F64" s="18" t="s">
        <v>103</v>
      </c>
      <c r="G64" s="43">
        <v>5</v>
      </c>
      <c r="I64" s="43">
        <v>5</v>
      </c>
      <c r="J64" s="43">
        <v>5</v>
      </c>
      <c r="K64" s="43">
        <v>5</v>
      </c>
    </row>
    <row r="65" spans="1:11" x14ac:dyDescent="0.25">
      <c r="A65" s="17" t="s">
        <v>408</v>
      </c>
      <c r="B65" s="3" t="s">
        <v>473</v>
      </c>
      <c r="C65" s="3" t="s">
        <v>483</v>
      </c>
      <c r="D65" s="3" t="s">
        <v>521</v>
      </c>
      <c r="E65" s="18" t="s">
        <v>409</v>
      </c>
      <c r="F65" s="18" t="s">
        <v>94</v>
      </c>
      <c r="G65" s="43" t="s">
        <v>87</v>
      </c>
      <c r="I65" s="43" t="s">
        <v>87</v>
      </c>
      <c r="J65" s="43" t="s">
        <v>87</v>
      </c>
      <c r="K65" s="43" t="s">
        <v>87</v>
      </c>
    </row>
    <row r="66" spans="1:11" x14ac:dyDescent="0.25">
      <c r="A66" s="17" t="s">
        <v>42</v>
      </c>
      <c r="B66" s="3" t="s">
        <v>473</v>
      </c>
      <c r="C66" s="3" t="s">
        <v>483</v>
      </c>
      <c r="D66" s="3" t="s">
        <v>521</v>
      </c>
      <c r="E66" s="18" t="s">
        <v>154</v>
      </c>
      <c r="F66" s="18" t="s">
        <v>103</v>
      </c>
      <c r="G66" s="43">
        <v>50</v>
      </c>
      <c r="I66" s="43">
        <v>50</v>
      </c>
      <c r="J66" s="43">
        <v>50</v>
      </c>
      <c r="K66" s="43">
        <v>50</v>
      </c>
    </row>
    <row r="67" spans="1:11" x14ac:dyDescent="0.25">
      <c r="A67" s="17" t="s">
        <v>207</v>
      </c>
      <c r="B67" s="3" t="s">
        <v>473</v>
      </c>
      <c r="C67" s="3" t="s">
        <v>483</v>
      </c>
      <c r="D67" s="3" t="s">
        <v>521</v>
      </c>
      <c r="E67" s="18" t="s">
        <v>288</v>
      </c>
      <c r="F67" s="18" t="s">
        <v>106</v>
      </c>
      <c r="G67" s="43">
        <v>1453890.8941884842</v>
      </c>
      <c r="I67" s="43">
        <v>1453890.8941884842</v>
      </c>
      <c r="J67" s="43">
        <v>1453890.8941884842</v>
      </c>
      <c r="K67" s="43">
        <v>1453890.8941884842</v>
      </c>
    </row>
    <row r="68" spans="1:11" x14ac:dyDescent="0.25">
      <c r="A68" s="17" t="s">
        <v>43</v>
      </c>
      <c r="B68" s="3" t="s">
        <v>473</v>
      </c>
      <c r="C68" s="3" t="s">
        <v>483</v>
      </c>
      <c r="D68" s="3" t="s">
        <v>521</v>
      </c>
      <c r="E68" s="18" t="s">
        <v>381</v>
      </c>
      <c r="F68" s="18" t="s">
        <v>104</v>
      </c>
      <c r="G68" s="43">
        <v>1.3888888888888888E-5</v>
      </c>
      <c r="I68" s="43">
        <v>1.3888888888888888E-5</v>
      </c>
      <c r="J68" s="43">
        <v>1.3888888888888888E-5</v>
      </c>
      <c r="K68" s="43">
        <v>1.3888888888888888E-5</v>
      </c>
    </row>
    <row r="69" spans="1:11" x14ac:dyDescent="0.25">
      <c r="A69" s="17" t="s">
        <v>44</v>
      </c>
      <c r="B69" s="3" t="s">
        <v>473</v>
      </c>
      <c r="C69" s="3" t="s">
        <v>483</v>
      </c>
      <c r="D69" s="3" t="s">
        <v>521</v>
      </c>
      <c r="E69" s="18" t="s">
        <v>156</v>
      </c>
      <c r="F69" s="18" t="s">
        <v>105</v>
      </c>
      <c r="G69" s="43">
        <v>4.5763888888888888E-4</v>
      </c>
      <c r="I69" s="43">
        <v>6.5011574074074071E-4</v>
      </c>
      <c r="J69" s="43">
        <v>6.5011574074074071E-4</v>
      </c>
      <c r="K69" s="43">
        <v>6.5011574074074071E-4</v>
      </c>
    </row>
    <row r="70" spans="1:11" x14ac:dyDescent="0.25">
      <c r="A70" s="17" t="s">
        <v>45</v>
      </c>
      <c r="B70" s="3" t="s">
        <v>473</v>
      </c>
      <c r="C70" s="3" t="s">
        <v>483</v>
      </c>
      <c r="D70" s="3" t="s">
        <v>521</v>
      </c>
      <c r="E70" s="18" t="s">
        <v>157</v>
      </c>
      <c r="F70" s="18" t="s">
        <v>98</v>
      </c>
      <c r="G70" s="43">
        <v>3.63E-3</v>
      </c>
      <c r="I70" s="43">
        <v>4.7400000000000003E-3</v>
      </c>
      <c r="J70" s="43">
        <v>4.7400000000000003E-3</v>
      </c>
      <c r="K70" s="43">
        <v>4.7400000000000003E-3</v>
      </c>
    </row>
    <row r="71" spans="1:11" x14ac:dyDescent="0.25">
      <c r="A71" s="17" t="s">
        <v>46</v>
      </c>
      <c r="B71" s="3" t="s">
        <v>473</v>
      </c>
      <c r="C71" s="3" t="s">
        <v>483</v>
      </c>
      <c r="D71" s="3" t="s">
        <v>521</v>
      </c>
      <c r="E71" s="18" t="s">
        <v>158</v>
      </c>
      <c r="F71" s="18" t="s">
        <v>106</v>
      </c>
      <c r="G71" s="43">
        <v>491356.80000000005</v>
      </c>
      <c r="I71" s="43">
        <v>282528</v>
      </c>
      <c r="J71" s="43">
        <v>282528</v>
      </c>
      <c r="K71" s="43">
        <v>282528</v>
      </c>
    </row>
    <row r="72" spans="1:11" x14ac:dyDescent="0.25">
      <c r="A72" s="17" t="s">
        <v>47</v>
      </c>
      <c r="B72" s="3" t="s">
        <v>473</v>
      </c>
      <c r="C72" s="3" t="s">
        <v>483</v>
      </c>
      <c r="D72" s="3" t="s">
        <v>521</v>
      </c>
      <c r="E72" s="18" t="s">
        <v>159</v>
      </c>
      <c r="F72" s="18" t="s">
        <v>102</v>
      </c>
      <c r="G72" s="43">
        <v>0.57999999999999996</v>
      </c>
      <c r="I72" s="43">
        <v>0.56999999999999995</v>
      </c>
      <c r="J72" s="43">
        <v>0.56999999999999995</v>
      </c>
      <c r="K72" s="43">
        <v>0.56999999999999995</v>
      </c>
    </row>
    <row r="73" spans="1:11" x14ac:dyDescent="0.25">
      <c r="A73" s="17" t="s">
        <v>48</v>
      </c>
      <c r="B73" s="3" t="s">
        <v>473</v>
      </c>
      <c r="C73" s="3" t="s">
        <v>483</v>
      </c>
      <c r="D73" s="3" t="s">
        <v>521</v>
      </c>
      <c r="E73" s="18" t="s">
        <v>160</v>
      </c>
      <c r="F73" s="18" t="s">
        <v>100</v>
      </c>
      <c r="G73" s="43">
        <v>0.25862068965517243</v>
      </c>
      <c r="I73" s="43">
        <v>0.16</v>
      </c>
      <c r="J73" s="43">
        <v>0.16</v>
      </c>
      <c r="K73" s="43">
        <v>0.16</v>
      </c>
    </row>
    <row r="74" spans="1:11" x14ac:dyDescent="0.25">
      <c r="A74" s="17" t="s">
        <v>49</v>
      </c>
      <c r="B74" s="3" t="s">
        <v>473</v>
      </c>
      <c r="C74" s="3" t="s">
        <v>483</v>
      </c>
      <c r="D74" s="3" t="s">
        <v>521</v>
      </c>
      <c r="E74" s="18" t="s">
        <v>161</v>
      </c>
      <c r="F74" s="18" t="s">
        <v>107</v>
      </c>
      <c r="G74" s="43">
        <v>0</v>
      </c>
      <c r="I74" s="43">
        <v>0</v>
      </c>
      <c r="J74" s="43">
        <v>0</v>
      </c>
      <c r="K74" s="43">
        <v>0</v>
      </c>
    </row>
    <row r="75" spans="1:11" x14ac:dyDescent="0.25">
      <c r="A75" s="33" t="s">
        <v>50</v>
      </c>
      <c r="B75" s="3" t="s">
        <v>473</v>
      </c>
      <c r="C75" s="3" t="s">
        <v>483</v>
      </c>
      <c r="D75" s="3" t="s">
        <v>521</v>
      </c>
      <c r="E75" s="34" t="s">
        <v>419</v>
      </c>
      <c r="F75" s="34" t="s">
        <v>418</v>
      </c>
      <c r="G75" s="43">
        <v>745476480000</v>
      </c>
      <c r="I75" s="43">
        <v>745476480000</v>
      </c>
      <c r="J75" s="43">
        <v>745476480000</v>
      </c>
      <c r="K75" s="43">
        <v>745476480000</v>
      </c>
    </row>
    <row r="76" spans="1:11" x14ac:dyDescent="0.25">
      <c r="A76" s="33" t="s">
        <v>204</v>
      </c>
      <c r="B76" s="3" t="s">
        <v>473</v>
      </c>
      <c r="C76" s="3" t="s">
        <v>483</v>
      </c>
      <c r="D76" s="3" t="s">
        <v>521</v>
      </c>
      <c r="E76" s="34" t="s">
        <v>413</v>
      </c>
      <c r="F76" s="34" t="s">
        <v>202</v>
      </c>
      <c r="G76" s="43">
        <v>100</v>
      </c>
      <c r="I76" s="43">
        <v>100</v>
      </c>
      <c r="J76" s="43">
        <v>100</v>
      </c>
      <c r="K76" s="43">
        <v>100</v>
      </c>
    </row>
    <row r="77" spans="1:11" x14ac:dyDescent="0.25">
      <c r="A77" s="33" t="s">
        <v>414</v>
      </c>
      <c r="B77" s="3" t="s">
        <v>473</v>
      </c>
      <c r="C77" s="3" t="s">
        <v>483</v>
      </c>
      <c r="D77" s="3" t="s">
        <v>521</v>
      </c>
      <c r="E77" s="34" t="s">
        <v>420</v>
      </c>
      <c r="F77" s="34" t="s">
        <v>94</v>
      </c>
      <c r="G77" s="43" t="s">
        <v>86</v>
      </c>
      <c r="I77" s="43" t="s">
        <v>86</v>
      </c>
      <c r="J77" s="43" t="s">
        <v>86</v>
      </c>
      <c r="K77" s="43" t="s">
        <v>86</v>
      </c>
    </row>
    <row r="78" spans="1:11" x14ac:dyDescent="0.25">
      <c r="A78" s="33" t="s">
        <v>400</v>
      </c>
      <c r="B78" s="3" t="s">
        <v>473</v>
      </c>
      <c r="C78" s="3" t="s">
        <v>483</v>
      </c>
      <c r="D78" s="3" t="s">
        <v>521</v>
      </c>
      <c r="E78" s="34" t="s">
        <v>403</v>
      </c>
      <c r="F78" s="34" t="s">
        <v>106</v>
      </c>
      <c r="G78" s="43">
        <v>29203.200000000001</v>
      </c>
      <c r="I78" s="43">
        <v>21600</v>
      </c>
      <c r="J78" s="43">
        <v>21600</v>
      </c>
      <c r="K78" s="43">
        <v>21600</v>
      </c>
    </row>
    <row r="79" spans="1:11" x14ac:dyDescent="0.25">
      <c r="A79" s="33" t="s">
        <v>410</v>
      </c>
      <c r="B79" s="3" t="s">
        <v>473</v>
      </c>
      <c r="C79" s="3" t="s">
        <v>483</v>
      </c>
      <c r="D79" s="3" t="s">
        <v>521</v>
      </c>
      <c r="E79" s="34" t="s">
        <v>416</v>
      </c>
      <c r="F79" s="34" t="s">
        <v>100</v>
      </c>
      <c r="G79" s="43">
        <v>0.5</v>
      </c>
      <c r="I79" s="43">
        <v>0.5</v>
      </c>
      <c r="J79" s="43">
        <v>0.5</v>
      </c>
      <c r="K79" s="43">
        <v>0.5</v>
      </c>
    </row>
    <row r="80" spans="1:11" x14ac:dyDescent="0.25">
      <c r="A80" s="33" t="s">
        <v>401</v>
      </c>
      <c r="B80" s="3" t="s">
        <v>473</v>
      </c>
      <c r="C80" s="3" t="s">
        <v>483</v>
      </c>
      <c r="D80" s="3" t="s">
        <v>521</v>
      </c>
      <c r="E80" s="34" t="s">
        <v>415</v>
      </c>
      <c r="F80" s="34" t="s">
        <v>106</v>
      </c>
      <c r="G80" s="43">
        <v>387936</v>
      </c>
      <c r="I80" s="43">
        <v>60479.999999999993</v>
      </c>
      <c r="J80" s="43">
        <v>60479.999999999993</v>
      </c>
      <c r="K80" s="43">
        <v>60479.999999999993</v>
      </c>
    </row>
    <row r="81" spans="1:11" x14ac:dyDescent="0.25">
      <c r="A81" s="33" t="s">
        <v>411</v>
      </c>
      <c r="B81" s="3" t="s">
        <v>473</v>
      </c>
      <c r="C81" s="3" t="s">
        <v>483</v>
      </c>
      <c r="D81" s="3" t="s">
        <v>521</v>
      </c>
      <c r="E81" s="34" t="s">
        <v>417</v>
      </c>
      <c r="F81" s="34" t="s">
        <v>100</v>
      </c>
      <c r="G81" s="43">
        <v>0.85</v>
      </c>
      <c r="I81" s="43">
        <v>0.85</v>
      </c>
      <c r="J81" s="43">
        <v>0.85</v>
      </c>
      <c r="K81" s="43">
        <v>0.85</v>
      </c>
    </row>
    <row r="82" spans="1:11" x14ac:dyDescent="0.25">
      <c r="A82" s="33" t="s">
        <v>402</v>
      </c>
      <c r="B82" s="3" t="s">
        <v>473</v>
      </c>
      <c r="C82" s="3" t="s">
        <v>483</v>
      </c>
      <c r="D82" s="3" t="s">
        <v>521</v>
      </c>
      <c r="E82" s="34" t="s">
        <v>404</v>
      </c>
      <c r="F82" s="34" t="s">
        <v>106</v>
      </c>
      <c r="G82" s="43">
        <v>518400</v>
      </c>
      <c r="I82" s="43">
        <v>518400</v>
      </c>
      <c r="J82" s="43">
        <v>518400</v>
      </c>
      <c r="K82" s="43">
        <v>518400</v>
      </c>
    </row>
    <row r="83" spans="1:11" x14ac:dyDescent="0.25">
      <c r="A83" s="33" t="s">
        <v>412</v>
      </c>
      <c r="B83" s="3" t="s">
        <v>473</v>
      </c>
      <c r="C83" s="3" t="s">
        <v>483</v>
      </c>
      <c r="D83" s="3" t="s">
        <v>521</v>
      </c>
      <c r="E83" s="34" t="s">
        <v>405</v>
      </c>
      <c r="F83" s="34" t="s">
        <v>106</v>
      </c>
      <c r="G83" s="43">
        <v>5184000</v>
      </c>
      <c r="I83" s="43">
        <v>5184000</v>
      </c>
      <c r="J83" s="43">
        <v>5184000</v>
      </c>
      <c r="K83" s="43">
        <v>5184000</v>
      </c>
    </row>
    <row r="84" spans="1:11" x14ac:dyDescent="0.25">
      <c r="A84" s="17" t="s">
        <v>51</v>
      </c>
      <c r="B84" s="3" t="s">
        <v>473</v>
      </c>
      <c r="C84" s="3" t="s">
        <v>483</v>
      </c>
      <c r="D84" s="3" t="s">
        <v>521</v>
      </c>
      <c r="E84" s="18" t="s">
        <v>162</v>
      </c>
      <c r="F84" s="18" t="s">
        <v>108</v>
      </c>
      <c r="G84" s="43">
        <v>259200</v>
      </c>
      <c r="I84" s="43">
        <v>50000</v>
      </c>
      <c r="J84" s="43">
        <v>50000</v>
      </c>
      <c r="K84" s="43">
        <v>50000</v>
      </c>
    </row>
    <row r="85" spans="1:11" x14ac:dyDescent="0.25">
      <c r="A85" s="17" t="s">
        <v>52</v>
      </c>
      <c r="B85" s="3" t="s">
        <v>473</v>
      </c>
      <c r="C85" s="3" t="s">
        <v>483</v>
      </c>
      <c r="D85" s="3" t="s">
        <v>521</v>
      </c>
      <c r="E85" s="18" t="s">
        <v>163</v>
      </c>
      <c r="F85" s="18" t="s">
        <v>196</v>
      </c>
      <c r="G85" s="43">
        <v>140000</v>
      </c>
      <c r="I85" s="43">
        <v>140000</v>
      </c>
      <c r="J85" s="43">
        <v>140000</v>
      </c>
      <c r="K85" s="43">
        <v>140000</v>
      </c>
    </row>
    <row r="86" spans="1:11" x14ac:dyDescent="0.25">
      <c r="A86" s="17" t="s">
        <v>53</v>
      </c>
      <c r="B86" s="3" t="s">
        <v>473</v>
      </c>
      <c r="C86" s="3" t="s">
        <v>483</v>
      </c>
      <c r="D86" s="3" t="s">
        <v>521</v>
      </c>
      <c r="E86" s="18" t="s">
        <v>164</v>
      </c>
      <c r="F86" s="18" t="s">
        <v>197</v>
      </c>
      <c r="G86" s="43">
        <v>3.6636136999999999E-2</v>
      </c>
      <c r="I86" s="43">
        <v>3.6636136999999999E-2</v>
      </c>
      <c r="J86" s="43">
        <v>3.6636136999999999E-2</v>
      </c>
      <c r="K86" s="43">
        <v>3.6636136999999999E-2</v>
      </c>
    </row>
    <row r="87" spans="1:11" x14ac:dyDescent="0.25">
      <c r="A87" s="17" t="s">
        <v>54</v>
      </c>
      <c r="B87" s="3" t="s">
        <v>473</v>
      </c>
      <c r="C87" s="3" t="s">
        <v>483</v>
      </c>
      <c r="D87" s="3" t="s">
        <v>521</v>
      </c>
      <c r="E87" s="18" t="s">
        <v>165</v>
      </c>
      <c r="F87" s="18" t="s">
        <v>98</v>
      </c>
      <c r="G87" s="43">
        <v>4.4999999999999997E-3</v>
      </c>
      <c r="I87" s="43">
        <v>4.4999999999999997E-3</v>
      </c>
      <c r="J87" s="43">
        <v>4.4999999999999997E-3</v>
      </c>
      <c r="K87" s="43">
        <v>4.4999999999999997E-3</v>
      </c>
    </row>
    <row r="88" spans="1:11" x14ac:dyDescent="0.25">
      <c r="A88" s="17" t="s">
        <v>55</v>
      </c>
      <c r="B88" s="3" t="s">
        <v>473</v>
      </c>
      <c r="C88" s="3" t="s">
        <v>483</v>
      </c>
      <c r="D88" s="3" t="s">
        <v>521</v>
      </c>
      <c r="E88" s="18" t="s">
        <v>166</v>
      </c>
      <c r="F88" s="18" t="s">
        <v>100</v>
      </c>
      <c r="G88" s="43">
        <v>0.05</v>
      </c>
      <c r="I88" s="43">
        <v>0.05</v>
      </c>
      <c r="J88" s="43">
        <v>0.05</v>
      </c>
      <c r="K88" s="43">
        <v>0.05</v>
      </c>
    </row>
    <row r="89" spans="1:11" x14ac:dyDescent="0.25">
      <c r="A89" s="19" t="s">
        <v>213</v>
      </c>
      <c r="B89" s="3" t="s">
        <v>473</v>
      </c>
      <c r="C89" s="3" t="s">
        <v>483</v>
      </c>
      <c r="D89" s="3" t="s">
        <v>521</v>
      </c>
      <c r="E89" s="20" t="s">
        <v>290</v>
      </c>
      <c r="F89" s="20" t="s">
        <v>98</v>
      </c>
      <c r="G89" s="43">
        <v>6.0000000000000002E-6</v>
      </c>
      <c r="I89" s="43">
        <v>6.0000000000000002E-6</v>
      </c>
      <c r="J89" s="43">
        <v>6.0000000000000002E-6</v>
      </c>
      <c r="K89" s="43">
        <v>6.0000000000000002E-6</v>
      </c>
    </row>
    <row r="90" spans="1:11" x14ac:dyDescent="0.25">
      <c r="A90" s="19" t="s">
        <v>214</v>
      </c>
      <c r="B90" s="3" t="s">
        <v>473</v>
      </c>
      <c r="C90" s="3" t="s">
        <v>483</v>
      </c>
      <c r="D90" s="3" t="s">
        <v>521</v>
      </c>
      <c r="E90" s="20" t="s">
        <v>291</v>
      </c>
      <c r="F90" s="20" t="s">
        <v>98</v>
      </c>
      <c r="G90" s="43">
        <v>1E-3</v>
      </c>
      <c r="I90" s="43">
        <v>1E-3</v>
      </c>
      <c r="J90" s="43">
        <v>1E-3</v>
      </c>
      <c r="K90" s="43">
        <v>1E-3</v>
      </c>
    </row>
    <row r="91" spans="1:11" x14ac:dyDescent="0.25">
      <c r="A91" s="19" t="s">
        <v>215</v>
      </c>
      <c r="B91" s="3" t="s">
        <v>473</v>
      </c>
      <c r="C91" s="3" t="s">
        <v>483</v>
      </c>
      <c r="D91" s="3" t="s">
        <v>521</v>
      </c>
      <c r="E91" s="20" t="s">
        <v>295</v>
      </c>
      <c r="F91" s="20" t="s">
        <v>294</v>
      </c>
      <c r="G91" s="43">
        <v>374999999.99999994</v>
      </c>
      <c r="I91" s="43">
        <v>374999999.99999994</v>
      </c>
      <c r="J91" s="43">
        <v>374999999.99999994</v>
      </c>
      <c r="K91" s="43">
        <v>374999999.99999994</v>
      </c>
    </row>
    <row r="92" spans="1:11" x14ac:dyDescent="0.25">
      <c r="A92" s="19" t="s">
        <v>216</v>
      </c>
      <c r="B92" s="3" t="s">
        <v>473</v>
      </c>
      <c r="C92" s="3" t="s">
        <v>483</v>
      </c>
      <c r="D92" s="3" t="s">
        <v>521</v>
      </c>
      <c r="E92" s="20" t="s">
        <v>292</v>
      </c>
      <c r="F92" s="20" t="s">
        <v>297</v>
      </c>
      <c r="G92" s="43">
        <v>3.7037037037037038E-3</v>
      </c>
      <c r="I92" s="43">
        <v>3.7037037037037038E-3</v>
      </c>
      <c r="J92" s="43">
        <v>3.7037037037037038E-3</v>
      </c>
      <c r="K92" s="43">
        <v>3.7037037037037038E-3</v>
      </c>
    </row>
    <row r="93" spans="1:11" x14ac:dyDescent="0.25">
      <c r="A93" s="19" t="s">
        <v>217</v>
      </c>
      <c r="B93" s="3" t="s">
        <v>473</v>
      </c>
      <c r="C93" s="3" t="s">
        <v>483</v>
      </c>
      <c r="D93" s="3" t="s">
        <v>521</v>
      </c>
      <c r="E93" s="20" t="s">
        <v>293</v>
      </c>
      <c r="F93" s="20" t="s">
        <v>296</v>
      </c>
      <c r="G93" s="43">
        <v>165600</v>
      </c>
      <c r="I93" s="43">
        <v>165600</v>
      </c>
      <c r="J93" s="43">
        <v>165600</v>
      </c>
      <c r="K93" s="43">
        <v>165600</v>
      </c>
    </row>
    <row r="94" spans="1:11" x14ac:dyDescent="0.25">
      <c r="A94" s="13" t="s">
        <v>60</v>
      </c>
      <c r="B94" s="3" t="s">
        <v>473</v>
      </c>
      <c r="C94" s="3" t="s">
        <v>483</v>
      </c>
      <c r="D94" s="3" t="s">
        <v>521</v>
      </c>
      <c r="E94" s="14" t="s">
        <v>171</v>
      </c>
      <c r="F94" s="14" t="s">
        <v>109</v>
      </c>
      <c r="G94" s="43">
        <v>20</v>
      </c>
      <c r="I94" s="43">
        <v>20</v>
      </c>
      <c r="J94" s="43">
        <v>20</v>
      </c>
      <c r="K94" s="43">
        <v>20</v>
      </c>
    </row>
    <row r="95" spans="1:11" x14ac:dyDescent="0.25">
      <c r="A95" s="13" t="s">
        <v>208</v>
      </c>
      <c r="B95" s="3" t="s">
        <v>473</v>
      </c>
      <c r="C95" s="3" t="s">
        <v>483</v>
      </c>
      <c r="D95" s="3" t="s">
        <v>521</v>
      </c>
      <c r="E95" s="14" t="s">
        <v>289</v>
      </c>
      <c r="F95" s="14" t="s">
        <v>100</v>
      </c>
      <c r="G95" s="43">
        <v>1</v>
      </c>
      <c r="I95" s="43">
        <v>1</v>
      </c>
      <c r="J95" s="43">
        <v>1</v>
      </c>
      <c r="K95" s="43">
        <v>1</v>
      </c>
    </row>
    <row r="96" spans="1:11" x14ac:dyDescent="0.25">
      <c r="A96" s="13" t="s">
        <v>59</v>
      </c>
      <c r="B96" s="3" t="s">
        <v>473</v>
      </c>
      <c r="C96" s="3" t="s">
        <v>483</v>
      </c>
      <c r="D96" s="3" t="s">
        <v>521</v>
      </c>
      <c r="E96" s="14" t="s">
        <v>170</v>
      </c>
      <c r="F96" s="14" t="s">
        <v>102</v>
      </c>
      <c r="G96" s="43">
        <v>21</v>
      </c>
      <c r="I96" s="43">
        <v>21</v>
      </c>
      <c r="J96" s="43">
        <v>21</v>
      </c>
      <c r="K96" s="43">
        <v>21</v>
      </c>
    </row>
    <row r="97" spans="1:11" x14ac:dyDescent="0.25">
      <c r="A97" s="23" t="s">
        <v>65</v>
      </c>
      <c r="B97" s="3" t="s">
        <v>473</v>
      </c>
      <c r="C97" s="3" t="s">
        <v>483</v>
      </c>
      <c r="D97" s="3" t="s">
        <v>521</v>
      </c>
      <c r="E97" s="24" t="s">
        <v>176</v>
      </c>
      <c r="F97" s="24" t="s">
        <v>182</v>
      </c>
      <c r="G97" s="43">
        <v>0.64</v>
      </c>
      <c r="I97" s="43">
        <v>0.64</v>
      </c>
      <c r="J97" s="43">
        <v>0.64</v>
      </c>
      <c r="K97" s="43">
        <v>0.64</v>
      </c>
    </row>
    <row r="98" spans="1:11" x14ac:dyDescent="0.25">
      <c r="A98" s="23" t="s">
        <v>366</v>
      </c>
      <c r="B98" s="3" t="s">
        <v>473</v>
      </c>
      <c r="C98" s="3" t="s">
        <v>483</v>
      </c>
      <c r="D98" s="3" t="s">
        <v>521</v>
      </c>
      <c r="E98" s="24" t="s">
        <v>369</v>
      </c>
      <c r="F98" s="24" t="s">
        <v>182</v>
      </c>
      <c r="G98" s="43">
        <v>8</v>
      </c>
      <c r="I98" s="43">
        <v>8</v>
      </c>
      <c r="J98" s="43">
        <v>8</v>
      </c>
      <c r="K98" s="43">
        <v>8</v>
      </c>
    </row>
    <row r="99" spans="1:11" x14ac:dyDescent="0.25">
      <c r="A99" s="23" t="s">
        <v>367</v>
      </c>
      <c r="B99" s="3" t="s">
        <v>473</v>
      </c>
      <c r="C99" s="3" t="s">
        <v>483</v>
      </c>
      <c r="D99" s="3" t="s">
        <v>521</v>
      </c>
      <c r="E99" s="24" t="s">
        <v>370</v>
      </c>
      <c r="F99" s="24" t="s">
        <v>182</v>
      </c>
      <c r="G99" s="43">
        <v>10</v>
      </c>
      <c r="I99" s="43">
        <v>10</v>
      </c>
      <c r="J99" s="43">
        <v>10</v>
      </c>
      <c r="K99" s="43">
        <v>10</v>
      </c>
    </row>
    <row r="100" spans="1:11" x14ac:dyDescent="0.25">
      <c r="A100" s="23" t="s">
        <v>368</v>
      </c>
      <c r="B100" s="3" t="s">
        <v>473</v>
      </c>
      <c r="C100" s="3" t="s">
        <v>483</v>
      </c>
      <c r="D100" s="3" t="s">
        <v>521</v>
      </c>
      <c r="E100" s="24" t="s">
        <v>371</v>
      </c>
      <c r="F100" s="24" t="s">
        <v>182</v>
      </c>
      <c r="G100" s="43">
        <v>8</v>
      </c>
      <c r="I100" s="43">
        <v>8</v>
      </c>
      <c r="J100" s="43">
        <v>8</v>
      </c>
      <c r="K100" s="43">
        <v>8</v>
      </c>
    </row>
    <row r="101" spans="1:11" x14ac:dyDescent="0.25">
      <c r="A101" s="23" t="s">
        <v>383</v>
      </c>
      <c r="B101" s="3" t="s">
        <v>473</v>
      </c>
      <c r="C101" s="3" t="s">
        <v>483</v>
      </c>
      <c r="D101" s="3" t="s">
        <v>521</v>
      </c>
      <c r="E101" s="24" t="s">
        <v>384</v>
      </c>
      <c r="F101" s="24" t="s">
        <v>102</v>
      </c>
      <c r="G101" s="43">
        <v>1</v>
      </c>
      <c r="I101" s="43">
        <v>1</v>
      </c>
      <c r="J101" s="43">
        <v>1</v>
      </c>
      <c r="K101" s="43">
        <v>1</v>
      </c>
    </row>
    <row r="102" spans="1:11" x14ac:dyDescent="0.25">
      <c r="A102" s="23" t="s">
        <v>385</v>
      </c>
      <c r="B102" s="3" t="s">
        <v>473</v>
      </c>
      <c r="C102" s="3" t="s">
        <v>483</v>
      </c>
      <c r="D102" s="3" t="s">
        <v>521</v>
      </c>
      <c r="E102" s="24" t="s">
        <v>386</v>
      </c>
      <c r="F102" s="24" t="s">
        <v>399</v>
      </c>
      <c r="G102" s="43">
        <v>0.5</v>
      </c>
      <c r="I102" s="43">
        <v>0.5</v>
      </c>
      <c r="J102" s="43">
        <v>0.5</v>
      </c>
      <c r="K102" s="43">
        <v>0.5</v>
      </c>
    </row>
    <row r="103" spans="1:11" x14ac:dyDescent="0.25">
      <c r="A103" s="23" t="s">
        <v>512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3">
        <f t="shared" ref="G103" si="0">G101</f>
        <v>1</v>
      </c>
      <c r="I103" s="43">
        <f t="shared" ref="I103:K103" si="1">10/0.1</f>
        <v>100</v>
      </c>
      <c r="J103" s="43">
        <f t="shared" si="1"/>
        <v>100</v>
      </c>
      <c r="K103" s="43">
        <f t="shared" si="1"/>
        <v>100</v>
      </c>
    </row>
    <row r="104" spans="1:11" x14ac:dyDescent="0.25">
      <c r="A104" s="23" t="s">
        <v>514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3">
        <f>3*G101</f>
        <v>3</v>
      </c>
      <c r="I104" s="43">
        <f t="shared" ref="I104:K104" si="2">150/0.1</f>
        <v>1500</v>
      </c>
      <c r="J104" s="43">
        <f t="shared" si="2"/>
        <v>1500</v>
      </c>
      <c r="K104" s="43">
        <f t="shared" si="2"/>
        <v>1500</v>
      </c>
    </row>
    <row r="105" spans="1:11" x14ac:dyDescent="0.25">
      <c r="A105" s="23" t="s">
        <v>515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3">
        <f t="shared" ref="G105" si="3">G96</f>
        <v>21</v>
      </c>
      <c r="I105" s="43">
        <f t="shared" ref="I105:K105" si="4">20/0.1</f>
        <v>200</v>
      </c>
      <c r="J105" s="43">
        <f t="shared" si="4"/>
        <v>200</v>
      </c>
      <c r="K105" s="43">
        <f t="shared" si="4"/>
        <v>200</v>
      </c>
    </row>
    <row r="106" spans="1:11" x14ac:dyDescent="0.25">
      <c r="A106" s="23" t="s">
        <v>516</v>
      </c>
      <c r="B106" s="3" t="s">
        <v>473</v>
      </c>
      <c r="C106" s="3" t="s">
        <v>483</v>
      </c>
      <c r="D106" s="3" t="s">
        <v>521</v>
      </c>
      <c r="E106" s="24" t="s">
        <v>513</v>
      </c>
      <c r="F106" s="24" t="s">
        <v>486</v>
      </c>
      <c r="G106" s="43">
        <f>10*G96</f>
        <v>210</v>
      </c>
      <c r="I106" s="43">
        <f t="shared" ref="I106:K106" si="5">400/0.1</f>
        <v>4000</v>
      </c>
      <c r="J106" s="43">
        <f t="shared" si="5"/>
        <v>4000</v>
      </c>
      <c r="K106" s="43">
        <f t="shared" si="5"/>
        <v>4000</v>
      </c>
    </row>
    <row r="107" spans="1:11" x14ac:dyDescent="0.25">
      <c r="A107" s="23" t="s">
        <v>387</v>
      </c>
      <c r="B107" s="3" t="s">
        <v>473</v>
      </c>
      <c r="C107" s="3" t="s">
        <v>483</v>
      </c>
      <c r="D107" s="3" t="s">
        <v>521</v>
      </c>
      <c r="E107" s="24" t="s">
        <v>388</v>
      </c>
      <c r="F107" s="24" t="s">
        <v>106</v>
      </c>
      <c r="G107" s="43">
        <v>0</v>
      </c>
      <c r="I107" s="43">
        <f t="shared" ref="I107:K107" si="6">10/0.1</f>
        <v>100</v>
      </c>
      <c r="J107" s="43">
        <f t="shared" si="6"/>
        <v>100</v>
      </c>
      <c r="K107" s="43">
        <f t="shared" si="6"/>
        <v>100</v>
      </c>
    </row>
    <row r="108" spans="1:11" x14ac:dyDescent="0.25">
      <c r="A108" s="23" t="s">
        <v>389</v>
      </c>
      <c r="B108" s="3" t="s">
        <v>473</v>
      </c>
      <c r="C108" s="3" t="s">
        <v>483</v>
      </c>
      <c r="D108" s="3" t="s">
        <v>521</v>
      </c>
      <c r="E108" s="24" t="s">
        <v>390</v>
      </c>
      <c r="F108" s="24" t="s">
        <v>106</v>
      </c>
      <c r="G108" s="43">
        <v>1589759.9999999998</v>
      </c>
      <c r="I108" s="43">
        <f t="shared" ref="I108:K108" si="7">150/0.1</f>
        <v>1500</v>
      </c>
      <c r="J108" s="43">
        <f t="shared" si="7"/>
        <v>1500</v>
      </c>
      <c r="K108" s="43">
        <f t="shared" si="7"/>
        <v>1500</v>
      </c>
    </row>
    <row r="109" spans="1:11" x14ac:dyDescent="0.25">
      <c r="A109" s="23" t="s">
        <v>391</v>
      </c>
      <c r="B109" s="3" t="s">
        <v>473</v>
      </c>
      <c r="C109" s="3" t="s">
        <v>483</v>
      </c>
      <c r="D109" s="3" t="s">
        <v>521</v>
      </c>
      <c r="E109" s="24" t="s">
        <v>392</v>
      </c>
      <c r="F109" s="24" t="s">
        <v>106</v>
      </c>
      <c r="G109" s="43">
        <v>6171428.5714285718</v>
      </c>
      <c r="I109" s="43">
        <f t="shared" ref="I109:K109" si="8">20/0.1</f>
        <v>200</v>
      </c>
      <c r="J109" s="43">
        <f t="shared" si="8"/>
        <v>200</v>
      </c>
      <c r="K109" s="43">
        <f t="shared" si="8"/>
        <v>200</v>
      </c>
    </row>
    <row r="110" spans="1:11" x14ac:dyDescent="0.25">
      <c r="A110" s="23" t="s">
        <v>393</v>
      </c>
      <c r="B110" s="3" t="s">
        <v>473</v>
      </c>
      <c r="C110" s="3" t="s">
        <v>483</v>
      </c>
      <c r="D110" s="3" t="s">
        <v>521</v>
      </c>
      <c r="E110" s="24" t="s">
        <v>394</v>
      </c>
      <c r="F110" s="24" t="s">
        <v>106</v>
      </c>
      <c r="G110" s="43">
        <v>6171428.5714285718</v>
      </c>
      <c r="I110" s="43">
        <f t="shared" ref="I110:K110" si="9">400/0.1</f>
        <v>4000</v>
      </c>
      <c r="J110" s="43">
        <f t="shared" si="9"/>
        <v>4000</v>
      </c>
      <c r="K110" s="43">
        <f t="shared" si="9"/>
        <v>4000</v>
      </c>
    </row>
    <row r="111" spans="1:11" x14ac:dyDescent="0.25">
      <c r="A111" s="23" t="s">
        <v>421</v>
      </c>
      <c r="B111" s="3" t="s">
        <v>473</v>
      </c>
      <c r="C111" s="3" t="s">
        <v>483</v>
      </c>
      <c r="D111" s="3" t="s">
        <v>521</v>
      </c>
      <c r="E111" s="24" t="s">
        <v>422</v>
      </c>
      <c r="F111" s="24" t="s">
        <v>433</v>
      </c>
      <c r="G111" s="43">
        <v>100</v>
      </c>
      <c r="I111" s="43">
        <v>100</v>
      </c>
      <c r="J111" s="43">
        <v>100</v>
      </c>
      <c r="K111" s="43">
        <v>100</v>
      </c>
    </row>
    <row r="112" spans="1:11" ht="14.65" customHeight="1" x14ac:dyDescent="0.25">
      <c r="A112" s="23" t="s">
        <v>423</v>
      </c>
      <c r="B112" s="3" t="s">
        <v>473</v>
      </c>
      <c r="C112" s="3" t="s">
        <v>483</v>
      </c>
      <c r="D112" s="3" t="s">
        <v>521</v>
      </c>
      <c r="E112" s="24" t="s">
        <v>424</v>
      </c>
      <c r="F112" s="24" t="s">
        <v>434</v>
      </c>
      <c r="G112" s="43">
        <v>280800</v>
      </c>
      <c r="I112" s="43">
        <v>280800</v>
      </c>
      <c r="J112" s="43">
        <v>280800</v>
      </c>
      <c r="K112" s="43">
        <v>280800</v>
      </c>
    </row>
    <row r="113" spans="1:11" x14ac:dyDescent="0.25">
      <c r="A113" s="23" t="s">
        <v>425</v>
      </c>
      <c r="B113" s="3" t="s">
        <v>473</v>
      </c>
      <c r="C113" s="3" t="s">
        <v>483</v>
      </c>
      <c r="D113" s="3" t="s">
        <v>521</v>
      </c>
      <c r="E113" s="24" t="s">
        <v>426</v>
      </c>
      <c r="F113" s="24" t="s">
        <v>435</v>
      </c>
      <c r="G113" s="43">
        <v>1.2847222222222224E-5</v>
      </c>
      <c r="I113" s="43">
        <f t="shared" ref="I113:K113" si="10">1.11 / 10</f>
        <v>0.11100000000000002</v>
      </c>
      <c r="J113" s="43">
        <f t="shared" si="10"/>
        <v>0.11100000000000002</v>
      </c>
      <c r="K113" s="43">
        <f t="shared" si="10"/>
        <v>0.11100000000000002</v>
      </c>
    </row>
    <row r="114" spans="1:11" x14ac:dyDescent="0.25">
      <c r="A114" s="23" t="s">
        <v>427</v>
      </c>
      <c r="B114" s="3" t="s">
        <v>473</v>
      </c>
      <c r="C114" s="3" t="s">
        <v>483</v>
      </c>
      <c r="D114" s="3" t="s">
        <v>521</v>
      </c>
      <c r="E114" s="24" t="s">
        <v>428</v>
      </c>
      <c r="F114" s="24" t="s">
        <v>433</v>
      </c>
      <c r="G114" s="43">
        <v>100</v>
      </c>
      <c r="I114" s="43">
        <v>100</v>
      </c>
      <c r="J114" s="43">
        <v>100</v>
      </c>
      <c r="K114" s="43">
        <v>100</v>
      </c>
    </row>
    <row r="115" spans="1:11" ht="14.65" customHeight="1" x14ac:dyDescent="0.25">
      <c r="A115" s="23" t="s">
        <v>429</v>
      </c>
      <c r="B115" s="3" t="s">
        <v>473</v>
      </c>
      <c r="C115" s="3" t="s">
        <v>483</v>
      </c>
      <c r="D115" s="3" t="s">
        <v>521</v>
      </c>
      <c r="E115" s="24" t="s">
        <v>430</v>
      </c>
      <c r="F115" s="24" t="s">
        <v>434</v>
      </c>
      <c r="G115" s="43">
        <v>459648</v>
      </c>
      <c r="I115" s="43">
        <v>459648</v>
      </c>
      <c r="J115" s="43">
        <v>459648</v>
      </c>
      <c r="K115" s="43">
        <v>459648</v>
      </c>
    </row>
    <row r="116" spans="1:11" x14ac:dyDescent="0.25">
      <c r="A116" s="23" t="s">
        <v>431</v>
      </c>
      <c r="B116" s="3" t="s">
        <v>473</v>
      </c>
      <c r="C116" s="3" t="s">
        <v>483</v>
      </c>
      <c r="D116" s="3" t="s">
        <v>521</v>
      </c>
      <c r="E116" s="24" t="s">
        <v>432</v>
      </c>
      <c r="F116" s="24" t="s">
        <v>435</v>
      </c>
      <c r="G116" s="43">
        <v>1.2847222222222224E-5</v>
      </c>
      <c r="I116" s="43">
        <f t="shared" ref="I116:K116" si="11">1.11/8</f>
        <v>0.13875000000000001</v>
      </c>
      <c r="J116" s="43">
        <f t="shared" si="11"/>
        <v>0.13875000000000001</v>
      </c>
      <c r="K116" s="43">
        <f t="shared" si="11"/>
        <v>0.13875000000000001</v>
      </c>
    </row>
    <row r="117" spans="1:11" x14ac:dyDescent="0.25">
      <c r="A117" s="23" t="s">
        <v>395</v>
      </c>
      <c r="B117" s="3" t="s">
        <v>473</v>
      </c>
      <c r="C117" s="3" t="s">
        <v>483</v>
      </c>
      <c r="D117" s="3" t="s">
        <v>521</v>
      </c>
      <c r="E117" s="24" t="s">
        <v>396</v>
      </c>
      <c r="F117" s="24" t="s">
        <v>106</v>
      </c>
      <c r="G117" s="43">
        <v>21600</v>
      </c>
      <c r="I117" s="43">
        <v>21600</v>
      </c>
      <c r="J117" s="43">
        <v>21600</v>
      </c>
      <c r="K117" s="43">
        <v>21600</v>
      </c>
    </row>
    <row r="118" spans="1:11" x14ac:dyDescent="0.25">
      <c r="A118" s="23" t="s">
        <v>397</v>
      </c>
      <c r="B118" s="3" t="s">
        <v>473</v>
      </c>
      <c r="C118" s="3" t="s">
        <v>483</v>
      </c>
      <c r="D118" s="3" t="s">
        <v>521</v>
      </c>
      <c r="E118" s="24" t="s">
        <v>398</v>
      </c>
      <c r="F118" s="24" t="s">
        <v>106</v>
      </c>
      <c r="G118" s="43">
        <v>172800</v>
      </c>
      <c r="I118" s="43">
        <v>43200</v>
      </c>
      <c r="J118" s="43">
        <v>43200</v>
      </c>
      <c r="K118" s="43">
        <v>43200</v>
      </c>
    </row>
    <row r="119" spans="1:11" x14ac:dyDescent="0.25">
      <c r="A119" s="13" t="s">
        <v>61</v>
      </c>
      <c r="B119" s="3" t="s">
        <v>473</v>
      </c>
      <c r="C119" s="3" t="s">
        <v>483</v>
      </c>
      <c r="D119" s="3" t="s">
        <v>521</v>
      </c>
      <c r="E119" s="14" t="s">
        <v>172</v>
      </c>
      <c r="F119" s="14" t="s">
        <v>111</v>
      </c>
      <c r="G119" s="43">
        <v>0.8</v>
      </c>
      <c r="I119" s="43">
        <v>0.8</v>
      </c>
      <c r="J119" s="43">
        <v>0.8</v>
      </c>
      <c r="K119" s="43">
        <v>0.8</v>
      </c>
    </row>
    <row r="120" spans="1:11" x14ac:dyDescent="0.25">
      <c r="A120" s="13" t="s">
        <v>62</v>
      </c>
      <c r="B120" s="3" t="s">
        <v>473</v>
      </c>
      <c r="C120" s="3" t="s">
        <v>483</v>
      </c>
      <c r="D120" s="3" t="s">
        <v>521</v>
      </c>
      <c r="E120" s="14" t="s">
        <v>173</v>
      </c>
      <c r="F120" s="14" t="s">
        <v>198</v>
      </c>
      <c r="G120" s="43">
        <v>2.0833333333333335E-4</v>
      </c>
      <c r="I120" s="43">
        <f>0.000208333333333333 / 2</f>
        <v>1.041666666666665E-4</v>
      </c>
      <c r="J120" s="43">
        <f>0.000208333333333333 / 2</f>
        <v>1.041666666666665E-4</v>
      </c>
      <c r="K120" s="43">
        <f>0.000208333333333333 / 2</f>
        <v>1.041666666666665E-4</v>
      </c>
    </row>
    <row r="121" spans="1:11" x14ac:dyDescent="0.25">
      <c r="A121" s="13" t="s">
        <v>63</v>
      </c>
      <c r="B121" s="3" t="s">
        <v>473</v>
      </c>
      <c r="C121" s="3" t="s">
        <v>483</v>
      </c>
      <c r="D121" s="3" t="s">
        <v>521</v>
      </c>
      <c r="E121" s="14" t="s">
        <v>174</v>
      </c>
      <c r="F121" s="14" t="s">
        <v>110</v>
      </c>
      <c r="G121" s="43">
        <v>5.7899999999999998E-7</v>
      </c>
      <c r="I121" s="43">
        <v>5.7899999999999998E-7</v>
      </c>
      <c r="J121" s="43">
        <v>5.7899999999999998E-7</v>
      </c>
      <c r="K121" s="43">
        <v>5.7899999999999998E-7</v>
      </c>
    </row>
    <row r="122" spans="1:11" x14ac:dyDescent="0.25">
      <c r="A122" s="13" t="s">
        <v>64</v>
      </c>
      <c r="B122" s="3" t="s">
        <v>473</v>
      </c>
      <c r="C122" s="3" t="s">
        <v>483</v>
      </c>
      <c r="D122" s="3" t="s">
        <v>521</v>
      </c>
      <c r="E122" s="14" t="s">
        <v>175</v>
      </c>
      <c r="F122" s="14" t="s">
        <v>198</v>
      </c>
      <c r="G122" s="43">
        <v>2.0833333333333335E-4</v>
      </c>
      <c r="I122" s="43">
        <v>2.0833333333333335E-4</v>
      </c>
      <c r="J122" s="43">
        <v>2.0833333333333335E-4</v>
      </c>
      <c r="K122" s="43">
        <v>2.0833333333333335E-4</v>
      </c>
    </row>
    <row r="123" spans="1:11" x14ac:dyDescent="0.25">
      <c r="A123" s="13" t="s">
        <v>452</v>
      </c>
      <c r="B123" s="3" t="s">
        <v>473</v>
      </c>
      <c r="C123" s="3" t="s">
        <v>483</v>
      </c>
      <c r="D123" s="3" t="s">
        <v>521</v>
      </c>
      <c r="E123" s="14" t="s">
        <v>453</v>
      </c>
      <c r="F123" s="14" t="s">
        <v>198</v>
      </c>
      <c r="G123" s="43">
        <v>1.0000000000000001E-5</v>
      </c>
      <c r="I123" s="43">
        <v>0</v>
      </c>
      <c r="J123" s="43">
        <v>0</v>
      </c>
      <c r="K123" s="43">
        <v>0</v>
      </c>
    </row>
    <row r="124" spans="1:11" x14ac:dyDescent="0.25">
      <c r="A124" s="13" t="s">
        <v>454</v>
      </c>
      <c r="B124" s="3" t="s">
        <v>473</v>
      </c>
      <c r="C124" s="3" t="s">
        <v>483</v>
      </c>
      <c r="D124" s="3" t="s">
        <v>521</v>
      </c>
      <c r="E124" s="14" t="s">
        <v>455</v>
      </c>
      <c r="F124" s="14" t="s">
        <v>198</v>
      </c>
      <c r="G124" s="43">
        <v>1.0000000000000001E-5</v>
      </c>
      <c r="I124" s="43">
        <v>0</v>
      </c>
      <c r="J124" s="43">
        <v>0</v>
      </c>
      <c r="K124" s="43">
        <v>0</v>
      </c>
    </row>
    <row r="125" spans="1:11" x14ac:dyDescent="0.25">
      <c r="A125" s="37" t="s">
        <v>444</v>
      </c>
      <c r="B125" s="3" t="s">
        <v>473</v>
      </c>
      <c r="C125" s="3" t="s">
        <v>483</v>
      </c>
      <c r="D125" s="3" t="s">
        <v>521</v>
      </c>
      <c r="E125" s="38" t="s">
        <v>178</v>
      </c>
      <c r="F125" s="38" t="s">
        <v>179</v>
      </c>
      <c r="G125" s="43">
        <v>1.9999999999999999E-7</v>
      </c>
      <c r="I125" s="43">
        <v>0</v>
      </c>
      <c r="J125" s="43">
        <v>0</v>
      </c>
      <c r="K125" s="43">
        <v>0</v>
      </c>
    </row>
    <row r="126" spans="1:11" x14ac:dyDescent="0.25">
      <c r="A126" s="37" t="s">
        <v>67</v>
      </c>
      <c r="B126" s="3" t="s">
        <v>473</v>
      </c>
      <c r="C126" s="3" t="s">
        <v>483</v>
      </c>
      <c r="D126" s="3" t="s">
        <v>521</v>
      </c>
      <c r="E126" s="38" t="s">
        <v>445</v>
      </c>
      <c r="F126" s="38" t="s">
        <v>446</v>
      </c>
      <c r="G126" s="43">
        <f>1000 * 0.000001 / 12</f>
        <v>8.3333333333333331E-5</v>
      </c>
      <c r="I126" s="43">
        <f t="shared" ref="I126:K126" si="12">1000 * 0.000001 / 12</f>
        <v>8.3333333333333331E-5</v>
      </c>
      <c r="J126" s="43">
        <f t="shared" si="12"/>
        <v>8.3333333333333331E-5</v>
      </c>
      <c r="K126" s="43">
        <f t="shared" si="12"/>
        <v>8.3333333333333331E-5</v>
      </c>
    </row>
    <row r="127" spans="1:11" x14ac:dyDescent="0.25">
      <c r="A127" s="37" t="s">
        <v>448</v>
      </c>
      <c r="B127" s="3" t="s">
        <v>473</v>
      </c>
      <c r="C127" s="3" t="s">
        <v>483</v>
      </c>
      <c r="D127" s="3" t="s">
        <v>521</v>
      </c>
      <c r="E127" s="38" t="s">
        <v>449</v>
      </c>
      <c r="F127" s="38" t="s">
        <v>94</v>
      </c>
      <c r="G127" s="43" t="s">
        <v>87</v>
      </c>
      <c r="I127" s="43" t="s">
        <v>86</v>
      </c>
      <c r="J127" s="43" t="s">
        <v>86</v>
      </c>
      <c r="K127" s="43" t="s">
        <v>86</v>
      </c>
    </row>
    <row r="128" spans="1:11" x14ac:dyDescent="0.25">
      <c r="A128" s="21" t="s">
        <v>66</v>
      </c>
      <c r="B128" s="3" t="s">
        <v>473</v>
      </c>
      <c r="C128" s="3" t="s">
        <v>483</v>
      </c>
      <c r="D128" s="3" t="s">
        <v>521</v>
      </c>
      <c r="E128" s="22" t="s">
        <v>177</v>
      </c>
      <c r="F128" s="22" t="s">
        <v>199</v>
      </c>
      <c r="G128" s="43">
        <v>5.0000000000000001E-4</v>
      </c>
      <c r="I128" s="43">
        <v>5.0000000000000001E-4</v>
      </c>
      <c r="J128" s="43">
        <v>5.0000000000000001E-4</v>
      </c>
      <c r="K128" s="43">
        <v>5.0000000000000001E-4</v>
      </c>
    </row>
    <row r="129" spans="1:11" x14ac:dyDescent="0.25">
      <c r="A129" s="21" t="s">
        <v>441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3">
        <v>1.0000000000000001E-9</v>
      </c>
      <c r="I129" s="43">
        <f>0.0000000000005/100/2 * 2</f>
        <v>5E-15</v>
      </c>
      <c r="J129" s="43">
        <f>0.0000000000005/100/2 * 2</f>
        <v>5E-15</v>
      </c>
      <c r="K129" s="43">
        <f>0.0000000000005/100/2 * 2</f>
        <v>5E-15</v>
      </c>
    </row>
    <row r="130" spans="1:11" x14ac:dyDescent="0.25">
      <c r="A130" s="21" t="s">
        <v>567</v>
      </c>
      <c r="B130" s="3" t="s">
        <v>473</v>
      </c>
      <c r="C130" s="3" t="s">
        <v>483</v>
      </c>
      <c r="D130" s="3" t="s">
        <v>521</v>
      </c>
      <c r="E130" s="22" t="s">
        <v>442</v>
      </c>
      <c r="F130" s="22" t="s">
        <v>443</v>
      </c>
      <c r="G130" s="43">
        <v>1.0000000000000001E-9</v>
      </c>
      <c r="I130" s="43">
        <f>0.000005/3600/100</f>
        <v>1.388888888888889E-11</v>
      </c>
      <c r="J130" s="43">
        <f>0.000005/3600/100</f>
        <v>1.388888888888889E-11</v>
      </c>
      <c r="K130" s="43">
        <f>0.000005/3600/100</f>
        <v>1.388888888888889E-11</v>
      </c>
    </row>
    <row r="131" spans="1:11" x14ac:dyDescent="0.25">
      <c r="A131" s="21" t="s">
        <v>228</v>
      </c>
      <c r="B131" s="3" t="s">
        <v>473</v>
      </c>
      <c r="C131" s="3" t="s">
        <v>483</v>
      </c>
      <c r="D131" s="3" t="s">
        <v>521</v>
      </c>
      <c r="E131" s="22" t="s">
        <v>311</v>
      </c>
      <c r="F131" s="22" t="s">
        <v>109</v>
      </c>
      <c r="G131" s="43">
        <v>10</v>
      </c>
      <c r="I131" s="43">
        <v>10</v>
      </c>
      <c r="J131" s="43">
        <v>10</v>
      </c>
      <c r="K131" s="43">
        <v>10</v>
      </c>
    </row>
    <row r="132" spans="1:11" x14ac:dyDescent="0.25">
      <c r="A132" s="21" t="s">
        <v>229</v>
      </c>
      <c r="B132" s="3" t="s">
        <v>473</v>
      </c>
      <c r="C132" s="3" t="s">
        <v>483</v>
      </c>
      <c r="D132" s="3" t="s">
        <v>521</v>
      </c>
      <c r="E132" s="22" t="s">
        <v>312</v>
      </c>
      <c r="F132" s="22" t="s">
        <v>301</v>
      </c>
      <c r="G132" s="43">
        <v>-0.04</v>
      </c>
      <c r="I132" s="43">
        <v>-0.04</v>
      </c>
      <c r="J132" s="43">
        <v>-0.04</v>
      </c>
      <c r="K132" s="43">
        <v>-0.04</v>
      </c>
    </row>
    <row r="133" spans="1:11" x14ac:dyDescent="0.25">
      <c r="A133" s="21" t="s">
        <v>230</v>
      </c>
      <c r="B133" s="3" t="s">
        <v>473</v>
      </c>
      <c r="C133" s="3" t="s">
        <v>483</v>
      </c>
      <c r="D133" s="3" t="s">
        <v>521</v>
      </c>
      <c r="E133" s="22" t="s">
        <v>313</v>
      </c>
      <c r="F133" s="22" t="s">
        <v>100</v>
      </c>
      <c r="G133" s="43">
        <v>2.9</v>
      </c>
      <c r="I133" s="43">
        <v>2.9</v>
      </c>
      <c r="J133" s="43">
        <v>2.9</v>
      </c>
      <c r="K133" s="43">
        <v>2.9</v>
      </c>
    </row>
    <row r="134" spans="1:11" x14ac:dyDescent="0.25">
      <c r="A134" s="21" t="s">
        <v>231</v>
      </c>
      <c r="B134" s="3" t="s">
        <v>473</v>
      </c>
      <c r="C134" s="3" t="s">
        <v>483</v>
      </c>
      <c r="D134" s="3" t="s">
        <v>521</v>
      </c>
      <c r="E134" s="22" t="s">
        <v>314</v>
      </c>
      <c r="F134" s="22" t="s">
        <v>95</v>
      </c>
      <c r="G134" s="43">
        <v>1</v>
      </c>
      <c r="I134" s="43">
        <v>1</v>
      </c>
      <c r="J134" s="43">
        <v>1</v>
      </c>
      <c r="K134" s="43">
        <v>1</v>
      </c>
    </row>
    <row r="135" spans="1:11" x14ac:dyDescent="0.25">
      <c r="A135" s="21" t="s">
        <v>68</v>
      </c>
      <c r="B135" s="3" t="s">
        <v>473</v>
      </c>
      <c r="C135" s="3" t="s">
        <v>483</v>
      </c>
      <c r="D135" s="3" t="s">
        <v>521</v>
      </c>
      <c r="E135" s="22" t="s">
        <v>178</v>
      </c>
      <c r="F135" s="22" t="s">
        <v>179</v>
      </c>
      <c r="G135" s="43">
        <v>6.0000000000000002E-5</v>
      </c>
      <c r="I135" s="43">
        <v>1.9999999999999999E-7</v>
      </c>
      <c r="J135" s="43">
        <v>1.9999999999999999E-7</v>
      </c>
      <c r="K135" s="43">
        <v>1.9999999999999999E-7</v>
      </c>
    </row>
    <row r="136" spans="1:11" x14ac:dyDescent="0.25">
      <c r="A136" s="21" t="s">
        <v>522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3">
        <v>1.9999999999999999E-7</v>
      </c>
      <c r="I136" s="56">
        <f>0.0000002*100</f>
        <v>1.9999999999999998E-5</v>
      </c>
      <c r="J136" s="56">
        <f>0.0000002*100</f>
        <v>1.9999999999999998E-5</v>
      </c>
      <c r="K136" s="56">
        <f>0.0000002*100</f>
        <v>1.9999999999999998E-5</v>
      </c>
    </row>
    <row r="137" spans="1:11" x14ac:dyDescent="0.25">
      <c r="A137" s="21" t="s">
        <v>232</v>
      </c>
      <c r="B137" s="3" t="s">
        <v>473</v>
      </c>
      <c r="C137" s="3" t="s">
        <v>483</v>
      </c>
      <c r="D137" s="3" t="s">
        <v>521</v>
      </c>
      <c r="E137" s="22" t="s">
        <v>315</v>
      </c>
      <c r="F137" s="22" t="s">
        <v>109</v>
      </c>
      <c r="G137" s="43">
        <v>10</v>
      </c>
      <c r="I137" s="43">
        <v>10</v>
      </c>
      <c r="J137" s="43">
        <v>10</v>
      </c>
      <c r="K137" s="43">
        <v>10</v>
      </c>
    </row>
    <row r="138" spans="1:11" x14ac:dyDescent="0.25">
      <c r="A138" s="21" t="s">
        <v>233</v>
      </c>
      <c r="B138" s="3" t="s">
        <v>473</v>
      </c>
      <c r="C138" s="3" t="s">
        <v>483</v>
      </c>
      <c r="D138" s="3" t="s">
        <v>521</v>
      </c>
      <c r="E138" s="22" t="s">
        <v>316</v>
      </c>
      <c r="F138" s="22" t="s">
        <v>301</v>
      </c>
      <c r="G138" s="43">
        <v>-0.04</v>
      </c>
      <c r="I138" s="43">
        <v>-0.04</v>
      </c>
      <c r="J138" s="43">
        <v>-0.04</v>
      </c>
      <c r="K138" s="43">
        <v>-0.04</v>
      </c>
    </row>
    <row r="139" spans="1:11" x14ac:dyDescent="0.25">
      <c r="A139" s="21" t="s">
        <v>234</v>
      </c>
      <c r="B139" s="3" t="s">
        <v>473</v>
      </c>
      <c r="C139" s="3" t="s">
        <v>483</v>
      </c>
      <c r="D139" s="3" t="s">
        <v>521</v>
      </c>
      <c r="E139" s="22" t="s">
        <v>317</v>
      </c>
      <c r="F139" s="22" t="s">
        <v>100</v>
      </c>
      <c r="G139" s="43">
        <v>2.9</v>
      </c>
      <c r="I139" s="43">
        <v>2.9</v>
      </c>
      <c r="J139" s="43">
        <v>2.9</v>
      </c>
      <c r="K139" s="43">
        <v>2.9</v>
      </c>
    </row>
    <row r="140" spans="1:11" x14ac:dyDescent="0.25">
      <c r="A140" s="21" t="s">
        <v>235</v>
      </c>
      <c r="B140" s="3" t="s">
        <v>473</v>
      </c>
      <c r="C140" s="3" t="s">
        <v>483</v>
      </c>
      <c r="D140" s="3" t="s">
        <v>521</v>
      </c>
      <c r="E140" s="22" t="s">
        <v>318</v>
      </c>
      <c r="F140" s="22" t="s">
        <v>95</v>
      </c>
      <c r="G140" s="43">
        <v>1</v>
      </c>
      <c r="I140" s="43">
        <v>1</v>
      </c>
      <c r="J140" s="43">
        <v>1</v>
      </c>
      <c r="K140" s="43">
        <v>1</v>
      </c>
    </row>
    <row r="141" spans="1:11" x14ac:dyDescent="0.25">
      <c r="A141" s="21" t="s">
        <v>69</v>
      </c>
      <c r="B141" s="3" t="s">
        <v>473</v>
      </c>
      <c r="C141" s="3" t="s">
        <v>483</v>
      </c>
      <c r="D141" s="3" t="s">
        <v>521</v>
      </c>
      <c r="E141" s="22" t="s">
        <v>180</v>
      </c>
      <c r="F141" s="22" t="s">
        <v>100</v>
      </c>
      <c r="G141" s="43">
        <v>0</v>
      </c>
      <c r="I141" s="43">
        <v>0</v>
      </c>
      <c r="J141" s="43">
        <v>0</v>
      </c>
      <c r="K141" s="43">
        <v>0</v>
      </c>
    </row>
    <row r="142" spans="1:11" x14ac:dyDescent="0.25">
      <c r="A142" s="39" t="s">
        <v>70</v>
      </c>
      <c r="B142" s="3" t="s">
        <v>473</v>
      </c>
      <c r="C142" s="3" t="s">
        <v>483</v>
      </c>
      <c r="D142" s="3" t="s">
        <v>521</v>
      </c>
      <c r="E142" s="40" t="s">
        <v>181</v>
      </c>
      <c r="F142" s="40" t="s">
        <v>198</v>
      </c>
      <c r="G142" s="43">
        <v>1.6666666666666666E-4</v>
      </c>
      <c r="I142" s="43">
        <f>0.01*3</f>
        <v>0.03</v>
      </c>
      <c r="J142" s="43">
        <f>0.01*3</f>
        <v>0.03</v>
      </c>
      <c r="K142" s="43">
        <f>0.01*3</f>
        <v>0.03</v>
      </c>
    </row>
    <row r="143" spans="1:11" x14ac:dyDescent="0.25">
      <c r="A143" s="23" t="s">
        <v>56</v>
      </c>
      <c r="B143" s="3" t="s">
        <v>473</v>
      </c>
      <c r="C143" s="3" t="s">
        <v>483</v>
      </c>
      <c r="D143" s="3" t="s">
        <v>521</v>
      </c>
      <c r="E143" s="24" t="s">
        <v>167</v>
      </c>
      <c r="F143" s="24" t="s">
        <v>198</v>
      </c>
      <c r="G143" s="43">
        <v>0</v>
      </c>
      <c r="I143" s="43">
        <v>0</v>
      </c>
      <c r="J143" s="43">
        <v>0</v>
      </c>
      <c r="K143" s="43">
        <v>0</v>
      </c>
    </row>
    <row r="144" spans="1:11" x14ac:dyDescent="0.25">
      <c r="A144" s="23" t="s">
        <v>57</v>
      </c>
      <c r="B144" s="3" t="s">
        <v>473</v>
      </c>
      <c r="C144" s="3" t="s">
        <v>483</v>
      </c>
      <c r="D144" s="3" t="s">
        <v>521</v>
      </c>
      <c r="E144" s="24" t="s">
        <v>168</v>
      </c>
      <c r="F144" s="24" t="s">
        <v>198</v>
      </c>
      <c r="G144" s="43">
        <v>2E-3</v>
      </c>
      <c r="I144" s="43">
        <v>2E-3</v>
      </c>
      <c r="J144" s="43">
        <v>2E-3</v>
      </c>
      <c r="K144" s="43">
        <v>2E-3</v>
      </c>
    </row>
    <row r="145" spans="1:11" x14ac:dyDescent="0.25">
      <c r="A145" s="23" t="s">
        <v>58</v>
      </c>
      <c r="B145" s="3" t="s">
        <v>473</v>
      </c>
      <c r="C145" s="3" t="s">
        <v>483</v>
      </c>
      <c r="D145" s="3" t="s">
        <v>521</v>
      </c>
      <c r="E145" s="24" t="s">
        <v>169</v>
      </c>
      <c r="F145" s="24" t="s">
        <v>198</v>
      </c>
      <c r="G145" s="43">
        <v>3.9999999999999998E-6</v>
      </c>
      <c r="I145" s="43">
        <v>3.9999999999999998E-6</v>
      </c>
      <c r="J145" s="43">
        <v>3.9999999999999998E-6</v>
      </c>
      <c r="K145" s="43">
        <v>3.9999999999999998E-6</v>
      </c>
    </row>
    <row r="146" spans="1:11" x14ac:dyDescent="0.25">
      <c r="A146" s="23" t="s">
        <v>71</v>
      </c>
      <c r="B146" s="3" t="s">
        <v>473</v>
      </c>
      <c r="C146" s="3" t="s">
        <v>483</v>
      </c>
      <c r="D146" s="3" t="s">
        <v>521</v>
      </c>
      <c r="E146" s="24" t="s">
        <v>183</v>
      </c>
      <c r="F146" s="24" t="s">
        <v>200</v>
      </c>
      <c r="G146" s="43">
        <v>3.7699999999999999E-10</v>
      </c>
      <c r="I146" s="43">
        <v>3.7699999999999999E-10</v>
      </c>
      <c r="J146" s="43">
        <v>3.7699999999999999E-10</v>
      </c>
      <c r="K146" s="43">
        <v>3.7699999999999999E-10</v>
      </c>
    </row>
    <row r="147" spans="1:11" x14ac:dyDescent="0.25">
      <c r="A147" s="23" t="s">
        <v>236</v>
      </c>
      <c r="B147" s="3" t="s">
        <v>473</v>
      </c>
      <c r="C147" s="3" t="s">
        <v>483</v>
      </c>
      <c r="D147" s="3" t="s">
        <v>521</v>
      </c>
      <c r="E147" s="24" t="s">
        <v>303</v>
      </c>
      <c r="F147" s="24" t="s">
        <v>109</v>
      </c>
      <c r="G147" s="43">
        <v>20</v>
      </c>
      <c r="I147" s="43">
        <v>20</v>
      </c>
      <c r="J147" s="43">
        <v>20</v>
      </c>
      <c r="K147" s="43">
        <v>20</v>
      </c>
    </row>
    <row r="148" spans="1:11" x14ac:dyDescent="0.25">
      <c r="A148" s="23" t="s">
        <v>237</v>
      </c>
      <c r="B148" s="3" t="s">
        <v>473</v>
      </c>
      <c r="C148" s="3" t="s">
        <v>483</v>
      </c>
      <c r="D148" s="3" t="s">
        <v>521</v>
      </c>
      <c r="E148" s="24" t="s">
        <v>304</v>
      </c>
      <c r="F148" s="24" t="s">
        <v>301</v>
      </c>
      <c r="G148" s="43">
        <v>-0.06</v>
      </c>
      <c r="I148" s="43">
        <v>-0.06</v>
      </c>
      <c r="J148" s="43">
        <v>-0.06</v>
      </c>
      <c r="K148" s="43">
        <v>-0.06</v>
      </c>
    </row>
    <row r="149" spans="1:11" x14ac:dyDescent="0.25">
      <c r="A149" s="23" t="s">
        <v>238</v>
      </c>
      <c r="B149" s="3" t="s">
        <v>473</v>
      </c>
      <c r="C149" s="3" t="s">
        <v>483</v>
      </c>
      <c r="D149" s="3" t="s">
        <v>521</v>
      </c>
      <c r="E149" s="24" t="s">
        <v>305</v>
      </c>
      <c r="F149" s="24" t="s">
        <v>100</v>
      </c>
      <c r="G149" s="43">
        <v>0.89100000000000001</v>
      </c>
      <c r="I149" s="43">
        <v>0.89100000000000001</v>
      </c>
      <c r="J149" s="43">
        <v>0.89100000000000001</v>
      </c>
      <c r="K149" s="43">
        <v>0.89100000000000001</v>
      </c>
    </row>
    <row r="150" spans="1:11" x14ac:dyDescent="0.25">
      <c r="A150" s="23" t="s">
        <v>239</v>
      </c>
      <c r="B150" s="3" t="s">
        <v>473</v>
      </c>
      <c r="C150" s="3" t="s">
        <v>483</v>
      </c>
      <c r="D150" s="3" t="s">
        <v>521</v>
      </c>
      <c r="E150" s="24" t="s">
        <v>306</v>
      </c>
      <c r="F150" s="24" t="s">
        <v>95</v>
      </c>
      <c r="G150" s="43">
        <v>1</v>
      </c>
      <c r="I150" s="43">
        <v>1</v>
      </c>
      <c r="J150" s="43">
        <v>1</v>
      </c>
      <c r="K150" s="43">
        <v>1</v>
      </c>
    </row>
    <row r="151" spans="1:11" x14ac:dyDescent="0.25">
      <c r="A151" s="23" t="s">
        <v>72</v>
      </c>
      <c r="B151" s="3" t="s">
        <v>473</v>
      </c>
      <c r="C151" s="3" t="s">
        <v>483</v>
      </c>
      <c r="D151" s="3" t="s">
        <v>521</v>
      </c>
      <c r="E151" s="24" t="s">
        <v>184</v>
      </c>
      <c r="F151" s="24" t="s">
        <v>198</v>
      </c>
      <c r="G151" s="43">
        <v>4.0000000000000003E-5</v>
      </c>
      <c r="I151" s="43">
        <v>4.0000000000000003E-5</v>
      </c>
      <c r="J151" s="43">
        <v>4.0000000000000003E-5</v>
      </c>
      <c r="K151" s="43">
        <v>4.0000000000000003E-5</v>
      </c>
    </row>
    <row r="152" spans="1:11" x14ac:dyDescent="0.25">
      <c r="A152" s="13" t="s">
        <v>73</v>
      </c>
      <c r="B152" s="3" t="s">
        <v>473</v>
      </c>
      <c r="C152" s="3" t="s">
        <v>483</v>
      </c>
      <c r="D152" s="3" t="s">
        <v>521</v>
      </c>
      <c r="E152" s="14" t="s">
        <v>186</v>
      </c>
      <c r="F152" s="14" t="s">
        <v>200</v>
      </c>
      <c r="G152" s="43">
        <v>5.8333333333333335E-9</v>
      </c>
      <c r="I152" s="43">
        <v>5.8333333333333335E-9</v>
      </c>
      <c r="J152" s="43">
        <v>5.8333333333333335E-9</v>
      </c>
      <c r="K152" s="43">
        <v>5.8333333333333335E-9</v>
      </c>
    </row>
    <row r="153" spans="1:11" x14ac:dyDescent="0.25">
      <c r="A153" s="13" t="s">
        <v>240</v>
      </c>
      <c r="B153" s="3" t="s">
        <v>473</v>
      </c>
      <c r="C153" s="3" t="s">
        <v>483</v>
      </c>
      <c r="D153" s="3" t="s">
        <v>521</v>
      </c>
      <c r="E153" s="14" t="s">
        <v>307</v>
      </c>
      <c r="F153" s="14" t="s">
        <v>109</v>
      </c>
      <c r="G153" s="43">
        <v>20</v>
      </c>
      <c r="I153" s="43">
        <v>20</v>
      </c>
      <c r="J153" s="43">
        <v>20</v>
      </c>
      <c r="K153" s="43">
        <v>20</v>
      </c>
    </row>
    <row r="154" spans="1:11" x14ac:dyDescent="0.25">
      <c r="A154" s="13" t="s">
        <v>241</v>
      </c>
      <c r="B154" s="3" t="s">
        <v>473</v>
      </c>
      <c r="C154" s="3" t="s">
        <v>483</v>
      </c>
      <c r="D154" s="3" t="s">
        <v>521</v>
      </c>
      <c r="E154" s="14" t="s">
        <v>308</v>
      </c>
      <c r="F154" s="14" t="s">
        <v>301</v>
      </c>
      <c r="G154" s="43">
        <v>-0.06</v>
      </c>
      <c r="I154" s="43">
        <v>-0.06</v>
      </c>
      <c r="J154" s="43">
        <v>-0.06</v>
      </c>
      <c r="K154" s="43">
        <v>-0.06</v>
      </c>
    </row>
    <row r="155" spans="1:11" x14ac:dyDescent="0.25">
      <c r="A155" s="13" t="s">
        <v>242</v>
      </c>
      <c r="B155" s="3" t="s">
        <v>473</v>
      </c>
      <c r="C155" s="3" t="s">
        <v>483</v>
      </c>
      <c r="D155" s="3" t="s">
        <v>521</v>
      </c>
      <c r="E155" s="14" t="s">
        <v>309</v>
      </c>
      <c r="F155" s="14" t="s">
        <v>100</v>
      </c>
      <c r="G155" s="43">
        <v>0.89100000000000001</v>
      </c>
      <c r="I155" s="43">
        <v>0.89100000000000001</v>
      </c>
      <c r="J155" s="43">
        <v>0.89100000000000001</v>
      </c>
      <c r="K155" s="43">
        <v>0.89100000000000001</v>
      </c>
    </row>
    <row r="156" spans="1:11" x14ac:dyDescent="0.25">
      <c r="A156" s="13" t="s">
        <v>243</v>
      </c>
      <c r="B156" s="3" t="s">
        <v>473</v>
      </c>
      <c r="C156" s="3" t="s">
        <v>483</v>
      </c>
      <c r="D156" s="3" t="s">
        <v>521</v>
      </c>
      <c r="E156" s="14" t="s">
        <v>310</v>
      </c>
      <c r="F156" s="14" t="s">
        <v>95</v>
      </c>
      <c r="G156" s="43">
        <v>1</v>
      </c>
      <c r="I156" s="43">
        <v>1</v>
      </c>
      <c r="J156" s="43">
        <v>1</v>
      </c>
      <c r="K156" s="43">
        <v>1</v>
      </c>
    </row>
    <row r="157" spans="1:11" x14ac:dyDescent="0.25">
      <c r="A157" s="13" t="s">
        <v>74</v>
      </c>
      <c r="B157" s="3" t="s">
        <v>473</v>
      </c>
      <c r="C157" s="3" t="s">
        <v>483</v>
      </c>
      <c r="D157" s="3" t="s">
        <v>521</v>
      </c>
      <c r="E157" s="14" t="s">
        <v>185</v>
      </c>
      <c r="F157" s="14" t="s">
        <v>198</v>
      </c>
      <c r="G157" s="43">
        <v>4.0000000000000003E-5</v>
      </c>
      <c r="I157" s="43">
        <v>4.0000000000000003E-5</v>
      </c>
      <c r="J157" s="43">
        <v>4.0000000000000003E-5</v>
      </c>
      <c r="K157" s="43">
        <v>4.0000000000000003E-5</v>
      </c>
    </row>
    <row r="158" spans="1:11" x14ac:dyDescent="0.25">
      <c r="A158" s="9" t="s">
        <v>75</v>
      </c>
      <c r="B158" s="3" t="s">
        <v>473</v>
      </c>
      <c r="C158" s="3" t="s">
        <v>483</v>
      </c>
      <c r="D158" s="3" t="s">
        <v>521</v>
      </c>
      <c r="E158" s="10" t="s">
        <v>187</v>
      </c>
      <c r="F158" s="10" t="s">
        <v>200</v>
      </c>
      <c r="G158" s="43">
        <v>4.9999999999999998E-8</v>
      </c>
      <c r="I158" s="43">
        <v>4.0000000000000001E-8</v>
      </c>
      <c r="J158" s="43">
        <v>4.0000000000000001E-8</v>
      </c>
      <c r="K158" s="43">
        <v>4.0000000000000001E-8</v>
      </c>
    </row>
    <row r="159" spans="1:11" x14ac:dyDescent="0.25">
      <c r="A159" s="9" t="s">
        <v>218</v>
      </c>
      <c r="B159" s="3" t="s">
        <v>473</v>
      </c>
      <c r="C159" s="3" t="s">
        <v>483</v>
      </c>
      <c r="D159" s="3" t="s">
        <v>521</v>
      </c>
      <c r="E159" s="10" t="s">
        <v>298</v>
      </c>
      <c r="F159" s="10" t="s">
        <v>109</v>
      </c>
      <c r="G159" s="43">
        <v>20</v>
      </c>
      <c r="I159" s="43">
        <v>20</v>
      </c>
      <c r="J159" s="43">
        <v>20</v>
      </c>
      <c r="K159" s="43">
        <v>20</v>
      </c>
    </row>
    <row r="160" spans="1:11" x14ac:dyDescent="0.25">
      <c r="A160" s="9" t="s">
        <v>219</v>
      </c>
      <c r="B160" s="3" t="s">
        <v>473</v>
      </c>
      <c r="C160" s="3" t="s">
        <v>483</v>
      </c>
      <c r="D160" s="3" t="s">
        <v>521</v>
      </c>
      <c r="E160" s="10" t="s">
        <v>299</v>
      </c>
      <c r="F160" s="10" t="s">
        <v>301</v>
      </c>
      <c r="G160" s="43">
        <v>-4.4200000000000003E-2</v>
      </c>
      <c r="I160" s="43">
        <v>-4.4200000000000003E-2</v>
      </c>
      <c r="J160" s="43">
        <v>-4.4200000000000003E-2</v>
      </c>
      <c r="K160" s="43">
        <v>-4.4200000000000003E-2</v>
      </c>
    </row>
    <row r="161" spans="1:11" x14ac:dyDescent="0.25">
      <c r="A161" s="9" t="s">
        <v>220</v>
      </c>
      <c r="B161" s="3" t="s">
        <v>473</v>
      </c>
      <c r="C161" s="3" t="s">
        <v>483</v>
      </c>
      <c r="D161" s="3" t="s">
        <v>521</v>
      </c>
      <c r="E161" s="10" t="s">
        <v>300</v>
      </c>
      <c r="F161" s="10" t="s">
        <v>100</v>
      </c>
      <c r="G161" s="43">
        <v>1.55</v>
      </c>
      <c r="I161" s="43">
        <v>1.55</v>
      </c>
      <c r="J161" s="43">
        <v>1.55</v>
      </c>
      <c r="K161" s="43">
        <v>1.55</v>
      </c>
    </row>
    <row r="162" spans="1:11" x14ac:dyDescent="0.25">
      <c r="A162" s="9" t="s">
        <v>221</v>
      </c>
      <c r="B162" s="3" t="s">
        <v>473</v>
      </c>
      <c r="C162" s="3" t="s">
        <v>483</v>
      </c>
      <c r="D162" s="3" t="s">
        <v>521</v>
      </c>
      <c r="E162" s="10" t="s">
        <v>302</v>
      </c>
      <c r="F162" s="10" t="s">
        <v>95</v>
      </c>
      <c r="G162" s="43">
        <v>1</v>
      </c>
      <c r="I162" s="43">
        <v>1</v>
      </c>
      <c r="J162" s="43">
        <v>1</v>
      </c>
      <c r="K162" s="43">
        <v>1</v>
      </c>
    </row>
    <row r="163" spans="1:11" x14ac:dyDescent="0.25">
      <c r="A163" s="9" t="s">
        <v>76</v>
      </c>
      <c r="B163" s="3" t="s">
        <v>473</v>
      </c>
      <c r="C163" s="3" t="s">
        <v>483</v>
      </c>
      <c r="D163" s="3" t="s">
        <v>521</v>
      </c>
      <c r="E163" s="10" t="s">
        <v>188</v>
      </c>
      <c r="F163" s="10" t="s">
        <v>198</v>
      </c>
      <c r="G163" s="43">
        <v>2.7799999999999998E-4</v>
      </c>
      <c r="I163" s="43">
        <v>2.7799999999999998E-4</v>
      </c>
      <c r="J163" s="43">
        <v>2.7799999999999998E-4</v>
      </c>
      <c r="K163" s="43">
        <v>2.7799999999999998E-4</v>
      </c>
    </row>
    <row r="164" spans="1:11" x14ac:dyDescent="0.25">
      <c r="A164" s="25" t="s">
        <v>78</v>
      </c>
      <c r="B164" s="3" t="s">
        <v>473</v>
      </c>
      <c r="C164" s="3" t="s">
        <v>483</v>
      </c>
      <c r="D164" s="3" t="s">
        <v>521</v>
      </c>
      <c r="E164" s="26" t="s">
        <v>189</v>
      </c>
      <c r="F164" s="26" t="s">
        <v>201</v>
      </c>
      <c r="G164" s="43">
        <v>4.7300000000000001E-7</v>
      </c>
      <c r="I164" s="43">
        <f>0.0000000000025/5</f>
        <v>4.9999999999999999E-13</v>
      </c>
      <c r="J164" s="43">
        <f>0.0000000000025/5</f>
        <v>4.9999999999999999E-13</v>
      </c>
      <c r="K164" s="43">
        <f>0.0000000000025/5</f>
        <v>4.9999999999999999E-13</v>
      </c>
    </row>
    <row r="165" spans="1:11" x14ac:dyDescent="0.25">
      <c r="A165" s="25" t="s">
        <v>245</v>
      </c>
      <c r="B165" s="3" t="s">
        <v>473</v>
      </c>
      <c r="C165" s="3" t="s">
        <v>483</v>
      </c>
      <c r="D165" s="3" t="s">
        <v>521</v>
      </c>
      <c r="E165" s="26" t="s">
        <v>319</v>
      </c>
      <c r="F165" s="26" t="s">
        <v>109</v>
      </c>
      <c r="G165" s="43">
        <v>20</v>
      </c>
      <c r="I165" s="43">
        <v>20</v>
      </c>
      <c r="J165" s="43">
        <v>20</v>
      </c>
      <c r="K165" s="43">
        <v>20</v>
      </c>
    </row>
    <row r="166" spans="1:11" x14ac:dyDescent="0.25">
      <c r="A166" s="25" t="s">
        <v>246</v>
      </c>
      <c r="B166" s="3" t="s">
        <v>473</v>
      </c>
      <c r="C166" s="3" t="s">
        <v>483</v>
      </c>
      <c r="D166" s="3" t="s">
        <v>521</v>
      </c>
      <c r="E166" s="26" t="s">
        <v>320</v>
      </c>
      <c r="F166" s="26" t="s">
        <v>301</v>
      </c>
      <c r="G166" s="43">
        <v>0</v>
      </c>
      <c r="I166" s="43">
        <v>0</v>
      </c>
      <c r="J166" s="43">
        <v>0</v>
      </c>
      <c r="K166" s="43">
        <v>0</v>
      </c>
    </row>
    <row r="167" spans="1:11" x14ac:dyDescent="0.25">
      <c r="A167" s="25" t="s">
        <v>247</v>
      </c>
      <c r="B167" s="3" t="s">
        <v>473</v>
      </c>
      <c r="C167" s="3" t="s">
        <v>483</v>
      </c>
      <c r="D167" s="3" t="s">
        <v>521</v>
      </c>
      <c r="E167" s="26" t="s">
        <v>321</v>
      </c>
      <c r="F167" s="26" t="s">
        <v>100</v>
      </c>
      <c r="G167" s="43">
        <v>1</v>
      </c>
      <c r="I167" s="43">
        <v>1</v>
      </c>
      <c r="J167" s="43">
        <v>1</v>
      </c>
      <c r="K167" s="43">
        <v>1</v>
      </c>
    </row>
    <row r="168" spans="1:11" x14ac:dyDescent="0.25">
      <c r="A168" s="25" t="s">
        <v>248</v>
      </c>
      <c r="B168" s="3" t="s">
        <v>473</v>
      </c>
      <c r="C168" s="3" t="s">
        <v>483</v>
      </c>
      <c r="D168" s="3" t="s">
        <v>521</v>
      </c>
      <c r="E168" s="26" t="s">
        <v>322</v>
      </c>
      <c r="F168" s="26" t="s">
        <v>95</v>
      </c>
      <c r="G168" s="43">
        <v>0</v>
      </c>
      <c r="I168" s="43">
        <v>0</v>
      </c>
      <c r="J168" s="43">
        <v>0</v>
      </c>
      <c r="K168" s="43">
        <v>0</v>
      </c>
    </row>
    <row r="169" spans="1:11" x14ac:dyDescent="0.25">
      <c r="A169" s="25" t="s">
        <v>79</v>
      </c>
      <c r="B169" s="3" t="s">
        <v>473</v>
      </c>
      <c r="C169" s="3" t="s">
        <v>483</v>
      </c>
      <c r="D169" s="3" t="s">
        <v>521</v>
      </c>
      <c r="E169" s="26" t="s">
        <v>190</v>
      </c>
      <c r="F169" s="26" t="s">
        <v>100</v>
      </c>
      <c r="G169" s="43">
        <v>0.4</v>
      </c>
      <c r="I169" s="43">
        <v>0.4</v>
      </c>
      <c r="J169" s="43">
        <v>0.4</v>
      </c>
      <c r="K169" s="43">
        <v>0.4</v>
      </c>
    </row>
    <row r="170" spans="1:11" x14ac:dyDescent="0.25">
      <c r="A170" s="31" t="s">
        <v>80</v>
      </c>
      <c r="B170" s="3" t="s">
        <v>473</v>
      </c>
      <c r="C170" s="3" t="s">
        <v>483</v>
      </c>
      <c r="D170" s="3" t="s">
        <v>521</v>
      </c>
      <c r="E170" s="32" t="s">
        <v>191</v>
      </c>
      <c r="F170" s="32" t="s">
        <v>200</v>
      </c>
      <c r="G170" s="43">
        <v>3.2100000000000002E-6</v>
      </c>
      <c r="I170" s="43">
        <v>2.0000000000000001E-9</v>
      </c>
      <c r="J170" s="43">
        <v>2.0000000000000001E-9</v>
      </c>
      <c r="K170" s="43">
        <v>2.0000000000000001E-9</v>
      </c>
    </row>
    <row r="171" spans="1:11" x14ac:dyDescent="0.25">
      <c r="A171" s="31" t="s">
        <v>249</v>
      </c>
      <c r="B171" s="3" t="s">
        <v>473</v>
      </c>
      <c r="C171" s="3" t="s">
        <v>483</v>
      </c>
      <c r="D171" s="3" t="s">
        <v>521</v>
      </c>
      <c r="E171" s="32" t="s">
        <v>323</v>
      </c>
      <c r="F171" s="32" t="s">
        <v>109</v>
      </c>
      <c r="G171" s="43">
        <v>25</v>
      </c>
      <c r="I171" s="43">
        <v>25</v>
      </c>
      <c r="J171" s="43">
        <v>25</v>
      </c>
      <c r="K171" s="43">
        <v>25</v>
      </c>
    </row>
    <row r="172" spans="1:11" x14ac:dyDescent="0.25">
      <c r="A172" s="31" t="s">
        <v>250</v>
      </c>
      <c r="B172" s="3" t="s">
        <v>473</v>
      </c>
      <c r="C172" s="3" t="s">
        <v>483</v>
      </c>
      <c r="D172" s="3" t="s">
        <v>521</v>
      </c>
      <c r="E172" s="32" t="s">
        <v>324</v>
      </c>
      <c r="F172" s="32" t="s">
        <v>301</v>
      </c>
      <c r="G172" s="43">
        <v>0</v>
      </c>
      <c r="I172" s="43">
        <v>0</v>
      </c>
      <c r="J172" s="43">
        <v>0</v>
      </c>
      <c r="K172" s="43">
        <v>0</v>
      </c>
    </row>
    <row r="173" spans="1:11" x14ac:dyDescent="0.25">
      <c r="A173" s="31" t="s">
        <v>251</v>
      </c>
      <c r="B173" s="3" t="s">
        <v>473</v>
      </c>
      <c r="C173" s="3" t="s">
        <v>483</v>
      </c>
      <c r="D173" s="3" t="s">
        <v>521</v>
      </c>
      <c r="E173" s="32" t="s">
        <v>325</v>
      </c>
      <c r="F173" s="32" t="s">
        <v>100</v>
      </c>
      <c r="G173" s="43">
        <v>3.98</v>
      </c>
      <c r="I173" s="43">
        <v>3.98</v>
      </c>
      <c r="J173" s="43">
        <v>3.98</v>
      </c>
      <c r="K173" s="43">
        <v>3.98</v>
      </c>
    </row>
    <row r="174" spans="1:11" x14ac:dyDescent="0.25">
      <c r="A174" s="31" t="s">
        <v>252</v>
      </c>
      <c r="B174" s="3" t="s">
        <v>473</v>
      </c>
      <c r="C174" s="3" t="s">
        <v>483</v>
      </c>
      <c r="D174" s="3" t="s">
        <v>521</v>
      </c>
      <c r="E174" s="32" t="s">
        <v>326</v>
      </c>
      <c r="F174" s="32" t="s">
        <v>95</v>
      </c>
      <c r="G174" s="43">
        <v>1</v>
      </c>
      <c r="I174" s="43">
        <v>1</v>
      </c>
      <c r="J174" s="43">
        <v>1</v>
      </c>
      <c r="K174" s="43">
        <v>1</v>
      </c>
    </row>
    <row r="175" spans="1:11" x14ac:dyDescent="0.25">
      <c r="A175" s="31" t="s">
        <v>81</v>
      </c>
      <c r="B175" s="3" t="s">
        <v>473</v>
      </c>
      <c r="C175" s="3" t="s">
        <v>483</v>
      </c>
      <c r="D175" s="3" t="s">
        <v>521</v>
      </c>
      <c r="E175" s="32" t="s">
        <v>192</v>
      </c>
      <c r="F175" s="32" t="s">
        <v>198</v>
      </c>
      <c r="G175" s="43">
        <v>1.6666666666666666E-4</v>
      </c>
      <c r="I175" s="43">
        <v>1.6666666666666666E-4</v>
      </c>
      <c r="J175" s="43">
        <v>1.6666666666666666E-4</v>
      </c>
      <c r="K175" s="43">
        <v>1.6666666666666666E-4</v>
      </c>
    </row>
    <row r="176" spans="1:11" x14ac:dyDescent="0.25">
      <c r="A176" s="11" t="s">
        <v>253</v>
      </c>
      <c r="B176" s="3" t="s">
        <v>473</v>
      </c>
      <c r="C176" s="3" t="s">
        <v>483</v>
      </c>
      <c r="D176" s="3" t="s">
        <v>521</v>
      </c>
      <c r="E176" s="12" t="s">
        <v>327</v>
      </c>
      <c r="F176" s="12" t="s">
        <v>328</v>
      </c>
      <c r="G176" s="43">
        <v>1E-8</v>
      </c>
      <c r="I176" s="43">
        <v>1E-8</v>
      </c>
      <c r="J176" s="43">
        <v>1E-8</v>
      </c>
      <c r="K176" s="43">
        <v>1E-8</v>
      </c>
    </row>
    <row r="177" spans="1:11" x14ac:dyDescent="0.25">
      <c r="A177" s="11" t="s">
        <v>254</v>
      </c>
      <c r="B177" s="3" t="s">
        <v>473</v>
      </c>
      <c r="C177" s="3" t="s">
        <v>483</v>
      </c>
      <c r="D177" s="3" t="s">
        <v>521</v>
      </c>
      <c r="E177" s="12" t="s">
        <v>329</v>
      </c>
      <c r="F177" s="12" t="s">
        <v>109</v>
      </c>
      <c r="G177" s="43">
        <v>20</v>
      </c>
      <c r="I177" s="43">
        <v>20</v>
      </c>
      <c r="J177" s="43">
        <v>20</v>
      </c>
      <c r="K177" s="43">
        <v>20</v>
      </c>
    </row>
    <row r="178" spans="1:11" x14ac:dyDescent="0.25">
      <c r="A178" s="11" t="s">
        <v>255</v>
      </c>
      <c r="B178" s="3" t="s">
        <v>473</v>
      </c>
      <c r="C178" s="3" t="s">
        <v>483</v>
      </c>
      <c r="D178" s="3" t="s">
        <v>521</v>
      </c>
      <c r="E178" s="12" t="s">
        <v>330</v>
      </c>
      <c r="F178" s="12" t="s">
        <v>301</v>
      </c>
      <c r="G178" s="43">
        <v>0</v>
      </c>
      <c r="I178" s="43">
        <v>0</v>
      </c>
      <c r="J178" s="43">
        <v>0</v>
      </c>
      <c r="K178" s="43">
        <v>0</v>
      </c>
    </row>
    <row r="179" spans="1:11" x14ac:dyDescent="0.25">
      <c r="A179" s="11" t="s">
        <v>256</v>
      </c>
      <c r="B179" s="3" t="s">
        <v>473</v>
      </c>
      <c r="C179" s="3" t="s">
        <v>483</v>
      </c>
      <c r="D179" s="3" t="s">
        <v>521</v>
      </c>
      <c r="E179" s="12" t="s">
        <v>331</v>
      </c>
      <c r="F179" s="12" t="s">
        <v>100</v>
      </c>
      <c r="G179" s="43">
        <v>2</v>
      </c>
      <c r="I179" s="43">
        <v>2</v>
      </c>
      <c r="J179" s="43">
        <v>2</v>
      </c>
      <c r="K179" s="43">
        <v>2</v>
      </c>
    </row>
    <row r="180" spans="1:11" x14ac:dyDescent="0.25">
      <c r="A180" s="11" t="s">
        <v>257</v>
      </c>
      <c r="B180" s="3" t="s">
        <v>473</v>
      </c>
      <c r="C180" s="3" t="s">
        <v>483</v>
      </c>
      <c r="D180" s="3" t="s">
        <v>521</v>
      </c>
      <c r="E180" s="12" t="s">
        <v>332</v>
      </c>
      <c r="F180" s="12" t="s">
        <v>95</v>
      </c>
      <c r="G180" s="43">
        <v>1</v>
      </c>
      <c r="I180" s="43">
        <v>1</v>
      </c>
      <c r="J180" s="43">
        <v>1</v>
      </c>
      <c r="K180" s="43">
        <v>1</v>
      </c>
    </row>
    <row r="181" spans="1:11" x14ac:dyDescent="0.25">
      <c r="A181" s="11" t="s">
        <v>258</v>
      </c>
      <c r="B181" s="3" t="s">
        <v>473</v>
      </c>
      <c r="C181" s="3" t="s">
        <v>483</v>
      </c>
      <c r="D181" s="3" t="s">
        <v>521</v>
      </c>
      <c r="E181" s="12" t="s">
        <v>349</v>
      </c>
      <c r="F181" s="12" t="s">
        <v>198</v>
      </c>
      <c r="G181" s="43">
        <v>8.3333333333333331E-5</v>
      </c>
      <c r="I181" s="43">
        <v>8.3333333333333331E-5</v>
      </c>
      <c r="J181" s="43">
        <v>8.3333333333333331E-5</v>
      </c>
      <c r="K181" s="43">
        <v>8.3333333333333331E-5</v>
      </c>
    </row>
    <row r="182" spans="1:11" x14ac:dyDescent="0.25">
      <c r="A182" s="11" t="s">
        <v>259</v>
      </c>
      <c r="B182" s="3" t="s">
        <v>473</v>
      </c>
      <c r="C182" s="3" t="s">
        <v>483</v>
      </c>
      <c r="D182" s="3" t="s">
        <v>521</v>
      </c>
      <c r="E182" s="12" t="s">
        <v>350</v>
      </c>
      <c r="F182" s="12" t="s">
        <v>100</v>
      </c>
      <c r="G182" s="43">
        <v>1</v>
      </c>
      <c r="I182" s="43">
        <v>1</v>
      </c>
      <c r="J182" s="43">
        <v>1</v>
      </c>
      <c r="K182" s="43">
        <v>1</v>
      </c>
    </row>
    <row r="183" spans="1:11" x14ac:dyDescent="0.25">
      <c r="A183" s="27" t="s">
        <v>260</v>
      </c>
      <c r="B183" s="3" t="s">
        <v>473</v>
      </c>
      <c r="C183" s="3" t="s">
        <v>483</v>
      </c>
      <c r="D183" s="3" t="s">
        <v>521</v>
      </c>
      <c r="E183" s="28" t="s">
        <v>351</v>
      </c>
      <c r="F183" s="28" t="s">
        <v>352</v>
      </c>
      <c r="G183" s="43">
        <v>2.3533050791148895E-8</v>
      </c>
      <c r="I183" s="43">
        <v>2.3533050791148899E-8</v>
      </c>
      <c r="J183" s="43">
        <v>2.3533050791148899E-8</v>
      </c>
      <c r="K183" s="43">
        <v>2.3533050791148899E-8</v>
      </c>
    </row>
    <row r="184" spans="1:11" x14ac:dyDescent="0.25">
      <c r="A184" s="27" t="s">
        <v>261</v>
      </c>
      <c r="B184" s="3" t="s">
        <v>473</v>
      </c>
      <c r="C184" s="3" t="s">
        <v>483</v>
      </c>
      <c r="D184" s="3" t="s">
        <v>521</v>
      </c>
      <c r="E184" s="28" t="s">
        <v>333</v>
      </c>
      <c r="F184" s="28" t="s">
        <v>109</v>
      </c>
      <c r="G184" s="43">
        <v>20</v>
      </c>
      <c r="I184" s="43">
        <v>20</v>
      </c>
      <c r="J184" s="43">
        <v>20</v>
      </c>
      <c r="K184" s="43">
        <v>20</v>
      </c>
    </row>
    <row r="185" spans="1:11" x14ac:dyDescent="0.25">
      <c r="A185" s="27" t="s">
        <v>262</v>
      </c>
      <c r="B185" s="3" t="s">
        <v>473</v>
      </c>
      <c r="C185" s="3" t="s">
        <v>483</v>
      </c>
      <c r="D185" s="3" t="s">
        <v>521</v>
      </c>
      <c r="E185" s="28" t="s">
        <v>334</v>
      </c>
      <c r="F185" s="28" t="s">
        <v>301</v>
      </c>
      <c r="G185" s="43">
        <v>-0.187</v>
      </c>
      <c r="I185" s="43">
        <v>-0.187</v>
      </c>
      <c r="J185" s="43">
        <v>-0.187</v>
      </c>
      <c r="K185" s="43">
        <v>-0.187</v>
      </c>
    </row>
    <row r="186" spans="1:11" x14ac:dyDescent="0.25">
      <c r="A186" s="27" t="s">
        <v>263</v>
      </c>
      <c r="B186" s="3" t="s">
        <v>473</v>
      </c>
      <c r="C186" s="3" t="s">
        <v>483</v>
      </c>
      <c r="D186" s="3" t="s">
        <v>521</v>
      </c>
      <c r="E186" s="28" t="s">
        <v>335</v>
      </c>
      <c r="F186" s="28" t="s">
        <v>100</v>
      </c>
      <c r="G186" s="43">
        <v>2.48</v>
      </c>
      <c r="I186" s="43">
        <v>2.48</v>
      </c>
      <c r="J186" s="43">
        <v>2.48</v>
      </c>
      <c r="K186" s="43">
        <v>2.48</v>
      </c>
    </row>
    <row r="187" spans="1:11" x14ac:dyDescent="0.25">
      <c r="A187" s="27" t="s">
        <v>264</v>
      </c>
      <c r="B187" s="3" t="s">
        <v>473</v>
      </c>
      <c r="C187" s="3" t="s">
        <v>483</v>
      </c>
      <c r="D187" s="3" t="s">
        <v>521</v>
      </c>
      <c r="E187" s="28" t="s">
        <v>336</v>
      </c>
      <c r="F187" s="28" t="s">
        <v>95</v>
      </c>
      <c r="G187" s="43">
        <v>1</v>
      </c>
      <c r="I187" s="43">
        <v>1</v>
      </c>
      <c r="J187" s="43">
        <v>1</v>
      </c>
      <c r="K187" s="43">
        <v>1</v>
      </c>
    </row>
    <row r="188" spans="1:11" x14ac:dyDescent="0.25">
      <c r="A188" s="27" t="s">
        <v>265</v>
      </c>
      <c r="B188" s="3" t="s">
        <v>473</v>
      </c>
      <c r="C188" s="3" t="s">
        <v>483</v>
      </c>
      <c r="D188" s="3" t="s">
        <v>521</v>
      </c>
      <c r="E188" s="28" t="s">
        <v>353</v>
      </c>
      <c r="F188" s="28" t="s">
        <v>354</v>
      </c>
      <c r="G188" s="43">
        <v>6.1060227588121015E-4</v>
      </c>
      <c r="I188" s="43">
        <v>6.1060227588121015E-4</v>
      </c>
      <c r="J188" s="43">
        <v>6.1060227588121015E-4</v>
      </c>
      <c r="K188" s="43">
        <v>6.1060227588121015E-4</v>
      </c>
    </row>
    <row r="189" spans="1:11" x14ac:dyDescent="0.25">
      <c r="A189" s="23" t="s">
        <v>266</v>
      </c>
      <c r="B189" s="3" t="s">
        <v>473</v>
      </c>
      <c r="C189" s="3" t="s">
        <v>483</v>
      </c>
      <c r="D189" s="3" t="s">
        <v>521</v>
      </c>
      <c r="E189" s="24" t="s">
        <v>193</v>
      </c>
      <c r="F189" s="24" t="s">
        <v>200</v>
      </c>
      <c r="G189" s="43">
        <v>6.41E-9</v>
      </c>
      <c r="I189" s="43">
        <v>3.9999999999999998E-7</v>
      </c>
      <c r="J189" s="43">
        <v>3.9999999999999998E-7</v>
      </c>
      <c r="K189" s="43">
        <v>3.9999999999999998E-7</v>
      </c>
    </row>
    <row r="190" spans="1:11" x14ac:dyDescent="0.25">
      <c r="A190" s="23" t="s">
        <v>267</v>
      </c>
      <c r="B190" s="3" t="s">
        <v>473</v>
      </c>
      <c r="C190" s="3" t="s">
        <v>483</v>
      </c>
      <c r="D190" s="3" t="s">
        <v>521</v>
      </c>
      <c r="E190" s="24" t="s">
        <v>337</v>
      </c>
      <c r="F190" s="24" t="s">
        <v>109</v>
      </c>
      <c r="G190" s="43">
        <v>25</v>
      </c>
      <c r="I190" s="43">
        <v>25</v>
      </c>
      <c r="J190" s="43">
        <v>25</v>
      </c>
      <c r="K190" s="43">
        <v>25</v>
      </c>
    </row>
    <row r="191" spans="1:11" x14ac:dyDescent="0.25">
      <c r="A191" s="23" t="s">
        <v>268</v>
      </c>
      <c r="B191" s="3" t="s">
        <v>473</v>
      </c>
      <c r="C191" s="3" t="s">
        <v>483</v>
      </c>
      <c r="D191" s="3" t="s">
        <v>521</v>
      </c>
      <c r="E191" s="24" t="s">
        <v>338</v>
      </c>
      <c r="F191" s="24" t="s">
        <v>301</v>
      </c>
      <c r="G191" s="43">
        <v>0</v>
      </c>
      <c r="I191" s="43">
        <v>0</v>
      </c>
      <c r="J191" s="43">
        <v>0</v>
      </c>
      <c r="K191" s="43">
        <v>0</v>
      </c>
    </row>
    <row r="192" spans="1:11" x14ac:dyDescent="0.25">
      <c r="A192" s="23" t="s">
        <v>269</v>
      </c>
      <c r="B192" s="3" t="s">
        <v>473</v>
      </c>
      <c r="C192" s="3" t="s">
        <v>483</v>
      </c>
      <c r="D192" s="3" t="s">
        <v>521</v>
      </c>
      <c r="E192" s="24" t="s">
        <v>339</v>
      </c>
      <c r="F192" s="24" t="s">
        <v>100</v>
      </c>
      <c r="G192" s="43">
        <v>3.98</v>
      </c>
      <c r="I192" s="43">
        <v>3.98</v>
      </c>
      <c r="J192" s="43">
        <v>3.98</v>
      </c>
      <c r="K192" s="43">
        <v>3.98</v>
      </c>
    </row>
    <row r="193" spans="1:20" x14ac:dyDescent="0.25">
      <c r="A193" s="23" t="s">
        <v>270</v>
      </c>
      <c r="B193" s="3" t="s">
        <v>473</v>
      </c>
      <c r="C193" s="3" t="s">
        <v>483</v>
      </c>
      <c r="D193" s="3" t="s">
        <v>521</v>
      </c>
      <c r="E193" s="24" t="s">
        <v>340</v>
      </c>
      <c r="F193" s="24" t="s">
        <v>95</v>
      </c>
      <c r="G193" s="43">
        <v>1</v>
      </c>
      <c r="I193" s="43">
        <v>1</v>
      </c>
      <c r="J193" s="43">
        <v>1</v>
      </c>
      <c r="K193" s="43">
        <v>1</v>
      </c>
    </row>
    <row r="194" spans="1:20" x14ac:dyDescent="0.25">
      <c r="A194" s="23" t="s">
        <v>271</v>
      </c>
      <c r="B194" s="3" t="s">
        <v>473</v>
      </c>
      <c r="C194" s="3" t="s">
        <v>483</v>
      </c>
      <c r="D194" s="3" t="s">
        <v>521</v>
      </c>
      <c r="E194" s="24" t="s">
        <v>194</v>
      </c>
      <c r="F194" s="24" t="s">
        <v>198</v>
      </c>
      <c r="G194" s="43">
        <v>8.3333333333333331E-5</v>
      </c>
      <c r="I194" s="43">
        <v>8.3333333333333331E-5</v>
      </c>
      <c r="J194" s="43">
        <v>8.3333333333333331E-5</v>
      </c>
      <c r="K194" s="43">
        <v>8.3333333333333331E-5</v>
      </c>
    </row>
    <row r="195" spans="1:20" x14ac:dyDescent="0.25">
      <c r="A195" s="7" t="s">
        <v>272</v>
      </c>
      <c r="B195" s="3" t="s">
        <v>473</v>
      </c>
      <c r="C195" s="3" t="s">
        <v>483</v>
      </c>
      <c r="D195" s="3" t="s">
        <v>521</v>
      </c>
      <c r="E195" s="8" t="s">
        <v>355</v>
      </c>
      <c r="F195" s="8" t="s">
        <v>200</v>
      </c>
      <c r="G195" s="43">
        <v>6.41E-9</v>
      </c>
      <c r="I195" s="43">
        <v>3.9999999999999998E-7</v>
      </c>
      <c r="J195" s="43">
        <v>3.9999999999999998E-7</v>
      </c>
      <c r="K195" s="43">
        <v>3.9999999999999998E-7</v>
      </c>
    </row>
    <row r="196" spans="1:20" x14ac:dyDescent="0.25">
      <c r="A196" s="7" t="s">
        <v>273</v>
      </c>
      <c r="B196" s="3" t="s">
        <v>473</v>
      </c>
      <c r="C196" s="3" t="s">
        <v>483</v>
      </c>
      <c r="D196" s="3" t="s">
        <v>521</v>
      </c>
      <c r="E196" s="8" t="s">
        <v>341</v>
      </c>
      <c r="F196" s="8" t="s">
        <v>109</v>
      </c>
      <c r="G196" s="43">
        <v>25</v>
      </c>
      <c r="I196" s="43">
        <v>25</v>
      </c>
      <c r="J196" s="43">
        <v>25</v>
      </c>
      <c r="K196" s="43">
        <v>25</v>
      </c>
    </row>
    <row r="197" spans="1:20" x14ac:dyDescent="0.25">
      <c r="A197" s="7" t="s">
        <v>274</v>
      </c>
      <c r="B197" s="3" t="s">
        <v>473</v>
      </c>
      <c r="C197" s="3" t="s">
        <v>483</v>
      </c>
      <c r="D197" s="3" t="s">
        <v>521</v>
      </c>
      <c r="E197" s="8" t="s">
        <v>342</v>
      </c>
      <c r="F197" s="8" t="s">
        <v>301</v>
      </c>
      <c r="G197" s="43">
        <v>0</v>
      </c>
      <c r="I197" s="43">
        <v>0</v>
      </c>
      <c r="J197" s="43">
        <v>0</v>
      </c>
      <c r="K197" s="43">
        <v>0</v>
      </c>
    </row>
    <row r="198" spans="1:20" x14ac:dyDescent="0.25">
      <c r="A198" s="7" t="s">
        <v>275</v>
      </c>
      <c r="B198" s="3" t="s">
        <v>473</v>
      </c>
      <c r="C198" s="3" t="s">
        <v>483</v>
      </c>
      <c r="D198" s="3" t="s">
        <v>521</v>
      </c>
      <c r="E198" s="8" t="s">
        <v>343</v>
      </c>
      <c r="F198" s="8" t="s">
        <v>100</v>
      </c>
      <c r="G198" s="43">
        <v>3.98</v>
      </c>
      <c r="I198" s="43">
        <v>3.98</v>
      </c>
      <c r="J198" s="43">
        <v>3.98</v>
      </c>
      <c r="K198" s="43">
        <v>3.98</v>
      </c>
    </row>
    <row r="199" spans="1:20" x14ac:dyDescent="0.25">
      <c r="A199" s="7" t="s">
        <v>276</v>
      </c>
      <c r="B199" s="3" t="s">
        <v>473</v>
      </c>
      <c r="C199" s="3" t="s">
        <v>483</v>
      </c>
      <c r="D199" s="3" t="s">
        <v>521</v>
      </c>
      <c r="E199" s="8" t="s">
        <v>344</v>
      </c>
      <c r="F199" s="8" t="s">
        <v>95</v>
      </c>
      <c r="G199" s="43">
        <v>1</v>
      </c>
      <c r="I199" s="43">
        <v>1</v>
      </c>
      <c r="J199" s="43">
        <v>1</v>
      </c>
      <c r="K199" s="43">
        <v>1</v>
      </c>
    </row>
    <row r="200" spans="1:20" x14ac:dyDescent="0.25">
      <c r="A200" s="7" t="s">
        <v>277</v>
      </c>
      <c r="B200" s="3" t="s">
        <v>473</v>
      </c>
      <c r="C200" s="3" t="s">
        <v>483</v>
      </c>
      <c r="D200" s="3" t="s">
        <v>521</v>
      </c>
      <c r="E200" s="8" t="s">
        <v>358</v>
      </c>
      <c r="F200" s="8" t="s">
        <v>198</v>
      </c>
      <c r="G200" s="43">
        <v>8.3333333333333331E-5</v>
      </c>
      <c r="I200" s="43">
        <v>8.3333333333333331E-5</v>
      </c>
      <c r="J200" s="43">
        <v>8.3333333333333331E-5</v>
      </c>
      <c r="K200" s="43">
        <v>8.3333333333333331E-5</v>
      </c>
    </row>
    <row r="201" spans="1:20" x14ac:dyDescent="0.25">
      <c r="A201" s="29" t="s">
        <v>278</v>
      </c>
      <c r="B201" s="3" t="s">
        <v>473</v>
      </c>
      <c r="C201" s="3" t="s">
        <v>483</v>
      </c>
      <c r="D201" s="3" t="s">
        <v>521</v>
      </c>
      <c r="E201" s="30" t="s">
        <v>356</v>
      </c>
      <c r="F201" s="30" t="s">
        <v>357</v>
      </c>
      <c r="G201" s="43">
        <v>3.205E-9</v>
      </c>
      <c r="I201" s="43">
        <v>1.9999999999999999E-7</v>
      </c>
      <c r="J201" s="43">
        <v>1.9999999999999999E-7</v>
      </c>
      <c r="K201" s="43">
        <v>1.9999999999999999E-7</v>
      </c>
    </row>
    <row r="202" spans="1:20" x14ac:dyDescent="0.25">
      <c r="A202" s="29" t="s">
        <v>279</v>
      </c>
      <c r="B202" s="3" t="s">
        <v>473</v>
      </c>
      <c r="C202" s="3" t="s">
        <v>483</v>
      </c>
      <c r="D202" s="3" t="s">
        <v>521</v>
      </c>
      <c r="E202" s="30" t="s">
        <v>345</v>
      </c>
      <c r="F202" s="30" t="s">
        <v>109</v>
      </c>
      <c r="G202" s="43">
        <v>25</v>
      </c>
      <c r="I202" s="43">
        <v>25</v>
      </c>
      <c r="J202" s="43">
        <v>25</v>
      </c>
      <c r="K202" s="43">
        <v>25</v>
      </c>
    </row>
    <row r="203" spans="1:20" x14ac:dyDescent="0.25">
      <c r="A203" s="29" t="s">
        <v>280</v>
      </c>
      <c r="B203" s="3" t="s">
        <v>473</v>
      </c>
      <c r="C203" s="3" t="s">
        <v>483</v>
      </c>
      <c r="D203" s="3" t="s">
        <v>521</v>
      </c>
      <c r="E203" s="30" t="s">
        <v>346</v>
      </c>
      <c r="F203" s="30" t="s">
        <v>301</v>
      </c>
      <c r="G203" s="43">
        <v>0</v>
      </c>
      <c r="I203" s="43">
        <v>0</v>
      </c>
      <c r="J203" s="43">
        <v>0</v>
      </c>
      <c r="K203" s="43">
        <v>0</v>
      </c>
    </row>
    <row r="204" spans="1:20" x14ac:dyDescent="0.25">
      <c r="A204" s="29" t="s">
        <v>281</v>
      </c>
      <c r="B204" s="3" t="s">
        <v>473</v>
      </c>
      <c r="C204" s="3" t="s">
        <v>483</v>
      </c>
      <c r="D204" s="3" t="s">
        <v>521</v>
      </c>
      <c r="E204" s="30" t="s">
        <v>347</v>
      </c>
      <c r="F204" s="30" t="s">
        <v>100</v>
      </c>
      <c r="G204" s="43">
        <v>3.98</v>
      </c>
      <c r="I204" s="43">
        <v>3.98</v>
      </c>
      <c r="J204" s="43">
        <v>3.98</v>
      </c>
      <c r="K204" s="43">
        <v>3.98</v>
      </c>
    </row>
    <row r="205" spans="1:20" x14ac:dyDescent="0.25">
      <c r="A205" s="29" t="s">
        <v>282</v>
      </c>
      <c r="B205" s="3" t="s">
        <v>473</v>
      </c>
      <c r="C205" s="3" t="s">
        <v>483</v>
      </c>
      <c r="D205" s="3" t="s">
        <v>521</v>
      </c>
      <c r="E205" s="30" t="s">
        <v>348</v>
      </c>
      <c r="F205" s="30" t="s">
        <v>95</v>
      </c>
      <c r="G205" s="43">
        <v>1</v>
      </c>
      <c r="I205" s="43">
        <v>1</v>
      </c>
      <c r="J205" s="43">
        <v>1</v>
      </c>
      <c r="K205" s="43">
        <v>1</v>
      </c>
    </row>
    <row r="206" spans="1:20" x14ac:dyDescent="0.25">
      <c r="A206" s="29" t="s">
        <v>283</v>
      </c>
      <c r="B206" s="3" t="s">
        <v>473</v>
      </c>
      <c r="C206" s="3" t="s">
        <v>483</v>
      </c>
      <c r="D206" s="3" t="s">
        <v>521</v>
      </c>
      <c r="E206" s="30" t="s">
        <v>360</v>
      </c>
      <c r="F206" s="30" t="s">
        <v>359</v>
      </c>
      <c r="G206" s="43">
        <v>8.3333333333333331E-5</v>
      </c>
      <c r="I206" s="43">
        <v>8.3333333333333331E-5</v>
      </c>
      <c r="J206" s="43">
        <v>8.3333333333333331E-5</v>
      </c>
      <c r="K206" s="43">
        <v>8.3333333333333331E-5</v>
      </c>
    </row>
    <row r="207" spans="1:20" x14ac:dyDescent="0.25">
      <c r="A207" s="46" t="s">
        <v>361</v>
      </c>
      <c r="B207" s="47" t="s">
        <v>473</v>
      </c>
      <c r="C207" s="47" t="s">
        <v>483</v>
      </c>
      <c r="D207" s="3" t="s">
        <v>521</v>
      </c>
      <c r="E207" s="48" t="s">
        <v>203</v>
      </c>
      <c r="F207" s="48" t="s">
        <v>91</v>
      </c>
      <c r="G207" s="43" t="s">
        <v>89</v>
      </c>
      <c r="I207" s="43" t="s">
        <v>89</v>
      </c>
      <c r="J207" s="43" t="s">
        <v>89</v>
      </c>
      <c r="K207" s="43" t="s">
        <v>89</v>
      </c>
    </row>
    <row r="208" spans="1:20" x14ac:dyDescent="0.25">
      <c r="A208" s="2" t="s">
        <v>534</v>
      </c>
      <c r="B208" s="3" t="s">
        <v>473</v>
      </c>
      <c r="C208" s="3" t="s">
        <v>552</v>
      </c>
      <c r="D208" s="3" t="s">
        <v>553</v>
      </c>
      <c r="E208" s="30" t="s">
        <v>537</v>
      </c>
      <c r="F208" s="30" t="s">
        <v>536</v>
      </c>
      <c r="G208" s="43">
        <f>0.00002</f>
        <v>2.0000000000000002E-5</v>
      </c>
      <c r="I208" s="43">
        <f>0.0000005*0.4285*10/2.028*4</f>
        <v>4.2258382642998024E-6</v>
      </c>
      <c r="J208" s="43">
        <f>0.0000005*0.4285*10/2.028*4</f>
        <v>4.2258382642998024E-6</v>
      </c>
      <c r="K208" s="43">
        <f>0.0000005*0.4285*10/2.028*4</f>
        <v>4.2258382642998024E-6</v>
      </c>
      <c r="M208" s="1"/>
      <c r="N208" s="1"/>
      <c r="O208" s="1"/>
      <c r="P208" s="1"/>
      <c r="Q208" s="1"/>
      <c r="R208" s="1"/>
      <c r="S208" s="1"/>
      <c r="T208" s="1"/>
    </row>
    <row r="209" spans="1:20" x14ac:dyDescent="0.25">
      <c r="A209" s="2" t="s">
        <v>533</v>
      </c>
      <c r="B209" s="3" t="s">
        <v>473</v>
      </c>
      <c r="C209" s="3" t="s">
        <v>552</v>
      </c>
      <c r="D209" s="3" t="s">
        <v>553</v>
      </c>
      <c r="E209" s="30" t="s">
        <v>538</v>
      </c>
      <c r="F209" s="30" t="s">
        <v>539</v>
      </c>
      <c r="G209" s="43">
        <v>0.3</v>
      </c>
      <c r="I209" s="43">
        <v>0.25</v>
      </c>
      <c r="J209" s="43">
        <v>0.25</v>
      </c>
      <c r="K209" s="43">
        <v>0.25</v>
      </c>
      <c r="M209" s="50"/>
      <c r="N209" s="50"/>
      <c r="O209" s="50"/>
      <c r="P209" s="50"/>
      <c r="Q209" s="50"/>
      <c r="R209" s="50"/>
      <c r="S209" s="50"/>
      <c r="T209" s="50"/>
    </row>
    <row r="210" spans="1:20" x14ac:dyDescent="0.25">
      <c r="A210" s="2" t="s">
        <v>535</v>
      </c>
      <c r="B210" s="3" t="s">
        <v>473</v>
      </c>
      <c r="C210" s="3" t="s">
        <v>552</v>
      </c>
      <c r="D210" s="3" t="s">
        <v>553</v>
      </c>
      <c r="E210" s="49" t="s">
        <v>488</v>
      </c>
      <c r="F210" s="49" t="s">
        <v>487</v>
      </c>
      <c r="G210" s="43">
        <f t="shared" ref="G210:K210" si="13">0.00002 / 14</f>
        <v>1.4285714285714286E-6</v>
      </c>
      <c r="I210" s="43">
        <f t="shared" si="13"/>
        <v>1.4285714285714286E-6</v>
      </c>
      <c r="J210" s="43">
        <f t="shared" si="13"/>
        <v>1.4285714285714286E-6</v>
      </c>
      <c r="K210" s="43">
        <f t="shared" si="13"/>
        <v>1.4285714285714286E-6</v>
      </c>
      <c r="M210" s="36"/>
      <c r="N210" s="36"/>
      <c r="O210" s="36"/>
      <c r="P210" s="36"/>
      <c r="Q210" s="36"/>
      <c r="R210" s="36"/>
      <c r="S210" s="36"/>
      <c r="T210" s="36"/>
    </row>
    <row r="211" spans="1:20" x14ac:dyDescent="0.25">
      <c r="A211" s="2" t="s">
        <v>489</v>
      </c>
      <c r="B211" s="3" t="s">
        <v>473</v>
      </c>
      <c r="C211" s="3" t="s">
        <v>552</v>
      </c>
      <c r="D211" s="3" t="s">
        <v>553</v>
      </c>
      <c r="E211" s="49" t="s">
        <v>490</v>
      </c>
      <c r="F211" s="49" t="s">
        <v>491</v>
      </c>
      <c r="G211" s="43" t="s">
        <v>485</v>
      </c>
      <c r="I211" s="43" t="s">
        <v>485</v>
      </c>
      <c r="J211" s="43" t="s">
        <v>485</v>
      </c>
      <c r="K211" s="43" t="s">
        <v>485</v>
      </c>
      <c r="M211" s="36"/>
      <c r="N211" s="36"/>
      <c r="O211" s="36"/>
      <c r="P211" s="36"/>
      <c r="Q211" s="36"/>
      <c r="R211" s="36"/>
      <c r="S211" s="36"/>
      <c r="T211" s="36"/>
    </row>
    <row r="212" spans="1:20" x14ac:dyDescent="0.25">
      <c r="A212" s="2" t="s">
        <v>492</v>
      </c>
      <c r="B212" s="3" t="s">
        <v>473</v>
      </c>
      <c r="C212" s="3" t="s">
        <v>552</v>
      </c>
      <c r="D212" s="3" t="s">
        <v>553</v>
      </c>
      <c r="E212" s="49" t="s">
        <v>493</v>
      </c>
      <c r="F212" s="49" t="s">
        <v>491</v>
      </c>
      <c r="G212" s="43">
        <v>0</v>
      </c>
      <c r="I212" s="43">
        <v>0</v>
      </c>
      <c r="J212" s="43">
        <v>0</v>
      </c>
      <c r="K212" s="43">
        <v>0</v>
      </c>
      <c r="M212" s="36"/>
      <c r="N212" s="36"/>
      <c r="O212" s="36"/>
      <c r="P212" s="36"/>
      <c r="Q212" s="36"/>
      <c r="R212" s="36"/>
      <c r="S212" s="36"/>
      <c r="T212" s="36"/>
    </row>
    <row r="213" spans="1:20" x14ac:dyDescent="0.25">
      <c r="A213" s="2" t="s">
        <v>494</v>
      </c>
      <c r="B213" s="3" t="s">
        <v>473</v>
      </c>
      <c r="C213" s="3" t="s">
        <v>552</v>
      </c>
      <c r="D213" s="3" t="s">
        <v>553</v>
      </c>
      <c r="E213" s="49" t="s">
        <v>495</v>
      </c>
      <c r="F213" s="49" t="s">
        <v>491</v>
      </c>
      <c r="G213" s="43">
        <v>1E-3</v>
      </c>
      <c r="I213" s="43">
        <v>1E-3</v>
      </c>
      <c r="J213" s="43">
        <v>1E-3</v>
      </c>
      <c r="K213" s="43">
        <v>1E-3</v>
      </c>
      <c r="M213" s="36"/>
      <c r="N213" s="36"/>
      <c r="O213" s="36"/>
      <c r="P213" s="36"/>
      <c r="Q213" s="36"/>
      <c r="R213" s="36"/>
      <c r="S213" s="36"/>
      <c r="T213" s="36"/>
    </row>
    <row r="214" spans="1:20" x14ac:dyDescent="0.25">
      <c r="A214" s="2" t="s">
        <v>496</v>
      </c>
      <c r="B214" s="3" t="s">
        <v>473</v>
      </c>
      <c r="C214" s="3" t="s">
        <v>483</v>
      </c>
      <c r="D214" s="3" t="s">
        <v>521</v>
      </c>
      <c r="E214" s="49" t="s">
        <v>497</v>
      </c>
      <c r="F214" s="49" t="s">
        <v>498</v>
      </c>
      <c r="G214" s="43">
        <f>1.25*0.000001</f>
        <v>1.2499999999999999E-6</v>
      </c>
      <c r="I214" s="43">
        <f>1250*0.000001/5</f>
        <v>2.5000000000000001E-4</v>
      </c>
      <c r="J214" s="43">
        <f>1250*0.000001/5</f>
        <v>2.5000000000000001E-4</v>
      </c>
      <c r="K214" s="43">
        <f>1250*0.000001/5</f>
        <v>2.5000000000000001E-4</v>
      </c>
      <c r="M214" s="50"/>
      <c r="N214" s="50"/>
      <c r="O214" s="50"/>
      <c r="P214" s="50"/>
      <c r="Q214" s="50"/>
      <c r="R214" s="50"/>
      <c r="S214" s="50"/>
      <c r="T214" s="50"/>
    </row>
    <row r="215" spans="1:20" x14ac:dyDescent="0.25">
      <c r="A215" s="2" t="s">
        <v>499</v>
      </c>
      <c r="B215" s="3" t="s">
        <v>473</v>
      </c>
      <c r="C215" s="3" t="s">
        <v>483</v>
      </c>
      <c r="D215" s="3" t="s">
        <v>521</v>
      </c>
      <c r="E215" s="49" t="s">
        <v>500</v>
      </c>
      <c r="F215" s="49" t="s">
        <v>501</v>
      </c>
      <c r="G215" s="43">
        <v>2.0000000000000001E-4</v>
      </c>
      <c r="I215" s="43">
        <v>2.0000000000000001E-4</v>
      </c>
      <c r="J215" s="43">
        <v>2.0000000000000001E-4</v>
      </c>
      <c r="K215" s="43">
        <v>2.0000000000000001E-4</v>
      </c>
      <c r="M215" s="50"/>
      <c r="N215" s="50"/>
      <c r="O215" s="50"/>
      <c r="P215" s="50"/>
      <c r="Q215" s="50"/>
      <c r="R215" s="50"/>
      <c r="S215" s="50"/>
      <c r="T215" s="50"/>
    </row>
    <row r="216" spans="1:20" x14ac:dyDescent="0.25">
      <c r="A216" s="2" t="s">
        <v>502</v>
      </c>
      <c r="B216" s="3" t="s">
        <v>473</v>
      </c>
      <c r="C216" s="3" t="s">
        <v>483</v>
      </c>
      <c r="D216" s="3" t="s">
        <v>521</v>
      </c>
      <c r="E216" s="49" t="s">
        <v>503</v>
      </c>
      <c r="F216" s="49" t="s">
        <v>504</v>
      </c>
      <c r="G216" s="43">
        <v>2.4999999999999998E-12</v>
      </c>
      <c r="I216" s="43">
        <f t="shared" ref="I216:K216" si="14" xml:space="preserve"> 0.0000000000025*10</f>
        <v>2.4999999999999998E-11</v>
      </c>
      <c r="J216" s="43">
        <f t="shared" si="14"/>
        <v>2.4999999999999998E-11</v>
      </c>
      <c r="K216" s="43">
        <f t="shared" si="14"/>
        <v>2.4999999999999998E-11</v>
      </c>
      <c r="M216" s="50"/>
      <c r="N216" s="50"/>
      <c r="O216" s="50"/>
      <c r="P216" s="50"/>
      <c r="Q216" s="50"/>
      <c r="R216" s="50"/>
      <c r="S216" s="50"/>
      <c r="T216" s="50"/>
    </row>
    <row r="217" spans="1:20" x14ac:dyDescent="0.25">
      <c r="A217" s="2" t="s">
        <v>568</v>
      </c>
      <c r="B217" s="3" t="s">
        <v>473</v>
      </c>
      <c r="C217" s="3" t="s">
        <v>483</v>
      </c>
      <c r="D217" s="3" t="s">
        <v>521</v>
      </c>
      <c r="E217" s="49" t="s">
        <v>569</v>
      </c>
      <c r="F217" s="49" t="s">
        <v>504</v>
      </c>
      <c r="G217" s="43">
        <v>2.4999999999999998E-12</v>
      </c>
      <c r="I217" s="43">
        <f>I164</f>
        <v>4.9999999999999999E-13</v>
      </c>
      <c r="J217" s="43">
        <f>J164</f>
        <v>4.9999999999999999E-13</v>
      </c>
      <c r="K217" s="43">
        <f>K164</f>
        <v>4.9999999999999999E-13</v>
      </c>
      <c r="M217" s="50"/>
      <c r="N217" s="50"/>
      <c r="O217" s="50"/>
      <c r="P217" s="50"/>
      <c r="Q217" s="50"/>
      <c r="R217" s="50"/>
      <c r="S217" s="50"/>
      <c r="T217" s="50"/>
    </row>
    <row r="218" spans="1:20" x14ac:dyDescent="0.25">
      <c r="A218" s="2" t="s">
        <v>505</v>
      </c>
      <c r="B218" s="3" t="s">
        <v>473</v>
      </c>
      <c r="C218" s="3" t="s">
        <v>483</v>
      </c>
      <c r="D218" s="3" t="s">
        <v>521</v>
      </c>
      <c r="E218" s="49" t="s">
        <v>506</v>
      </c>
      <c r="F218" s="49" t="s">
        <v>504</v>
      </c>
      <c r="G218" s="43">
        <v>1.2E-8</v>
      </c>
      <c r="I218" s="43">
        <f>0.00000000005 *2</f>
        <v>1E-10</v>
      </c>
      <c r="J218" s="43">
        <f>0.00000000005 *2</f>
        <v>1E-10</v>
      </c>
      <c r="K218" s="43">
        <f>0.00000000005 *2</f>
        <v>1E-10</v>
      </c>
      <c r="M218" s="50"/>
      <c r="N218" s="50"/>
      <c r="O218" s="50"/>
      <c r="P218" s="50"/>
      <c r="Q218" s="50"/>
      <c r="R218" s="50"/>
      <c r="S218" s="50"/>
      <c r="T218" s="50"/>
    </row>
    <row r="219" spans="1:20" x14ac:dyDescent="0.25">
      <c r="A219" s="2" t="s">
        <v>565</v>
      </c>
      <c r="B219" s="3" t="s">
        <v>473</v>
      </c>
      <c r="C219" s="3" t="s">
        <v>483</v>
      </c>
      <c r="D219" s="3" t="s">
        <v>521</v>
      </c>
      <c r="E219" s="49" t="s">
        <v>506</v>
      </c>
      <c r="F219" s="49" t="s">
        <v>504</v>
      </c>
      <c r="G219" s="43">
        <v>1.2E-8</v>
      </c>
      <c r="I219" s="43">
        <f>I218/10/4</f>
        <v>2.5000000000000003E-12</v>
      </c>
      <c r="J219" s="43">
        <f>J218</f>
        <v>1E-10</v>
      </c>
      <c r="K219" s="43">
        <f>K218</f>
        <v>1E-10</v>
      </c>
      <c r="M219" s="50"/>
      <c r="N219" s="50"/>
      <c r="O219" s="50"/>
      <c r="P219" s="50"/>
      <c r="Q219" s="50"/>
      <c r="R219" s="50"/>
      <c r="S219" s="50"/>
      <c r="T219" s="50"/>
    </row>
    <row r="220" spans="1:20" x14ac:dyDescent="0.25">
      <c r="A220" s="2" t="s">
        <v>545</v>
      </c>
      <c r="B220" s="3" t="s">
        <v>473</v>
      </c>
      <c r="C220" s="3" t="s">
        <v>483</v>
      </c>
      <c r="D220" s="3" t="s">
        <v>521</v>
      </c>
      <c r="E220" s="49" t="s">
        <v>506</v>
      </c>
      <c r="F220" s="49" t="s">
        <v>511</v>
      </c>
      <c r="G220" s="43"/>
      <c r="I220" s="43">
        <f>0.00000001</f>
        <v>1E-8</v>
      </c>
      <c r="J220" s="43">
        <v>0</v>
      </c>
      <c r="K220" s="43">
        <v>0</v>
      </c>
      <c r="M220" s="50"/>
      <c r="N220" s="50"/>
      <c r="O220" s="50"/>
      <c r="P220" s="50"/>
      <c r="Q220" s="50"/>
      <c r="R220" s="50"/>
      <c r="S220" s="50"/>
      <c r="T220" s="50"/>
    </row>
    <row r="221" spans="1:20" x14ac:dyDescent="0.25">
      <c r="A221" s="2" t="s">
        <v>546</v>
      </c>
      <c r="B221" s="3" t="s">
        <v>473</v>
      </c>
      <c r="C221" s="3" t="s">
        <v>483</v>
      </c>
      <c r="D221" s="3" t="s">
        <v>521</v>
      </c>
      <c r="E221" s="49" t="s">
        <v>549</v>
      </c>
      <c r="F221" s="49" t="s">
        <v>487</v>
      </c>
      <c r="G221" s="43"/>
      <c r="I221" s="43">
        <f>100</f>
        <v>100</v>
      </c>
      <c r="J221" s="43">
        <f>100</f>
        <v>100</v>
      </c>
      <c r="K221" s="43">
        <f>100</f>
        <v>100</v>
      </c>
      <c r="M221" s="50"/>
      <c r="N221" s="50"/>
      <c r="O221" s="50"/>
      <c r="P221" s="50"/>
      <c r="Q221" s="50"/>
      <c r="R221" s="50"/>
      <c r="S221" s="50"/>
      <c r="T221" s="50"/>
    </row>
    <row r="222" spans="1:20" x14ac:dyDescent="0.25">
      <c r="A222" s="2" t="s">
        <v>562</v>
      </c>
      <c r="B222" s="3" t="s">
        <v>473</v>
      </c>
      <c r="C222" s="3" t="s">
        <v>483</v>
      </c>
      <c r="D222" s="3" t="s">
        <v>521</v>
      </c>
      <c r="E222" s="49" t="s">
        <v>507</v>
      </c>
      <c r="F222" s="49" t="s">
        <v>508</v>
      </c>
      <c r="G222" s="43">
        <v>9.9999999999999995E-8</v>
      </c>
      <c r="I222" s="43">
        <f>0.000001 / 10000 / 4 / 10 /5</f>
        <v>4.9999999999999999E-13</v>
      </c>
      <c r="J222" s="43">
        <f>0.000001 / 10000 / 4 / 10 /5</f>
        <v>4.9999999999999999E-13</v>
      </c>
      <c r="K222" s="43">
        <f>0.000001 / 10000 / 4 / 10 /5</f>
        <v>4.9999999999999999E-13</v>
      </c>
      <c r="M222" s="50"/>
      <c r="N222" s="50"/>
      <c r="O222" s="50"/>
      <c r="P222" s="50"/>
      <c r="Q222" s="50"/>
      <c r="R222" s="50"/>
      <c r="S222" s="50"/>
      <c r="T222" s="50"/>
    </row>
    <row r="223" spans="1:20" x14ac:dyDescent="0.25">
      <c r="A223" s="2" t="s">
        <v>563</v>
      </c>
      <c r="B223" s="3" t="s">
        <v>473</v>
      </c>
      <c r="C223" s="3" t="s">
        <v>483</v>
      </c>
      <c r="D223" s="3" t="s">
        <v>521</v>
      </c>
      <c r="E223" s="49" t="s">
        <v>507</v>
      </c>
      <c r="F223" s="49" t="s">
        <v>508</v>
      </c>
      <c r="G223" s="43">
        <v>9.9999999999999995E-8</v>
      </c>
      <c r="I223" s="43">
        <v>0</v>
      </c>
      <c r="J223" s="43">
        <v>0</v>
      </c>
      <c r="K223" s="43">
        <v>0</v>
      </c>
      <c r="M223" s="50"/>
      <c r="N223" s="50"/>
      <c r="O223" s="50"/>
      <c r="P223" s="50"/>
      <c r="Q223" s="50"/>
      <c r="R223" s="50"/>
      <c r="S223" s="50"/>
      <c r="T223" s="50"/>
    </row>
    <row r="224" spans="1:20" x14ac:dyDescent="0.25">
      <c r="A224" s="2" t="s">
        <v>509</v>
      </c>
      <c r="B224" s="3" t="s">
        <v>473</v>
      </c>
      <c r="C224" s="3" t="s">
        <v>483</v>
      </c>
      <c r="D224" s="3" t="s">
        <v>521</v>
      </c>
      <c r="E224" s="49" t="s">
        <v>510</v>
      </c>
      <c r="F224" s="49" t="s">
        <v>511</v>
      </c>
      <c r="G224" s="43">
        <f>2*0.00001</f>
        <v>2.0000000000000002E-5</v>
      </c>
      <c r="I224" s="43">
        <f>0.00001 / 10 / 5 / 10 * 6</f>
        <v>1.2000000000000002E-7</v>
      </c>
      <c r="J224" s="43">
        <f>0.00001 / 10 / 5 / 10 * 6</f>
        <v>1.2000000000000002E-7</v>
      </c>
      <c r="K224" s="43">
        <f>0.00001 / 10 / 5 / 10 * 6</f>
        <v>1.2000000000000002E-7</v>
      </c>
      <c r="M224" s="50"/>
      <c r="N224" s="50"/>
      <c r="O224" s="50"/>
      <c r="P224" s="50"/>
      <c r="Q224" s="50"/>
      <c r="R224" s="50"/>
      <c r="S224" s="50"/>
      <c r="T224" s="50"/>
    </row>
    <row r="225" spans="1:35" x14ac:dyDescent="0.25">
      <c r="A225" s="2" t="s">
        <v>543</v>
      </c>
      <c r="B225" s="3" t="s">
        <v>473</v>
      </c>
      <c r="C225" s="3" t="s">
        <v>483</v>
      </c>
      <c r="D225" s="3" t="s">
        <v>521</v>
      </c>
      <c r="E225" s="49" t="s">
        <v>544</v>
      </c>
      <c r="F225" s="49" t="s">
        <v>511</v>
      </c>
      <c r="G225" s="43"/>
      <c r="I225" s="43">
        <f xml:space="preserve"> 0.001</f>
        <v>1E-3</v>
      </c>
      <c r="J225" s="43">
        <f xml:space="preserve"> 0.001</f>
        <v>1E-3</v>
      </c>
      <c r="K225" s="43">
        <f xml:space="preserve"> 0.001</f>
        <v>1E-3</v>
      </c>
      <c r="M225" s="50"/>
      <c r="N225" s="50"/>
      <c r="O225" s="50"/>
      <c r="P225" s="50"/>
      <c r="Q225" s="50"/>
      <c r="R225" s="50"/>
      <c r="S225" s="50"/>
      <c r="T225" s="50"/>
    </row>
    <row r="226" spans="1:35" x14ac:dyDescent="0.25">
      <c r="A226" s="2" t="s">
        <v>547</v>
      </c>
      <c r="B226" s="3" t="s">
        <v>473</v>
      </c>
      <c r="C226" s="3" t="s">
        <v>483</v>
      </c>
      <c r="D226" s="3" t="s">
        <v>521</v>
      </c>
      <c r="E226" s="49" t="s">
        <v>548</v>
      </c>
      <c r="F226" s="49" t="s">
        <v>511</v>
      </c>
      <c r="G226" s="54">
        <v>1.0000000000000001E-5</v>
      </c>
      <c r="I226" s="43">
        <f>0.00001 /5 /2/4 * 4 * 0.6 * 10*2</f>
        <v>1.2000000000000002E-5</v>
      </c>
      <c r="J226" s="43">
        <f>0.00001 /5 /2/4 * 4 * 0.6 * 10*2</f>
        <v>1.2000000000000002E-5</v>
      </c>
      <c r="K226" s="43">
        <f>0.00001 /5 /2/4 * 4 * 0.6 * 10*2</f>
        <v>1.2000000000000002E-5</v>
      </c>
      <c r="M226" s="50"/>
      <c r="N226" s="50"/>
      <c r="O226" s="50"/>
      <c r="P226" s="50"/>
      <c r="Q226" s="50"/>
      <c r="R226" s="50"/>
      <c r="S226" s="50"/>
      <c r="T226" s="50"/>
    </row>
    <row r="227" spans="1:35" ht="14.25" customHeight="1" x14ac:dyDescent="0.25">
      <c r="A227" s="52" t="s">
        <v>517</v>
      </c>
      <c r="B227" s="3" t="s">
        <v>473</v>
      </c>
      <c r="C227" s="3" t="s">
        <v>518</v>
      </c>
      <c r="D227" s="3" t="s">
        <v>521</v>
      </c>
      <c r="E227" s="49" t="s">
        <v>519</v>
      </c>
      <c r="F227" s="49" t="s">
        <v>520</v>
      </c>
      <c r="G227" s="43">
        <v>9.9999999999999995E-8</v>
      </c>
      <c r="I227" s="43">
        <f>0.0000001</f>
        <v>9.9999999999999995E-8</v>
      </c>
      <c r="J227" s="43">
        <f>0.0000001</f>
        <v>9.9999999999999995E-8</v>
      </c>
      <c r="K227" s="43">
        <f>0.0000001</f>
        <v>9.9999999999999995E-8</v>
      </c>
    </row>
    <row r="228" spans="1:35" x14ac:dyDescent="0.25">
      <c r="A228" s="2" t="s">
        <v>523</v>
      </c>
      <c r="B228" s="3" t="s">
        <v>473</v>
      </c>
      <c r="C228" s="3" t="s">
        <v>483</v>
      </c>
      <c r="D228" s="3" t="s">
        <v>521</v>
      </c>
      <c r="E228" s="49" t="s">
        <v>524</v>
      </c>
      <c r="F228" s="49" t="s">
        <v>487</v>
      </c>
      <c r="G228" s="43">
        <v>0.2</v>
      </c>
      <c r="I228" s="43">
        <v>0.2</v>
      </c>
      <c r="J228" s="43">
        <v>0.2</v>
      </c>
      <c r="K228" s="43">
        <v>0.2</v>
      </c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</row>
    <row r="229" spans="1:35" x14ac:dyDescent="0.25">
      <c r="A229" s="2" t="s">
        <v>525</v>
      </c>
      <c r="B229" s="3" t="s">
        <v>473</v>
      </c>
      <c r="C229" s="3" t="s">
        <v>552</v>
      </c>
      <c r="D229" s="3" t="s">
        <v>553</v>
      </c>
      <c r="E229" s="49" t="s">
        <v>526</v>
      </c>
      <c r="F229" s="49" t="s">
        <v>491</v>
      </c>
      <c r="G229" s="43" t="s">
        <v>485</v>
      </c>
      <c r="I229" s="43" t="s">
        <v>485</v>
      </c>
      <c r="J229" s="43" t="s">
        <v>485</v>
      </c>
      <c r="K229" s="43" t="s">
        <v>485</v>
      </c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</row>
    <row r="230" spans="1:35" x14ac:dyDescent="0.25">
      <c r="A230" s="2" t="s">
        <v>527</v>
      </c>
      <c r="B230" s="3" t="s">
        <v>473</v>
      </c>
      <c r="C230" s="3" t="s">
        <v>552</v>
      </c>
      <c r="D230" s="3" t="s">
        <v>553</v>
      </c>
      <c r="E230" s="49" t="s">
        <v>528</v>
      </c>
      <c r="F230" s="49" t="s">
        <v>491</v>
      </c>
      <c r="G230" s="43">
        <f t="shared" ref="G230:K230" si="15">2*0.1</f>
        <v>0.2</v>
      </c>
      <c r="I230" s="43">
        <f t="shared" si="15"/>
        <v>0.2</v>
      </c>
      <c r="J230" s="43">
        <f t="shared" si="15"/>
        <v>0.2</v>
      </c>
      <c r="K230" s="43">
        <f t="shared" si="15"/>
        <v>0.2</v>
      </c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</row>
    <row r="231" spans="1:35" x14ac:dyDescent="0.25">
      <c r="A231" s="2" t="s">
        <v>529</v>
      </c>
      <c r="B231" s="3" t="s">
        <v>473</v>
      </c>
      <c r="C231" s="3" t="s">
        <v>552</v>
      </c>
      <c r="D231" s="3" t="s">
        <v>553</v>
      </c>
      <c r="E231" s="49" t="s">
        <v>530</v>
      </c>
      <c r="F231" s="49" t="s">
        <v>491</v>
      </c>
      <c r="G231" s="43">
        <v>1E-3</v>
      </c>
      <c r="I231" s="43">
        <v>1E-3</v>
      </c>
      <c r="J231" s="43">
        <v>1E-3</v>
      </c>
      <c r="K231" s="43">
        <v>1E-3</v>
      </c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</row>
    <row r="232" spans="1:35" x14ac:dyDescent="0.25">
      <c r="A232" s="2" t="s">
        <v>531</v>
      </c>
      <c r="B232" s="3" t="s">
        <v>473</v>
      </c>
      <c r="C232" s="3" t="s">
        <v>483</v>
      </c>
      <c r="D232" s="3" t="s">
        <v>521</v>
      </c>
      <c r="E232" s="49" t="s">
        <v>532</v>
      </c>
      <c r="F232" s="49" t="s">
        <v>542</v>
      </c>
      <c r="G232" s="43">
        <v>1.0000000000000001E-5</v>
      </c>
      <c r="I232" s="43">
        <f>0.00001 / 2 * 10 /2 / 3 / 3 / 3</f>
        <v>9.2592592592592594E-7</v>
      </c>
      <c r="J232" s="43">
        <f>0.00001 / 2</f>
        <v>5.0000000000000004E-6</v>
      </c>
      <c r="K232" s="43">
        <f>0.00001 / 2</f>
        <v>5.0000000000000004E-6</v>
      </c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spans="1:35" x14ac:dyDescent="0.25">
      <c r="A233" s="2" t="s">
        <v>550</v>
      </c>
      <c r="B233" s="3" t="s">
        <v>473</v>
      </c>
      <c r="C233" s="3" t="s">
        <v>483</v>
      </c>
      <c r="D233" s="3" t="s">
        <v>521</v>
      </c>
      <c r="E233" s="49" t="s">
        <v>551</v>
      </c>
      <c r="F233" s="49" t="s">
        <v>491</v>
      </c>
      <c r="G233" s="55">
        <v>1.0000000000000001E-5</v>
      </c>
      <c r="I233" s="43">
        <f>0.000000005 / 5 *10 / 2 / 3 / 2 / 2</f>
        <v>4.1666666666666668E-10</v>
      </c>
      <c r="J233" s="43">
        <f>0.000000005 / 5</f>
        <v>1.0000000000000001E-9</v>
      </c>
      <c r="K233" s="43">
        <f>0.000000005 / 5</f>
        <v>1.0000000000000001E-9</v>
      </c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</row>
    <row r="234" spans="1:35" x14ac:dyDescent="0.25">
      <c r="A234" s="2" t="s">
        <v>540</v>
      </c>
      <c r="B234" s="3" t="s">
        <v>473</v>
      </c>
      <c r="C234" s="3" t="s">
        <v>552</v>
      </c>
      <c r="D234" s="3" t="s">
        <v>553</v>
      </c>
      <c r="E234" s="30" t="s">
        <v>537</v>
      </c>
      <c r="F234" s="30" t="s">
        <v>536</v>
      </c>
      <c r="G234" s="43">
        <f t="shared" ref="G234" si="16">0.00002 / 14 / 5</f>
        <v>2.8571428571428575E-7</v>
      </c>
      <c r="I234" s="43">
        <v>0</v>
      </c>
      <c r="J234" s="43">
        <v>0</v>
      </c>
      <c r="K234" s="43">
        <v>0</v>
      </c>
      <c r="M234" s="1"/>
      <c r="N234" s="1"/>
      <c r="O234" s="1"/>
      <c r="P234" s="1"/>
      <c r="Q234" s="1"/>
      <c r="R234" s="1"/>
      <c r="S234" s="1"/>
      <c r="T234" s="1"/>
    </row>
    <row r="235" spans="1:35" x14ac:dyDescent="0.25">
      <c r="A235" s="2" t="s">
        <v>541</v>
      </c>
      <c r="B235" s="3" t="s">
        <v>473</v>
      </c>
      <c r="C235" s="3" t="s">
        <v>552</v>
      </c>
      <c r="D235" s="3" t="s">
        <v>553</v>
      </c>
      <c r="E235" s="30" t="s">
        <v>537</v>
      </c>
      <c r="F235" s="30" t="s">
        <v>536</v>
      </c>
      <c r="G235" s="43">
        <f t="shared" ref="G235" si="17">0.00002 / 14 / 5 /10</f>
        <v>2.8571428571428575E-8</v>
      </c>
      <c r="I235" s="43">
        <v>0</v>
      </c>
      <c r="J235" s="43">
        <v>0</v>
      </c>
      <c r="K235" s="43">
        <v>0</v>
      </c>
      <c r="M235" s="1"/>
      <c r="N235" s="1"/>
      <c r="O235" s="1"/>
      <c r="P235" s="1"/>
      <c r="Q235" s="1"/>
      <c r="R235" s="1"/>
      <c r="S235" s="1"/>
      <c r="T235" s="1"/>
    </row>
    <row r="236" spans="1:35" x14ac:dyDescent="0.25">
      <c r="A236" s="1" t="s">
        <v>554</v>
      </c>
      <c r="B236" s="3" t="s">
        <v>473</v>
      </c>
      <c r="C236" s="3" t="s">
        <v>483</v>
      </c>
      <c r="D236" s="3" t="s">
        <v>521</v>
      </c>
      <c r="E236" s="30" t="s">
        <v>555</v>
      </c>
      <c r="F236" s="30" t="s">
        <v>486</v>
      </c>
      <c r="G236" s="43">
        <v>-1</v>
      </c>
      <c r="I236" s="43" t="s">
        <v>86</v>
      </c>
      <c r="J236" s="43" t="s">
        <v>86</v>
      </c>
      <c r="K236" s="43" t="s">
        <v>86</v>
      </c>
      <c r="M236" s="1"/>
      <c r="N236" s="1"/>
      <c r="O236" s="1"/>
      <c r="P236" s="1"/>
      <c r="Q236" s="1"/>
      <c r="R236" s="1"/>
      <c r="S236" s="1"/>
      <c r="T236" s="1"/>
    </row>
    <row r="237" spans="1:35" x14ac:dyDescent="0.25">
      <c r="A237" s="21" t="s">
        <v>559</v>
      </c>
      <c r="B237" s="3" t="s">
        <v>473</v>
      </c>
      <c r="C237" s="3" t="s">
        <v>483</v>
      </c>
      <c r="D237" s="3" t="s">
        <v>521</v>
      </c>
      <c r="E237" s="22" t="s">
        <v>560</v>
      </c>
      <c r="F237" s="22" t="s">
        <v>561</v>
      </c>
      <c r="G237" s="43">
        <v>1.0000000000000001E-9</v>
      </c>
      <c r="I237" s="43">
        <f>0.0000000000005* (6 * 12 / 0.44) * 0.0173 / 14 / 1.4 / 10 / 2 * 2</f>
        <v>7.221706864564007E-15</v>
      </c>
      <c r="J237" s="43">
        <f>0.0000000000005* (6 * 12 / 0.44) * 0.0173 / 14 / 1.4 / 10 / 2 /2</f>
        <v>1.8054267161410017E-15</v>
      </c>
      <c r="K237" s="43">
        <f>0.0000000000005* (6 * 12 / 0.44) * 0.0173 / 14 / 1.4 / 10 / 2 /2</f>
        <v>1.8054267161410017E-15</v>
      </c>
    </row>
    <row r="238" spans="1:35" x14ac:dyDescent="0.25">
      <c r="A238" s="21" t="s">
        <v>566</v>
      </c>
      <c r="B238" s="3" t="s">
        <v>473</v>
      </c>
      <c r="C238" s="3" t="s">
        <v>483</v>
      </c>
      <c r="D238" s="3" t="s">
        <v>521</v>
      </c>
      <c r="E238" s="22" t="s">
        <v>560</v>
      </c>
      <c r="F238" s="22" t="s">
        <v>561</v>
      </c>
      <c r="G238" s="43">
        <v>1.0000000000000001E-9</v>
      </c>
      <c r="I238" s="43">
        <f>0.000001/3600/10/10</f>
        <v>2.7777777777777777E-12</v>
      </c>
      <c r="J238" s="43">
        <f>0.000001/3600/10/10</f>
        <v>2.7777777777777777E-12</v>
      </c>
      <c r="K238" s="43">
        <f>0.000001/3600/10/10</f>
        <v>2.7777777777777777E-12</v>
      </c>
    </row>
    <row r="239" spans="1:35" x14ac:dyDescent="0.25">
      <c r="A239" s="2" t="s">
        <v>577</v>
      </c>
      <c r="B239" s="3" t="s">
        <v>473</v>
      </c>
      <c r="C239" s="3" t="s">
        <v>483</v>
      </c>
      <c r="D239" s="3" t="s">
        <v>521</v>
      </c>
      <c r="E239" s="49" t="s">
        <v>578</v>
      </c>
      <c r="F239" s="49" t="s">
        <v>579</v>
      </c>
      <c r="G239" s="49">
        <v>0.1</v>
      </c>
      <c r="I239" s="43">
        <v>0.1</v>
      </c>
      <c r="J239" s="43">
        <v>0.1</v>
      </c>
      <c r="K239" s="43">
        <v>0.1</v>
      </c>
    </row>
  </sheetData>
  <phoneticPr fontId="19" type="noConversion"/>
  <conditionalFormatting sqref="G2">
    <cfRule type="colorScale" priority="5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 G5">
    <cfRule type="colorScale" priority="5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">
    <cfRule type="colorScale" priority="5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">
    <cfRule type="colorScale" priority="5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">
    <cfRule type="colorScale" priority="5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">
    <cfRule type="colorScale" priority="5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">
    <cfRule type="colorScale" priority="5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">
    <cfRule type="colorScale" priority="57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">
    <cfRule type="colorScale" priority="5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">
    <cfRule type="colorScale" priority="57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">
    <cfRule type="colorScale" priority="5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">
    <cfRule type="colorScale" priority="5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">
    <cfRule type="colorScale" priority="5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">
    <cfRule type="colorScale" priority="5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">
    <cfRule type="colorScale" priority="5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5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57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">
    <cfRule type="colorScale" priority="57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">
    <cfRule type="colorScale" priority="5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">
    <cfRule type="colorScale" priority="5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4:G25">
    <cfRule type="colorScale" priority="6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6">
    <cfRule type="colorScale" priority="5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7">
    <cfRule type="colorScale" priority="5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8">
    <cfRule type="colorScale" priority="5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9">
    <cfRule type="colorScale" priority="5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">
    <cfRule type="colorScale" priority="5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1">
    <cfRule type="colorScale" priority="5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">
    <cfRule type="colorScale" priority="5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3">
    <cfRule type="colorScale" priority="5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4">
    <cfRule type="colorScale" priority="57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5">
    <cfRule type="colorScale" priority="57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6">
    <cfRule type="colorScale" priority="5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">
    <cfRule type="colorScale" priority="5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8">
    <cfRule type="colorScale" priority="5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9">
    <cfRule type="colorScale" priority="5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0">
    <cfRule type="colorScale" priority="5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1">
    <cfRule type="colorScale" priority="57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2">
    <cfRule type="colorScale" priority="5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">
    <cfRule type="colorScale" priority="5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">
    <cfRule type="colorScale" priority="5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5">
    <cfRule type="colorScale" priority="57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6">
    <cfRule type="colorScale" priority="5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7">
    <cfRule type="colorScale" priority="5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8">
    <cfRule type="colorScale" priority="5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9">
    <cfRule type="colorScale" priority="5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0">
    <cfRule type="colorScale" priority="5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1">
    <cfRule type="colorScale" priority="57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2">
    <cfRule type="colorScale" priority="57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3">
    <cfRule type="colorScale" priority="5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">
    <cfRule type="colorScale" priority="5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5">
    <cfRule type="colorScale" priority="57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6">
    <cfRule type="colorScale" priority="5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7">
    <cfRule type="colorScale" priority="57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8">
    <cfRule type="colorScale" priority="5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9">
    <cfRule type="colorScale" priority="5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0">
    <cfRule type="colorScale" priority="5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1">
    <cfRule type="colorScale" priority="58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2">
    <cfRule type="colorScale" priority="5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3">
    <cfRule type="colorScale" priority="5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4">
    <cfRule type="colorScale" priority="5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5">
    <cfRule type="colorScale" priority="58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6">
    <cfRule type="colorScale" priority="5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7">
    <cfRule type="colorScale" priority="58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8">
    <cfRule type="colorScale" priority="5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9">
    <cfRule type="colorScale" priority="5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0">
    <cfRule type="colorScale" priority="5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1">
    <cfRule type="colorScale" priority="5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2">
    <cfRule type="colorScale" priority="5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3">
    <cfRule type="colorScale" priority="5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4">
    <cfRule type="colorScale" priority="5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5">
    <cfRule type="colorScale" priority="5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6">
    <cfRule type="colorScale" priority="5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7">
    <cfRule type="colorScale" priority="58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8">
    <cfRule type="colorScale" priority="5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9">
    <cfRule type="colorScale" priority="5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0">
    <cfRule type="colorScale" priority="5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1">
    <cfRule type="colorScale" priority="5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2">
    <cfRule type="colorScale" priority="5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3">
    <cfRule type="colorScale" priority="5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4">
    <cfRule type="colorScale" priority="5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5">
    <cfRule type="colorScale" priority="5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6">
    <cfRule type="colorScale" priority="5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7">
    <cfRule type="colorScale" priority="5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8">
    <cfRule type="colorScale" priority="5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9">
    <cfRule type="colorScale" priority="5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0">
    <cfRule type="colorScale" priority="5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1">
    <cfRule type="colorScale" priority="5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2">
    <cfRule type="colorScale" priority="5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3">
    <cfRule type="colorScale" priority="5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4">
    <cfRule type="colorScale" priority="5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5">
    <cfRule type="colorScale" priority="5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6">
    <cfRule type="colorScale" priority="5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7">
    <cfRule type="colorScale" priority="5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8">
    <cfRule type="colorScale" priority="5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9">
    <cfRule type="colorScale" priority="5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0">
    <cfRule type="colorScale" priority="5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1">
    <cfRule type="colorScale" priority="5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2">
    <cfRule type="colorScale" priority="5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3">
    <cfRule type="colorScale" priority="5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4">
    <cfRule type="colorScale" priority="5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5">
    <cfRule type="colorScale" priority="5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6">
    <cfRule type="colorScale" priority="5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7">
    <cfRule type="colorScale" priority="5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8">
    <cfRule type="colorScale" priority="5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9">
    <cfRule type="colorScale" priority="5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0">
    <cfRule type="colorScale" priority="5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1">
    <cfRule type="colorScale" priority="5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2">
    <cfRule type="colorScale" priority="5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3">
    <cfRule type="colorScale" priority="5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4">
    <cfRule type="colorScale" priority="5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5">
    <cfRule type="colorScale" priority="5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6">
    <cfRule type="colorScale" priority="5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7">
    <cfRule type="colorScale" priority="5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8">
    <cfRule type="colorScale" priority="5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9">
    <cfRule type="colorScale" priority="5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0">
    <cfRule type="colorScale" priority="5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1">
    <cfRule type="colorScale" priority="5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2">
    <cfRule type="colorScale" priority="5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3">
    <cfRule type="colorScale" priority="5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4">
    <cfRule type="colorScale" priority="5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5">
    <cfRule type="colorScale" priority="5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6">
    <cfRule type="colorScale" priority="5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7">
    <cfRule type="colorScale" priority="5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8">
    <cfRule type="colorScale" priority="5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9:G130">
    <cfRule type="colorScale" priority="5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1">
    <cfRule type="colorScale" priority="5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2">
    <cfRule type="colorScale" priority="5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3">
    <cfRule type="colorScale" priority="5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4">
    <cfRule type="colorScale" priority="5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5">
    <cfRule type="colorScale" priority="5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6">
    <cfRule type="colorScale" priority="5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7">
    <cfRule type="colorScale" priority="5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8">
    <cfRule type="colorScale" priority="5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9">
    <cfRule type="colorScale" priority="5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0">
    <cfRule type="colorScale" priority="5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1">
    <cfRule type="colorScale" priority="5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2">
    <cfRule type="colorScale" priority="5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3">
    <cfRule type="colorScale" priority="5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4">
    <cfRule type="colorScale" priority="5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5">
    <cfRule type="colorScale" priority="5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6">
    <cfRule type="colorScale" priority="5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7">
    <cfRule type="colorScale" priority="5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8">
    <cfRule type="colorScale" priority="5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9">
    <cfRule type="colorScale" priority="5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0">
    <cfRule type="colorScale" priority="5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1">
    <cfRule type="colorScale" priority="5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2">
    <cfRule type="colorScale" priority="5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3">
    <cfRule type="colorScale" priority="5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4">
    <cfRule type="colorScale" priority="5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5">
    <cfRule type="colorScale" priority="5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6">
    <cfRule type="colorScale" priority="5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7">
    <cfRule type="colorScale" priority="5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8">
    <cfRule type="colorScale" priority="5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9">
    <cfRule type="colorScale" priority="5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0">
    <cfRule type="colorScale" priority="6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1">
    <cfRule type="colorScale" priority="6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2">
    <cfRule type="colorScale" priority="6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3">
    <cfRule type="colorScale" priority="6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4">
    <cfRule type="colorScale" priority="6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5">
    <cfRule type="colorScale" priority="6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6">
    <cfRule type="colorScale" priority="6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7">
    <cfRule type="colorScale" priority="6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8">
    <cfRule type="colorScale" priority="6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9">
    <cfRule type="colorScale" priority="6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0">
    <cfRule type="colorScale" priority="6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1">
    <cfRule type="colorScale" priority="6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2">
    <cfRule type="colorScale" priority="6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3">
    <cfRule type="colorScale" priority="6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4">
    <cfRule type="colorScale" priority="6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5">
    <cfRule type="colorScale" priority="6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6">
    <cfRule type="colorScale" priority="6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7">
    <cfRule type="colorScale" priority="6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8">
    <cfRule type="colorScale" priority="6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9">
    <cfRule type="colorScale" priority="6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0">
    <cfRule type="colorScale" priority="6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1">
    <cfRule type="colorScale" priority="6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2">
    <cfRule type="colorScale" priority="6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3">
    <cfRule type="colorScale" priority="6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4">
    <cfRule type="colorScale" priority="6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5">
    <cfRule type="colorScale" priority="6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6">
    <cfRule type="colorScale" priority="6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7">
    <cfRule type="colorScale" priority="6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8">
    <cfRule type="colorScale" priority="6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9">
    <cfRule type="colorScale" priority="6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0">
    <cfRule type="colorScale" priority="6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1">
    <cfRule type="colorScale" priority="6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2">
    <cfRule type="colorScale" priority="6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3">
    <cfRule type="colorScale" priority="6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4">
    <cfRule type="colorScale" priority="6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5">
    <cfRule type="colorScale" priority="6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6">
    <cfRule type="colorScale" priority="6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7">
    <cfRule type="colorScale" priority="6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8">
    <cfRule type="colorScale" priority="6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9">
    <cfRule type="colorScale" priority="6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0">
    <cfRule type="colorScale" priority="6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1">
    <cfRule type="colorScale" priority="6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2">
    <cfRule type="colorScale" priority="6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3">
    <cfRule type="colorScale" priority="6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4">
    <cfRule type="colorScale" priority="6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5">
    <cfRule type="colorScale" priority="6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6">
    <cfRule type="colorScale" priority="6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7">
    <cfRule type="colorScale" priority="6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8">
    <cfRule type="colorScale" priority="6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9">
    <cfRule type="colorScale" priority="6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0">
    <cfRule type="colorScale" priority="6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1">
    <cfRule type="colorScale" priority="6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2">
    <cfRule type="colorScale" priority="6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3">
    <cfRule type="colorScale" priority="6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4">
    <cfRule type="colorScale" priority="6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5">
    <cfRule type="colorScale" priority="6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6:G217">
    <cfRule type="colorScale" priority="6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8:G221">
    <cfRule type="colorScale" priority="6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2:G223">
    <cfRule type="colorScale" priority="6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4:G225">
    <cfRule type="colorScale" priority="6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7">
    <cfRule type="colorScale" priority="5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8:G232">
    <cfRule type="colorScale" priority="6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4:G236">
    <cfRule type="colorScale" priority="6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G238">
    <cfRule type="colorScale" priority="6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2">
    <cfRule type="colorScale" priority="56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3">
    <cfRule type="colorScale" priority="56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 I5:K5">
    <cfRule type="colorScale" priority="5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:K6">
    <cfRule type="colorScale" priority="5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:K7">
    <cfRule type="colorScale" priority="5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:K8">
    <cfRule type="colorScale" priority="5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:K9">
    <cfRule type="colorScale" priority="5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:K10">
    <cfRule type="colorScale" priority="5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:K11">
    <cfRule type="colorScale" priority="5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:K12">
    <cfRule type="colorScale" priority="5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:K13">
    <cfRule type="colorScale" priority="5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:K14">
    <cfRule type="colorScale" priority="5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:K15">
    <cfRule type="colorScale" priority="5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:K16">
    <cfRule type="colorScale" priority="5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:K17">
    <cfRule type="colorScale" priority="5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:K18">
    <cfRule type="colorScale" priority="5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:K19">
    <cfRule type="colorScale" priority="5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:K20">
    <cfRule type="colorScale" priority="5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:K21">
    <cfRule type="colorScale" priority="5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:K22">
    <cfRule type="colorScale" priority="5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:K23">
    <cfRule type="colorScale" priority="5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K25">
    <cfRule type="colorScale" priority="5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K26">
    <cfRule type="colorScale" priority="5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7:K27">
    <cfRule type="colorScale" priority="5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8:K28">
    <cfRule type="colorScale" priority="5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9:K29">
    <cfRule type="colorScale" priority="5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0:K30">
    <cfRule type="colorScale" priority="5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1:K31">
    <cfRule type="colorScale" priority="5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K32">
    <cfRule type="colorScale" priority="5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3:K33">
    <cfRule type="colorScale" priority="5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4:K34">
    <cfRule type="colorScale" priority="5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5:K35">
    <cfRule type="colorScale" priority="5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6:K36">
    <cfRule type="colorScale" priority="5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K37">
    <cfRule type="colorScale" priority="5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8:K38">
    <cfRule type="colorScale" priority="5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9:K39">
    <cfRule type="colorScale" priority="5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0:K40">
    <cfRule type="colorScale" priority="5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1:K41">
    <cfRule type="colorScale" priority="5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2:K42">
    <cfRule type="colorScale" priority="5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K43">
    <cfRule type="colorScale" priority="5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K44">
    <cfRule type="colorScale" priority="5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5:K45">
    <cfRule type="colorScale" priority="5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6:K46">
    <cfRule type="colorScale" priority="5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7:K47">
    <cfRule type="colorScale" priority="5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8:K48">
    <cfRule type="colorScale" priority="5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9:K49">
    <cfRule type="colorScale" priority="5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0:K50">
    <cfRule type="colorScale" priority="5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1:K51">
    <cfRule type="colorScale" priority="5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2:K52">
    <cfRule type="colorScale" priority="5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3:K53">
    <cfRule type="colorScale" priority="5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4:K54">
    <cfRule type="colorScale" priority="5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5:K55">
    <cfRule type="colorScale" priority="5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6:K56">
    <cfRule type="colorScale" priority="5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7:K57">
    <cfRule type="colorScale" priority="5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8:K58">
    <cfRule type="colorScale" priority="5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9:K59">
    <cfRule type="colorScale" priority="5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0:K60">
    <cfRule type="colorScale" priority="5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1:K61">
    <cfRule type="colorScale" priority="5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2:K62">
    <cfRule type="colorScale" priority="5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3:K63">
    <cfRule type="colorScale" priority="5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4:K64">
    <cfRule type="colorScale" priority="5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5:K65">
    <cfRule type="colorScale" priority="5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K66">
    <cfRule type="colorScale" priority="5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7:K67">
    <cfRule type="colorScale" priority="5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:K68">
    <cfRule type="colorScale" priority="5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9:K69">
    <cfRule type="colorScale" priority="5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0:K70">
    <cfRule type="colorScale" priority="5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:K71">
    <cfRule type="colorScale" priority="5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2:K72">
    <cfRule type="colorScale" priority="5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3:K73">
    <cfRule type="colorScale" priority="5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4:K74">
    <cfRule type="colorScale" priority="5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5:K75">
    <cfRule type="colorScale" priority="5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6:K76">
    <cfRule type="colorScale" priority="5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7:K77">
    <cfRule type="colorScale" priority="5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8:K78">
    <cfRule type="colorScale" priority="5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9:K79">
    <cfRule type="colorScale" priority="5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0:K80">
    <cfRule type="colorScale" priority="5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1:K81">
    <cfRule type="colorScale" priority="5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2:K82">
    <cfRule type="colorScale" priority="5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3:K83">
    <cfRule type="colorScale" priority="5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4:K84">
    <cfRule type="colorScale" priority="5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5:K85">
    <cfRule type="colorScale" priority="5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6:K86">
    <cfRule type="colorScale" priority="5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7:K87">
    <cfRule type="colorScale" priority="5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8:K88">
    <cfRule type="colorScale" priority="5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:K89">
    <cfRule type="colorScale" priority="5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0:K90">
    <cfRule type="colorScale" priority="5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1:K91">
    <cfRule type="colorScale" priority="5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2:K92">
    <cfRule type="colorScale" priority="5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3:K93">
    <cfRule type="colorScale" priority="5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4:K94">
    <cfRule type="colorScale" priority="5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5:K95">
    <cfRule type="colorScale" priority="5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K96">
    <cfRule type="colorScale" priority="5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7:K97">
    <cfRule type="colorScale" priority="5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8:K98">
    <cfRule type="colorScale" priority="5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9:K99">
    <cfRule type="colorScale" priority="5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0:K100">
    <cfRule type="colorScale" priority="5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1:K101">
    <cfRule type="colorScale" priority="5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2:K102">
    <cfRule type="colorScale" priority="5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3:K103">
    <cfRule type="colorScale" priority="5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4:K104">
    <cfRule type="colorScale" priority="5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5:K105">
    <cfRule type="colorScale" priority="5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6:K106">
    <cfRule type="colorScale" priority="5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7:K107">
    <cfRule type="colorScale" priority="5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8:K108">
    <cfRule type="colorScale" priority="5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9:K109">
    <cfRule type="colorScale" priority="5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0:K110">
    <cfRule type="colorScale" priority="5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1:K111">
    <cfRule type="colorScale" priority="5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2:K112">
    <cfRule type="colorScale" priority="5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3:K113">
    <cfRule type="colorScale" priority="5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4:K114">
    <cfRule type="colorScale" priority="5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5:K115">
    <cfRule type="colorScale" priority="5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6:K116">
    <cfRule type="colorScale" priority="5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7:K117">
    <cfRule type="colorScale" priority="5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8:K118">
    <cfRule type="colorScale" priority="5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9:K119">
    <cfRule type="colorScale" priority="5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0:K120">
    <cfRule type="colorScale" priority="5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1:K121">
    <cfRule type="colorScale" priority="5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2:K122">
    <cfRule type="colorScale" priority="5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3:K123">
    <cfRule type="colorScale" priority="5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4:K124">
    <cfRule type="colorScale" priority="5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5:K125">
    <cfRule type="colorScale" priority="5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6:K126">
    <cfRule type="colorScale" priority="5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K127">
    <cfRule type="colorScale" priority="5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8:K128">
    <cfRule type="colorScale" priority="5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9:K130">
    <cfRule type="colorScale" priority="5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1:K131">
    <cfRule type="colorScale" priority="5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2:K132">
    <cfRule type="colorScale" priority="5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3:K133">
    <cfRule type="colorScale" priority="5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K134">
    <cfRule type="colorScale" priority="5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K135">
    <cfRule type="colorScale" priority="5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6:K136">
    <cfRule type="colorScale" priority="5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7:K137">
    <cfRule type="colorScale" priority="5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8:K138">
    <cfRule type="colorScale" priority="5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9:K139">
    <cfRule type="colorScale" priority="5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0:K140">
    <cfRule type="colorScale" priority="5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1:K141">
    <cfRule type="colorScale" priority="5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2:K142">
    <cfRule type="colorScale" priority="5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3:K143">
    <cfRule type="colorScale" priority="5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4:K144">
    <cfRule type="colorScale" priority="5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5:K145">
    <cfRule type="colorScale" priority="5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6:K146">
    <cfRule type="colorScale" priority="5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7:K147">
    <cfRule type="colorScale" priority="5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8:K148">
    <cfRule type="colorScale" priority="5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9:K149">
    <cfRule type="colorScale" priority="5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0:K150">
    <cfRule type="colorScale" priority="5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1:K151">
    <cfRule type="colorScale" priority="5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2:K152">
    <cfRule type="colorScale" priority="5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3:K153">
    <cfRule type="colorScale" priority="5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4:K154">
    <cfRule type="colorScale" priority="5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5:K155">
    <cfRule type="colorScale" priority="5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6:K156">
    <cfRule type="colorScale" priority="5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7:K157">
    <cfRule type="colorScale" priority="5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8:K158">
    <cfRule type="colorScale" priority="5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9:K159">
    <cfRule type="colorScale" priority="5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0:K160">
    <cfRule type="colorScale" priority="5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1:K161">
    <cfRule type="colorScale" priority="5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2:K162">
    <cfRule type="colorScale" priority="5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3:K163">
    <cfRule type="colorScale" priority="5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4:K164">
    <cfRule type="colorScale" priority="5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5:K165">
    <cfRule type="colorScale" priority="5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6:K166">
    <cfRule type="colorScale" priority="5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7:K167">
    <cfRule type="colorScale" priority="5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8:K168">
    <cfRule type="colorScale" priority="5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9:K169">
    <cfRule type="colorScale" priority="5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0:K170">
    <cfRule type="colorScale" priority="5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1:K171">
    <cfRule type="colorScale" priority="5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2:K172">
    <cfRule type="colorScale" priority="5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3:K173">
    <cfRule type="colorScale" priority="5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4:K174">
    <cfRule type="colorScale" priority="5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5:K175">
    <cfRule type="colorScale" priority="5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6:K176">
    <cfRule type="colorScale" priority="5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7:K177">
    <cfRule type="colorScale" priority="5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8:K178">
    <cfRule type="colorScale" priority="5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9:K179">
    <cfRule type="colorScale" priority="5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0:K180">
    <cfRule type="colorScale" priority="5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1:K181">
    <cfRule type="colorScale" priority="5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2:K182">
    <cfRule type="colorScale" priority="5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3:K183">
    <cfRule type="colorScale" priority="5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4:K184">
    <cfRule type="colorScale" priority="5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5:K185">
    <cfRule type="colorScale" priority="5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6:K186">
    <cfRule type="colorScale" priority="5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7:K187">
    <cfRule type="colorScale" priority="5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8:K188">
    <cfRule type="colorScale" priority="5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9:K189">
    <cfRule type="colorScale" priority="5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0:K190">
    <cfRule type="colorScale" priority="5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1:K191">
    <cfRule type="colorScale" priority="5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K192">
    <cfRule type="colorScale" priority="5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3:K193">
    <cfRule type="colorScale" priority="5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4:K194">
    <cfRule type="colorScale" priority="5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5:K195">
    <cfRule type="colorScale" priority="5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6:K196">
    <cfRule type="colorScale" priority="5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7:K197">
    <cfRule type="colorScale" priority="5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8:K198">
    <cfRule type="colorScale" priority="5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9:K199">
    <cfRule type="colorScale" priority="5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0:K200">
    <cfRule type="colorScale" priority="5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1:K201">
    <cfRule type="colorScale" priority="5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2:K202">
    <cfRule type="colorScale" priority="5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3:K203">
    <cfRule type="colorScale" priority="5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4:K204">
    <cfRule type="colorScale" priority="5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5:K205">
    <cfRule type="colorScale" priority="5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5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K207">
    <cfRule type="colorScale" priority="5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K208">
    <cfRule type="colorScale" priority="5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9:K209">
    <cfRule type="colorScale" priority="5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0:K210">
    <cfRule type="colorScale" priority="5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1:K211">
    <cfRule type="colorScale" priority="5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2:K212">
    <cfRule type="colorScale" priority="5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3:K213">
    <cfRule type="colorScale" priority="5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5">
    <cfRule type="colorScale" priority="5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K21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K217">
    <cfRule type="colorScale" priority="5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9">
    <cfRule type="colorScale" priority="56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1">
    <cfRule type="colorScale" priority="5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K223">
    <cfRule type="colorScale" priority="5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K224">
    <cfRule type="colorScale" priority="5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5:K225">
    <cfRule type="colorScale" priority="5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6:K226">
    <cfRule type="colorScale" priority="5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7:K227">
    <cfRule type="colorScale" priority="5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K231">
    <cfRule type="colorScale" priority="5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4:K235">
    <cfRule type="colorScale" priority="56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6:K236">
    <cfRule type="colorScale" priority="56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8:K238 I237">
    <cfRule type="colorScale" priority="5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9:K2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2:K23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:K23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7:K23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:V4 AU4 G4 N4:P4 I4:J4 L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:AC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 AM4:AP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2025-12-31T11:08:41Z</dcterms:modified>
</cp:coreProperties>
</file>