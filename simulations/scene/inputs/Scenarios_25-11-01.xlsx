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6677\work_home\tigerault\Wheat-BRIDGES_framework\Wheat-BRIDGES\simulations\scene\inputs\"/>
    </mc:Choice>
  </mc:AlternateContent>
  <xr:revisionPtr revIDLastSave="0" documentId="13_ncr:1_{997C99C0-A22D-4452-B975-19DC792C46BF}" xr6:coauthVersionLast="47" xr6:coauthVersionMax="47" xr10:uidLastSave="{00000000-0000-0000-0000-000000000000}"/>
  <bookViews>
    <workbookView xWindow="-105" yWindow="-16320" windowWidth="29040" windowHeight="1644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1" i="2" l="1"/>
  <c r="R135" i="2"/>
  <c r="R237" i="2"/>
  <c r="R236" i="2"/>
  <c r="R232" i="2"/>
  <c r="R231" i="2"/>
  <c r="R229" i="2"/>
  <c r="R226" i="2"/>
  <c r="R225" i="2"/>
  <c r="R224" i="2"/>
  <c r="R223" i="2"/>
  <c r="R221" i="2"/>
  <c r="R220" i="2"/>
  <c r="R219" i="2"/>
  <c r="R217" i="2"/>
  <c r="R218" i="2" s="1"/>
  <c r="R213" i="2"/>
  <c r="R209" i="2"/>
  <c r="R207" i="2"/>
  <c r="R163" i="2"/>
  <c r="R216" i="2" s="1"/>
  <c r="R129" i="2"/>
  <c r="R128" i="2"/>
  <c r="R125" i="2"/>
  <c r="R119" i="2"/>
  <c r="R115" i="2"/>
  <c r="R112" i="2"/>
  <c r="R109" i="2"/>
  <c r="R108" i="2"/>
  <c r="R107" i="2"/>
  <c r="R106" i="2"/>
  <c r="R105" i="2"/>
  <c r="R104" i="2"/>
  <c r="R103" i="2"/>
  <c r="R102" i="2"/>
  <c r="Q135" i="2"/>
  <c r="Q217" i="2"/>
  <c r="Q218" i="2" s="1"/>
  <c r="Q128" i="2"/>
  <c r="P215" i="2"/>
  <c r="T215" i="2"/>
  <c r="L215" i="2"/>
  <c r="K215" i="2"/>
  <c r="J215" i="2"/>
  <c r="I215" i="2"/>
  <c r="N128" i="2"/>
  <c r="Q236" i="2"/>
  <c r="Q237" i="2"/>
  <c r="Q232" i="2"/>
  <c r="Q231" i="2"/>
  <c r="Q229" i="2"/>
  <c r="Q226" i="2"/>
  <c r="Q225" i="2"/>
  <c r="Q224" i="2"/>
  <c r="Q223" i="2"/>
  <c r="Q221" i="2"/>
  <c r="Q220" i="2"/>
  <c r="Q219" i="2"/>
  <c r="Q213" i="2"/>
  <c r="Q209" i="2"/>
  <c r="Q207" i="2"/>
  <c r="Q163" i="2"/>
  <c r="Q216" i="2" s="1"/>
  <c r="Q129" i="2"/>
  <c r="Q125" i="2"/>
  <c r="Q119" i="2"/>
  <c r="Q115" i="2"/>
  <c r="Q112" i="2"/>
  <c r="Q109" i="2"/>
  <c r="Q108" i="2"/>
  <c r="Q107" i="2"/>
  <c r="Q106" i="2"/>
  <c r="Q105" i="2"/>
  <c r="Q104" i="2"/>
  <c r="Q103" i="2"/>
  <c r="Q102" i="2"/>
  <c r="P128" i="2"/>
  <c r="P237" i="2"/>
  <c r="P236" i="2"/>
  <c r="P232" i="2"/>
  <c r="P231" i="2"/>
  <c r="P229" i="2"/>
  <c r="P226" i="2"/>
  <c r="P225" i="2"/>
  <c r="P224" i="2"/>
  <c r="P223" i="2"/>
  <c r="P221" i="2"/>
  <c r="P220" i="2"/>
  <c r="P219" i="2"/>
  <c r="P217" i="2"/>
  <c r="P218" i="2" s="1"/>
  <c r="P213" i="2"/>
  <c r="P209" i="2"/>
  <c r="P207" i="2"/>
  <c r="P163" i="2"/>
  <c r="P216" i="2" s="1"/>
  <c r="P129" i="2"/>
  <c r="P125" i="2"/>
  <c r="P119" i="2"/>
  <c r="P115" i="2"/>
  <c r="P112" i="2"/>
  <c r="P109" i="2"/>
  <c r="P108" i="2"/>
  <c r="P107" i="2"/>
  <c r="P106" i="2"/>
  <c r="P105" i="2"/>
  <c r="P104" i="2"/>
  <c r="P103" i="2"/>
  <c r="P102" i="2"/>
  <c r="N236" i="2"/>
  <c r="N219" i="2"/>
  <c r="N225" i="2"/>
  <c r="N232" i="2"/>
  <c r="N231" i="2"/>
  <c r="N217" i="2"/>
  <c r="N218" i="2" s="1"/>
  <c r="N223" i="2"/>
  <c r="N221" i="2"/>
  <c r="N129" i="2"/>
  <c r="R215" i="2" l="1"/>
  <c r="Q215" i="2"/>
  <c r="N119" i="2"/>
  <c r="N213" i="2"/>
  <c r="N237" i="2"/>
  <c r="N163" i="2"/>
  <c r="N229" i="2"/>
  <c r="N226" i="2"/>
  <c r="N224" i="2"/>
  <c r="N220" i="2"/>
  <c r="N209" i="2"/>
  <c r="N207" i="2"/>
  <c r="N125" i="2"/>
  <c r="N115" i="2"/>
  <c r="N112" i="2"/>
  <c r="N109" i="2"/>
  <c r="N108" i="2"/>
  <c r="N107" i="2"/>
  <c r="N106" i="2"/>
  <c r="N105" i="2"/>
  <c r="N104" i="2"/>
  <c r="N103" i="2"/>
  <c r="N102" i="2"/>
  <c r="N216" i="2" l="1"/>
  <c r="N215" i="2"/>
  <c r="L232" i="2"/>
  <c r="L222" i="2"/>
  <c r="L231" i="2"/>
  <c r="L119" i="2"/>
  <c r="L213" i="2"/>
  <c r="L129" i="2"/>
  <c r="L237" i="2"/>
  <c r="L217" i="2"/>
  <c r="L218" i="2" s="1"/>
  <c r="T128" i="2"/>
  <c r="L128" i="2"/>
  <c r="L236" i="2" s="1"/>
  <c r="K128" i="2"/>
  <c r="J128" i="2"/>
  <c r="T237" i="2"/>
  <c r="K237" i="2"/>
  <c r="J237" i="2"/>
  <c r="L221" i="2" l="1"/>
  <c r="L216" i="2"/>
  <c r="K232" i="2"/>
  <c r="K231" i="2"/>
  <c r="K229" i="2"/>
  <c r="K226" i="2"/>
  <c r="K224" i="2"/>
  <c r="K222" i="2"/>
  <c r="K221" i="2"/>
  <c r="K220" i="2"/>
  <c r="K219" i="2"/>
  <c r="K217" i="2"/>
  <c r="K218" i="2" s="1"/>
  <c r="K216" i="2"/>
  <c r="K213" i="2"/>
  <c r="K209" i="2"/>
  <c r="K207" i="2"/>
  <c r="K129" i="2"/>
  <c r="K236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6" i="2"/>
  <c r="J217" i="2"/>
  <c r="BC218" i="2"/>
  <c r="AZ218" i="2"/>
  <c r="AX218" i="2"/>
  <c r="AW218" i="2"/>
  <c r="AV218" i="2"/>
  <c r="AU218" i="2"/>
  <c r="AS218" i="2"/>
  <c r="AR218" i="2"/>
  <c r="AQ218" i="2"/>
  <c r="AP218" i="2"/>
  <c r="AO218" i="2"/>
  <c r="AN218" i="2"/>
  <c r="AM218" i="2"/>
  <c r="AK218" i="2"/>
  <c r="AJ218" i="2"/>
  <c r="AI218" i="2"/>
  <c r="AH218" i="2"/>
  <c r="AG218" i="2"/>
  <c r="AF218" i="2"/>
  <c r="AE218" i="2"/>
  <c r="AD218" i="2"/>
  <c r="AC218" i="2"/>
  <c r="AB218" i="2"/>
  <c r="AA218" i="2"/>
  <c r="X218" i="2"/>
  <c r="W218" i="2"/>
  <c r="V218" i="2"/>
  <c r="T218" i="2"/>
  <c r="J218" i="2"/>
  <c r="L229" i="2"/>
  <c r="L224" i="2"/>
  <c r="L220" i="2"/>
  <c r="L219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T232" i="2"/>
  <c r="T231" i="2"/>
  <c r="T229" i="2"/>
  <c r="T226" i="2"/>
  <c r="T225" i="2"/>
  <c r="T224" i="2"/>
  <c r="T223" i="2"/>
  <c r="T222" i="2"/>
  <c r="T221" i="2"/>
  <c r="T220" i="2"/>
  <c r="T219" i="2"/>
  <c r="T217" i="2"/>
  <c r="T216" i="2"/>
  <c r="T213" i="2"/>
  <c r="T209" i="2"/>
  <c r="T207" i="2"/>
  <c r="T129" i="2"/>
  <c r="T236" i="2" s="1"/>
  <c r="T125" i="2"/>
  <c r="T119" i="2"/>
  <c r="T115" i="2"/>
  <c r="T112" i="2"/>
  <c r="T109" i="2"/>
  <c r="T108" i="2"/>
  <c r="T107" i="2"/>
  <c r="T106" i="2"/>
  <c r="T105" i="2"/>
  <c r="T104" i="2"/>
  <c r="T103" i="2"/>
  <c r="T102" i="2"/>
  <c r="J216" i="2"/>
  <c r="J129" i="2"/>
  <c r="J236" i="2" s="1"/>
  <c r="J119" i="2"/>
  <c r="I119" i="2"/>
  <c r="J225" i="2"/>
  <c r="J223" i="2"/>
  <c r="J221" i="2"/>
  <c r="J207" i="2" l="1"/>
  <c r="J224" i="2" l="1"/>
  <c r="J222" i="2"/>
  <c r="I224" i="2"/>
  <c r="I216" i="2" l="1"/>
  <c r="I222" i="2" l="1"/>
  <c r="I221" i="2" l="1"/>
  <c r="Y214" i="2" l="1"/>
  <c r="J232" i="2"/>
  <c r="J231" i="2"/>
  <c r="J229" i="2"/>
  <c r="J226" i="2"/>
  <c r="J220" i="2"/>
  <c r="J219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5" i="2"/>
  <c r="I223" i="2"/>
  <c r="V234" i="2" l="1"/>
  <c r="V233" i="2"/>
  <c r="V229" i="2"/>
  <c r="V217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X234" i="2"/>
  <c r="X233" i="2"/>
  <c r="X229" i="2"/>
  <c r="X217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4" i="2"/>
  <c r="W233" i="2"/>
  <c r="W229" i="2"/>
  <c r="W217" i="2"/>
  <c r="W213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AX234" i="2"/>
  <c r="AW234" i="2"/>
  <c r="AX233" i="2"/>
  <c r="AW233" i="2"/>
  <c r="AX229" i="2"/>
  <c r="AW229" i="2"/>
  <c r="AX217" i="2"/>
  <c r="AW217" i="2"/>
  <c r="AX213" i="2"/>
  <c r="AW213" i="2"/>
  <c r="AX209" i="2"/>
  <c r="AW209" i="2"/>
  <c r="AX207" i="2"/>
  <c r="AW207" i="2"/>
  <c r="AX125" i="2"/>
  <c r="AW125" i="2"/>
  <c r="AX115" i="2"/>
  <c r="AW115" i="2"/>
  <c r="AX112" i="2"/>
  <c r="AW112" i="2"/>
  <c r="AX109" i="2"/>
  <c r="AW109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V234" i="2"/>
  <c r="AV233" i="2"/>
  <c r="AV229" i="2"/>
  <c r="AV217" i="2"/>
  <c r="AV213" i="2"/>
  <c r="AV209" i="2"/>
  <c r="AV207" i="2"/>
  <c r="AV125" i="2"/>
  <c r="AV115" i="2"/>
  <c r="AV112" i="2"/>
  <c r="AV109" i="2"/>
  <c r="AV108" i="2"/>
  <c r="AV107" i="2"/>
  <c r="AV106" i="2"/>
  <c r="AV105" i="2"/>
  <c r="AV104" i="2"/>
  <c r="AV103" i="2"/>
  <c r="AV102" i="2"/>
  <c r="AU234" i="2"/>
  <c r="AU233" i="2"/>
  <c r="AU229" i="2"/>
  <c r="AU217" i="2"/>
  <c r="AU213" i="2"/>
  <c r="AU209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Z234" i="2"/>
  <c r="AZ233" i="2"/>
  <c r="AZ229" i="2"/>
  <c r="AZ217" i="2"/>
  <c r="AZ213" i="2"/>
  <c r="AZ207" i="2"/>
  <c r="AZ125" i="2"/>
  <c r="AZ115" i="2"/>
  <c r="AZ112" i="2"/>
  <c r="AZ109" i="2"/>
  <c r="AZ108" i="2"/>
  <c r="AZ107" i="2"/>
  <c r="AZ106" i="2"/>
  <c r="AZ105" i="2"/>
  <c r="AZ104" i="2"/>
  <c r="AZ103" i="2"/>
  <c r="AZ102" i="2"/>
  <c r="AS234" i="2"/>
  <c r="AR234" i="2"/>
  <c r="AQ234" i="2"/>
  <c r="AP234" i="2"/>
  <c r="AO234" i="2"/>
  <c r="AN234" i="2"/>
  <c r="AM234" i="2"/>
  <c r="AS233" i="2"/>
  <c r="AR233" i="2"/>
  <c r="AQ233" i="2"/>
  <c r="AP233" i="2"/>
  <c r="AO233" i="2"/>
  <c r="AN233" i="2"/>
  <c r="AM233" i="2"/>
  <c r="AS229" i="2"/>
  <c r="AR229" i="2"/>
  <c r="AQ229" i="2"/>
  <c r="AP229" i="2"/>
  <c r="AO229" i="2"/>
  <c r="AN229" i="2"/>
  <c r="AM229" i="2"/>
  <c r="AS217" i="2"/>
  <c r="AR217" i="2"/>
  <c r="AQ217" i="2"/>
  <c r="AP217" i="2"/>
  <c r="AO217" i="2"/>
  <c r="AN217" i="2"/>
  <c r="AM217" i="2"/>
  <c r="AS213" i="2"/>
  <c r="AR213" i="2"/>
  <c r="AQ213" i="2"/>
  <c r="AP213" i="2"/>
  <c r="AO213" i="2"/>
  <c r="AN213" i="2"/>
  <c r="AM213" i="2"/>
  <c r="AS209" i="2"/>
  <c r="AR209" i="2"/>
  <c r="AQ209" i="2"/>
  <c r="AP209" i="2"/>
  <c r="AO209" i="2"/>
  <c r="AN209" i="2"/>
  <c r="AM209" i="2"/>
  <c r="AS207" i="2"/>
  <c r="AR207" i="2"/>
  <c r="AQ207" i="2"/>
  <c r="AP207" i="2"/>
  <c r="AO207" i="2"/>
  <c r="AN207" i="2"/>
  <c r="AM207" i="2"/>
  <c r="AS125" i="2"/>
  <c r="AR125" i="2"/>
  <c r="AQ125" i="2"/>
  <c r="AP125" i="2"/>
  <c r="AO125" i="2"/>
  <c r="AN125" i="2"/>
  <c r="AM125" i="2"/>
  <c r="AS115" i="2"/>
  <c r="AR115" i="2"/>
  <c r="AQ115" i="2"/>
  <c r="AP115" i="2"/>
  <c r="AO115" i="2"/>
  <c r="AN115" i="2"/>
  <c r="AM115" i="2"/>
  <c r="AS112" i="2"/>
  <c r="AR112" i="2"/>
  <c r="AQ112" i="2"/>
  <c r="AP112" i="2"/>
  <c r="AO112" i="2"/>
  <c r="AN112" i="2"/>
  <c r="AM112" i="2"/>
  <c r="AS109" i="2"/>
  <c r="AR109" i="2"/>
  <c r="AQ109" i="2"/>
  <c r="AP109" i="2"/>
  <c r="AO109" i="2"/>
  <c r="AN109" i="2"/>
  <c r="AM109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K234" i="2"/>
  <c r="AK233" i="2"/>
  <c r="AK229" i="2"/>
  <c r="AK217" i="2"/>
  <c r="AK213" i="2"/>
  <c r="AK209" i="2"/>
  <c r="AK207" i="2"/>
  <c r="AK125" i="2"/>
  <c r="AK115" i="2"/>
  <c r="AK112" i="2"/>
  <c r="AK109" i="2"/>
  <c r="AK108" i="2"/>
  <c r="AK107" i="2"/>
  <c r="AK106" i="2"/>
  <c r="AK105" i="2"/>
  <c r="AK104" i="2"/>
  <c r="AK103" i="2"/>
  <c r="AK102" i="2"/>
  <c r="AJ234" i="2"/>
  <c r="AJ233" i="2"/>
  <c r="AJ229" i="2"/>
  <c r="AJ217" i="2"/>
  <c r="AJ213" i="2"/>
  <c r="AJ209" i="2"/>
  <c r="AJ207" i="2"/>
  <c r="AJ125" i="2"/>
  <c r="AJ115" i="2"/>
  <c r="AJ112" i="2"/>
  <c r="AJ109" i="2"/>
  <c r="AJ108" i="2"/>
  <c r="AJ107" i="2"/>
  <c r="AJ106" i="2"/>
  <c r="AJ105" i="2"/>
  <c r="AJ104" i="2"/>
  <c r="AJ103" i="2"/>
  <c r="AJ102" i="2"/>
  <c r="AI234" i="2"/>
  <c r="AI233" i="2"/>
  <c r="AI229" i="2"/>
  <c r="AI217" i="2"/>
  <c r="AI213" i="2"/>
  <c r="AI209" i="2"/>
  <c r="AI207" i="2"/>
  <c r="AI125" i="2"/>
  <c r="AI115" i="2"/>
  <c r="AI112" i="2"/>
  <c r="AI109" i="2"/>
  <c r="AI108" i="2"/>
  <c r="AI107" i="2"/>
  <c r="AI106" i="2"/>
  <c r="AI105" i="2"/>
  <c r="AI104" i="2"/>
  <c r="AI103" i="2"/>
  <c r="AI102" i="2"/>
  <c r="AH234" i="2"/>
  <c r="AH233" i="2"/>
  <c r="AH229" i="2"/>
  <c r="AH217" i="2"/>
  <c r="AH213" i="2"/>
  <c r="AH209" i="2"/>
  <c r="AH207" i="2"/>
  <c r="AH125" i="2"/>
  <c r="AH115" i="2"/>
  <c r="AH112" i="2"/>
  <c r="AH109" i="2"/>
  <c r="AH108" i="2"/>
  <c r="AH107" i="2"/>
  <c r="AH106" i="2"/>
  <c r="AH105" i="2"/>
  <c r="AH104" i="2"/>
  <c r="AH103" i="2"/>
  <c r="AH102" i="2"/>
  <c r="AG234" i="2"/>
  <c r="AG233" i="2"/>
  <c r="AG229" i="2"/>
  <c r="AG217" i="2"/>
  <c r="AG213" i="2"/>
  <c r="AG209" i="2"/>
  <c r="AG207" i="2"/>
  <c r="AG125" i="2"/>
  <c r="AG115" i="2"/>
  <c r="AG112" i="2"/>
  <c r="AG109" i="2"/>
  <c r="AG108" i="2"/>
  <c r="AG107" i="2"/>
  <c r="AG106" i="2"/>
  <c r="AG105" i="2"/>
  <c r="AG104" i="2"/>
  <c r="AG103" i="2"/>
  <c r="AG102" i="2"/>
  <c r="AF234" i="2"/>
  <c r="AF233" i="2"/>
  <c r="AF229" i="2"/>
  <c r="AF217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4" i="2"/>
  <c r="AE233" i="2"/>
  <c r="AE229" i="2"/>
  <c r="AE217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4" i="2"/>
  <c r="AC234" i="2"/>
  <c r="AB234" i="2"/>
  <c r="AA234" i="2"/>
  <c r="G234" i="2"/>
  <c r="AD233" i="2" l="1"/>
  <c r="AD229" i="2"/>
  <c r="AD217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29" i="2"/>
  <c r="AC217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29" i="2"/>
  <c r="AB217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29" i="2"/>
  <c r="AA217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BC234" i="2"/>
  <c r="BC233" i="2"/>
  <c r="BC229" i="2"/>
  <c r="BC217" i="2"/>
  <c r="BC213" i="2"/>
  <c r="BC209" i="2"/>
  <c r="BC207" i="2"/>
  <c r="BC125" i="2"/>
  <c r="BC115" i="2"/>
  <c r="BC112" i="2"/>
  <c r="BC109" i="2"/>
  <c r="BC108" i="2"/>
  <c r="BC107" i="2"/>
  <c r="BC106" i="2"/>
  <c r="BC105" i="2"/>
  <c r="BC104" i="2"/>
  <c r="BC103" i="2"/>
  <c r="BC102" i="2"/>
  <c r="G207" i="2" l="1"/>
  <c r="G233" i="2"/>
  <c r="G209" i="2" l="1"/>
  <c r="G229" i="2"/>
  <c r="G125" i="2" l="1"/>
  <c r="G105" i="2" l="1"/>
  <c r="G104" i="2"/>
  <c r="G103" i="2"/>
  <c r="G102" i="2"/>
  <c r="G223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<sst xmlns="http://schemas.openxmlformats.org/spreadsheetml/2006/main" count="3024" uniqueCount="613">
  <si>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</si>
  <si>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</si>
  <si>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</si>
  <si>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</si>
  <si>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</si>
  <si>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</si>
  <si>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</si>
  <si>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</si>
  <si>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</si>
  <si>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</si>
  <si>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</si>
  <si>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</si>
  <si>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</si>
  <si>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</si>
  <si>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</si>
  <si>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</si>
  <si>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</si>
  <si>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</si>
  <si>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</si>
  <si>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</si>
  <si>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</si>
  <si>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</si>
  <si>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</si>
  <si>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</si>
  <si>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</si>
  <si>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</si>
  <si>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</si>
  <si>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</si>
  <si>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</si>
  <si>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</si>
  <si>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</si>
  <si>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</si>
  <si>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</si>
  <si>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</si>
  <si>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</si>
  <si>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</si>
  <si>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</si>
  <si>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</si>
  <si>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</si>
  <si>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</si>
  <si>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</si>
  <si>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</si>
  <si>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</si>
  <si>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</si>
  <si>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</si>
  <si>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</si>
  <si>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</si>
  <si>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</si>
  <si>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</si>
  <si>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</si>
  <si>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</si>
  <si>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</si>
  <si>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</si>
  <si>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</si>
  <si>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</si>
  <si>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</si>
  <si>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</si>
  <si>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</si>
  <si>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</si>
  <si>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</si>
  <si>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</si>
  <si>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</si>
  <si>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</si>
  <si>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</si>
  <si>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</si>
  <si>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</si>
  <si>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</si>
  <si>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</si>
  <si>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</si>
  <si>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</si>
  <si>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</si>
  <si>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</si>
  <si>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</si>
  <si>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</si>
  <si>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</si>
  <si>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</si>
  <si>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</si>
  <si>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</si>
  <si>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</si>
  <si>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</si>
  <si>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</si>
  <si>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</si>
  <si>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</si>
  <si>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</si>
  <si>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</si>
  <si>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</si>
  <si>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</si>
  <si>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</si>
  <si>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</si>
  <si>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</si>
  <si>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</si>
  <si>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</si>
  <si>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</si>
  <si>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</si>
  <si>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</si>
  <si>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</si>
  <si>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</si>
  <si>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</si>
  <si>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</si>
  <si>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</si>
  <si>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</si>
  <si>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</si>
  <si>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</si>
  <si>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</si>
  <si>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</si>
  <si>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</si>
  <si>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</si>
  <si>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</si>
  <si>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</si>
  <si>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</si>
  <si>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</si>
  <si>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</si>
  <si>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</si>
  <si>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</si>
  <si>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</si>
  <si>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</si>
  <si>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</si>
  <si>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</si>
  <si>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</si>
  <si>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</si>
  <si>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</si>
  <si>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</si>
  <si>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</si>
  <si>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</si>
  <si>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</si>
  <si>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</si>
  <si>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</si>
  <si>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</si>
  <si>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</si>
  <si>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</si>
  <si>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</si>
  <si>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</si>
  <si>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</si>
  <si>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</si>
  <si>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</si>
  <si>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</si>
  <si>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</si>
  <si>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</si>
  <si>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</si>
  <si>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</si>
  <si>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</si>
  <si>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</si>
  <si>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</si>
  <si>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</si>
  <si>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</si>
  <si>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</si>
  <si>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</si>
  <si>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</si>
  <si>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</si>
  <si>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</si>
  <si>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</si>
  <si>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</si>
  <si>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</si>
  <si>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</si>
  <si>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</si>
  <si>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</si>
  <si>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</si>
  <si>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</si>
  <si>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</si>
  <si>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</si>
  <si>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</si>
  <si>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</si>
  <si>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</si>
  <si>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</si>
  <si>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</si>
  <si>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</si>
  <si>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</si>
  <si>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</si>
  <si>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</si>
  <si>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</si>
  <si>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</si>
  <si>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</si>
  <si>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</si>
  <si>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</si>
  <si>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</si>
  <si>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</si>
  <si>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</si>
  <si>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</si>
  <si>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</si>
  <si>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</si>
  <si>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</si>
  <si>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</si>
  <si>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</si>
  <si>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</si>
  <si>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</si>
  <si>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</si>
  <si>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</si>
  <si>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</si>
  <si>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</si>
  <si>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</si>
  <si>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</si>
  <si>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</si>
  <si>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</si>
  <si>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</si>
  <si>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</si>
  <si>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</si>
  <si>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</si>
  <si>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</si>
  <si>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</si>
  <si>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</si>
  <si>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</si>
  <si>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</si>
  <si>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</si>
  <si>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</si>
  <si>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</si>
  <si>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</si>
  <si>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</si>
  <si>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</si>
  <si>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</si>
  <si>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</si>
  <si>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</si>
  <si>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</si>
  <si>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</si>
  <si>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</si>
  <si>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</si>
  <si>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</si>
  <si>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</si>
  <si>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</si>
  <si>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</si>
  <si>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</si>
  <si>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</si>
  <si>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</si>
  <si>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</si>
  <si>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</si>
  <si>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</si>
  <si>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</si>
  <si>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</si>
  <si>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</si>
  <si>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</si>
  <si>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</si>
  <si>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</si>
  <si>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</si>
  <si>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</si>
  <si>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</si>
  <si>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</si>
  <si>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</si>
  <si>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</si>
  <si>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</si>
  <si>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</si>
  <si>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</si>
  <si>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</si>
  <si>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</si>
  <si>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</si>
  <si>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</si>
  <si>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</si>
  <si>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</si>
  <si>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</si>
  <si>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</si>
  <si>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</si>
  <si>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</si>
  <si>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</si>
  <si>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</si>
  <si>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</si>
  <si>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</si>
  <si>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</si>
  <si>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</si>
  <si>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</si>
  <si>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</si>
  <si>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</si>
  <si>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</si>
  <si>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</si>
  <si>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</si>
  <si>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</si>
  <si>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</si>
  <si>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</si>
  <si>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</si>
  <si>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</si>
  <si>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</si>
  <si>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</si>
  <si>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</si>
  <si>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</si>
  <si>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</si>
  <si>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</si>
  <si>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</si>
  <si>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</si>
  <si>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</si>
  <si>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</si>
  <si>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</si>
  <si>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</si>
  <si>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</si>
  <si>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</si>
  <si>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</si>
  <si>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</si>
  <si>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</si>
  <si>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</si>
  <si>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</si>
  <si>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</si>
  <si>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</si>
  <si>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</si>
  <si>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</si>
  <si>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</si>
  <si>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</si>
  <si>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</si>
  <si>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</si>
  <si>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</si>
  <si>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</si>
  <si>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</si>
  <si>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</si>
  <si>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</si>
  <si>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</si>
  <si>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</si>
  <si>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</si>
  <si>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</si>
  <si>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</si>
  <si>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</si>
  <si>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</si>
  <si>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</si>
  <si>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</si>
  <si>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</si>
  <si>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</si>
  <si>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</si>
  <si>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</si>
  <si>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</si>
  <si>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</si>
  <si>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</si>
  <si>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</si>
  <si>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</si>
  <si>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</si>
  <si>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</si>
  <si>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</si>
  <si>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</si>
  <si>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</si>
  <si>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</si>
  <si>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</si>
  <si>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</si>
  <si>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</si>
  <si>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</si>
  <si>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</si>
  <si>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</si>
  <si>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</si>
  <si>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</si>
  <si>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</si>
  <si>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</si>
  <si>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</si>
  <si>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</si>
  <si>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</si>
  <si>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</si>
  <si>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</si>
  <si>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</si>
  <si>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</si>
  <si>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</si>
  <si>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</si>
  <si>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</si>
  <si>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</si>
  <si>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</si>
  <si>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</si>
  <si>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</si>
  <si>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</si>
  <si>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</si>
  <si>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</si>
  <si>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</si>
  <si>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</si>
  <si>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</si>
  <si>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</si>
  <si>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</si>
  <si>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</si>
  <si>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</si>
  <si>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</si>
  <si>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</si>
  <si>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</si>
  <si>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</si>
  <si>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</si>
  <si>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</si>
  <si>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</si>
  <si>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</si>
  <si>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</si>
  <si>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</si>
  <si>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</si>
  <si>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</si>
  <si>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</si>
  <si>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</si>
  <si>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</si>
  <si>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</si>
  <si>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</si>
  <si>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</si>
  <si>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</si>
  <si>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</si>
  <si>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</si>
  <si>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</si>
  <si>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</si>
  <si>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</si>
  <si>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</si>
  <si>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</si>
  <si>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</si>
  <si>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</si>
  <si>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</si>
  <si>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</si>
  <si>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</si>
  <si>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</si>
  <si>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</si>
  <si>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</si>
  <si>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</si>
  <si>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</si>
  <si>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</si>
  <si>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</si>
  <si>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</si>
  <si>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</si>
  <si>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</si>
  <si>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</si>
  <si>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</si>
  <si>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</si>
  <si>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</si>
  <si>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</si>
  <si>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</si>
  <si>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</si>
  <si>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</si>
  <si>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</si>
  <si>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</si>
  <si>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</si>
  <si>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</si>
  <si>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</si>
  <si>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</si>
  <si>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</si>
  <si>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</si>
  <si>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</si>
  <si>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</si>
  <si>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</si>
  <si>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</si>
  <si>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</si>
  <si>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</si>
  <si>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</si>
  <si>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</si>
  <si>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</si>
  <si>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</si>
  <si>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</si>
  <si>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</si>
  <si>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</si>
  <si>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</si>
  <si>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</si>
  <si>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</si>
  <si>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</si>
  <si>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</si>
  <si>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</si>
  <si>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</si>
  <si>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</si>
  <si>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</si>
  <si>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</si>
  <si>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</si>
  <si>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</si>
  <si>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</si>
  <si>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</si>
  <si>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</si>
  <si>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</si>
  <si>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</si>
  <si>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</si>
  <si>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</si>
  <si>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</si>
  <si>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</si>
  <si>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</si>
  <si>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</si>
  <si>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</si>
  <si>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</si>
  <si>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</si>
  <si>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</si>
  <si>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</si>
  <si>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</si>
  <si>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</si>
  <si>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</si>
  <si>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</si>
  <si>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</si>
  <si>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</si>
  <si>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</si>
  <si>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</si>
  <si>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</si>
  <si>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</si>
  <si>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</si>
  <si>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</si>
  <si>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</si>
  <si>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</si>
  <si>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</si>
  <si>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</si>
  <si>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</si>
  <si>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</si>
  <si>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</si>
  <si>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</si>
  <si>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</si>
  <si>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</si>
  <si>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</si>
  <si>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</si>
  <si>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</si>
  <si>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</si>
  <si>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</si>
  <si>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</si>
  <si>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</si>
  <si>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</si>
  <si>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</si>
  <si>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</si>
  <si>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</si>
  <si>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</si>
  <si>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</si>
  <si>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</si>
  <si>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</si>
  <si>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</si>
  <si>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</si>
  <si>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</si>
  <si>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</si>
  <si>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</si>
  <si>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</si>
  <si>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</si>
  <si>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</si>
  <si>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</si>
  <si>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</si>
  <si>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</si>
  <si>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</si>
  <si>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</si>
  <si>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</si>
  <si>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</si>
  <si>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</si>
  <si>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</si>
  <si>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</si>
  <si>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</si>
  <si>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</si>
  <si>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</si>
  <si>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</si>
  <si>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</si>
  <si>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</si>
  <si>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</si>
  <si>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</si>
  <si>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</si>
  <si>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</si>
  <si>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</si>
  <si>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</si>
  <si>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</si>
  <si>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</si>
  <si>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</si>
  <si>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</si>
  <si>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</si>
  <si>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</si>
  <si>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</si>
  <si>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</si>
  <si>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</si>
  <si>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</si>
  <si>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</si>
  <si>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</si>
  <si>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</si>
  <si>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</si>
  <si>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</si>
  <si>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</si>
  <si>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</si>
  <si>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</si>
  <si>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</si>
  <si>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</si>
  <si>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</si>
  <si>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</si>
  <si>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</si>
  <si>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</si>
  <si>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</si>
  <si>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</si>
  <si>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</si>
  <si>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</si>
  <si>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</si>
  <si>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</si>
  <si>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</si>
  <si>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</si>
  <si>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</si>
  <si>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</si>
  <si>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</si>
  <si>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</si>
  <si>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</si>
  <si>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</si>
  <si>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</si>
  <si>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</si>
  <si>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</si>
  <si>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</si>
  <si>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</si>
  <si>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</si>
  <si>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</si>
  <si>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</si>
  <si>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</si>
  <si>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</si>
  <si>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</si>
  <si>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</si>
  <si>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</si>
  <si>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</si>
  <si>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</si>
  <si>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</si>
  <si>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</si>
  <si>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</si>
  <si>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</si>
  <si>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</si>
  <si>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</si>
  <si>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</si>
  <si>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</si>
  <si>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</si>
  <si>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</si>
  <si>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</si>
  <si>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</si>
  <si>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</si>
  <si>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</si>
  <si>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</si>
  <si>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</si>
  <si>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</si>
  <si>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</si>
  <si>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</si>
  <si>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</si>
  <si>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</si>
  <si>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</si>
  <si>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</si>
  <si>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</si>
  <si>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</si>
  <si>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</si>
  <si>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</si>
  <si>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</si>
  <si>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</si>
  <si>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</si>
  <si>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</si>
  <si>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</si>
  <si>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</si>
  <si>
    <t>WB_debug3</t>
  </si>
  <si>
    <t>WB_debug4</t>
  </si>
  <si>
    <t>diffusion_apoplasm</t>
  </si>
  <si>
    <t>Diffusion paramenter for exchanges between xylem apoplasm and soil solution</t>
  </si>
  <si>
    <t>WB_debug5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</si>
</sst>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  <xf numFmtId="11" fontId="0" fillId="0" borderId="10" xfId="0" applyNumberForma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37"/>
  <sheetViews>
    <sheetView tabSelected="1" zoomScaleNormal="100" workbookViewId="0">
      <pane xSplit="6" ySplit="1" topLeftCell="M122" activePane="bottomRight" state="frozen"/>
      <selection pane="topRight" activeCell="G1" sqref="G1"/>
      <selection pane="bottomLeft" activeCell="A2" sqref="A2"/>
      <selection pane="bottomRight" activeCell="R141" sqref="R141"/>
    </sheetView>
  </sheetViews>
  <sheetFormatPr defaultColWidth="11.453125" defaultRowHeight="14.5" x14ac:dyDescent="0.35"/>
  <cols>
    <col min="1" max="1" width="32.7265625" style="1" customWidth="1"/>
    <col min="2" max="2" width="13.7265625" style="1" customWidth="1"/>
    <col min="3" max="3" width="16.1796875" style="1" customWidth="1"/>
    <col min="4" max="4" width="12.81640625" style="1" customWidth="1"/>
    <col min="5" max="5" width="13.81640625" customWidth="1"/>
    <col min="6" max="6" width="22.7265625" customWidth="1"/>
    <col min="7" max="7" width="16.1796875" style="37" customWidth="1"/>
    <col min="8" max="55" width="21.54296875" style="1" customWidth="1"/>
  </cols>
  <sheetData>
    <row r="1" spans="1:55" s="1" customFormat="1" x14ac:dyDescent="0.3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/>
      <c r="N1" s="54" t="s">
        <v>604</v>
      </c>
      <c r="P1" s="54" t="s">
        <v>608</v>
      </c>
      <c r="Q1" s="54" t="s">
        <v>609</v>
      </c>
      <c r="R1" s="54" t="s">
        <v>612</v>
      </c>
      <c r="T1" s="54" t="s">
        <v>596</v>
      </c>
      <c r="U1" s="54"/>
      <c r="V1" s="54" t="s">
        <v>570</v>
      </c>
      <c r="W1" s="54" t="s">
        <v>568</v>
      </c>
      <c r="X1" s="54" t="s">
        <v>569</v>
      </c>
      <c r="Z1" s="1" t="s">
        <v>567</v>
      </c>
      <c r="AA1" s="36" t="s">
        <v>543</v>
      </c>
      <c r="AB1" s="36" t="s">
        <v>544</v>
      </c>
      <c r="AC1" s="36" t="s">
        <v>545</v>
      </c>
      <c r="AD1" s="36" t="s">
        <v>546</v>
      </c>
      <c r="AE1" s="36" t="s">
        <v>547</v>
      </c>
      <c r="AF1" s="36" t="s">
        <v>548</v>
      </c>
      <c r="AG1" s="36" t="s">
        <v>549</v>
      </c>
      <c r="AH1" s="36" t="s">
        <v>550</v>
      </c>
      <c r="AI1" s="36" t="s">
        <v>551</v>
      </c>
      <c r="AJ1" s="36" t="s">
        <v>552</v>
      </c>
      <c r="AK1" s="36" t="s">
        <v>553</v>
      </c>
      <c r="AL1"/>
      <c r="AM1" s="36" t="s">
        <v>554</v>
      </c>
      <c r="AN1" s="36" t="s">
        <v>555</v>
      </c>
      <c r="AO1" s="36" t="s">
        <v>556</v>
      </c>
      <c r="AP1" s="36" t="s">
        <v>557</v>
      </c>
      <c r="AQ1" s="36" t="s">
        <v>558</v>
      </c>
      <c r="AR1" s="36" t="s">
        <v>559</v>
      </c>
      <c r="AS1" s="36" t="s">
        <v>560</v>
      </c>
      <c r="AT1"/>
      <c r="AU1" s="36" t="s">
        <v>563</v>
      </c>
      <c r="AV1" s="36" t="s">
        <v>564</v>
      </c>
      <c r="AW1" s="36" t="s">
        <v>565</v>
      </c>
      <c r="AX1" s="36" t="s">
        <v>566</v>
      </c>
      <c r="AY1"/>
      <c r="AZ1" s="36" t="s">
        <v>562</v>
      </c>
      <c r="BA1"/>
      <c r="BB1"/>
      <c r="BC1" s="36" t="s">
        <v>542</v>
      </c>
    </row>
    <row r="2" spans="1:55" s="1" customFormat="1" x14ac:dyDescent="0.3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/>
      <c r="N2" s="44" t="s">
        <v>478</v>
      </c>
      <c r="P2" s="44" t="s">
        <v>478</v>
      </c>
      <c r="Q2" s="44" t="s">
        <v>478</v>
      </c>
      <c r="R2" s="44" t="s">
        <v>478</v>
      </c>
      <c r="T2" s="44" t="s">
        <v>478</v>
      </c>
      <c r="U2" s="44"/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3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/>
      <c r="N3" s="44" t="s">
        <v>593</v>
      </c>
      <c r="P3" s="44" t="s">
        <v>593</v>
      </c>
      <c r="Q3" s="44" t="s">
        <v>593</v>
      </c>
      <c r="R3" s="44" t="s">
        <v>593</v>
      </c>
      <c r="T3" s="44" t="s">
        <v>476</v>
      </c>
      <c r="U3" s="44"/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s="1" customFormat="1" x14ac:dyDescent="0.3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/>
      <c r="N4" s="44" t="s">
        <v>476</v>
      </c>
      <c r="P4" s="44" t="s">
        <v>476</v>
      </c>
      <c r="Q4" s="44" t="s">
        <v>476</v>
      </c>
      <c r="R4" s="44" t="s">
        <v>476</v>
      </c>
      <c r="T4" s="44" t="s">
        <v>476</v>
      </c>
      <c r="U4" s="44"/>
      <c r="V4" s="44" t="s">
        <v>476</v>
      </c>
      <c r="W4" s="44" t="s">
        <v>476</v>
      </c>
      <c r="X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/>
      <c r="AM4" s="44" t="s">
        <v>476</v>
      </c>
      <c r="AN4" s="44" t="s">
        <v>476</v>
      </c>
      <c r="AO4" s="44" t="s">
        <v>476</v>
      </c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 s="44" t="s">
        <v>476</v>
      </c>
      <c r="AW4" s="44" t="s">
        <v>476</v>
      </c>
      <c r="AX4" s="44" t="s">
        <v>476</v>
      </c>
      <c r="AY4"/>
      <c r="AZ4" s="44" t="s">
        <v>476</v>
      </c>
      <c r="BA4"/>
      <c r="BB4"/>
      <c r="BC4" s="44" t="s">
        <v>476</v>
      </c>
    </row>
    <row r="5" spans="1:55" x14ac:dyDescent="0.3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/>
      <c r="N5" s="44" t="s">
        <v>86</v>
      </c>
      <c r="P5" s="44" t="s">
        <v>86</v>
      </c>
      <c r="Q5" s="44" t="s">
        <v>86</v>
      </c>
      <c r="R5" s="44" t="s">
        <v>86</v>
      </c>
      <c r="T5" s="44" t="s">
        <v>86</v>
      </c>
      <c r="U5" s="44"/>
      <c r="V5" s="44" t="s">
        <v>86</v>
      </c>
      <c r="W5" s="44" t="s">
        <v>86</v>
      </c>
      <c r="X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/>
      <c r="AM5" s="44" t="s">
        <v>86</v>
      </c>
      <c r="AN5" s="44" t="s">
        <v>86</v>
      </c>
      <c r="AO5" s="44" t="s">
        <v>86</v>
      </c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 s="44" t="s">
        <v>86</v>
      </c>
      <c r="AW5" s="44" t="s">
        <v>86</v>
      </c>
      <c r="AX5" s="44" t="s">
        <v>86</v>
      </c>
      <c r="AY5"/>
      <c r="AZ5" s="44" t="s">
        <v>86</v>
      </c>
      <c r="BA5"/>
      <c r="BB5"/>
      <c r="BC5" s="44" t="s">
        <v>86</v>
      </c>
    </row>
    <row r="6" spans="1:55" x14ac:dyDescent="0.3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/>
      <c r="N6" s="44">
        <v>1</v>
      </c>
      <c r="P6" s="44">
        <v>1</v>
      </c>
      <c r="Q6" s="44">
        <v>1</v>
      </c>
      <c r="R6" s="44">
        <v>1</v>
      </c>
      <c r="T6" s="44">
        <v>1</v>
      </c>
      <c r="U6" s="44"/>
      <c r="V6" s="44">
        <v>1</v>
      </c>
      <c r="W6" s="44">
        <v>1</v>
      </c>
      <c r="X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/>
      <c r="AM6" s="44">
        <v>1</v>
      </c>
      <c r="AN6" s="44">
        <v>1</v>
      </c>
      <c r="AO6" s="44">
        <v>1</v>
      </c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 s="44">
        <v>1</v>
      </c>
      <c r="AW6" s="44">
        <v>1</v>
      </c>
      <c r="AX6" s="44">
        <v>1</v>
      </c>
      <c r="AY6"/>
      <c r="AZ6" s="44">
        <v>1</v>
      </c>
      <c r="BA6"/>
      <c r="BB6"/>
      <c r="BC6" s="44">
        <v>1</v>
      </c>
    </row>
    <row r="7" spans="1:55" x14ac:dyDescent="0.3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/>
      <c r="N7" s="44">
        <v>180</v>
      </c>
      <c r="P7" s="44">
        <v>180</v>
      </c>
      <c r="Q7" s="44">
        <v>180</v>
      </c>
      <c r="R7" s="44">
        <v>180</v>
      </c>
      <c r="T7" s="44">
        <v>180</v>
      </c>
      <c r="U7" s="44"/>
      <c r="V7" s="44">
        <v>180</v>
      </c>
      <c r="W7" s="44">
        <v>180</v>
      </c>
      <c r="X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/>
      <c r="AM7" s="44">
        <v>180</v>
      </c>
      <c r="AN7" s="44">
        <v>180</v>
      </c>
      <c r="AO7" s="44">
        <v>180</v>
      </c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 s="44">
        <v>180</v>
      </c>
      <c r="AW7" s="44">
        <v>180</v>
      </c>
      <c r="AX7" s="44">
        <v>180</v>
      </c>
      <c r="AY7"/>
      <c r="AZ7" s="44">
        <v>180</v>
      </c>
      <c r="BA7"/>
      <c r="BB7"/>
      <c r="BC7" s="44">
        <v>180</v>
      </c>
    </row>
    <row r="8" spans="1:55" x14ac:dyDescent="0.3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/>
      <c r="N8" s="44">
        <v>4.1666666999999998E-2</v>
      </c>
      <c r="P8" s="44">
        <v>4.1666666999999998E-2</v>
      </c>
      <c r="Q8" s="44">
        <v>4.1666666999999998E-2</v>
      </c>
      <c r="R8" s="44">
        <v>4.1666666999999998E-2</v>
      </c>
      <c r="T8" s="44">
        <v>4.1666666999999998E-2</v>
      </c>
      <c r="U8" s="44"/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3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/>
      <c r="N9" s="44">
        <v>4.1666666999999998E-2</v>
      </c>
      <c r="P9" s="44">
        <v>4.1666666999999998E-2</v>
      </c>
      <c r="Q9" s="44">
        <v>4.1666666999999998E-2</v>
      </c>
      <c r="R9" s="44">
        <v>4.1666666999999998E-2</v>
      </c>
      <c r="T9" s="44">
        <v>4.1666666999999998E-2</v>
      </c>
      <c r="U9" s="44"/>
      <c r="V9" s="44">
        <v>4.1666666999999998E-2</v>
      </c>
      <c r="W9" s="44">
        <v>4.1666666999999998E-2</v>
      </c>
      <c r="X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/>
      <c r="AM9" s="44">
        <v>4.1666666999999998E-2</v>
      </c>
      <c r="AN9" s="44">
        <v>4.1666666999999998E-2</v>
      </c>
      <c r="AO9" s="44">
        <v>4.1666666999999998E-2</v>
      </c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 s="44">
        <v>4.1666666999999998E-2</v>
      </c>
      <c r="AW9" s="44">
        <v>4.1666666999999998E-2</v>
      </c>
      <c r="AX9" s="44">
        <v>4.1666666999999998E-2</v>
      </c>
      <c r="AY9"/>
      <c r="AZ9" s="44">
        <v>4.1666666999999998E-2</v>
      </c>
      <c r="BA9"/>
      <c r="BB9"/>
      <c r="BC9" s="44">
        <v>4.1666666999999998E-2</v>
      </c>
    </row>
    <row r="10" spans="1:55" x14ac:dyDescent="0.3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/>
      <c r="N10" s="44">
        <v>1</v>
      </c>
      <c r="P10" s="44">
        <v>1</v>
      </c>
      <c r="Q10" s="44">
        <v>1</v>
      </c>
      <c r="R10" s="44">
        <v>1</v>
      </c>
      <c r="T10" s="44">
        <v>1</v>
      </c>
      <c r="U10" s="44"/>
      <c r="V10" s="44">
        <v>1</v>
      </c>
      <c r="W10" s="44">
        <v>1</v>
      </c>
      <c r="X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/>
      <c r="AM10" s="44">
        <v>1</v>
      </c>
      <c r="AN10" s="44">
        <v>1</v>
      </c>
      <c r="AO10" s="44">
        <v>1</v>
      </c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 s="44">
        <v>1</v>
      </c>
      <c r="AW10" s="44">
        <v>1</v>
      </c>
      <c r="AX10" s="44">
        <v>1</v>
      </c>
      <c r="AY10"/>
      <c r="AZ10" s="44">
        <v>1</v>
      </c>
      <c r="BA10"/>
      <c r="BB10"/>
      <c r="BC10" s="44">
        <v>1</v>
      </c>
    </row>
    <row r="11" spans="1:55" x14ac:dyDescent="0.3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/>
      <c r="N11" s="44">
        <v>0</v>
      </c>
      <c r="P11" s="44">
        <v>0</v>
      </c>
      <c r="Q11" s="44">
        <v>0</v>
      </c>
      <c r="R11" s="44">
        <v>0</v>
      </c>
      <c r="T11" s="44">
        <v>0</v>
      </c>
      <c r="U11" s="44"/>
      <c r="V11" s="44">
        <v>0</v>
      </c>
      <c r="W11" s="44">
        <v>0</v>
      </c>
      <c r="X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/>
      <c r="AM11" s="44">
        <v>0</v>
      </c>
      <c r="AN11" s="44">
        <v>0</v>
      </c>
      <c r="AO11" s="44">
        <v>0</v>
      </c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 s="44">
        <v>0</v>
      </c>
      <c r="AW11" s="44">
        <v>0</v>
      </c>
      <c r="AX11" s="44">
        <v>0</v>
      </c>
      <c r="AY11"/>
      <c r="AZ11" s="44">
        <v>0</v>
      </c>
      <c r="BA11"/>
      <c r="BB11"/>
      <c r="BC11" s="44">
        <v>0</v>
      </c>
    </row>
    <row r="12" spans="1:55" x14ac:dyDescent="0.3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/>
      <c r="N12" s="44" t="s">
        <v>87</v>
      </c>
      <c r="P12" s="44" t="s">
        <v>87</v>
      </c>
      <c r="Q12" s="44" t="s">
        <v>87</v>
      </c>
      <c r="R12" s="44" t="s">
        <v>87</v>
      </c>
      <c r="T12" s="44" t="s">
        <v>87</v>
      </c>
      <c r="U12" s="44"/>
      <c r="V12" s="44" t="s">
        <v>87</v>
      </c>
      <c r="W12" s="44" t="s">
        <v>87</v>
      </c>
      <c r="X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/>
      <c r="AM12" s="44" t="s">
        <v>87</v>
      </c>
      <c r="AN12" s="44" t="s">
        <v>87</v>
      </c>
      <c r="AO12" s="44" t="s">
        <v>87</v>
      </c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 s="44" t="s">
        <v>87</v>
      </c>
      <c r="AW12" s="44" t="s">
        <v>87</v>
      </c>
      <c r="AX12" s="44" t="s">
        <v>87</v>
      </c>
      <c r="AY12"/>
      <c r="AZ12" s="44" t="s">
        <v>87</v>
      </c>
      <c r="BA12"/>
      <c r="BB12"/>
      <c r="BC12" s="44" t="s">
        <v>87</v>
      </c>
    </row>
    <row r="13" spans="1:55" x14ac:dyDescent="0.3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/>
      <c r="N13" s="44">
        <v>5.0000000000000001E-9</v>
      </c>
      <c r="P13" s="44">
        <v>5.0000000000000001E-9</v>
      </c>
      <c r="Q13" s="44">
        <v>5.0000000000000001E-9</v>
      </c>
      <c r="R13" s="44">
        <v>5.0000000000000001E-9</v>
      </c>
      <c r="T13" s="44">
        <v>5.0000000000000001E-9</v>
      </c>
      <c r="U13" s="44"/>
      <c r="V13" s="44">
        <v>5.0000000000000001E-9</v>
      </c>
      <c r="W13" s="44">
        <v>5.0000000000000001E-9</v>
      </c>
      <c r="X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/>
      <c r="AM13" s="44">
        <v>5.0000000000000001E-9</v>
      </c>
      <c r="AN13" s="44">
        <v>5.0000000000000001E-9</v>
      </c>
      <c r="AO13" s="44">
        <v>5.0000000000000001E-9</v>
      </c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 s="44">
        <v>5.0000000000000001E-9</v>
      </c>
      <c r="AW13" s="44">
        <v>5.0000000000000001E-9</v>
      </c>
      <c r="AX13" s="44">
        <v>5.0000000000000001E-9</v>
      </c>
      <c r="AY13"/>
      <c r="AZ13" s="44">
        <v>5.0000000000000001E-9</v>
      </c>
      <c r="BA13"/>
      <c r="BB13"/>
      <c r="BC13" s="44">
        <v>5.0000000000000001E-9</v>
      </c>
    </row>
    <row r="14" spans="1:55" x14ac:dyDescent="0.3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/>
      <c r="N14" s="44">
        <v>10</v>
      </c>
      <c r="P14" s="44">
        <v>10</v>
      </c>
      <c r="Q14" s="44">
        <v>10</v>
      </c>
      <c r="R14" s="44">
        <v>10</v>
      </c>
      <c r="T14" s="44">
        <v>10</v>
      </c>
      <c r="U14" s="44"/>
      <c r="V14" s="44">
        <v>10</v>
      </c>
      <c r="W14" s="44">
        <v>10</v>
      </c>
      <c r="X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/>
      <c r="AM14" s="44">
        <v>10</v>
      </c>
      <c r="AN14" s="44">
        <v>10</v>
      </c>
      <c r="AO14" s="44">
        <v>10</v>
      </c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 s="44">
        <v>10</v>
      </c>
      <c r="AW14" s="44">
        <v>10</v>
      </c>
      <c r="AX14" s="44">
        <v>10</v>
      </c>
      <c r="AY14"/>
      <c r="AZ14" s="44">
        <v>10</v>
      </c>
      <c r="BA14"/>
      <c r="BB14"/>
      <c r="BC14" s="44">
        <v>10</v>
      </c>
    </row>
    <row r="15" spans="1:55" x14ac:dyDescent="0.3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/>
      <c r="N15" s="44" t="s">
        <v>87</v>
      </c>
      <c r="P15" s="44" t="s">
        <v>87</v>
      </c>
      <c r="Q15" s="44" t="s">
        <v>87</v>
      </c>
      <c r="R15" s="44" t="s">
        <v>87</v>
      </c>
      <c r="T15" s="44" t="s">
        <v>87</v>
      </c>
      <c r="U15" s="44"/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3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/>
      <c r="N16" s="44" t="s">
        <v>87</v>
      </c>
      <c r="P16" s="44" t="s">
        <v>87</v>
      </c>
      <c r="Q16" s="44" t="s">
        <v>87</v>
      </c>
      <c r="R16" s="44" t="s">
        <v>87</v>
      </c>
      <c r="T16" s="44" t="s">
        <v>87</v>
      </c>
      <c r="U16" s="44"/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3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/>
      <c r="N17" s="44" t="s">
        <v>87</v>
      </c>
      <c r="P17" s="44" t="s">
        <v>87</v>
      </c>
      <c r="Q17" s="44" t="s">
        <v>87</v>
      </c>
      <c r="R17" s="44" t="s">
        <v>87</v>
      </c>
      <c r="T17" s="44" t="s">
        <v>87</v>
      </c>
      <c r="U17" s="44"/>
      <c r="V17" s="44" t="s">
        <v>87</v>
      </c>
      <c r="W17" s="44" t="s">
        <v>87</v>
      </c>
      <c r="X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/>
      <c r="AM17" s="44" t="s">
        <v>87</v>
      </c>
      <c r="AN17" s="44" t="s">
        <v>87</v>
      </c>
      <c r="AO17" s="44" t="s">
        <v>87</v>
      </c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 s="44" t="s">
        <v>87</v>
      </c>
      <c r="AW17" s="44" t="s">
        <v>87</v>
      </c>
      <c r="AX17" s="44" t="s">
        <v>87</v>
      </c>
      <c r="AY17"/>
      <c r="AZ17" s="44" t="s">
        <v>87</v>
      </c>
      <c r="BA17"/>
      <c r="BB17"/>
      <c r="BC17" s="44" t="s">
        <v>87</v>
      </c>
    </row>
    <row r="18" spans="1:55" x14ac:dyDescent="0.3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/>
      <c r="N18" s="44">
        <v>86400</v>
      </c>
      <c r="P18" s="44">
        <v>86400</v>
      </c>
      <c r="Q18" s="44">
        <v>86400</v>
      </c>
      <c r="R18" s="44">
        <v>86400</v>
      </c>
      <c r="T18" s="44">
        <v>86400</v>
      </c>
      <c r="U18" s="44"/>
      <c r="V18" s="44">
        <v>86400</v>
      </c>
      <c r="W18" s="44">
        <v>86400</v>
      </c>
      <c r="X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/>
      <c r="AM18" s="44">
        <v>86400</v>
      </c>
      <c r="AN18" s="44">
        <v>86400</v>
      </c>
      <c r="AO18" s="44">
        <v>86400</v>
      </c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 s="44">
        <v>86400</v>
      </c>
      <c r="AW18" s="44">
        <v>86400</v>
      </c>
      <c r="AX18" s="44">
        <v>86400</v>
      </c>
      <c r="AY18"/>
      <c r="AZ18" s="44">
        <v>86400</v>
      </c>
      <c r="BA18"/>
      <c r="BB18"/>
      <c r="BC18" s="44">
        <v>86400</v>
      </c>
    </row>
    <row r="19" spans="1:55" x14ac:dyDescent="0.3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/>
      <c r="N19" s="44" t="s">
        <v>86</v>
      </c>
      <c r="P19" s="44" t="s">
        <v>86</v>
      </c>
      <c r="Q19" s="44" t="s">
        <v>86</v>
      </c>
      <c r="R19" s="44" t="s">
        <v>86</v>
      </c>
      <c r="T19" s="44" t="s">
        <v>86</v>
      </c>
      <c r="U19" s="44"/>
      <c r="V19" s="44" t="s">
        <v>86</v>
      </c>
      <c r="W19" s="44" t="s">
        <v>86</v>
      </c>
      <c r="X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/>
      <c r="AM19" s="44" t="s">
        <v>86</v>
      </c>
      <c r="AN19" s="44" t="s">
        <v>86</v>
      </c>
      <c r="AO19" s="44" t="s">
        <v>86</v>
      </c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 s="44" t="s">
        <v>86</v>
      </c>
      <c r="AW19" s="44" t="s">
        <v>86</v>
      </c>
      <c r="AX19" s="44" t="s">
        <v>86</v>
      </c>
      <c r="AY19"/>
      <c r="AZ19" s="44" t="s">
        <v>86</v>
      </c>
      <c r="BA19"/>
      <c r="BB19"/>
      <c r="BC19" s="44" t="s">
        <v>86</v>
      </c>
    </row>
    <row r="20" spans="1:55" x14ac:dyDescent="0.3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/>
      <c r="N20" s="44">
        <v>3</v>
      </c>
      <c r="P20" s="44">
        <v>3</v>
      </c>
      <c r="Q20" s="44">
        <v>3</v>
      </c>
      <c r="R20" s="44">
        <v>3</v>
      </c>
      <c r="T20" s="44">
        <v>3</v>
      </c>
      <c r="U20" s="44"/>
      <c r="V20" s="44">
        <v>3</v>
      </c>
      <c r="W20" s="44">
        <v>3</v>
      </c>
      <c r="X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/>
      <c r="AM20" s="44">
        <v>3</v>
      </c>
      <c r="AN20" s="44">
        <v>3</v>
      </c>
      <c r="AO20" s="44">
        <v>3</v>
      </c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 s="44">
        <v>3</v>
      </c>
      <c r="AW20" s="44">
        <v>3</v>
      </c>
      <c r="AX20" s="44">
        <v>3</v>
      </c>
      <c r="AY20"/>
      <c r="AZ20" s="44">
        <v>3</v>
      </c>
      <c r="BA20"/>
      <c r="BB20"/>
      <c r="BC20" s="44">
        <v>3</v>
      </c>
    </row>
    <row r="21" spans="1:55" x14ac:dyDescent="0.3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/>
      <c r="N21" s="44" t="s">
        <v>87</v>
      </c>
      <c r="P21" s="44" t="s">
        <v>87</v>
      </c>
      <c r="Q21" s="44" t="s">
        <v>87</v>
      </c>
      <c r="R21" s="44" t="s">
        <v>87</v>
      </c>
      <c r="T21" s="44" t="s">
        <v>87</v>
      </c>
      <c r="U21" s="44"/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3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/>
      <c r="N22" s="44" t="s">
        <v>87</v>
      </c>
      <c r="P22" s="44" t="s">
        <v>87</v>
      </c>
      <c r="Q22" s="44" t="s">
        <v>87</v>
      </c>
      <c r="R22" s="44" t="s">
        <v>87</v>
      </c>
      <c r="T22" s="44" t="s">
        <v>87</v>
      </c>
      <c r="U22" s="44"/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3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/>
      <c r="N23" s="44" t="s">
        <v>87</v>
      </c>
      <c r="P23" s="44" t="s">
        <v>87</v>
      </c>
      <c r="Q23" s="44" t="s">
        <v>87</v>
      </c>
      <c r="R23" s="44" t="s">
        <v>87</v>
      </c>
      <c r="T23" s="44" t="s">
        <v>87</v>
      </c>
      <c r="U23" s="44"/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3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/>
      <c r="N24" s="44" t="s">
        <v>87</v>
      </c>
      <c r="P24" s="44" t="s">
        <v>87</v>
      </c>
      <c r="Q24" s="44" t="s">
        <v>87</v>
      </c>
      <c r="R24" s="44" t="s">
        <v>87</v>
      </c>
      <c r="T24" s="44" t="s">
        <v>87</v>
      </c>
      <c r="U24" s="44"/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3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/>
      <c r="N25" s="44" t="s">
        <v>87</v>
      </c>
      <c r="P25" s="44" t="s">
        <v>87</v>
      </c>
      <c r="Q25" s="44" t="s">
        <v>87</v>
      </c>
      <c r="R25" s="44" t="s">
        <v>87</v>
      </c>
      <c r="T25" s="44" t="s">
        <v>87</v>
      </c>
      <c r="U25" s="44"/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3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/>
      <c r="N26" s="44" t="s">
        <v>87</v>
      </c>
      <c r="P26" s="44" t="s">
        <v>87</v>
      </c>
      <c r="Q26" s="44" t="s">
        <v>87</v>
      </c>
      <c r="R26" s="44" t="s">
        <v>87</v>
      </c>
      <c r="T26" s="44" t="s">
        <v>87</v>
      </c>
      <c r="U26" s="44"/>
      <c r="V26" s="44" t="s">
        <v>87</v>
      </c>
      <c r="W26" s="44" t="s">
        <v>87</v>
      </c>
      <c r="X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/>
      <c r="AM26" s="44" t="s">
        <v>87</v>
      </c>
      <c r="AN26" s="44" t="s">
        <v>87</v>
      </c>
      <c r="AO26" s="44" t="s">
        <v>87</v>
      </c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 s="44" t="s">
        <v>87</v>
      </c>
      <c r="AW26" s="44" t="s">
        <v>87</v>
      </c>
      <c r="AX26" s="44" t="s">
        <v>87</v>
      </c>
      <c r="AY26"/>
      <c r="AZ26" s="44" t="s">
        <v>87</v>
      </c>
      <c r="BA26"/>
      <c r="BB26"/>
      <c r="BC26" s="44" t="s">
        <v>87</v>
      </c>
    </row>
    <row r="27" spans="1:55" x14ac:dyDescent="0.3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/>
      <c r="N27" s="44">
        <v>0.33</v>
      </c>
      <c r="P27" s="44">
        <v>0.33</v>
      </c>
      <c r="Q27" s="44">
        <v>0.33</v>
      </c>
      <c r="R27" s="44">
        <v>0.33</v>
      </c>
      <c r="T27" s="44">
        <v>0.33</v>
      </c>
      <c r="U27" s="44"/>
      <c r="V27" s="44">
        <v>0.33</v>
      </c>
      <c r="W27" s="44">
        <v>0.33</v>
      </c>
      <c r="X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/>
      <c r="AM27" s="44">
        <v>0.33</v>
      </c>
      <c r="AN27" s="44">
        <v>0.33</v>
      </c>
      <c r="AO27" s="44">
        <v>0.33</v>
      </c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 s="44">
        <v>0.33</v>
      </c>
      <c r="AW27" s="44">
        <v>0.33</v>
      </c>
      <c r="AX27" s="44">
        <v>0.33</v>
      </c>
      <c r="AY27"/>
      <c r="AZ27" s="44">
        <v>0.33</v>
      </c>
      <c r="BA27"/>
      <c r="BB27"/>
      <c r="BC27" s="44">
        <v>0.33</v>
      </c>
    </row>
    <row r="28" spans="1:55" x14ac:dyDescent="0.3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/>
      <c r="N28" s="44" t="s">
        <v>87</v>
      </c>
      <c r="P28" s="44" t="s">
        <v>87</v>
      </c>
      <c r="Q28" s="44" t="s">
        <v>87</v>
      </c>
      <c r="R28" s="44" t="s">
        <v>87</v>
      </c>
      <c r="T28" s="44" t="s">
        <v>87</v>
      </c>
      <c r="U28" s="44"/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3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/>
      <c r="N29" s="44" t="s">
        <v>87</v>
      </c>
      <c r="P29" s="44" t="s">
        <v>87</v>
      </c>
      <c r="Q29" s="44" t="s">
        <v>87</v>
      </c>
      <c r="R29" s="44" t="s">
        <v>87</v>
      </c>
      <c r="T29" s="44" t="s">
        <v>87</v>
      </c>
      <c r="U29" s="44"/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3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/>
      <c r="N30" s="44" t="s">
        <v>87</v>
      </c>
      <c r="P30" s="44" t="s">
        <v>87</v>
      </c>
      <c r="Q30" s="44" t="s">
        <v>87</v>
      </c>
      <c r="R30" s="44" t="s">
        <v>87</v>
      </c>
      <c r="T30" s="44" t="s">
        <v>87</v>
      </c>
      <c r="U30" s="44"/>
      <c r="V30" s="44" t="s">
        <v>87</v>
      </c>
      <c r="W30" s="44" t="s">
        <v>87</v>
      </c>
      <c r="X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/>
      <c r="AM30" s="44" t="s">
        <v>87</v>
      </c>
      <c r="AN30" s="44" t="s">
        <v>87</v>
      </c>
      <c r="AO30" s="44" t="s">
        <v>87</v>
      </c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 s="44" t="s">
        <v>87</v>
      </c>
      <c r="AW30" s="44" t="s">
        <v>87</v>
      </c>
      <c r="AX30" s="44" t="s">
        <v>87</v>
      </c>
      <c r="AY30"/>
      <c r="AZ30" s="44" t="s">
        <v>87</v>
      </c>
      <c r="BA30"/>
      <c r="BB30"/>
      <c r="BC30" s="44" t="s">
        <v>87</v>
      </c>
    </row>
    <row r="31" spans="1:55" x14ac:dyDescent="0.3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/>
      <c r="N31" s="44" t="s">
        <v>86</v>
      </c>
      <c r="P31" s="44" t="s">
        <v>86</v>
      </c>
      <c r="Q31" s="44" t="s">
        <v>86</v>
      </c>
      <c r="R31" s="44" t="s">
        <v>86</v>
      </c>
      <c r="T31" s="44" t="s">
        <v>86</v>
      </c>
      <c r="U31" s="44"/>
      <c r="V31" s="44" t="s">
        <v>86</v>
      </c>
      <c r="W31" s="44" t="s">
        <v>86</v>
      </c>
      <c r="X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/>
      <c r="AM31" s="44" t="s">
        <v>86</v>
      </c>
      <c r="AN31" s="44" t="s">
        <v>86</v>
      </c>
      <c r="AO31" s="44" t="s">
        <v>86</v>
      </c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 s="44" t="s">
        <v>86</v>
      </c>
      <c r="AW31" s="44" t="s">
        <v>86</v>
      </c>
      <c r="AX31" s="44" t="s">
        <v>86</v>
      </c>
      <c r="AY31"/>
      <c r="AZ31" s="44" t="s">
        <v>86</v>
      </c>
      <c r="BA31"/>
      <c r="BB31"/>
      <c r="BC31" s="44" t="s">
        <v>86</v>
      </c>
    </row>
    <row r="32" spans="1:55" x14ac:dyDescent="0.3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/>
      <c r="N32" s="45" t="s">
        <v>436</v>
      </c>
      <c r="P32" s="45" t="s">
        <v>436</v>
      </c>
      <c r="Q32" s="45" t="s">
        <v>436</v>
      </c>
      <c r="R32" s="45" t="s">
        <v>436</v>
      </c>
      <c r="T32" s="45" t="s">
        <v>436</v>
      </c>
      <c r="U32" s="45"/>
      <c r="V32" s="45" t="s">
        <v>436</v>
      </c>
      <c r="W32" s="45" t="s">
        <v>436</v>
      </c>
      <c r="X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/>
      <c r="AM32" s="45" t="s">
        <v>436</v>
      </c>
      <c r="AN32" s="45" t="s">
        <v>436</v>
      </c>
      <c r="AO32" s="45" t="s">
        <v>436</v>
      </c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 s="45" t="s">
        <v>436</v>
      </c>
      <c r="AW32" s="45" t="s">
        <v>436</v>
      </c>
      <c r="AX32" s="45" t="s">
        <v>436</v>
      </c>
      <c r="AY32"/>
      <c r="AZ32" s="45" t="s">
        <v>436</v>
      </c>
      <c r="BA32"/>
      <c r="BB32"/>
      <c r="BC32" s="45" t="s">
        <v>436</v>
      </c>
    </row>
    <row r="33" spans="1:55" x14ac:dyDescent="0.3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/>
      <c r="N33" s="44">
        <v>9.9999999999999995E-7</v>
      </c>
      <c r="P33" s="44">
        <v>9.9999999999999995E-7</v>
      </c>
      <c r="Q33" s="44">
        <v>9.9999999999999995E-7</v>
      </c>
      <c r="R33" s="44">
        <v>9.9999999999999995E-7</v>
      </c>
      <c r="T33" s="44">
        <v>9.9999999999999995E-7</v>
      </c>
      <c r="U33" s="44"/>
      <c r="V33" s="44">
        <v>9.9999999999999995E-7</v>
      </c>
      <c r="W33" s="44">
        <v>9.9999999999999995E-7</v>
      </c>
      <c r="X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/>
      <c r="AM33" s="44">
        <v>9.9999999999999995E-7</v>
      </c>
      <c r="AN33" s="44">
        <v>9.9999999999999995E-7</v>
      </c>
      <c r="AO33" s="44">
        <v>9.9999999999999995E-7</v>
      </c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 s="44">
        <v>9.9999999999999995E-7</v>
      </c>
      <c r="AW33" s="44">
        <v>9.9999999999999995E-7</v>
      </c>
      <c r="AX33" s="44">
        <v>9.9999999999999995E-7</v>
      </c>
      <c r="AY33"/>
      <c r="AZ33" s="44">
        <v>9.9999999999999995E-7</v>
      </c>
      <c r="BA33"/>
      <c r="BB33"/>
      <c r="BC33" s="44">
        <v>9.9999999999999995E-7</v>
      </c>
    </row>
    <row r="34" spans="1:55" x14ac:dyDescent="0.3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/>
      <c r="N34" s="44">
        <v>1E-3</v>
      </c>
      <c r="P34" s="44">
        <v>1E-3</v>
      </c>
      <c r="Q34" s="44">
        <v>1E-3</v>
      </c>
      <c r="R34" s="44">
        <v>1E-3</v>
      </c>
      <c r="T34" s="44">
        <v>1E-3</v>
      </c>
      <c r="U34" s="44"/>
      <c r="V34" s="44">
        <v>1E-3</v>
      </c>
      <c r="W34" s="44">
        <v>1E-3</v>
      </c>
      <c r="X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/>
      <c r="AM34" s="44">
        <v>1E-3</v>
      </c>
      <c r="AN34" s="44">
        <v>1E-3</v>
      </c>
      <c r="AO34" s="44">
        <v>1E-3</v>
      </c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 s="44">
        <v>1E-3</v>
      </c>
      <c r="AW34" s="44">
        <v>1E-3</v>
      </c>
      <c r="AX34" s="44">
        <v>1E-3</v>
      </c>
      <c r="AY34"/>
      <c r="AZ34" s="44">
        <v>1E-3</v>
      </c>
      <c r="BA34"/>
      <c r="BB34"/>
      <c r="BC34" s="44">
        <v>1E-3</v>
      </c>
    </row>
    <row r="35" spans="1:55" x14ac:dyDescent="0.3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/>
      <c r="N35" s="44" t="s">
        <v>86</v>
      </c>
      <c r="P35" s="44" t="s">
        <v>86</v>
      </c>
      <c r="Q35" s="44" t="s">
        <v>86</v>
      </c>
      <c r="R35" s="44" t="s">
        <v>86</v>
      </c>
      <c r="T35" s="44" t="s">
        <v>86</v>
      </c>
      <c r="U35" s="44"/>
      <c r="V35" s="44" t="s">
        <v>86</v>
      </c>
      <c r="W35" s="44" t="s">
        <v>86</v>
      </c>
      <c r="X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/>
      <c r="AM35" s="44" t="s">
        <v>86</v>
      </c>
      <c r="AN35" s="44" t="s">
        <v>86</v>
      </c>
      <c r="AO35" s="44" t="s">
        <v>86</v>
      </c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 s="44" t="s">
        <v>86</v>
      </c>
      <c r="AW35" s="44" t="s">
        <v>86</v>
      </c>
      <c r="AX35" s="44" t="s">
        <v>86</v>
      </c>
      <c r="AY35"/>
      <c r="AZ35" s="44" t="s">
        <v>86</v>
      </c>
      <c r="BA35"/>
      <c r="BB35"/>
      <c r="BC35" s="44" t="s">
        <v>86</v>
      </c>
    </row>
    <row r="36" spans="1:55" x14ac:dyDescent="0.3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/>
      <c r="N36" s="44" t="s">
        <v>88</v>
      </c>
      <c r="P36" s="44" t="s">
        <v>88</v>
      </c>
      <c r="Q36" s="44" t="s">
        <v>88</v>
      </c>
      <c r="R36" s="44" t="s">
        <v>88</v>
      </c>
      <c r="T36" s="44" t="s">
        <v>88</v>
      </c>
      <c r="U36" s="44"/>
      <c r="V36" s="44" t="s">
        <v>88</v>
      </c>
      <c r="W36" s="44" t="s">
        <v>88</v>
      </c>
      <c r="X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/>
      <c r="AM36" s="44" t="s">
        <v>88</v>
      </c>
      <c r="AN36" s="44" t="s">
        <v>88</v>
      </c>
      <c r="AO36" s="44" t="s">
        <v>88</v>
      </c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 s="44" t="s">
        <v>88</v>
      </c>
      <c r="AW36" s="44" t="s">
        <v>88</v>
      </c>
      <c r="AX36" s="44" t="s">
        <v>88</v>
      </c>
      <c r="AY36"/>
      <c r="AZ36" s="44" t="s">
        <v>88</v>
      </c>
      <c r="BA36"/>
      <c r="BB36"/>
      <c r="BC36" s="44" t="s">
        <v>88</v>
      </c>
    </row>
    <row r="37" spans="1:55" x14ac:dyDescent="0.3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/>
      <c r="N37" s="44" t="s">
        <v>86</v>
      </c>
      <c r="P37" s="44" t="s">
        <v>86</v>
      </c>
      <c r="Q37" s="44" t="s">
        <v>86</v>
      </c>
      <c r="R37" s="44" t="s">
        <v>86</v>
      </c>
      <c r="T37" s="44" t="s">
        <v>86</v>
      </c>
      <c r="U37" s="44"/>
      <c r="V37" s="44" t="s">
        <v>86</v>
      </c>
      <c r="W37" s="44" t="s">
        <v>86</v>
      </c>
      <c r="X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/>
      <c r="AM37" s="44" t="s">
        <v>86</v>
      </c>
      <c r="AN37" s="44" t="s">
        <v>86</v>
      </c>
      <c r="AO37" s="44" t="s">
        <v>86</v>
      </c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 s="44" t="s">
        <v>86</v>
      </c>
      <c r="AW37" s="44" t="s">
        <v>86</v>
      </c>
      <c r="AX37" s="44" t="s">
        <v>86</v>
      </c>
      <c r="AY37"/>
      <c r="AZ37" s="44" t="s">
        <v>86</v>
      </c>
      <c r="BA37"/>
      <c r="BB37"/>
      <c r="BC37" s="44" t="s">
        <v>86</v>
      </c>
    </row>
    <row r="38" spans="1:55" x14ac:dyDescent="0.3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/>
      <c r="N38" s="44" t="s">
        <v>87</v>
      </c>
      <c r="P38" s="44" t="s">
        <v>87</v>
      </c>
      <c r="Q38" s="44" t="s">
        <v>87</v>
      </c>
      <c r="R38" s="44" t="s">
        <v>87</v>
      </c>
      <c r="T38" s="44" t="s">
        <v>87</v>
      </c>
      <c r="U38" s="44"/>
      <c r="V38" s="44" t="s">
        <v>87</v>
      </c>
      <c r="W38" s="44" t="s">
        <v>87</v>
      </c>
      <c r="X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/>
      <c r="AM38" s="44" t="s">
        <v>87</v>
      </c>
      <c r="AN38" s="44" t="s">
        <v>87</v>
      </c>
      <c r="AO38" s="44" t="s">
        <v>87</v>
      </c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 s="44" t="s">
        <v>87</v>
      </c>
      <c r="AW38" s="44" t="s">
        <v>87</v>
      </c>
      <c r="AX38" s="44" t="s">
        <v>87</v>
      </c>
      <c r="AY38"/>
      <c r="AZ38" s="44" t="s">
        <v>87</v>
      </c>
      <c r="BA38"/>
      <c r="BB38"/>
      <c r="BC38" s="44" t="s">
        <v>87</v>
      </c>
    </row>
    <row r="39" spans="1:55" x14ac:dyDescent="0.3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/>
      <c r="N39" s="44">
        <v>120</v>
      </c>
      <c r="P39" s="44">
        <v>120</v>
      </c>
      <c r="Q39" s="44">
        <v>120</v>
      </c>
      <c r="R39" s="44">
        <v>120</v>
      </c>
      <c r="T39" s="44">
        <v>120</v>
      </c>
      <c r="U39" s="44"/>
      <c r="V39" s="44">
        <v>120</v>
      </c>
      <c r="W39" s="44">
        <v>120</v>
      </c>
      <c r="X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/>
      <c r="AM39" s="44">
        <v>120</v>
      </c>
      <c r="AN39" s="44">
        <v>120</v>
      </c>
      <c r="AO39" s="44">
        <v>120</v>
      </c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 s="44">
        <v>120</v>
      </c>
      <c r="AW39" s="44">
        <v>120</v>
      </c>
      <c r="AX39" s="44">
        <v>120</v>
      </c>
      <c r="AY39"/>
      <c r="AZ39" s="44">
        <v>120</v>
      </c>
      <c r="BA39"/>
      <c r="BB39"/>
      <c r="BC39" s="44">
        <v>120</v>
      </c>
    </row>
    <row r="40" spans="1:55" x14ac:dyDescent="0.3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/>
      <c r="N40" s="44">
        <v>0</v>
      </c>
      <c r="P40" s="44">
        <v>0</v>
      </c>
      <c r="Q40" s="44">
        <v>0</v>
      </c>
      <c r="R40" s="44">
        <v>0</v>
      </c>
      <c r="T40" s="44">
        <v>0</v>
      </c>
      <c r="U40" s="44"/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3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/>
      <c r="N41" s="44">
        <v>0</v>
      </c>
      <c r="P41" s="44">
        <v>0</v>
      </c>
      <c r="Q41" s="44">
        <v>0</v>
      </c>
      <c r="R41" s="44">
        <v>0</v>
      </c>
      <c r="T41" s="44">
        <v>0</v>
      </c>
      <c r="U41" s="44"/>
      <c r="V41" s="44">
        <v>0</v>
      </c>
      <c r="W41" s="44">
        <v>0</v>
      </c>
      <c r="X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/>
      <c r="AM41" s="44">
        <v>0</v>
      </c>
      <c r="AN41" s="44">
        <v>0</v>
      </c>
      <c r="AO41" s="44">
        <v>0</v>
      </c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 s="44">
        <v>0</v>
      </c>
      <c r="AW41" s="44">
        <v>0</v>
      </c>
      <c r="AX41" s="44">
        <v>0</v>
      </c>
      <c r="AY41"/>
      <c r="AZ41" s="44">
        <v>0</v>
      </c>
      <c r="BA41"/>
      <c r="BB41"/>
      <c r="BC41" s="44">
        <v>0</v>
      </c>
    </row>
    <row r="42" spans="1:55" x14ac:dyDescent="0.3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/>
      <c r="N42" s="44">
        <v>-0.1</v>
      </c>
      <c r="P42" s="44">
        <v>-0.1</v>
      </c>
      <c r="Q42" s="44">
        <v>-0.1</v>
      </c>
      <c r="R42" s="44">
        <v>-0.1</v>
      </c>
      <c r="T42" s="44">
        <v>-0.1</v>
      </c>
      <c r="U42" s="44"/>
      <c r="V42" s="44">
        <v>-0.1</v>
      </c>
      <c r="W42" s="44">
        <v>-0.1</v>
      </c>
      <c r="X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/>
      <c r="AM42" s="44">
        <v>-0.1</v>
      </c>
      <c r="AN42" s="44">
        <v>-0.1</v>
      </c>
      <c r="AO42" s="44">
        <v>-0.1</v>
      </c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 s="44">
        <v>-0.1</v>
      </c>
      <c r="AW42" s="44">
        <v>-0.1</v>
      </c>
      <c r="AX42" s="44">
        <v>-0.1</v>
      </c>
      <c r="AY42"/>
      <c r="AZ42" s="44">
        <v>-0.1</v>
      </c>
      <c r="BA42"/>
      <c r="BB42"/>
      <c r="BC42" s="44">
        <v>-0.1</v>
      </c>
    </row>
    <row r="43" spans="1:55" x14ac:dyDescent="0.3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/>
      <c r="N43" s="44">
        <v>-0.2</v>
      </c>
      <c r="P43" s="44">
        <v>-0.2</v>
      </c>
      <c r="Q43" s="44">
        <v>-0.2</v>
      </c>
      <c r="R43" s="44">
        <v>-0.2</v>
      </c>
      <c r="T43" s="44">
        <v>-0.2</v>
      </c>
      <c r="U43" s="44"/>
      <c r="V43" s="44">
        <v>-0.2</v>
      </c>
      <c r="W43" s="44">
        <v>-0.2</v>
      </c>
      <c r="X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/>
      <c r="AM43" s="44">
        <v>-0.2</v>
      </c>
      <c r="AN43" s="44">
        <v>-0.2</v>
      </c>
      <c r="AO43" s="44">
        <v>-0.2</v>
      </c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 s="44">
        <v>-0.2</v>
      </c>
      <c r="AW43" s="44">
        <v>-0.2</v>
      </c>
      <c r="AX43" s="44">
        <v>-0.2</v>
      </c>
      <c r="AY43"/>
      <c r="AZ43" s="44">
        <v>-0.2</v>
      </c>
      <c r="BA43"/>
      <c r="BB43"/>
      <c r="BC43" s="44">
        <v>-0.2</v>
      </c>
    </row>
    <row r="44" spans="1:55" x14ac:dyDescent="0.3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/>
      <c r="N44" s="44">
        <v>0.4</v>
      </c>
      <c r="P44" s="44">
        <v>0.4</v>
      </c>
      <c r="Q44" s="44">
        <v>0.4</v>
      </c>
      <c r="R44" s="44">
        <v>0.4</v>
      </c>
      <c r="T44" s="44">
        <v>0.4</v>
      </c>
      <c r="U44" s="44"/>
      <c r="V44" s="44">
        <v>0.4</v>
      </c>
      <c r="W44" s="44">
        <v>0.4</v>
      </c>
      <c r="X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/>
      <c r="AM44" s="44">
        <v>0.4</v>
      </c>
      <c r="AN44" s="44">
        <v>0.4</v>
      </c>
      <c r="AO44" s="44">
        <v>0.4</v>
      </c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 s="44">
        <v>0.4</v>
      </c>
      <c r="AW44" s="44">
        <v>0.4</v>
      </c>
      <c r="AX44" s="44">
        <v>0.4</v>
      </c>
      <c r="AY44"/>
      <c r="AZ44" s="44">
        <v>0.4</v>
      </c>
      <c r="BA44"/>
      <c r="BB44"/>
      <c r="BC44" s="44">
        <v>0.4</v>
      </c>
    </row>
    <row r="45" spans="1:55" x14ac:dyDescent="0.3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/>
      <c r="N45" s="44">
        <v>0</v>
      </c>
      <c r="P45" s="44">
        <v>0</v>
      </c>
      <c r="Q45" s="44">
        <v>0</v>
      </c>
      <c r="R45" s="44">
        <v>0</v>
      </c>
      <c r="T45" s="44">
        <v>0</v>
      </c>
      <c r="U45" s="44"/>
      <c r="V45" s="44">
        <v>0</v>
      </c>
      <c r="W45" s="44">
        <v>0</v>
      </c>
      <c r="X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/>
      <c r="AM45" s="44">
        <v>0</v>
      </c>
      <c r="AN45" s="44">
        <v>0</v>
      </c>
      <c r="AO45" s="44">
        <v>0</v>
      </c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 s="44">
        <v>0</v>
      </c>
      <c r="AW45" s="44">
        <v>0</v>
      </c>
      <c r="AX45" s="44">
        <v>0</v>
      </c>
      <c r="AY45"/>
      <c r="AZ45" s="44">
        <v>0</v>
      </c>
      <c r="BA45"/>
      <c r="BB45"/>
      <c r="BC45" s="44">
        <v>0</v>
      </c>
    </row>
    <row r="46" spans="1:55" x14ac:dyDescent="0.3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/>
      <c r="N46" s="44">
        <v>1200</v>
      </c>
      <c r="P46" s="44">
        <v>1200</v>
      </c>
      <c r="Q46" s="44">
        <v>1200</v>
      </c>
      <c r="R46" s="44">
        <v>1200</v>
      </c>
      <c r="T46" s="44">
        <v>1200</v>
      </c>
      <c r="U46" s="44"/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3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/>
      <c r="N47" s="44">
        <v>1200</v>
      </c>
      <c r="P47" s="44">
        <v>1200</v>
      </c>
      <c r="Q47" s="44">
        <v>1200</v>
      </c>
      <c r="R47" s="44">
        <v>1200</v>
      </c>
      <c r="T47" s="44">
        <v>1200</v>
      </c>
      <c r="U47" s="44"/>
      <c r="V47" s="44">
        <v>1200</v>
      </c>
      <c r="W47" s="44">
        <v>1200</v>
      </c>
      <c r="X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/>
      <c r="AM47" s="44">
        <v>1200</v>
      </c>
      <c r="AN47" s="44">
        <v>1200</v>
      </c>
      <c r="AO47" s="44">
        <v>1200</v>
      </c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 s="44">
        <v>1200</v>
      </c>
      <c r="AW47" s="44">
        <v>1200</v>
      </c>
      <c r="AX47" s="44">
        <v>1200</v>
      </c>
      <c r="AY47"/>
      <c r="AZ47" s="44">
        <v>1200</v>
      </c>
      <c r="BA47"/>
      <c r="BB47"/>
      <c r="BC47" s="44">
        <v>1200</v>
      </c>
    </row>
    <row r="48" spans="1:55" x14ac:dyDescent="0.3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/>
      <c r="N48" s="44" t="s">
        <v>462</v>
      </c>
      <c r="P48" s="44" t="s">
        <v>462</v>
      </c>
      <c r="Q48" s="44" t="s">
        <v>462</v>
      </c>
      <c r="R48" s="44" t="s">
        <v>462</v>
      </c>
      <c r="T48" s="44" t="s">
        <v>462</v>
      </c>
      <c r="U48" s="44"/>
      <c r="V48" s="44" t="s">
        <v>462</v>
      </c>
      <c r="W48" s="44" t="s">
        <v>462</v>
      </c>
      <c r="X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/>
      <c r="AM48" s="44" t="s">
        <v>462</v>
      </c>
      <c r="AN48" s="44" t="s">
        <v>462</v>
      </c>
      <c r="AO48" s="44" t="s">
        <v>462</v>
      </c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 s="44" t="s">
        <v>462</v>
      </c>
      <c r="AW48" s="44" t="s">
        <v>462</v>
      </c>
      <c r="AX48" s="44" t="s">
        <v>462</v>
      </c>
      <c r="AY48"/>
      <c r="AZ48" s="44" t="s">
        <v>462</v>
      </c>
      <c r="BA48"/>
      <c r="BB48"/>
      <c r="BC48" s="44" t="s">
        <v>462</v>
      </c>
    </row>
    <row r="49" spans="1:55" x14ac:dyDescent="0.3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/>
      <c r="N49" s="44" t="s">
        <v>86</v>
      </c>
      <c r="P49" s="44" t="s">
        <v>86</v>
      </c>
      <c r="Q49" s="44" t="s">
        <v>86</v>
      </c>
      <c r="R49" s="44" t="s">
        <v>86</v>
      </c>
      <c r="T49" s="44" t="s">
        <v>86</v>
      </c>
      <c r="U49" s="44"/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3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/>
      <c r="N50" s="44" t="s">
        <v>86</v>
      </c>
      <c r="P50" s="44" t="s">
        <v>86</v>
      </c>
      <c r="Q50" s="44" t="s">
        <v>86</v>
      </c>
      <c r="R50" s="44" t="s">
        <v>86</v>
      </c>
      <c r="T50" s="44" t="s">
        <v>86</v>
      </c>
      <c r="U50" s="44"/>
      <c r="V50" s="44" t="s">
        <v>86</v>
      </c>
      <c r="W50" s="44" t="s">
        <v>86</v>
      </c>
      <c r="X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/>
      <c r="AM50" s="44" t="s">
        <v>86</v>
      </c>
      <c r="AN50" s="44" t="s">
        <v>86</v>
      </c>
      <c r="AO50" s="44" t="s">
        <v>86</v>
      </c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 s="44" t="s">
        <v>86</v>
      </c>
      <c r="AW50" s="44" t="s">
        <v>86</v>
      </c>
      <c r="AX50" s="44" t="s">
        <v>86</v>
      </c>
      <c r="AY50"/>
      <c r="AZ50" s="44" t="s">
        <v>86</v>
      </c>
      <c r="BA50"/>
      <c r="BB50"/>
      <c r="BC50" s="44" t="s">
        <v>86</v>
      </c>
    </row>
    <row r="51" spans="1:55" x14ac:dyDescent="0.3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/>
      <c r="N51" s="44">
        <v>0</v>
      </c>
      <c r="P51" s="44">
        <v>0</v>
      </c>
      <c r="Q51" s="44">
        <v>0</v>
      </c>
      <c r="R51" s="44">
        <v>0</v>
      </c>
      <c r="T51" s="44">
        <v>0</v>
      </c>
      <c r="U51" s="44"/>
      <c r="V51" s="44">
        <v>0</v>
      </c>
      <c r="W51" s="44">
        <v>0</v>
      </c>
      <c r="X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/>
      <c r="AM51" s="44">
        <v>0</v>
      </c>
      <c r="AN51" s="44">
        <v>0</v>
      </c>
      <c r="AO51" s="44">
        <v>0</v>
      </c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 s="44">
        <v>0</v>
      </c>
      <c r="AW51" s="44">
        <v>0</v>
      </c>
      <c r="AX51" s="44">
        <v>0</v>
      </c>
      <c r="AY51"/>
      <c r="AZ51" s="44">
        <v>0</v>
      </c>
      <c r="BA51"/>
      <c r="BB51"/>
      <c r="BC51" s="44">
        <v>0</v>
      </c>
    </row>
    <row r="52" spans="1:55" x14ac:dyDescent="0.3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/>
      <c r="N52" s="44">
        <v>0.5</v>
      </c>
      <c r="P52" s="44">
        <v>0.5</v>
      </c>
      <c r="Q52" s="44">
        <v>0.5</v>
      </c>
      <c r="R52" s="44">
        <v>0.5</v>
      </c>
      <c r="T52" s="44">
        <v>0.5</v>
      </c>
      <c r="U52" s="44"/>
      <c r="V52" s="44">
        <v>0.5</v>
      </c>
      <c r="W52" s="44">
        <v>0.5</v>
      </c>
      <c r="X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/>
      <c r="AM52" s="44">
        <v>0.5</v>
      </c>
      <c r="AN52" s="44">
        <v>0.5</v>
      </c>
      <c r="AO52" s="44">
        <v>0.5</v>
      </c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 s="44">
        <v>0.5</v>
      </c>
      <c r="AW52" s="44">
        <v>0.5</v>
      </c>
      <c r="AX52" s="44">
        <v>0.5</v>
      </c>
      <c r="AY52"/>
      <c r="AZ52" s="44">
        <v>0.5</v>
      </c>
      <c r="BA52"/>
      <c r="BB52"/>
      <c r="BC52" s="44">
        <v>0.5</v>
      </c>
    </row>
    <row r="53" spans="1:55" x14ac:dyDescent="0.3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/>
      <c r="N53" s="44">
        <v>0.05</v>
      </c>
      <c r="P53" s="44">
        <v>0.05</v>
      </c>
      <c r="Q53" s="44">
        <v>0.05</v>
      </c>
      <c r="R53" s="44">
        <v>0.05</v>
      </c>
      <c r="T53" s="44">
        <v>0.05</v>
      </c>
      <c r="U53" s="44"/>
      <c r="V53" s="44">
        <v>0.05</v>
      </c>
      <c r="W53" s="44">
        <v>0.05</v>
      </c>
      <c r="X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/>
      <c r="AM53" s="44">
        <v>0.05</v>
      </c>
      <c r="AN53" s="44">
        <v>0.05</v>
      </c>
      <c r="AO53" s="44">
        <v>0.05</v>
      </c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 s="44">
        <v>0.05</v>
      </c>
      <c r="AW53" s="44">
        <v>0.05</v>
      </c>
      <c r="AX53" s="44">
        <v>0.05</v>
      </c>
      <c r="AY53"/>
      <c r="AZ53" s="44">
        <v>0.05</v>
      </c>
      <c r="BA53"/>
      <c r="BB53"/>
      <c r="BC53" s="44">
        <v>0.05</v>
      </c>
    </row>
    <row r="54" spans="1:55" x14ac:dyDescent="0.3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/>
      <c r="N54" s="44">
        <v>1E-3</v>
      </c>
      <c r="P54" s="44">
        <v>1E-3</v>
      </c>
      <c r="Q54" s="44">
        <v>1E-3</v>
      </c>
      <c r="R54" s="44">
        <v>1E-3</v>
      </c>
      <c r="T54" s="44">
        <v>1E-3</v>
      </c>
      <c r="U54" s="44"/>
      <c r="V54" s="44">
        <v>1E-3</v>
      </c>
      <c r="W54" s="44">
        <v>1E-3</v>
      </c>
      <c r="X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/>
      <c r="AM54" s="44">
        <v>1E-3</v>
      </c>
      <c r="AN54" s="44">
        <v>1E-3</v>
      </c>
      <c r="AO54" s="44">
        <v>1E-3</v>
      </c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 s="44">
        <v>1E-3</v>
      </c>
      <c r="AW54" s="44">
        <v>1E-3</v>
      </c>
      <c r="AX54" s="44">
        <v>1E-3</v>
      </c>
      <c r="AY54"/>
      <c r="AZ54" s="44">
        <v>1E-3</v>
      </c>
      <c r="BA54"/>
      <c r="BB54"/>
      <c r="BC54" s="44">
        <v>1E-3</v>
      </c>
    </row>
    <row r="55" spans="1:55" x14ac:dyDescent="0.3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/>
      <c r="N55" s="44">
        <v>0</v>
      </c>
      <c r="P55" s="44">
        <v>0</v>
      </c>
      <c r="Q55" s="44">
        <v>0</v>
      </c>
      <c r="R55" s="44">
        <v>0</v>
      </c>
      <c r="T55" s="44">
        <v>0</v>
      </c>
      <c r="U55" s="44"/>
      <c r="V55" s="44">
        <v>0</v>
      </c>
      <c r="W55" s="44">
        <v>0</v>
      </c>
      <c r="X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/>
      <c r="AM55" s="44">
        <v>0</v>
      </c>
      <c r="AN55" s="44">
        <v>0</v>
      </c>
      <c r="AO55" s="44">
        <v>0</v>
      </c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 s="44">
        <v>0</v>
      </c>
      <c r="AW55" s="44">
        <v>0</v>
      </c>
      <c r="AX55" s="44">
        <v>0</v>
      </c>
      <c r="AY55"/>
      <c r="AZ55" s="44">
        <v>0</v>
      </c>
      <c r="BA55"/>
      <c r="BB55"/>
      <c r="BC55" s="44">
        <v>0</v>
      </c>
    </row>
    <row r="56" spans="1:55" x14ac:dyDescent="0.3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/>
      <c r="N56" s="44">
        <v>1E-4</v>
      </c>
      <c r="P56" s="44">
        <v>1E-4</v>
      </c>
      <c r="Q56" s="44">
        <v>1E-4</v>
      </c>
      <c r="R56" s="44">
        <v>1E-4</v>
      </c>
      <c r="T56" s="44">
        <v>1E-4</v>
      </c>
      <c r="U56" s="44"/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3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/>
      <c r="N57" s="44">
        <v>1E-4</v>
      </c>
      <c r="P57" s="44">
        <v>1E-4</v>
      </c>
      <c r="Q57" s="44">
        <v>1E-4</v>
      </c>
      <c r="R57" s="44">
        <v>1E-4</v>
      </c>
      <c r="T57" s="44">
        <v>1E-4</v>
      </c>
      <c r="U57" s="44"/>
      <c r="V57" s="44">
        <v>1E-4</v>
      </c>
      <c r="W57" s="44">
        <v>1E-4</v>
      </c>
      <c r="X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/>
      <c r="AM57" s="44">
        <v>1E-4</v>
      </c>
      <c r="AN57" s="44">
        <v>1E-4</v>
      </c>
      <c r="AO57" s="44">
        <v>1E-4</v>
      </c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 s="44">
        <v>1E-4</v>
      </c>
      <c r="AW57" s="44">
        <v>1E-4</v>
      </c>
      <c r="AX57" s="44">
        <v>1E-4</v>
      </c>
      <c r="AY57"/>
      <c r="AZ57" s="44">
        <v>1E-4</v>
      </c>
      <c r="BA57"/>
      <c r="BB57"/>
      <c r="BC57" s="44">
        <v>1E-4</v>
      </c>
    </row>
    <row r="58" spans="1:55" x14ac:dyDescent="0.3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/>
      <c r="N58" s="44">
        <v>6.9999999999999999E-4</v>
      </c>
      <c r="P58" s="44">
        <v>6.9999999999999999E-4</v>
      </c>
      <c r="Q58" s="44">
        <v>6.9999999999999999E-4</v>
      </c>
      <c r="R58" s="44">
        <v>6.9999999999999999E-4</v>
      </c>
      <c r="T58" s="44">
        <v>6.9999999999999999E-4</v>
      </c>
      <c r="U58" s="44"/>
      <c r="V58" s="44">
        <v>6.9999999999999999E-4</v>
      </c>
      <c r="W58" s="44">
        <v>6.9999999999999999E-4</v>
      </c>
      <c r="X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/>
      <c r="AM58" s="44">
        <v>6.9999999999999999E-4</v>
      </c>
      <c r="AN58" s="44">
        <v>6.9999999999999999E-4</v>
      </c>
      <c r="AO58" s="44">
        <v>6.9999999999999999E-4</v>
      </c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 s="44">
        <v>6.9999999999999999E-4</v>
      </c>
      <c r="AW58" s="44">
        <v>6.9999999999999999E-4</v>
      </c>
      <c r="AX58" s="44">
        <v>6.9999999999999999E-4</v>
      </c>
      <c r="AY58"/>
      <c r="AZ58" s="44">
        <v>6.9999999999999999E-4</v>
      </c>
      <c r="BA58"/>
      <c r="BB58"/>
      <c r="BC58" s="44">
        <v>6.9999999999999999E-4</v>
      </c>
    </row>
    <row r="59" spans="1:55" x14ac:dyDescent="0.3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/>
      <c r="N59" s="44">
        <v>1.22E-4</v>
      </c>
      <c r="P59" s="44">
        <v>1.22E-4</v>
      </c>
      <c r="Q59" s="44">
        <v>1.22E-4</v>
      </c>
      <c r="R59" s="44">
        <v>1.22E-4</v>
      </c>
      <c r="T59" s="44">
        <v>1.22E-4</v>
      </c>
      <c r="U59" s="44"/>
      <c r="V59" s="44">
        <v>1.22E-4</v>
      </c>
      <c r="W59" s="44">
        <v>1.22E-4</v>
      </c>
      <c r="X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/>
      <c r="AM59" s="44">
        <v>1.22E-4</v>
      </c>
      <c r="AN59" s="44">
        <v>1.22E-4</v>
      </c>
      <c r="AO59" s="44">
        <v>1.22E-4</v>
      </c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 s="44">
        <v>1.22E-4</v>
      </c>
      <c r="AW59" s="44">
        <v>1.22E-4</v>
      </c>
      <c r="AX59" s="44">
        <v>1.22E-4</v>
      </c>
      <c r="AY59"/>
      <c r="AZ59" s="44">
        <v>1.22E-4</v>
      </c>
      <c r="BA59"/>
      <c r="BB59"/>
      <c r="BC59" s="44">
        <v>1.22E-4</v>
      </c>
    </row>
    <row r="60" spans="1:55" x14ac:dyDescent="0.3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/>
      <c r="N60" s="44">
        <v>1</v>
      </c>
      <c r="P60" s="44">
        <v>1</v>
      </c>
      <c r="Q60" s="44">
        <v>1</v>
      </c>
      <c r="R60" s="44">
        <v>1</v>
      </c>
      <c r="T60" s="44">
        <v>1</v>
      </c>
      <c r="U60" s="44"/>
      <c r="V60" s="44">
        <v>1</v>
      </c>
      <c r="W60" s="44">
        <v>1</v>
      </c>
      <c r="X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/>
      <c r="AM60" s="44">
        <v>1</v>
      </c>
      <c r="AN60" s="44">
        <v>1</v>
      </c>
      <c r="AO60" s="44">
        <v>1</v>
      </c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 s="44">
        <v>1</v>
      </c>
      <c r="AW60" s="44">
        <v>1</v>
      </c>
      <c r="AX60" s="44">
        <v>1</v>
      </c>
      <c r="AY60"/>
      <c r="AZ60" s="44">
        <v>1</v>
      </c>
      <c r="BA60"/>
      <c r="BB60"/>
      <c r="BC60" s="44">
        <v>1</v>
      </c>
    </row>
    <row r="61" spans="1:55" x14ac:dyDescent="0.3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/>
      <c r="N61" s="44">
        <v>0.95</v>
      </c>
      <c r="P61" s="44">
        <v>0.95</v>
      </c>
      <c r="Q61" s="44">
        <v>0.95</v>
      </c>
      <c r="R61" s="44">
        <v>0.95</v>
      </c>
      <c r="T61" s="44">
        <v>0.95</v>
      </c>
      <c r="U61" s="44"/>
      <c r="V61" s="44">
        <v>0.95</v>
      </c>
      <c r="W61" s="44">
        <v>0.95</v>
      </c>
      <c r="X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/>
      <c r="AM61" s="44">
        <v>0.95</v>
      </c>
      <c r="AN61" s="44">
        <v>0.95</v>
      </c>
      <c r="AO61" s="44">
        <v>0.95</v>
      </c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 s="44">
        <v>0.95</v>
      </c>
      <c r="AW61" s="44">
        <v>0.95</v>
      </c>
      <c r="AX61" s="44">
        <v>0.95</v>
      </c>
      <c r="AY61"/>
      <c r="AZ61" s="44">
        <v>0.95</v>
      </c>
      <c r="BA61"/>
      <c r="BB61"/>
      <c r="BC61" s="44">
        <v>0.95</v>
      </c>
    </row>
    <row r="62" spans="1:55" x14ac:dyDescent="0.3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/>
      <c r="N62" s="44" t="s">
        <v>87</v>
      </c>
      <c r="P62" s="44" t="s">
        <v>87</v>
      </c>
      <c r="Q62" s="44" t="s">
        <v>87</v>
      </c>
      <c r="R62" s="44" t="s">
        <v>87</v>
      </c>
      <c r="T62" s="44" t="s">
        <v>87</v>
      </c>
      <c r="U62" s="44"/>
      <c r="V62" s="44" t="s">
        <v>87</v>
      </c>
      <c r="W62" s="44" t="s">
        <v>87</v>
      </c>
      <c r="X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/>
      <c r="AM62" s="44" t="s">
        <v>87</v>
      </c>
      <c r="AN62" s="44" t="s">
        <v>87</v>
      </c>
      <c r="AO62" s="44" t="s">
        <v>87</v>
      </c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 s="44" t="s">
        <v>87</v>
      </c>
      <c r="AW62" s="44" t="s">
        <v>87</v>
      </c>
      <c r="AX62" s="44" t="s">
        <v>87</v>
      </c>
      <c r="AY62"/>
      <c r="AZ62" s="44" t="s">
        <v>87</v>
      </c>
      <c r="BA62"/>
      <c r="BB62"/>
      <c r="BC62" s="44" t="s">
        <v>87</v>
      </c>
    </row>
    <row r="63" spans="1:55" x14ac:dyDescent="0.3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/>
      <c r="N63" s="44">
        <v>5</v>
      </c>
      <c r="P63" s="44">
        <v>5</v>
      </c>
      <c r="Q63" s="44">
        <v>5</v>
      </c>
      <c r="R63" s="44">
        <v>5</v>
      </c>
      <c r="T63" s="44">
        <v>5</v>
      </c>
      <c r="U63" s="44"/>
      <c r="V63" s="44">
        <v>5</v>
      </c>
      <c r="W63" s="44">
        <v>5</v>
      </c>
      <c r="X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/>
      <c r="AM63" s="44">
        <v>5</v>
      </c>
      <c r="AN63" s="44">
        <v>5</v>
      </c>
      <c r="AO63" s="44">
        <v>5</v>
      </c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 s="44">
        <v>5</v>
      </c>
      <c r="AW63" s="44">
        <v>5</v>
      </c>
      <c r="AX63" s="44">
        <v>5</v>
      </c>
      <c r="AY63"/>
      <c r="AZ63" s="44">
        <v>5</v>
      </c>
      <c r="BA63"/>
      <c r="BB63"/>
      <c r="BC63" s="44">
        <v>5</v>
      </c>
    </row>
    <row r="64" spans="1:55" x14ac:dyDescent="0.3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/>
      <c r="N64" s="44" t="s">
        <v>87</v>
      </c>
      <c r="P64" s="44" t="s">
        <v>87</v>
      </c>
      <c r="Q64" s="44" t="s">
        <v>87</v>
      </c>
      <c r="R64" s="44" t="s">
        <v>87</v>
      </c>
      <c r="T64" s="44" t="s">
        <v>87</v>
      </c>
      <c r="U64" s="44"/>
      <c r="V64" s="44" t="s">
        <v>87</v>
      </c>
      <c r="W64" s="44" t="s">
        <v>87</v>
      </c>
      <c r="X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/>
      <c r="AM64" s="44" t="s">
        <v>87</v>
      </c>
      <c r="AN64" s="44" t="s">
        <v>87</v>
      </c>
      <c r="AO64" s="44" t="s">
        <v>87</v>
      </c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 s="44" t="s">
        <v>87</v>
      </c>
      <c r="AW64" s="44" t="s">
        <v>87</v>
      </c>
      <c r="AX64" s="44" t="s">
        <v>87</v>
      </c>
      <c r="AY64"/>
      <c r="AZ64" s="44" t="s">
        <v>87</v>
      </c>
      <c r="BA64"/>
      <c r="BB64"/>
      <c r="BC64" s="44" t="s">
        <v>87</v>
      </c>
    </row>
    <row r="65" spans="1:55" x14ac:dyDescent="0.3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/>
      <c r="N65" s="44">
        <v>50</v>
      </c>
      <c r="P65" s="44">
        <v>50</v>
      </c>
      <c r="Q65" s="44">
        <v>50</v>
      </c>
      <c r="R65" s="44">
        <v>50</v>
      </c>
      <c r="T65" s="44">
        <v>50</v>
      </c>
      <c r="U65" s="44"/>
      <c r="V65" s="44">
        <v>50</v>
      </c>
      <c r="W65" s="44">
        <v>50</v>
      </c>
      <c r="X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/>
      <c r="AM65" s="44">
        <v>50</v>
      </c>
      <c r="AN65" s="44">
        <v>50</v>
      </c>
      <c r="AO65" s="44">
        <v>50</v>
      </c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 s="44">
        <v>50</v>
      </c>
      <c r="AW65" s="44">
        <v>50</v>
      </c>
      <c r="AX65" s="44">
        <v>50</v>
      </c>
      <c r="AY65"/>
      <c r="AZ65" s="44">
        <v>50</v>
      </c>
      <c r="BA65"/>
      <c r="BB65"/>
      <c r="BC65" s="44">
        <v>50</v>
      </c>
    </row>
    <row r="66" spans="1:55" x14ac:dyDescent="0.3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/>
      <c r="N66" s="44">
        <v>1453890.8941884842</v>
      </c>
      <c r="P66" s="44">
        <v>1453890.8941884842</v>
      </c>
      <c r="Q66" s="44">
        <v>1453890.8941884842</v>
      </c>
      <c r="R66" s="44">
        <v>1453890.8941884842</v>
      </c>
      <c r="T66" s="44">
        <v>1453890.8941884842</v>
      </c>
      <c r="U66" s="44"/>
      <c r="V66" s="44">
        <v>1453890.8941884842</v>
      </c>
      <c r="W66" s="44">
        <v>1453890.8941884842</v>
      </c>
      <c r="X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/>
      <c r="AM66" s="44">
        <v>1453890.8941884842</v>
      </c>
      <c r="AN66" s="44">
        <v>1453890.8941884842</v>
      </c>
      <c r="AO66" s="44">
        <v>1453890.8941884842</v>
      </c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 s="44">
        <v>1453890.8941884842</v>
      </c>
      <c r="AW66" s="44">
        <v>1453890.8941884842</v>
      </c>
      <c r="AX66" s="44">
        <v>1453890.8941884842</v>
      </c>
      <c r="AY66"/>
      <c r="AZ66" s="44">
        <v>1453890.8941884842</v>
      </c>
      <c r="BA66"/>
      <c r="BB66"/>
      <c r="BC66" s="44">
        <v>1453890.8941884842</v>
      </c>
    </row>
    <row r="67" spans="1:55" x14ac:dyDescent="0.3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/>
      <c r="N67" s="44">
        <v>1.3888888888888888E-5</v>
      </c>
      <c r="P67" s="44">
        <v>1.3888888888888888E-5</v>
      </c>
      <c r="Q67" s="44">
        <v>1.3888888888888888E-5</v>
      </c>
      <c r="R67" s="44">
        <v>1.3888888888888888E-5</v>
      </c>
      <c r="T67" s="44">
        <v>1.3888888888888888E-5</v>
      </c>
      <c r="U67" s="44"/>
      <c r="V67" s="44">
        <v>1.3888888888888888E-5</v>
      </c>
      <c r="W67" s="44">
        <v>1.3888888888888888E-5</v>
      </c>
      <c r="X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/>
      <c r="AM67" s="44">
        <v>1.3888888888888888E-5</v>
      </c>
      <c r="AN67" s="44">
        <v>1.3888888888888888E-5</v>
      </c>
      <c r="AO67" s="44">
        <v>1.3888888888888888E-5</v>
      </c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 s="44">
        <v>1.3888888888888888E-5</v>
      </c>
      <c r="AW67" s="44">
        <v>1.3888888888888888E-5</v>
      </c>
      <c r="AX67" s="44">
        <v>1.3888888888888888E-5</v>
      </c>
      <c r="AY67"/>
      <c r="AZ67" s="44">
        <v>1.3888888888888888E-5</v>
      </c>
      <c r="BA67"/>
      <c r="BB67"/>
      <c r="BC67" s="44">
        <v>1.3888888888888888E-5</v>
      </c>
    </row>
    <row r="68" spans="1:55" x14ac:dyDescent="0.3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/>
      <c r="N68" s="44">
        <v>6.5011574074074071E-4</v>
      </c>
      <c r="P68" s="44">
        <v>6.5011574074074071E-4</v>
      </c>
      <c r="Q68" s="44">
        <v>6.5011574074074071E-4</v>
      </c>
      <c r="R68" s="44">
        <v>6.5011574074074071E-4</v>
      </c>
      <c r="T68" s="44">
        <v>6.5011574074074071E-4</v>
      </c>
      <c r="U68" s="44"/>
      <c r="V68" s="44">
        <v>6.5011574074074071E-4</v>
      </c>
      <c r="W68" s="44">
        <v>6.5011574074074071E-4</v>
      </c>
      <c r="X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/>
      <c r="AM68" s="44">
        <v>6.5011574074074071E-4</v>
      </c>
      <c r="AN68" s="44">
        <v>6.5011574074074071E-4</v>
      </c>
      <c r="AO68" s="44">
        <v>6.5011574074074071E-4</v>
      </c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 s="44">
        <v>6.5011574074074071E-4</v>
      </c>
      <c r="AW68" s="44">
        <v>6.5011574074074071E-4</v>
      </c>
      <c r="AX68" s="44">
        <v>6.5011574074074071E-4</v>
      </c>
      <c r="AY68"/>
      <c r="AZ68" s="44">
        <v>6.5011574074074071E-4</v>
      </c>
      <c r="BA68"/>
      <c r="BB68"/>
      <c r="BC68" s="44">
        <v>6.5011574074074071E-4</v>
      </c>
    </row>
    <row r="69" spans="1:55" x14ac:dyDescent="0.3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/>
      <c r="N69" s="44">
        <v>4.7400000000000003E-3</v>
      </c>
      <c r="P69" s="44">
        <v>4.7400000000000003E-3</v>
      </c>
      <c r="Q69" s="44">
        <v>4.7400000000000003E-3</v>
      </c>
      <c r="R69" s="44">
        <v>4.7400000000000003E-3</v>
      </c>
      <c r="T69" s="44">
        <v>4.7400000000000003E-3</v>
      </c>
      <c r="U69" s="44"/>
      <c r="V69" s="44">
        <v>4.7400000000000003E-3</v>
      </c>
      <c r="W69" s="44">
        <v>4.7400000000000003E-3</v>
      </c>
      <c r="X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/>
      <c r="AM69" s="44">
        <v>4.7400000000000003E-3</v>
      </c>
      <c r="AN69" s="44">
        <v>4.7400000000000003E-3</v>
      </c>
      <c r="AO69" s="44">
        <v>4.7400000000000003E-3</v>
      </c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 s="44">
        <v>4.7400000000000003E-3</v>
      </c>
      <c r="AW69" s="44">
        <v>4.7400000000000003E-3</v>
      </c>
      <c r="AX69" s="44">
        <v>4.7400000000000003E-3</v>
      </c>
      <c r="AY69"/>
      <c r="AZ69" s="44">
        <v>4.7400000000000003E-3</v>
      </c>
      <c r="BA69"/>
      <c r="BB69"/>
      <c r="BC69" s="44">
        <v>4.7400000000000003E-3</v>
      </c>
    </row>
    <row r="70" spans="1:55" x14ac:dyDescent="0.3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/>
      <c r="N70" s="44">
        <v>282528</v>
      </c>
      <c r="P70" s="44">
        <v>282528</v>
      </c>
      <c r="Q70" s="44">
        <v>282528</v>
      </c>
      <c r="R70" s="44">
        <v>282528</v>
      </c>
      <c r="T70" s="44">
        <v>282528</v>
      </c>
      <c r="U70" s="44"/>
      <c r="V70" s="44">
        <v>282528</v>
      </c>
      <c r="W70" s="44">
        <v>282528</v>
      </c>
      <c r="X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/>
      <c r="AM70" s="44">
        <v>282528</v>
      </c>
      <c r="AN70" s="44">
        <v>282528</v>
      </c>
      <c r="AO70" s="44">
        <v>282528</v>
      </c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 s="44">
        <v>282528</v>
      </c>
      <c r="AW70" s="44">
        <v>282528</v>
      </c>
      <c r="AX70" s="44">
        <v>282528</v>
      </c>
      <c r="AY70"/>
      <c r="AZ70" s="44">
        <v>282528</v>
      </c>
      <c r="BA70"/>
      <c r="BB70"/>
      <c r="BC70" s="44">
        <v>282528</v>
      </c>
    </row>
    <row r="71" spans="1:55" x14ac:dyDescent="0.3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/>
      <c r="N71" s="44">
        <v>0.56999999999999995</v>
      </c>
      <c r="P71" s="44">
        <v>0.56999999999999995</v>
      </c>
      <c r="Q71" s="44">
        <v>0.56999999999999995</v>
      </c>
      <c r="R71" s="44">
        <v>0.56999999999999995</v>
      </c>
      <c r="T71" s="44">
        <v>0.56999999999999995</v>
      </c>
      <c r="U71" s="44"/>
      <c r="V71" s="44">
        <v>0.56999999999999995</v>
      </c>
      <c r="W71" s="44">
        <v>0.56999999999999995</v>
      </c>
      <c r="X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/>
      <c r="AM71" s="44">
        <v>0.56999999999999995</v>
      </c>
      <c r="AN71" s="44">
        <v>0.56999999999999995</v>
      </c>
      <c r="AO71" s="44">
        <v>0.56999999999999995</v>
      </c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 s="44">
        <v>0.56999999999999995</v>
      </c>
      <c r="AW71" s="44">
        <v>0.56999999999999995</v>
      </c>
      <c r="AX71" s="44">
        <v>0.56999999999999995</v>
      </c>
      <c r="AY71"/>
      <c r="AZ71" s="44">
        <v>0.56999999999999995</v>
      </c>
      <c r="BA71"/>
      <c r="BB71"/>
      <c r="BC71" s="44">
        <v>0.56999999999999995</v>
      </c>
    </row>
    <row r="72" spans="1:55" x14ac:dyDescent="0.3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/>
      <c r="N72" s="44">
        <v>0.16</v>
      </c>
      <c r="P72" s="44">
        <v>0.16</v>
      </c>
      <c r="Q72" s="44">
        <v>0.16</v>
      </c>
      <c r="R72" s="44">
        <v>0.16</v>
      </c>
      <c r="T72" s="44">
        <v>0.16</v>
      </c>
      <c r="U72" s="44"/>
      <c r="V72" s="44">
        <v>0.16</v>
      </c>
      <c r="W72" s="44">
        <v>0.16</v>
      </c>
      <c r="X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/>
      <c r="AM72" s="44">
        <v>0.16</v>
      </c>
      <c r="AN72" s="44">
        <v>0.16</v>
      </c>
      <c r="AO72" s="44">
        <v>0.16</v>
      </c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 s="44">
        <v>0.16</v>
      </c>
      <c r="AW72" s="44">
        <v>0.16</v>
      </c>
      <c r="AX72" s="44">
        <v>0.16</v>
      </c>
      <c r="AY72"/>
      <c r="AZ72" s="44">
        <v>0.16</v>
      </c>
      <c r="BA72"/>
      <c r="BB72"/>
      <c r="BC72" s="44">
        <v>0.16</v>
      </c>
    </row>
    <row r="73" spans="1:55" x14ac:dyDescent="0.3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/>
      <c r="N73" s="44">
        <v>0</v>
      </c>
      <c r="P73" s="44">
        <v>0</v>
      </c>
      <c r="Q73" s="44">
        <v>0</v>
      </c>
      <c r="R73" s="44">
        <v>0</v>
      </c>
      <c r="T73" s="44">
        <v>0</v>
      </c>
      <c r="U73" s="44"/>
      <c r="V73" s="44">
        <v>0</v>
      </c>
      <c r="W73" s="44">
        <v>0</v>
      </c>
      <c r="X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/>
      <c r="AM73" s="44">
        <v>0</v>
      </c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 s="44">
        <v>0</v>
      </c>
      <c r="AW73" s="44">
        <v>0</v>
      </c>
      <c r="AX73" s="44">
        <v>0</v>
      </c>
      <c r="AY73"/>
      <c r="AZ73" s="44">
        <v>0</v>
      </c>
      <c r="BA73"/>
      <c r="BB73"/>
      <c r="BC73" s="44">
        <v>0</v>
      </c>
    </row>
    <row r="74" spans="1:55" x14ac:dyDescent="0.3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/>
      <c r="N74" s="44">
        <v>745476480000</v>
      </c>
      <c r="P74" s="44">
        <v>745476480000</v>
      </c>
      <c r="Q74" s="44">
        <v>745476480000</v>
      </c>
      <c r="R74" s="44">
        <v>745476480000</v>
      </c>
      <c r="T74" s="44">
        <v>745476480000</v>
      </c>
      <c r="U74" s="44"/>
      <c r="V74" s="44">
        <v>745476480000</v>
      </c>
      <c r="W74" s="44">
        <v>745476480000</v>
      </c>
      <c r="X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/>
      <c r="AM74" s="44">
        <v>745476480000</v>
      </c>
      <c r="AN74" s="44">
        <v>745476480000</v>
      </c>
      <c r="AO74" s="44">
        <v>745476480000</v>
      </c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 s="44">
        <v>745476480000</v>
      </c>
      <c r="AW74" s="44">
        <v>745476480000</v>
      </c>
      <c r="AX74" s="44">
        <v>745476480000</v>
      </c>
      <c r="AY74"/>
      <c r="AZ74" s="44">
        <v>745476480000</v>
      </c>
      <c r="BA74"/>
      <c r="BB74"/>
      <c r="BC74" s="44">
        <v>745476480000</v>
      </c>
    </row>
    <row r="75" spans="1:55" x14ac:dyDescent="0.3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/>
      <c r="N75" s="44">
        <v>100</v>
      </c>
      <c r="P75" s="44">
        <v>100</v>
      </c>
      <c r="Q75" s="44">
        <v>100</v>
      </c>
      <c r="R75" s="44">
        <v>100</v>
      </c>
      <c r="T75" s="44">
        <v>100</v>
      </c>
      <c r="U75" s="44"/>
      <c r="V75" s="44">
        <v>100</v>
      </c>
      <c r="W75" s="44">
        <v>100</v>
      </c>
      <c r="X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/>
      <c r="AM75" s="44">
        <v>100</v>
      </c>
      <c r="AN75" s="44">
        <v>100</v>
      </c>
      <c r="AO75" s="44">
        <v>100</v>
      </c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 s="44">
        <v>100</v>
      </c>
      <c r="AW75" s="44">
        <v>100</v>
      </c>
      <c r="AX75" s="44">
        <v>100</v>
      </c>
      <c r="AY75"/>
      <c r="AZ75" s="44">
        <v>100</v>
      </c>
      <c r="BA75"/>
      <c r="BB75"/>
      <c r="BC75" s="44">
        <v>100</v>
      </c>
    </row>
    <row r="76" spans="1:55" x14ac:dyDescent="0.3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/>
      <c r="N76" s="44" t="s">
        <v>86</v>
      </c>
      <c r="P76" s="44" t="s">
        <v>86</v>
      </c>
      <c r="Q76" s="44" t="s">
        <v>86</v>
      </c>
      <c r="R76" s="44" t="s">
        <v>86</v>
      </c>
      <c r="T76" s="44" t="s">
        <v>86</v>
      </c>
      <c r="U76" s="44"/>
      <c r="V76" s="44" t="s">
        <v>86</v>
      </c>
      <c r="W76" s="44" t="s">
        <v>86</v>
      </c>
      <c r="X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/>
      <c r="AM76" s="44" t="s">
        <v>86</v>
      </c>
      <c r="AN76" s="44" t="s">
        <v>86</v>
      </c>
      <c r="AO76" s="44" t="s">
        <v>86</v>
      </c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 s="44" t="s">
        <v>86</v>
      </c>
      <c r="AW76" s="44" t="s">
        <v>86</v>
      </c>
      <c r="AX76" s="44" t="s">
        <v>86</v>
      </c>
      <c r="AY76"/>
      <c r="AZ76" s="44" t="s">
        <v>86</v>
      </c>
      <c r="BA76"/>
      <c r="BB76"/>
      <c r="BC76" s="44" t="s">
        <v>86</v>
      </c>
    </row>
    <row r="77" spans="1:55" x14ac:dyDescent="0.3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/>
      <c r="N77" s="44">
        <v>21600</v>
      </c>
      <c r="P77" s="44">
        <v>21600</v>
      </c>
      <c r="Q77" s="44">
        <v>21600</v>
      </c>
      <c r="R77" s="44">
        <v>21600</v>
      </c>
      <c r="T77" s="44">
        <v>21600</v>
      </c>
      <c r="U77" s="44"/>
      <c r="V77" s="44">
        <v>21600</v>
      </c>
      <c r="W77" s="44">
        <v>21600</v>
      </c>
      <c r="X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/>
      <c r="AM77" s="44">
        <v>21600</v>
      </c>
      <c r="AN77" s="44">
        <v>21600</v>
      </c>
      <c r="AO77" s="44">
        <v>21600</v>
      </c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 s="44">
        <v>21600</v>
      </c>
      <c r="AW77" s="44">
        <v>21600</v>
      </c>
      <c r="AX77" s="44">
        <v>21600</v>
      </c>
      <c r="AY77"/>
      <c r="AZ77" s="44">
        <v>21600</v>
      </c>
      <c r="BA77"/>
      <c r="BB77"/>
      <c r="BC77" s="44">
        <v>21600</v>
      </c>
    </row>
    <row r="78" spans="1:55" x14ac:dyDescent="0.3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/>
      <c r="N78" s="44">
        <v>0.5</v>
      </c>
      <c r="P78" s="44">
        <v>0.5</v>
      </c>
      <c r="Q78" s="44">
        <v>0.5</v>
      </c>
      <c r="R78" s="44">
        <v>0.5</v>
      </c>
      <c r="T78" s="44">
        <v>0.5</v>
      </c>
      <c r="U78" s="44"/>
      <c r="V78" s="44">
        <v>0.5</v>
      </c>
      <c r="W78" s="44">
        <v>0.5</v>
      </c>
      <c r="X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/>
      <c r="AM78" s="44">
        <v>0.5</v>
      </c>
      <c r="AN78" s="44">
        <v>0.5</v>
      </c>
      <c r="AO78" s="44">
        <v>0.5</v>
      </c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 s="44">
        <v>0.5</v>
      </c>
      <c r="AW78" s="44">
        <v>0.5</v>
      </c>
      <c r="AX78" s="44">
        <v>0.5</v>
      </c>
      <c r="AY78"/>
      <c r="AZ78" s="44">
        <v>0.5</v>
      </c>
      <c r="BA78"/>
      <c r="BB78"/>
      <c r="BC78" s="44">
        <v>0.5</v>
      </c>
    </row>
    <row r="79" spans="1:55" x14ac:dyDescent="0.3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/>
      <c r="N79" s="44">
        <v>60479.999999999993</v>
      </c>
      <c r="P79" s="44">
        <v>60479.999999999993</v>
      </c>
      <c r="Q79" s="44">
        <v>60479.999999999993</v>
      </c>
      <c r="R79" s="44">
        <v>60479.999999999993</v>
      </c>
      <c r="T79" s="44">
        <v>60479.999999999993</v>
      </c>
      <c r="U79" s="44"/>
      <c r="V79" s="44">
        <v>60479.999999999993</v>
      </c>
      <c r="W79" s="44">
        <v>60479.999999999993</v>
      </c>
      <c r="X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/>
      <c r="AM79" s="44">
        <v>60479.999999999993</v>
      </c>
      <c r="AN79" s="44">
        <v>60479.999999999993</v>
      </c>
      <c r="AO79" s="44">
        <v>60479.999999999993</v>
      </c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 s="44">
        <v>60479.999999999993</v>
      </c>
      <c r="AW79" s="44">
        <v>60479.999999999993</v>
      </c>
      <c r="AX79" s="44">
        <v>60479.999999999993</v>
      </c>
      <c r="AY79"/>
      <c r="AZ79" s="44">
        <v>60479.999999999993</v>
      </c>
      <c r="BA79"/>
      <c r="BB79"/>
      <c r="BC79" s="44">
        <v>60479.999999999993</v>
      </c>
    </row>
    <row r="80" spans="1:55" x14ac:dyDescent="0.3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/>
      <c r="N80" s="44">
        <v>0.85</v>
      </c>
      <c r="P80" s="44">
        <v>0.85</v>
      </c>
      <c r="Q80" s="44">
        <v>0.85</v>
      </c>
      <c r="R80" s="44">
        <v>0.85</v>
      </c>
      <c r="T80" s="44">
        <v>0.85</v>
      </c>
      <c r="U80" s="44"/>
      <c r="V80" s="44">
        <v>0.85</v>
      </c>
      <c r="W80" s="44">
        <v>0.85</v>
      </c>
      <c r="X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/>
      <c r="AM80" s="44">
        <v>0.85</v>
      </c>
      <c r="AN80" s="44">
        <v>0.85</v>
      </c>
      <c r="AO80" s="44">
        <v>0.85</v>
      </c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 s="44">
        <v>0.85</v>
      </c>
      <c r="AW80" s="44">
        <v>0.85</v>
      </c>
      <c r="AX80" s="44">
        <v>0.85</v>
      </c>
      <c r="AY80"/>
      <c r="AZ80" s="44">
        <v>0.85</v>
      </c>
      <c r="BA80"/>
      <c r="BB80"/>
      <c r="BC80" s="44">
        <v>0.85</v>
      </c>
    </row>
    <row r="81" spans="1:55" x14ac:dyDescent="0.3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/>
      <c r="N81" s="44">
        <v>518400</v>
      </c>
      <c r="P81" s="44">
        <v>518400</v>
      </c>
      <c r="Q81" s="44">
        <v>518400</v>
      </c>
      <c r="R81" s="44">
        <v>518400</v>
      </c>
      <c r="T81" s="44">
        <v>518400</v>
      </c>
      <c r="U81" s="44"/>
      <c r="V81" s="44">
        <v>518400</v>
      </c>
      <c r="W81" s="44">
        <v>518400</v>
      </c>
      <c r="X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/>
      <c r="AM81" s="44">
        <v>518400</v>
      </c>
      <c r="AN81" s="44">
        <v>518400</v>
      </c>
      <c r="AO81" s="44">
        <v>518400</v>
      </c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 s="44">
        <v>518400</v>
      </c>
      <c r="AW81" s="44">
        <v>518400</v>
      </c>
      <c r="AX81" s="44">
        <v>518400</v>
      </c>
      <c r="AY81"/>
      <c r="AZ81" s="44">
        <v>518400</v>
      </c>
      <c r="BA81"/>
      <c r="BB81"/>
      <c r="BC81" s="44">
        <v>518400</v>
      </c>
    </row>
    <row r="82" spans="1:55" x14ac:dyDescent="0.3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/>
      <c r="N82" s="44">
        <v>5184000</v>
      </c>
      <c r="P82" s="44">
        <v>5184000</v>
      </c>
      <c r="Q82" s="44">
        <v>5184000</v>
      </c>
      <c r="R82" s="44">
        <v>5184000</v>
      </c>
      <c r="T82" s="44">
        <v>5184000</v>
      </c>
      <c r="U82" s="44"/>
      <c r="V82" s="44">
        <v>5184000</v>
      </c>
      <c r="W82" s="44">
        <v>5184000</v>
      </c>
      <c r="X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/>
      <c r="AM82" s="44">
        <v>5184000</v>
      </c>
      <c r="AN82" s="44">
        <v>5184000</v>
      </c>
      <c r="AO82" s="44">
        <v>5184000</v>
      </c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 s="44">
        <v>5184000</v>
      </c>
      <c r="AW82" s="44">
        <v>5184000</v>
      </c>
      <c r="AX82" s="44">
        <v>5184000</v>
      </c>
      <c r="AY82"/>
      <c r="AZ82" s="44">
        <v>5184000</v>
      </c>
      <c r="BA82"/>
      <c r="BB82"/>
      <c r="BC82" s="44">
        <v>5184000</v>
      </c>
    </row>
    <row r="83" spans="1:55" x14ac:dyDescent="0.3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/>
      <c r="N83" s="44">
        <v>50000</v>
      </c>
      <c r="P83" s="44">
        <v>50000</v>
      </c>
      <c r="Q83" s="44">
        <v>50000</v>
      </c>
      <c r="R83" s="44">
        <v>50000</v>
      </c>
      <c r="T83" s="44">
        <v>50000</v>
      </c>
      <c r="U83" s="44"/>
      <c r="V83" s="44">
        <v>50000</v>
      </c>
      <c r="W83" s="44">
        <v>50000</v>
      </c>
      <c r="X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/>
      <c r="AM83" s="44">
        <v>50000</v>
      </c>
      <c r="AN83" s="44">
        <v>50000</v>
      </c>
      <c r="AO83" s="44">
        <v>50000</v>
      </c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 s="44">
        <v>50000</v>
      </c>
      <c r="AW83" s="44">
        <v>50000</v>
      </c>
      <c r="AX83" s="44">
        <v>50000</v>
      </c>
      <c r="AY83"/>
      <c r="AZ83" s="44">
        <v>50000</v>
      </c>
      <c r="BA83"/>
      <c r="BB83"/>
      <c r="BC83" s="44">
        <v>50000</v>
      </c>
    </row>
    <row r="84" spans="1:55" x14ac:dyDescent="0.3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/>
      <c r="N84" s="44">
        <v>140000</v>
      </c>
      <c r="P84" s="44">
        <v>140000</v>
      </c>
      <c r="Q84" s="44">
        <v>140000</v>
      </c>
      <c r="R84" s="44">
        <v>140000</v>
      </c>
      <c r="T84" s="44">
        <v>140000</v>
      </c>
      <c r="U84" s="44"/>
      <c r="V84" s="44">
        <v>140000</v>
      </c>
      <c r="W84" s="44">
        <v>140000</v>
      </c>
      <c r="X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/>
      <c r="AM84" s="44">
        <v>140000</v>
      </c>
      <c r="AN84" s="44">
        <v>140000</v>
      </c>
      <c r="AO84" s="44">
        <v>140000</v>
      </c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 s="44">
        <v>140000</v>
      </c>
      <c r="AW84" s="44">
        <v>140000</v>
      </c>
      <c r="AX84" s="44">
        <v>140000</v>
      </c>
      <c r="AY84"/>
      <c r="AZ84" s="44">
        <v>140000</v>
      </c>
      <c r="BA84"/>
      <c r="BB84"/>
      <c r="BC84" s="44">
        <v>140000</v>
      </c>
    </row>
    <row r="85" spans="1:55" x14ac:dyDescent="0.3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/>
      <c r="N85" s="44">
        <v>3.6636136999999999E-2</v>
      </c>
      <c r="P85" s="44">
        <v>3.6636136999999999E-2</v>
      </c>
      <c r="Q85" s="44">
        <v>3.6636136999999999E-2</v>
      </c>
      <c r="R85" s="44">
        <v>3.6636136999999999E-2</v>
      </c>
      <c r="T85" s="44">
        <v>3.6636136999999999E-2</v>
      </c>
      <c r="U85" s="44"/>
      <c r="V85" s="44">
        <v>3.6636136999999999E-2</v>
      </c>
      <c r="W85" s="44">
        <v>3.6636136999999999E-2</v>
      </c>
      <c r="X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/>
      <c r="AM85" s="44">
        <v>3.6636136999999999E-2</v>
      </c>
      <c r="AN85" s="44">
        <v>3.6636136999999999E-2</v>
      </c>
      <c r="AO85" s="44">
        <v>3.6636136999999999E-2</v>
      </c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 s="44">
        <v>3.6636136999999999E-2</v>
      </c>
      <c r="AW85" s="44">
        <v>3.6636136999999999E-2</v>
      </c>
      <c r="AX85" s="44">
        <v>3.6636136999999999E-2</v>
      </c>
      <c r="AY85"/>
      <c r="AZ85" s="44">
        <v>3.6636136999999999E-2</v>
      </c>
      <c r="BA85"/>
      <c r="BB85"/>
      <c r="BC85" s="44">
        <v>3.6636136999999999E-2</v>
      </c>
    </row>
    <row r="86" spans="1:55" x14ac:dyDescent="0.3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/>
      <c r="N86" s="44">
        <v>4.4999999999999997E-3</v>
      </c>
      <c r="P86" s="44">
        <v>4.4999999999999997E-3</v>
      </c>
      <c r="Q86" s="44">
        <v>4.4999999999999997E-3</v>
      </c>
      <c r="R86" s="44">
        <v>4.4999999999999997E-3</v>
      </c>
      <c r="T86" s="44">
        <v>4.4999999999999997E-3</v>
      </c>
      <c r="U86" s="44"/>
      <c r="V86" s="44">
        <v>4.4999999999999997E-3</v>
      </c>
      <c r="W86" s="44">
        <v>4.4999999999999997E-3</v>
      </c>
      <c r="X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/>
      <c r="AM86" s="44">
        <v>4.4999999999999997E-3</v>
      </c>
      <c r="AN86" s="44">
        <v>4.4999999999999997E-3</v>
      </c>
      <c r="AO86" s="44">
        <v>4.4999999999999997E-3</v>
      </c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 s="44">
        <v>4.4999999999999997E-3</v>
      </c>
      <c r="AW86" s="44">
        <v>4.4999999999999997E-3</v>
      </c>
      <c r="AX86" s="44">
        <v>4.4999999999999997E-3</v>
      </c>
      <c r="AY86"/>
      <c r="AZ86" s="44">
        <v>4.4999999999999997E-3</v>
      </c>
      <c r="BA86"/>
      <c r="BB86"/>
      <c r="BC86" s="44">
        <v>4.4999999999999997E-3</v>
      </c>
    </row>
    <row r="87" spans="1:55" x14ac:dyDescent="0.3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/>
      <c r="N87" s="44">
        <v>0.05</v>
      </c>
      <c r="P87" s="44">
        <v>0.05</v>
      </c>
      <c r="Q87" s="44">
        <v>0.05</v>
      </c>
      <c r="R87" s="44">
        <v>0.05</v>
      </c>
      <c r="T87" s="44">
        <v>0.05</v>
      </c>
      <c r="U87" s="44"/>
      <c r="V87" s="44">
        <v>0.05</v>
      </c>
      <c r="W87" s="44">
        <v>0.05</v>
      </c>
      <c r="X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/>
      <c r="AM87" s="44">
        <v>0.05</v>
      </c>
      <c r="AN87" s="44">
        <v>0.05</v>
      </c>
      <c r="AO87" s="44">
        <v>0.05</v>
      </c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 s="44">
        <v>0.05</v>
      </c>
      <c r="AW87" s="44">
        <v>0.05</v>
      </c>
      <c r="AX87" s="44">
        <v>0.05</v>
      </c>
      <c r="AY87"/>
      <c r="AZ87" s="44">
        <v>0.05</v>
      </c>
      <c r="BA87"/>
      <c r="BB87"/>
      <c r="BC87" s="44">
        <v>0.05</v>
      </c>
    </row>
    <row r="88" spans="1:55" x14ac:dyDescent="0.3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/>
      <c r="N88" s="44">
        <v>6.0000000000000002E-6</v>
      </c>
      <c r="P88" s="44">
        <v>6.0000000000000002E-6</v>
      </c>
      <c r="Q88" s="44">
        <v>6.0000000000000002E-6</v>
      </c>
      <c r="R88" s="44">
        <v>6.0000000000000002E-6</v>
      </c>
      <c r="T88" s="44">
        <v>6.0000000000000002E-6</v>
      </c>
      <c r="U88" s="44"/>
      <c r="V88" s="44">
        <v>6.0000000000000002E-6</v>
      </c>
      <c r="W88" s="44">
        <v>6.0000000000000002E-6</v>
      </c>
      <c r="X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/>
      <c r="AM88" s="44">
        <v>6.0000000000000002E-6</v>
      </c>
      <c r="AN88" s="44">
        <v>6.0000000000000002E-6</v>
      </c>
      <c r="AO88" s="44">
        <v>6.0000000000000002E-6</v>
      </c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 s="44">
        <v>6.0000000000000002E-6</v>
      </c>
      <c r="AW88" s="44">
        <v>6.0000000000000002E-6</v>
      </c>
      <c r="AX88" s="44">
        <v>6.0000000000000002E-6</v>
      </c>
      <c r="AY88"/>
      <c r="AZ88" s="44">
        <v>6.0000000000000002E-6</v>
      </c>
      <c r="BA88"/>
      <c r="BB88"/>
      <c r="BC88" s="44">
        <v>6.0000000000000002E-6</v>
      </c>
    </row>
    <row r="89" spans="1:55" x14ac:dyDescent="0.3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/>
      <c r="N89" s="44">
        <v>1E-3</v>
      </c>
      <c r="P89" s="44">
        <v>1E-3</v>
      </c>
      <c r="Q89" s="44">
        <v>1E-3</v>
      </c>
      <c r="R89" s="44">
        <v>1E-3</v>
      </c>
      <c r="T89" s="44">
        <v>1E-3</v>
      </c>
      <c r="U89" s="44"/>
      <c r="V89" s="44">
        <v>1E-3</v>
      </c>
      <c r="W89" s="44">
        <v>1E-3</v>
      </c>
      <c r="X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/>
      <c r="AM89" s="44">
        <v>1E-3</v>
      </c>
      <c r="AN89" s="44">
        <v>1E-3</v>
      </c>
      <c r="AO89" s="44">
        <v>1E-3</v>
      </c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 s="44">
        <v>1E-3</v>
      </c>
      <c r="AW89" s="44">
        <v>1E-3</v>
      </c>
      <c r="AX89" s="44">
        <v>1E-3</v>
      </c>
      <c r="AY89"/>
      <c r="AZ89" s="44">
        <v>1E-3</v>
      </c>
      <c r="BA89"/>
      <c r="BB89"/>
      <c r="BC89" s="44">
        <v>1E-3</v>
      </c>
    </row>
    <row r="90" spans="1:55" x14ac:dyDescent="0.3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/>
      <c r="N90" s="44">
        <v>374999999.99999994</v>
      </c>
      <c r="P90" s="44">
        <v>374999999.99999994</v>
      </c>
      <c r="Q90" s="44">
        <v>374999999.99999994</v>
      </c>
      <c r="R90" s="44">
        <v>374999999.99999994</v>
      </c>
      <c r="T90" s="44">
        <v>374999999.99999994</v>
      </c>
      <c r="U90" s="44"/>
      <c r="V90" s="44">
        <v>374999999.99999994</v>
      </c>
      <c r="W90" s="44">
        <v>374999999.99999994</v>
      </c>
      <c r="X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/>
      <c r="AM90" s="44">
        <v>374999999.99999994</v>
      </c>
      <c r="AN90" s="44">
        <v>374999999.99999994</v>
      </c>
      <c r="AO90" s="44">
        <v>374999999.99999994</v>
      </c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 s="44">
        <v>374999999.99999994</v>
      </c>
      <c r="AW90" s="44">
        <v>374999999.99999994</v>
      </c>
      <c r="AX90" s="44">
        <v>374999999.99999994</v>
      </c>
      <c r="AY90"/>
      <c r="AZ90" s="44">
        <v>374999999.99999994</v>
      </c>
      <c r="BA90"/>
      <c r="BB90"/>
      <c r="BC90" s="44">
        <v>374999999.99999994</v>
      </c>
    </row>
    <row r="91" spans="1:55" x14ac:dyDescent="0.3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/>
      <c r="N91" s="44">
        <v>3.7037037037037038E-3</v>
      </c>
      <c r="P91" s="44">
        <v>3.7037037037037038E-3</v>
      </c>
      <c r="Q91" s="44">
        <v>3.7037037037037038E-3</v>
      </c>
      <c r="R91" s="44">
        <v>3.7037037037037038E-3</v>
      </c>
      <c r="T91" s="44">
        <v>3.7037037037037038E-3</v>
      </c>
      <c r="U91" s="44"/>
      <c r="V91" s="44">
        <v>3.7037037037037038E-3</v>
      </c>
      <c r="W91" s="44">
        <v>3.7037037037037038E-3</v>
      </c>
      <c r="X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/>
      <c r="AM91" s="44">
        <v>3.7037037037037038E-3</v>
      </c>
      <c r="AN91" s="44">
        <v>3.7037037037037038E-3</v>
      </c>
      <c r="AO91" s="44">
        <v>3.7037037037037038E-3</v>
      </c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 s="44">
        <v>3.7037037037037038E-3</v>
      </c>
      <c r="AW91" s="44">
        <v>3.7037037037037038E-3</v>
      </c>
      <c r="AX91" s="44">
        <v>3.7037037037037038E-3</v>
      </c>
      <c r="AY91"/>
      <c r="AZ91" s="44">
        <v>3.7037037037037038E-3</v>
      </c>
      <c r="BA91"/>
      <c r="BB91"/>
      <c r="BC91" s="44">
        <v>3.7037037037037038E-3</v>
      </c>
    </row>
    <row r="92" spans="1:55" x14ac:dyDescent="0.3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/>
      <c r="N92" s="44">
        <v>165600</v>
      </c>
      <c r="P92" s="44">
        <v>165600</v>
      </c>
      <c r="Q92" s="44">
        <v>165600</v>
      </c>
      <c r="R92" s="44">
        <v>165600</v>
      </c>
      <c r="T92" s="44">
        <v>165600</v>
      </c>
      <c r="U92" s="44"/>
      <c r="V92" s="44">
        <v>165600</v>
      </c>
      <c r="W92" s="44">
        <v>165600</v>
      </c>
      <c r="X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/>
      <c r="AM92" s="44">
        <v>165600</v>
      </c>
      <c r="AN92" s="44">
        <v>165600</v>
      </c>
      <c r="AO92" s="44">
        <v>165600</v>
      </c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 s="44">
        <v>165600</v>
      </c>
      <c r="AW92" s="44">
        <v>165600</v>
      </c>
      <c r="AX92" s="44">
        <v>165600</v>
      </c>
      <c r="AY92"/>
      <c r="AZ92" s="44">
        <v>165600</v>
      </c>
      <c r="BA92"/>
      <c r="BB92"/>
      <c r="BC92" s="44">
        <v>165600</v>
      </c>
    </row>
    <row r="93" spans="1:55" x14ac:dyDescent="0.3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/>
      <c r="N93" s="44">
        <v>20</v>
      </c>
      <c r="P93" s="44">
        <v>20</v>
      </c>
      <c r="Q93" s="44">
        <v>20</v>
      </c>
      <c r="R93" s="44">
        <v>20</v>
      </c>
      <c r="T93" s="44">
        <v>20</v>
      </c>
      <c r="U93" s="44"/>
      <c r="V93" s="44">
        <v>20</v>
      </c>
      <c r="W93" s="44">
        <v>20</v>
      </c>
      <c r="X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/>
      <c r="AM93" s="44">
        <v>20</v>
      </c>
      <c r="AN93" s="44">
        <v>20</v>
      </c>
      <c r="AO93" s="44">
        <v>20</v>
      </c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 s="44">
        <v>20</v>
      </c>
      <c r="AW93" s="44">
        <v>20</v>
      </c>
      <c r="AX93" s="44">
        <v>20</v>
      </c>
      <c r="AY93"/>
      <c r="AZ93" s="44">
        <v>20</v>
      </c>
      <c r="BA93"/>
      <c r="BB93"/>
      <c r="BC93" s="44">
        <v>20</v>
      </c>
    </row>
    <row r="94" spans="1:55" x14ac:dyDescent="0.3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/>
      <c r="N94" s="44">
        <v>1</v>
      </c>
      <c r="P94" s="44">
        <v>1</v>
      </c>
      <c r="Q94" s="44">
        <v>1</v>
      </c>
      <c r="R94" s="44">
        <v>1</v>
      </c>
      <c r="T94" s="44">
        <v>1</v>
      </c>
      <c r="U94" s="44"/>
      <c r="V94" s="44">
        <v>1</v>
      </c>
      <c r="W94" s="44">
        <v>1</v>
      </c>
      <c r="X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/>
      <c r="AM94" s="44">
        <v>1</v>
      </c>
      <c r="AN94" s="44">
        <v>1</v>
      </c>
      <c r="AO94" s="44">
        <v>1</v>
      </c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 s="44">
        <v>1</v>
      </c>
      <c r="AW94" s="44">
        <v>1</v>
      </c>
      <c r="AX94" s="44">
        <v>1</v>
      </c>
      <c r="AY94"/>
      <c r="AZ94" s="44">
        <v>1</v>
      </c>
      <c r="BA94"/>
      <c r="BB94"/>
      <c r="BC94" s="44">
        <v>1</v>
      </c>
    </row>
    <row r="95" spans="1:55" x14ac:dyDescent="0.3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/>
      <c r="N95" s="44">
        <v>21</v>
      </c>
      <c r="P95" s="44">
        <v>21</v>
      </c>
      <c r="Q95" s="44">
        <v>21</v>
      </c>
      <c r="R95" s="44">
        <v>21</v>
      </c>
      <c r="T95" s="44">
        <v>21</v>
      </c>
      <c r="U95" s="44"/>
      <c r="V95" s="44">
        <v>21</v>
      </c>
      <c r="W95" s="44">
        <v>21</v>
      </c>
      <c r="X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/>
      <c r="AM95" s="44">
        <v>21</v>
      </c>
      <c r="AN95" s="44">
        <v>21</v>
      </c>
      <c r="AO95" s="44">
        <v>21</v>
      </c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 s="44">
        <v>21</v>
      </c>
      <c r="AW95" s="44">
        <v>21</v>
      </c>
      <c r="AX95" s="44">
        <v>21</v>
      </c>
      <c r="AY95"/>
      <c r="AZ95" s="44">
        <v>21</v>
      </c>
      <c r="BA95"/>
      <c r="BB95"/>
      <c r="BC95" s="44">
        <v>21</v>
      </c>
    </row>
    <row r="96" spans="1:55" x14ac:dyDescent="0.3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/>
      <c r="N96" s="44">
        <v>0.64</v>
      </c>
      <c r="P96" s="44">
        <v>0.64</v>
      </c>
      <c r="Q96" s="44">
        <v>0.64</v>
      </c>
      <c r="R96" s="44">
        <v>0.64</v>
      </c>
      <c r="T96" s="44">
        <v>0.64</v>
      </c>
      <c r="U96" s="44"/>
      <c r="V96" s="44">
        <v>0.64</v>
      </c>
      <c r="W96" s="44">
        <v>0.64</v>
      </c>
      <c r="X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/>
      <c r="AM96" s="44">
        <v>0.64</v>
      </c>
      <c r="AN96" s="44">
        <v>0.64</v>
      </c>
      <c r="AO96" s="44">
        <v>0.64</v>
      </c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 s="44">
        <v>0.64</v>
      </c>
      <c r="AW96" s="44">
        <v>0.64</v>
      </c>
      <c r="AX96" s="44">
        <v>0.64</v>
      </c>
      <c r="AY96"/>
      <c r="AZ96" s="44">
        <v>0.64</v>
      </c>
      <c r="BA96"/>
      <c r="BB96"/>
      <c r="BC96" s="44">
        <v>0.64</v>
      </c>
    </row>
    <row r="97" spans="1:55" x14ac:dyDescent="0.3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/>
      <c r="N97" s="44">
        <v>8</v>
      </c>
      <c r="P97" s="44">
        <v>8</v>
      </c>
      <c r="Q97" s="44">
        <v>8</v>
      </c>
      <c r="R97" s="44">
        <v>8</v>
      </c>
      <c r="T97" s="44">
        <v>8</v>
      </c>
      <c r="U97" s="44"/>
      <c r="V97" s="44">
        <v>8</v>
      </c>
      <c r="W97" s="44">
        <v>8</v>
      </c>
      <c r="X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/>
      <c r="AM97" s="44">
        <v>8</v>
      </c>
      <c r="AN97" s="44">
        <v>8</v>
      </c>
      <c r="AO97" s="44">
        <v>8</v>
      </c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 s="44">
        <v>8</v>
      </c>
      <c r="AW97" s="44">
        <v>8</v>
      </c>
      <c r="AX97" s="44">
        <v>8</v>
      </c>
      <c r="AY97"/>
      <c r="AZ97" s="44">
        <v>8</v>
      </c>
      <c r="BA97"/>
      <c r="BB97"/>
      <c r="BC97" s="44">
        <v>8</v>
      </c>
    </row>
    <row r="98" spans="1:55" x14ac:dyDescent="0.3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/>
      <c r="N98" s="44">
        <v>10</v>
      </c>
      <c r="P98" s="44">
        <v>10</v>
      </c>
      <c r="Q98" s="44">
        <v>10</v>
      </c>
      <c r="R98" s="44">
        <v>10</v>
      </c>
      <c r="T98" s="44">
        <v>10</v>
      </c>
      <c r="U98" s="44"/>
      <c r="V98" s="44">
        <v>10</v>
      </c>
      <c r="W98" s="44">
        <v>10</v>
      </c>
      <c r="X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/>
      <c r="AM98" s="44">
        <v>10</v>
      </c>
      <c r="AN98" s="44">
        <v>10</v>
      </c>
      <c r="AO98" s="44">
        <v>10</v>
      </c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 s="44">
        <v>10</v>
      </c>
      <c r="AW98" s="44">
        <v>10</v>
      </c>
      <c r="AX98" s="44">
        <v>10</v>
      </c>
      <c r="AY98"/>
      <c r="AZ98" s="44">
        <v>10</v>
      </c>
      <c r="BA98"/>
      <c r="BB98"/>
      <c r="BC98" s="44">
        <v>10</v>
      </c>
    </row>
    <row r="99" spans="1:55" x14ac:dyDescent="0.3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/>
      <c r="N99" s="44">
        <v>8</v>
      </c>
      <c r="P99" s="44">
        <v>8</v>
      </c>
      <c r="Q99" s="44">
        <v>8</v>
      </c>
      <c r="R99" s="44">
        <v>8</v>
      </c>
      <c r="T99" s="44">
        <v>8</v>
      </c>
      <c r="U99" s="44"/>
      <c r="V99" s="44">
        <v>8</v>
      </c>
      <c r="W99" s="44">
        <v>8</v>
      </c>
      <c r="X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/>
      <c r="AM99" s="44">
        <v>8</v>
      </c>
      <c r="AN99" s="44">
        <v>8</v>
      </c>
      <c r="AO99" s="44">
        <v>8</v>
      </c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 s="44">
        <v>8</v>
      </c>
      <c r="AW99" s="44">
        <v>8</v>
      </c>
      <c r="AX99" s="44">
        <v>8</v>
      </c>
      <c r="AY99"/>
      <c r="AZ99" s="44">
        <v>8</v>
      </c>
      <c r="BA99"/>
      <c r="BB99"/>
      <c r="BC99" s="44">
        <v>8</v>
      </c>
    </row>
    <row r="100" spans="1:55" x14ac:dyDescent="0.3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/>
      <c r="N100" s="44">
        <v>1</v>
      </c>
      <c r="P100" s="44">
        <v>1</v>
      </c>
      <c r="Q100" s="44">
        <v>1</v>
      </c>
      <c r="R100" s="44">
        <v>1</v>
      </c>
      <c r="T100" s="44">
        <v>1</v>
      </c>
      <c r="U100" s="44"/>
      <c r="V100" s="44">
        <v>1</v>
      </c>
      <c r="W100" s="44">
        <v>1</v>
      </c>
      <c r="X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/>
      <c r="AM100" s="44">
        <v>1</v>
      </c>
      <c r="AN100" s="44">
        <v>1</v>
      </c>
      <c r="AO100" s="44">
        <v>1</v>
      </c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 s="44">
        <v>1</v>
      </c>
      <c r="AW100" s="44">
        <v>1</v>
      </c>
      <c r="AX100" s="44">
        <v>1</v>
      </c>
      <c r="AY100"/>
      <c r="AZ100" s="44">
        <v>1</v>
      </c>
      <c r="BA100"/>
      <c r="BB100"/>
      <c r="BC100" s="44">
        <v>1</v>
      </c>
    </row>
    <row r="101" spans="1:55" x14ac:dyDescent="0.3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/>
      <c r="N101" s="44">
        <v>0.5</v>
      </c>
      <c r="P101" s="44">
        <v>0.5</v>
      </c>
      <c r="Q101" s="44">
        <v>0.5</v>
      </c>
      <c r="R101" s="44">
        <v>0.5</v>
      </c>
      <c r="T101" s="44">
        <v>0.5</v>
      </c>
      <c r="U101" s="44"/>
      <c r="V101" s="44">
        <v>0.5</v>
      </c>
      <c r="W101" s="44">
        <v>0.5</v>
      </c>
      <c r="X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/>
      <c r="AM101" s="44">
        <v>0.5</v>
      </c>
      <c r="AN101" s="44">
        <v>0.5</v>
      </c>
      <c r="AO101" s="44">
        <v>0.5</v>
      </c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 s="44">
        <v>0.5</v>
      </c>
      <c r="AW101" s="44">
        <v>0.5</v>
      </c>
      <c r="AX101" s="44">
        <v>0.5</v>
      </c>
      <c r="AY101"/>
      <c r="AZ101" s="44">
        <v>0.5</v>
      </c>
      <c r="BA101"/>
      <c r="BB101"/>
      <c r="BC101" s="44">
        <v>0.5</v>
      </c>
    </row>
    <row r="102" spans="1:55" x14ac:dyDescent="0.3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BC102" si="1">10/0.1</f>
        <v>100</v>
      </c>
      <c r="K102" s="44">
        <f t="shared" si="1"/>
        <v>100</v>
      </c>
      <c r="L102" s="44">
        <f t="shared" si="1"/>
        <v>100</v>
      </c>
      <c r="M102" s="44"/>
      <c r="N102" s="44">
        <f t="shared" si="1"/>
        <v>100</v>
      </c>
      <c r="P102" s="44">
        <f t="shared" si="1"/>
        <v>100</v>
      </c>
      <c r="Q102" s="44">
        <f t="shared" si="1"/>
        <v>100</v>
      </c>
      <c r="R102" s="44">
        <f t="shared" si="1"/>
        <v>100</v>
      </c>
      <c r="T102" s="44">
        <f t="shared" si="1"/>
        <v>100</v>
      </c>
      <c r="U102" s="44"/>
      <c r="V102" s="44">
        <f t="shared" si="1"/>
        <v>100</v>
      </c>
      <c r="W102" s="44">
        <f t="shared" si="1"/>
        <v>100</v>
      </c>
      <c r="X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/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 s="44">
        <f t="shared" si="1"/>
        <v>100</v>
      </c>
      <c r="AW102" s="44">
        <f t="shared" si="1"/>
        <v>100</v>
      </c>
      <c r="AX102" s="44">
        <f t="shared" si="1"/>
        <v>100</v>
      </c>
      <c r="AY102"/>
      <c r="AZ102" s="44">
        <f t="shared" si="1"/>
        <v>100</v>
      </c>
      <c r="BA102"/>
      <c r="BB102"/>
      <c r="BC102" s="44">
        <f t="shared" si="1"/>
        <v>100</v>
      </c>
    </row>
    <row r="103" spans="1:55" x14ac:dyDescent="0.3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BC103" si="2">150/0.1</f>
        <v>1500</v>
      </c>
      <c r="K103" s="44">
        <f t="shared" si="2"/>
        <v>1500</v>
      </c>
      <c r="L103" s="44">
        <f t="shared" si="2"/>
        <v>1500</v>
      </c>
      <c r="M103" s="44"/>
      <c r="N103" s="44">
        <f t="shared" si="2"/>
        <v>1500</v>
      </c>
      <c r="P103" s="44">
        <f t="shared" si="2"/>
        <v>1500</v>
      </c>
      <c r="Q103" s="44">
        <f t="shared" si="2"/>
        <v>1500</v>
      </c>
      <c r="R103" s="44">
        <f t="shared" si="2"/>
        <v>1500</v>
      </c>
      <c r="T103" s="44">
        <f t="shared" si="2"/>
        <v>1500</v>
      </c>
      <c r="U103" s="44"/>
      <c r="V103" s="44">
        <f t="shared" si="2"/>
        <v>1500</v>
      </c>
      <c r="W103" s="44">
        <f t="shared" si="2"/>
        <v>1500</v>
      </c>
      <c r="X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/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 s="44">
        <f t="shared" si="2"/>
        <v>1500</v>
      </c>
      <c r="AW103" s="44">
        <f t="shared" si="2"/>
        <v>1500</v>
      </c>
      <c r="AX103" s="44">
        <f t="shared" si="2"/>
        <v>1500</v>
      </c>
      <c r="AY103"/>
      <c r="AZ103" s="44">
        <f t="shared" si="2"/>
        <v>1500</v>
      </c>
      <c r="BA103"/>
      <c r="BB103"/>
      <c r="BC103" s="44">
        <f t="shared" si="2"/>
        <v>1500</v>
      </c>
    </row>
    <row r="104" spans="1:55" x14ac:dyDescent="0.3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BC104" si="4">20/0.1</f>
        <v>200</v>
      </c>
      <c r="K104" s="44">
        <f t="shared" si="4"/>
        <v>200</v>
      </c>
      <c r="L104" s="44">
        <f t="shared" si="4"/>
        <v>200</v>
      </c>
      <c r="M104" s="44"/>
      <c r="N104" s="44">
        <f t="shared" si="4"/>
        <v>200</v>
      </c>
      <c r="P104" s="44">
        <f t="shared" si="4"/>
        <v>200</v>
      </c>
      <c r="Q104" s="44">
        <f t="shared" si="4"/>
        <v>200</v>
      </c>
      <c r="R104" s="44">
        <f t="shared" si="4"/>
        <v>200</v>
      </c>
      <c r="T104" s="44">
        <f t="shared" si="4"/>
        <v>200</v>
      </c>
      <c r="U104" s="44"/>
      <c r="V104" s="44">
        <f t="shared" si="4"/>
        <v>200</v>
      </c>
      <c r="W104" s="44">
        <f t="shared" si="4"/>
        <v>200</v>
      </c>
      <c r="X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/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 s="44">
        <f t="shared" si="4"/>
        <v>200</v>
      </c>
      <c r="AW104" s="44">
        <f t="shared" si="4"/>
        <v>200</v>
      </c>
      <c r="AX104" s="44">
        <f t="shared" si="4"/>
        <v>200</v>
      </c>
      <c r="AY104"/>
      <c r="AZ104" s="44">
        <f t="shared" si="4"/>
        <v>200</v>
      </c>
      <c r="BA104"/>
      <c r="BB104"/>
      <c r="BC104" s="44">
        <f t="shared" si="4"/>
        <v>200</v>
      </c>
    </row>
    <row r="105" spans="1:55" x14ac:dyDescent="0.3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BC105" si="5">400/0.1</f>
        <v>4000</v>
      </c>
      <c r="K105" s="44">
        <f t="shared" si="5"/>
        <v>4000</v>
      </c>
      <c r="L105" s="44">
        <f t="shared" si="5"/>
        <v>4000</v>
      </c>
      <c r="M105" s="44"/>
      <c r="N105" s="44">
        <f t="shared" si="5"/>
        <v>4000</v>
      </c>
      <c r="P105" s="44">
        <f t="shared" si="5"/>
        <v>4000</v>
      </c>
      <c r="Q105" s="44">
        <f t="shared" si="5"/>
        <v>4000</v>
      </c>
      <c r="R105" s="44">
        <f t="shared" si="5"/>
        <v>4000</v>
      </c>
      <c r="T105" s="44">
        <f t="shared" si="5"/>
        <v>4000</v>
      </c>
      <c r="U105" s="44"/>
      <c r="V105" s="44">
        <f t="shared" si="5"/>
        <v>4000</v>
      </c>
      <c r="W105" s="44">
        <f t="shared" si="5"/>
        <v>4000</v>
      </c>
      <c r="X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/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 s="44">
        <f t="shared" si="5"/>
        <v>4000</v>
      </c>
      <c r="AW105" s="44">
        <f t="shared" si="5"/>
        <v>4000</v>
      </c>
      <c r="AX105" s="44">
        <f t="shared" si="5"/>
        <v>4000</v>
      </c>
      <c r="AY105"/>
      <c r="AZ105" s="44">
        <f t="shared" si="5"/>
        <v>4000</v>
      </c>
      <c r="BA105"/>
      <c r="BB105"/>
      <c r="BC105" s="44">
        <f t="shared" si="5"/>
        <v>4000</v>
      </c>
    </row>
    <row r="106" spans="1:55" x14ac:dyDescent="0.3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BC106" si="6">10/0.1</f>
        <v>100</v>
      </c>
      <c r="K106" s="44">
        <f t="shared" si="6"/>
        <v>100</v>
      </c>
      <c r="L106" s="44">
        <f t="shared" si="6"/>
        <v>100</v>
      </c>
      <c r="M106" s="44"/>
      <c r="N106" s="44">
        <f t="shared" si="6"/>
        <v>100</v>
      </c>
      <c r="P106" s="44">
        <f t="shared" si="6"/>
        <v>100</v>
      </c>
      <c r="Q106" s="44">
        <f t="shared" si="6"/>
        <v>100</v>
      </c>
      <c r="R106" s="44">
        <f t="shared" si="6"/>
        <v>100</v>
      </c>
      <c r="T106" s="44">
        <f t="shared" si="6"/>
        <v>100</v>
      </c>
      <c r="U106" s="44"/>
      <c r="V106" s="44">
        <f t="shared" si="6"/>
        <v>100</v>
      </c>
      <c r="W106" s="44">
        <f t="shared" si="6"/>
        <v>100</v>
      </c>
      <c r="X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/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 s="44">
        <f t="shared" si="6"/>
        <v>100</v>
      </c>
      <c r="AW106" s="44">
        <f t="shared" si="6"/>
        <v>100</v>
      </c>
      <c r="AX106" s="44">
        <f t="shared" si="6"/>
        <v>100</v>
      </c>
      <c r="AY106"/>
      <c r="AZ106" s="44">
        <f t="shared" si="6"/>
        <v>100</v>
      </c>
      <c r="BA106"/>
      <c r="BB106"/>
      <c r="BC106" s="44">
        <f t="shared" si="6"/>
        <v>100</v>
      </c>
    </row>
    <row r="107" spans="1:55" x14ac:dyDescent="0.3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BC107" si="7">150/0.1</f>
        <v>1500</v>
      </c>
      <c r="K107" s="44">
        <f t="shared" si="7"/>
        <v>1500</v>
      </c>
      <c r="L107" s="44">
        <f t="shared" si="7"/>
        <v>1500</v>
      </c>
      <c r="M107" s="44"/>
      <c r="N107" s="44">
        <f t="shared" si="7"/>
        <v>1500</v>
      </c>
      <c r="P107" s="44">
        <f t="shared" si="7"/>
        <v>1500</v>
      </c>
      <c r="Q107" s="44">
        <f t="shared" si="7"/>
        <v>1500</v>
      </c>
      <c r="R107" s="44">
        <f t="shared" si="7"/>
        <v>1500</v>
      </c>
      <c r="T107" s="44">
        <f t="shared" si="7"/>
        <v>1500</v>
      </c>
      <c r="U107" s="44"/>
      <c r="V107" s="44">
        <f t="shared" si="7"/>
        <v>1500</v>
      </c>
      <c r="W107" s="44">
        <f t="shared" si="7"/>
        <v>1500</v>
      </c>
      <c r="X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/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 s="44">
        <f t="shared" si="7"/>
        <v>1500</v>
      </c>
      <c r="AW107" s="44">
        <f t="shared" si="7"/>
        <v>1500</v>
      </c>
      <c r="AX107" s="44">
        <f t="shared" si="7"/>
        <v>1500</v>
      </c>
      <c r="AY107"/>
      <c r="AZ107" s="44">
        <f t="shared" si="7"/>
        <v>1500</v>
      </c>
      <c r="BA107"/>
      <c r="BB107"/>
      <c r="BC107" s="44">
        <f t="shared" si="7"/>
        <v>1500</v>
      </c>
    </row>
    <row r="108" spans="1:55" x14ac:dyDescent="0.3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BC108" si="8">20/0.1</f>
        <v>200</v>
      </c>
      <c r="K108" s="44">
        <f t="shared" si="8"/>
        <v>200</v>
      </c>
      <c r="L108" s="44">
        <f t="shared" si="8"/>
        <v>200</v>
      </c>
      <c r="M108" s="44"/>
      <c r="N108" s="44">
        <f t="shared" si="8"/>
        <v>200</v>
      </c>
      <c r="P108" s="44">
        <f t="shared" si="8"/>
        <v>200</v>
      </c>
      <c r="Q108" s="44">
        <f t="shared" si="8"/>
        <v>200</v>
      </c>
      <c r="R108" s="44">
        <f t="shared" si="8"/>
        <v>200</v>
      </c>
      <c r="T108" s="44">
        <f t="shared" si="8"/>
        <v>200</v>
      </c>
      <c r="U108" s="44"/>
      <c r="V108" s="44">
        <f t="shared" si="8"/>
        <v>200</v>
      </c>
      <c r="W108" s="44">
        <f t="shared" si="8"/>
        <v>200</v>
      </c>
      <c r="X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/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 s="44">
        <f t="shared" si="8"/>
        <v>200</v>
      </c>
      <c r="AW108" s="44">
        <f t="shared" si="8"/>
        <v>200</v>
      </c>
      <c r="AX108" s="44">
        <f t="shared" si="8"/>
        <v>200</v>
      </c>
      <c r="AY108"/>
      <c r="AZ108" s="44">
        <f t="shared" si="8"/>
        <v>200</v>
      </c>
      <c r="BA108"/>
      <c r="BB108"/>
      <c r="BC108" s="44">
        <f t="shared" si="8"/>
        <v>200</v>
      </c>
    </row>
    <row r="109" spans="1:55" x14ac:dyDescent="0.3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BC109" si="9">400/0.1</f>
        <v>4000</v>
      </c>
      <c r="K109" s="44">
        <f t="shared" si="9"/>
        <v>4000</v>
      </c>
      <c r="L109" s="44">
        <f t="shared" si="9"/>
        <v>4000</v>
      </c>
      <c r="M109" s="44"/>
      <c r="N109" s="44">
        <f t="shared" si="9"/>
        <v>4000</v>
      </c>
      <c r="P109" s="44">
        <f t="shared" si="9"/>
        <v>4000</v>
      </c>
      <c r="Q109" s="44">
        <f t="shared" si="9"/>
        <v>4000</v>
      </c>
      <c r="R109" s="44">
        <f t="shared" si="9"/>
        <v>4000</v>
      </c>
      <c r="T109" s="44">
        <f t="shared" si="9"/>
        <v>4000</v>
      </c>
      <c r="U109" s="44"/>
      <c r="V109" s="44">
        <f t="shared" si="9"/>
        <v>4000</v>
      </c>
      <c r="W109" s="44">
        <f t="shared" si="9"/>
        <v>4000</v>
      </c>
      <c r="X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/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 s="44">
        <f t="shared" si="9"/>
        <v>4000</v>
      </c>
      <c r="AW109" s="44">
        <f t="shared" si="9"/>
        <v>4000</v>
      </c>
      <c r="AX109" s="44">
        <f t="shared" si="9"/>
        <v>4000</v>
      </c>
      <c r="AY109"/>
      <c r="AZ109" s="44">
        <f t="shared" si="9"/>
        <v>4000</v>
      </c>
      <c r="BA109"/>
      <c r="BB109"/>
      <c r="BC109" s="44">
        <f t="shared" si="9"/>
        <v>4000</v>
      </c>
    </row>
    <row r="110" spans="1:55" x14ac:dyDescent="0.3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/>
      <c r="N110" s="44">
        <v>100</v>
      </c>
      <c r="P110" s="44">
        <v>100</v>
      </c>
      <c r="Q110" s="44">
        <v>100</v>
      </c>
      <c r="R110" s="44">
        <v>100</v>
      </c>
      <c r="T110" s="44">
        <v>100</v>
      </c>
      <c r="U110" s="44"/>
      <c r="V110" s="44">
        <v>100</v>
      </c>
      <c r="W110" s="44">
        <v>100</v>
      </c>
      <c r="X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/>
      <c r="AM110" s="44">
        <v>100</v>
      </c>
      <c r="AN110" s="44">
        <v>100</v>
      </c>
      <c r="AO110" s="44">
        <v>100</v>
      </c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 s="44">
        <v>100</v>
      </c>
      <c r="AW110" s="44">
        <v>100</v>
      </c>
      <c r="AX110" s="44">
        <v>100</v>
      </c>
      <c r="AY110"/>
      <c r="AZ110" s="44">
        <v>100</v>
      </c>
      <c r="BA110"/>
      <c r="BB110"/>
      <c r="BC110" s="44">
        <v>100</v>
      </c>
    </row>
    <row r="111" spans="1:55" ht="14.5" customHeight="1" x14ac:dyDescent="0.3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/>
      <c r="N111" s="44">
        <v>280800</v>
      </c>
      <c r="P111" s="44">
        <v>280800</v>
      </c>
      <c r="Q111" s="44">
        <v>280800</v>
      </c>
      <c r="R111" s="44">
        <v>280800</v>
      </c>
      <c r="T111" s="44">
        <v>280800</v>
      </c>
      <c r="U111" s="44"/>
      <c r="V111" s="44">
        <v>280800</v>
      </c>
      <c r="W111" s="44">
        <v>280800</v>
      </c>
      <c r="X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/>
      <c r="AM111" s="44">
        <v>280800</v>
      </c>
      <c r="AN111" s="44">
        <v>280800</v>
      </c>
      <c r="AO111" s="44">
        <v>280800</v>
      </c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 s="44">
        <v>280800</v>
      </c>
      <c r="AW111" s="44">
        <v>280800</v>
      </c>
      <c r="AX111" s="44">
        <v>280800</v>
      </c>
      <c r="AY111"/>
      <c r="AZ111" s="44">
        <v>280800</v>
      </c>
      <c r="BA111"/>
      <c r="BB111"/>
      <c r="BC111" s="44">
        <v>280800</v>
      </c>
    </row>
    <row r="112" spans="1:55" x14ac:dyDescent="0.3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BC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P112" s="44">
        <f t="shared" si="10"/>
        <v>0.11100000000000002</v>
      </c>
      <c r="Q112" s="44">
        <f t="shared" si="10"/>
        <v>0.11100000000000002</v>
      </c>
      <c r="R112" s="44">
        <f t="shared" si="10"/>
        <v>0.11100000000000002</v>
      </c>
      <c r="T112" s="44">
        <f t="shared" si="10"/>
        <v>0.11100000000000002</v>
      </c>
      <c r="U112" s="44"/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/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 s="44">
        <f t="shared" si="10"/>
        <v>0.11100000000000002</v>
      </c>
      <c r="AW112" s="44">
        <f t="shared" si="10"/>
        <v>0.11100000000000002</v>
      </c>
      <c r="AX112" s="44">
        <f t="shared" si="10"/>
        <v>0.11100000000000002</v>
      </c>
      <c r="AY112"/>
      <c r="AZ112" s="44">
        <f t="shared" si="10"/>
        <v>0.11100000000000002</v>
      </c>
      <c r="BA112"/>
      <c r="BB112"/>
      <c r="BC112" s="44">
        <f t="shared" si="10"/>
        <v>0.11100000000000002</v>
      </c>
    </row>
    <row r="113" spans="1:55" x14ac:dyDescent="0.3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/>
      <c r="N113" s="44">
        <v>100</v>
      </c>
      <c r="P113" s="44">
        <v>100</v>
      </c>
      <c r="Q113" s="44">
        <v>100</v>
      </c>
      <c r="R113" s="44">
        <v>100</v>
      </c>
      <c r="T113" s="44">
        <v>100</v>
      </c>
      <c r="U113" s="44"/>
      <c r="V113" s="44">
        <v>100</v>
      </c>
      <c r="W113" s="44">
        <v>100</v>
      </c>
      <c r="X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/>
      <c r="AM113" s="44">
        <v>100</v>
      </c>
      <c r="AN113" s="44">
        <v>100</v>
      </c>
      <c r="AO113" s="44">
        <v>100</v>
      </c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 s="44">
        <v>100</v>
      </c>
      <c r="AW113" s="44">
        <v>100</v>
      </c>
      <c r="AX113" s="44">
        <v>100</v>
      </c>
      <c r="AY113"/>
      <c r="AZ113" s="44">
        <v>100</v>
      </c>
      <c r="BA113"/>
      <c r="BB113"/>
      <c r="BC113" s="44">
        <v>100</v>
      </c>
    </row>
    <row r="114" spans="1:55" ht="14.5" customHeight="1" x14ac:dyDescent="0.3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/>
      <c r="N114" s="44">
        <v>459648</v>
      </c>
      <c r="P114" s="44">
        <v>459648</v>
      </c>
      <c r="Q114" s="44">
        <v>459648</v>
      </c>
      <c r="R114" s="44">
        <v>459648</v>
      </c>
      <c r="T114" s="44">
        <v>459648</v>
      </c>
      <c r="U114" s="44"/>
      <c r="V114" s="44">
        <v>459648</v>
      </c>
      <c r="W114" s="44">
        <v>459648</v>
      </c>
      <c r="X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/>
      <c r="AM114" s="44">
        <v>459648</v>
      </c>
      <c r="AN114" s="44">
        <v>459648</v>
      </c>
      <c r="AO114" s="44">
        <v>459648</v>
      </c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 s="44">
        <v>459648</v>
      </c>
      <c r="AW114" s="44">
        <v>459648</v>
      </c>
      <c r="AX114" s="44">
        <v>459648</v>
      </c>
      <c r="AY114"/>
      <c r="AZ114" s="44">
        <v>459648</v>
      </c>
      <c r="BA114"/>
      <c r="BB114"/>
      <c r="BC114" s="44">
        <v>459648</v>
      </c>
    </row>
    <row r="115" spans="1:55" x14ac:dyDescent="0.3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BC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P115" s="44">
        <f t="shared" si="11"/>
        <v>0.13875000000000001</v>
      </c>
      <c r="Q115" s="44">
        <f t="shared" si="11"/>
        <v>0.13875000000000001</v>
      </c>
      <c r="R115" s="44">
        <f t="shared" si="11"/>
        <v>0.13875000000000001</v>
      </c>
      <c r="T115" s="44">
        <f t="shared" si="11"/>
        <v>0.13875000000000001</v>
      </c>
      <c r="U115" s="44"/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/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 s="44">
        <f t="shared" si="11"/>
        <v>0.13875000000000001</v>
      </c>
      <c r="AW115" s="44">
        <f t="shared" si="11"/>
        <v>0.13875000000000001</v>
      </c>
      <c r="AX115" s="44">
        <f t="shared" si="11"/>
        <v>0.13875000000000001</v>
      </c>
      <c r="AY115"/>
      <c r="AZ115" s="44">
        <f t="shared" si="11"/>
        <v>0.13875000000000001</v>
      </c>
      <c r="BA115"/>
      <c r="BB115"/>
      <c r="BC115" s="44">
        <f t="shared" si="11"/>
        <v>0.13875000000000001</v>
      </c>
    </row>
    <row r="116" spans="1:55" x14ac:dyDescent="0.3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/>
      <c r="N116" s="44">
        <v>21600</v>
      </c>
      <c r="P116" s="44">
        <v>21600</v>
      </c>
      <c r="Q116" s="44">
        <v>21600</v>
      </c>
      <c r="R116" s="44">
        <v>21600</v>
      </c>
      <c r="T116" s="44">
        <v>21600</v>
      </c>
      <c r="U116" s="44"/>
      <c r="V116" s="44">
        <v>21600</v>
      </c>
      <c r="W116" s="44">
        <v>21600</v>
      </c>
      <c r="X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/>
      <c r="AM116" s="44">
        <v>21600</v>
      </c>
      <c r="AN116" s="44">
        <v>21600</v>
      </c>
      <c r="AO116" s="44">
        <v>21600</v>
      </c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 s="44">
        <v>21600</v>
      </c>
      <c r="AW116" s="44">
        <v>21600</v>
      </c>
      <c r="AX116" s="44">
        <v>21600</v>
      </c>
      <c r="AY116"/>
      <c r="AZ116" s="44">
        <v>21600</v>
      </c>
      <c r="BA116"/>
      <c r="BB116"/>
      <c r="BC116" s="44">
        <v>21600</v>
      </c>
    </row>
    <row r="117" spans="1:55" x14ac:dyDescent="0.3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/>
      <c r="N117" s="44">
        <v>43200</v>
      </c>
      <c r="P117" s="44">
        <v>43200</v>
      </c>
      <c r="Q117" s="44">
        <v>43200</v>
      </c>
      <c r="R117" s="44">
        <v>43200</v>
      </c>
      <c r="T117" s="44">
        <v>43200</v>
      </c>
      <c r="U117" s="44"/>
      <c r="V117" s="44">
        <v>43200</v>
      </c>
      <c r="W117" s="44">
        <v>43200</v>
      </c>
      <c r="X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/>
      <c r="AM117" s="44">
        <v>43200</v>
      </c>
      <c r="AN117" s="44">
        <v>43200</v>
      </c>
      <c r="AO117" s="44">
        <v>43200</v>
      </c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 s="44">
        <v>43200</v>
      </c>
      <c r="AW117" s="44">
        <v>43200</v>
      </c>
      <c r="AX117" s="44">
        <v>43200</v>
      </c>
      <c r="AY117"/>
      <c r="AZ117" s="44">
        <v>43200</v>
      </c>
      <c r="BA117"/>
      <c r="BB117"/>
      <c r="BC117" s="44">
        <v>43200</v>
      </c>
    </row>
    <row r="118" spans="1:55" x14ac:dyDescent="0.3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/>
      <c r="N118" s="44">
        <v>0.8</v>
      </c>
      <c r="P118" s="44">
        <v>0.8</v>
      </c>
      <c r="Q118" s="44">
        <v>0.8</v>
      </c>
      <c r="R118" s="44">
        <v>0.8</v>
      </c>
      <c r="T118" s="44">
        <v>0.8</v>
      </c>
      <c r="U118" s="44"/>
      <c r="V118" s="44">
        <v>0.8</v>
      </c>
      <c r="W118" s="44">
        <v>0.8</v>
      </c>
      <c r="X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/>
      <c r="AM118" s="44">
        <v>0.8</v>
      </c>
      <c r="AN118" s="44">
        <v>0.8</v>
      </c>
      <c r="AO118" s="44">
        <v>0.8</v>
      </c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 s="44">
        <v>0.8</v>
      </c>
      <c r="AW118" s="44">
        <v>0.8</v>
      </c>
      <c r="AX118" s="44">
        <v>0.8</v>
      </c>
      <c r="AY118"/>
      <c r="AZ118" s="44">
        <v>0.8</v>
      </c>
      <c r="BA118"/>
      <c r="BB118"/>
      <c r="BC118" s="44">
        <v>0.8</v>
      </c>
    </row>
    <row r="119" spans="1:55" x14ac:dyDescent="0.3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/>
      <c r="N119" s="44">
        <f>0.000208333333333333 / 2</f>
        <v>1.041666666666665E-4</v>
      </c>
      <c r="O119" s="1" t="s">
        <v>595</v>
      </c>
      <c r="P119" s="44">
        <f>0.000208333333333333 / 2</f>
        <v>1.041666666666665E-4</v>
      </c>
      <c r="Q119" s="44">
        <f>0.000208333333333333 / 2</f>
        <v>1.041666666666665E-4</v>
      </c>
      <c r="R119" s="44">
        <f>0.000208333333333333 / 2</f>
        <v>1.041666666666665E-4</v>
      </c>
      <c r="T119" s="44">
        <f>0.000208333333333333 / 2</f>
        <v>1.041666666666665E-4</v>
      </c>
      <c r="U119" s="44"/>
      <c r="V119" s="44">
        <v>2.0833333333333335E-4</v>
      </c>
      <c r="W119" s="44">
        <v>2.0833333333333335E-4</v>
      </c>
      <c r="X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/>
      <c r="AM119" s="44">
        <v>2.0833333333333335E-4</v>
      </c>
      <c r="AN119" s="44">
        <v>2.0833333333333335E-4</v>
      </c>
      <c r="AO119" s="44">
        <v>2.0833333333333335E-4</v>
      </c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 s="44">
        <v>2.0833333333333335E-4</v>
      </c>
      <c r="AW119" s="44">
        <v>2.0833333333333335E-4</v>
      </c>
      <c r="AX119" s="44">
        <v>2.0833333333333335E-4</v>
      </c>
      <c r="AY119"/>
      <c r="AZ119" s="44">
        <v>2.0833333333333335E-4</v>
      </c>
      <c r="BA119"/>
      <c r="BB119"/>
      <c r="BC119" s="44">
        <v>2.0833333333333335E-4</v>
      </c>
    </row>
    <row r="120" spans="1:55" x14ac:dyDescent="0.3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/>
      <c r="N120" s="44">
        <v>5.7899999999999998E-7</v>
      </c>
      <c r="P120" s="44">
        <v>5.7899999999999998E-7</v>
      </c>
      <c r="Q120" s="44">
        <v>5.7899999999999998E-7</v>
      </c>
      <c r="R120" s="44">
        <v>5.7899999999999998E-7</v>
      </c>
      <c r="T120" s="44">
        <v>5.7899999999999998E-7</v>
      </c>
      <c r="U120" s="44"/>
      <c r="V120" s="44">
        <v>5.7899999999999998E-7</v>
      </c>
      <c r="W120" s="44">
        <v>5.7899999999999998E-7</v>
      </c>
      <c r="X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/>
      <c r="AM120" s="44">
        <v>5.7899999999999998E-7</v>
      </c>
      <c r="AN120" s="44">
        <v>5.7899999999999998E-7</v>
      </c>
      <c r="AO120" s="44">
        <v>5.7899999999999998E-7</v>
      </c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 s="44">
        <v>5.7899999999999998E-7</v>
      </c>
      <c r="AW120" s="44">
        <v>5.7899999999999998E-7</v>
      </c>
      <c r="AX120" s="44">
        <v>5.7899999999999998E-7</v>
      </c>
      <c r="AY120"/>
      <c r="AZ120" s="44">
        <v>5.7899999999999998E-7</v>
      </c>
      <c r="BA120"/>
      <c r="BB120"/>
      <c r="BC120" s="44">
        <v>5.7899999999999998E-7</v>
      </c>
    </row>
    <row r="121" spans="1:55" x14ac:dyDescent="0.3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/>
      <c r="N121" s="44">
        <v>2.0833333333333335E-4</v>
      </c>
      <c r="P121" s="44">
        <v>2.0833333333333335E-4</v>
      </c>
      <c r="Q121" s="44">
        <v>2.0833333333333335E-4</v>
      </c>
      <c r="R121" s="44">
        <v>2.0833333333333335E-4</v>
      </c>
      <c r="T121" s="44">
        <v>2.0833333333333335E-4</v>
      </c>
      <c r="U121" s="44"/>
      <c r="V121" s="44">
        <v>2.0833333333333335E-4</v>
      </c>
      <c r="W121" s="44">
        <v>2.0833333333333335E-4</v>
      </c>
      <c r="X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/>
      <c r="AM121" s="44">
        <v>2.0833333333333335E-4</v>
      </c>
      <c r="AN121" s="44">
        <v>2.0833333333333335E-4</v>
      </c>
      <c r="AO121" s="44">
        <v>2.0833333333333335E-4</v>
      </c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 s="44">
        <v>2.0833333333333335E-4</v>
      </c>
      <c r="AW121" s="44">
        <v>2.0833333333333335E-4</v>
      </c>
      <c r="AX121" s="44">
        <v>2.0833333333333335E-4</v>
      </c>
      <c r="AY121"/>
      <c r="AZ121" s="44">
        <v>2.0833333333333335E-4</v>
      </c>
      <c r="BA121"/>
      <c r="BB121"/>
      <c r="BC121" s="44">
        <v>2.0833333333333335E-4</v>
      </c>
    </row>
    <row r="122" spans="1:55" x14ac:dyDescent="0.3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/>
      <c r="N122" s="44">
        <v>0</v>
      </c>
      <c r="P122" s="44">
        <v>0</v>
      </c>
      <c r="Q122" s="44">
        <v>0</v>
      </c>
      <c r="R122" s="44">
        <v>0</v>
      </c>
      <c r="T122" s="44">
        <v>0</v>
      </c>
      <c r="U122" s="44"/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3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/>
      <c r="N123" s="44">
        <v>0</v>
      </c>
      <c r="P123" s="44">
        <v>0</v>
      </c>
      <c r="Q123" s="44">
        <v>0</v>
      </c>
      <c r="R123" s="44">
        <v>0</v>
      </c>
      <c r="T123" s="44">
        <v>0</v>
      </c>
      <c r="U123" s="44"/>
      <c r="V123" s="44">
        <v>0</v>
      </c>
      <c r="W123" s="44">
        <v>0</v>
      </c>
      <c r="X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/>
      <c r="AM123" s="44">
        <v>0</v>
      </c>
      <c r="AN123" s="44">
        <v>0</v>
      </c>
      <c r="AO123" s="44">
        <v>0</v>
      </c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 s="44">
        <v>0</v>
      </c>
      <c r="AW123" s="44">
        <v>0</v>
      </c>
      <c r="AX123" s="44">
        <v>0</v>
      </c>
      <c r="AY123"/>
      <c r="AZ123" s="44">
        <v>0</v>
      </c>
      <c r="BA123"/>
      <c r="BB123"/>
      <c r="BC123" s="44">
        <v>0</v>
      </c>
    </row>
    <row r="124" spans="1:55" x14ac:dyDescent="0.3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/>
      <c r="N124" s="44">
        <v>0</v>
      </c>
      <c r="P124" s="44">
        <v>0</v>
      </c>
      <c r="Q124" s="44">
        <v>0</v>
      </c>
      <c r="R124" s="44">
        <v>0</v>
      </c>
      <c r="T124" s="44">
        <v>0</v>
      </c>
      <c r="U124" s="44"/>
      <c r="V124" s="44">
        <v>5.9999999999999997E-7</v>
      </c>
      <c r="W124" s="44">
        <v>5.9999999999999997E-7</v>
      </c>
      <c r="X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/>
      <c r="AM124" s="44">
        <v>5.9999999999999997E-7</v>
      </c>
      <c r="AN124" s="44">
        <v>5.9999999999999997E-7</v>
      </c>
      <c r="AO124" s="44">
        <v>5.9999999999999997E-7</v>
      </c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 s="44">
        <v>5.9999999999999997E-7</v>
      </c>
      <c r="AW124" s="44">
        <v>5.9999999999999997E-7</v>
      </c>
      <c r="AX124" s="44">
        <v>5.9999999999999997E-7</v>
      </c>
      <c r="AY124"/>
      <c r="AZ124" s="44">
        <v>5.9999999999999997E-7</v>
      </c>
      <c r="BA124"/>
      <c r="BB124"/>
      <c r="BC124" s="44">
        <v>9.9999999999999995E-8</v>
      </c>
    </row>
    <row r="125" spans="1:55" x14ac:dyDescent="0.3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BC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P125" s="44">
        <f t="shared" si="12"/>
        <v>8.3333333333333331E-5</v>
      </c>
      <c r="Q125" s="44">
        <f t="shared" si="12"/>
        <v>8.3333333333333331E-5</v>
      </c>
      <c r="R125" s="44">
        <f t="shared" si="12"/>
        <v>8.3333333333333331E-5</v>
      </c>
      <c r="T125" s="44">
        <f t="shared" si="12"/>
        <v>8.3333333333333331E-5</v>
      </c>
      <c r="U125" s="44"/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/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 s="44">
        <f t="shared" si="12"/>
        <v>8.3333333333333331E-5</v>
      </c>
      <c r="AW125" s="44">
        <f t="shared" si="12"/>
        <v>8.3333333333333331E-5</v>
      </c>
      <c r="AX125" s="44">
        <f t="shared" si="12"/>
        <v>8.3333333333333331E-5</v>
      </c>
      <c r="AY125"/>
      <c r="AZ125" s="44">
        <f t="shared" si="12"/>
        <v>8.3333333333333331E-5</v>
      </c>
      <c r="BA125"/>
      <c r="BB125"/>
      <c r="BC125" s="44">
        <f t="shared" si="12"/>
        <v>8.3333333333333331E-5</v>
      </c>
    </row>
    <row r="126" spans="1:55" x14ac:dyDescent="0.3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/>
      <c r="N126" s="44" t="s">
        <v>86</v>
      </c>
      <c r="P126" s="44" t="s">
        <v>86</v>
      </c>
      <c r="Q126" s="44" t="s">
        <v>86</v>
      </c>
      <c r="R126" s="44" t="s">
        <v>86</v>
      </c>
      <c r="T126" s="44" t="s">
        <v>86</v>
      </c>
      <c r="U126" s="44"/>
      <c r="V126" s="44" t="s">
        <v>86</v>
      </c>
      <c r="W126" s="44" t="s">
        <v>86</v>
      </c>
      <c r="X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/>
      <c r="AM126" s="44" t="s">
        <v>86</v>
      </c>
      <c r="AN126" s="44" t="s">
        <v>86</v>
      </c>
      <c r="AO126" s="44" t="s">
        <v>86</v>
      </c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 s="44" t="s">
        <v>86</v>
      </c>
      <c r="AW126" s="44" t="s">
        <v>86</v>
      </c>
      <c r="AX126" s="44" t="s">
        <v>86</v>
      </c>
      <c r="AY126"/>
      <c r="AZ126" s="44" t="s">
        <v>86</v>
      </c>
      <c r="BA126"/>
      <c r="BB126"/>
      <c r="BC126" s="44" t="s">
        <v>86</v>
      </c>
    </row>
    <row r="127" spans="1:55" x14ac:dyDescent="0.3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/>
      <c r="N127" s="44">
        <v>5.0000000000000001E-4</v>
      </c>
      <c r="P127" s="44">
        <v>5.0000000000000001E-4</v>
      </c>
      <c r="Q127" s="44">
        <v>5.0000000000000001E-4</v>
      </c>
      <c r="R127" s="44">
        <v>5.0000000000000001E-4</v>
      </c>
      <c r="T127" s="44">
        <v>5.0000000000000001E-4</v>
      </c>
      <c r="U127" s="44"/>
      <c r="V127" s="44">
        <v>5.0000000000000001E-4</v>
      </c>
      <c r="W127" s="44">
        <v>5.0000000000000001E-4</v>
      </c>
      <c r="X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/>
      <c r="AM127" s="44">
        <v>5.0000000000000001E-4</v>
      </c>
      <c r="AN127" s="44">
        <v>5.0000000000000001E-4</v>
      </c>
      <c r="AO127" s="44">
        <v>5.0000000000000001E-4</v>
      </c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 s="44">
        <v>5.0000000000000001E-4</v>
      </c>
      <c r="AW127" s="44">
        <v>5.0000000000000001E-4</v>
      </c>
      <c r="AX127" s="44">
        <v>5.0000000000000001E-4</v>
      </c>
      <c r="AY127"/>
      <c r="AZ127" s="44">
        <v>5.0000000000000001E-4</v>
      </c>
      <c r="BA127"/>
      <c r="BB127"/>
      <c r="BC127" s="44">
        <v>5.0000000000000001E-4</v>
      </c>
    </row>
    <row r="128" spans="1:55" x14ac:dyDescent="0.3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/>
      <c r="N128" s="44">
        <f>0.0000000000005/100</f>
        <v>5E-15</v>
      </c>
      <c r="P128" s="44">
        <f>0.0000000000005/100/2</f>
        <v>2.5E-15</v>
      </c>
      <c r="Q128" s="44">
        <f>0.0000000000005/100/2</f>
        <v>2.5E-15</v>
      </c>
      <c r="R128" s="44">
        <f>0.0000000000005/100/2</f>
        <v>2.5E-15</v>
      </c>
      <c r="T128" s="44">
        <f>0.00000000000003/2/2/2</f>
        <v>3.7499999999999998E-15</v>
      </c>
      <c r="U128" s="44"/>
      <c r="V128" s="44">
        <v>4.9999999999999999E-13</v>
      </c>
      <c r="W128" s="44">
        <v>4.9999999999999999E-13</v>
      </c>
      <c r="X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/>
      <c r="AM128" s="44">
        <v>4.9999999999999999E-13</v>
      </c>
      <c r="AN128" s="44">
        <v>4.9999999999999999E-13</v>
      </c>
      <c r="AO128" s="44">
        <v>4.9999999999999999E-13</v>
      </c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 s="44">
        <v>4.9999999999999999E-13</v>
      </c>
      <c r="AW128" s="44">
        <v>4.9999999999999999E-13</v>
      </c>
      <c r="AX128" s="44">
        <v>4.9999999999999999E-13</v>
      </c>
      <c r="AY128"/>
      <c r="AZ128" s="44">
        <v>4.9999999999999999E-13</v>
      </c>
      <c r="BA128"/>
      <c r="BB128"/>
      <c r="BC128" s="44">
        <v>4.9999999999999999E-13</v>
      </c>
    </row>
    <row r="129" spans="1:55" x14ac:dyDescent="0.3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/>
      <c r="N129" s="44">
        <f>0.000005/3600/100</f>
        <v>1.388888888888889E-11</v>
      </c>
      <c r="P129" s="44">
        <f>0.000005/3600/100</f>
        <v>1.388888888888889E-11</v>
      </c>
      <c r="Q129" s="44">
        <f>0.000005/3600/100</f>
        <v>1.388888888888889E-11</v>
      </c>
      <c r="R129" s="44">
        <f>0.000005/3600/100</f>
        <v>1.388888888888889E-11</v>
      </c>
      <c r="T129" s="44">
        <f>0.00000000000003/2/2/2</f>
        <v>3.7499999999999998E-15</v>
      </c>
      <c r="U129" s="44"/>
      <c r="V129" s="44">
        <v>4.9999999999999999E-13</v>
      </c>
      <c r="W129" s="44">
        <v>4.9999999999999999E-13</v>
      </c>
      <c r="X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/>
      <c r="AM129" s="44">
        <v>4.9999999999999999E-13</v>
      </c>
      <c r="AN129" s="44">
        <v>4.9999999999999999E-13</v>
      </c>
      <c r="AO129" s="44">
        <v>4.9999999999999999E-13</v>
      </c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 s="44">
        <v>4.9999999999999999E-13</v>
      </c>
      <c r="AW129" s="44">
        <v>4.9999999999999999E-13</v>
      </c>
      <c r="AX129" s="44">
        <v>4.9999999999999999E-13</v>
      </c>
      <c r="AY129"/>
      <c r="AZ129" s="44">
        <v>4.9999999999999999E-13</v>
      </c>
      <c r="BA129"/>
      <c r="BB129"/>
      <c r="BC129" s="44">
        <v>4.9999999999999999E-13</v>
      </c>
    </row>
    <row r="130" spans="1:55" x14ac:dyDescent="0.3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/>
      <c r="N130" s="44">
        <v>10</v>
      </c>
      <c r="P130" s="44">
        <v>10</v>
      </c>
      <c r="Q130" s="44">
        <v>10</v>
      </c>
      <c r="R130" s="44">
        <v>10</v>
      </c>
      <c r="T130" s="44">
        <v>10</v>
      </c>
      <c r="U130" s="44"/>
      <c r="V130" s="44">
        <v>10</v>
      </c>
      <c r="W130" s="44">
        <v>10</v>
      </c>
      <c r="X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 s="44">
        <v>10</v>
      </c>
      <c r="AI130" s="44">
        <v>10</v>
      </c>
      <c r="AJ130" s="44">
        <v>10</v>
      </c>
      <c r="AK130" s="44">
        <v>10</v>
      </c>
      <c r="AL130"/>
      <c r="AM130" s="44">
        <v>10</v>
      </c>
      <c r="AN130" s="44">
        <v>10</v>
      </c>
      <c r="AO130" s="44">
        <v>10</v>
      </c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 s="44">
        <v>10</v>
      </c>
      <c r="AW130" s="44">
        <v>10</v>
      </c>
      <c r="AX130" s="44">
        <v>10</v>
      </c>
      <c r="AY130"/>
      <c r="AZ130" s="44">
        <v>10</v>
      </c>
      <c r="BA130"/>
      <c r="BB130"/>
      <c r="BC130" s="44">
        <v>10</v>
      </c>
    </row>
    <row r="131" spans="1:55" x14ac:dyDescent="0.3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/>
      <c r="N131" s="44">
        <v>-0.04</v>
      </c>
      <c r="P131" s="44">
        <v>-0.04</v>
      </c>
      <c r="Q131" s="44">
        <v>-0.04</v>
      </c>
      <c r="R131" s="44">
        <v>-0.04</v>
      </c>
      <c r="T131" s="44">
        <v>-0.04</v>
      </c>
      <c r="U131" s="44"/>
      <c r="V131" s="44">
        <v>-0.04</v>
      </c>
      <c r="W131" s="44">
        <v>-0.04</v>
      </c>
      <c r="X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 s="44">
        <v>-0.04</v>
      </c>
      <c r="AI131" s="44">
        <v>-0.04</v>
      </c>
      <c r="AJ131" s="44">
        <v>-0.04</v>
      </c>
      <c r="AK131" s="44">
        <v>-0.04</v>
      </c>
      <c r="AL131"/>
      <c r="AM131" s="44">
        <v>-0.04</v>
      </c>
      <c r="AN131" s="44">
        <v>-0.04</v>
      </c>
      <c r="AO131" s="44">
        <v>-0.04</v>
      </c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 s="44">
        <v>-0.04</v>
      </c>
      <c r="AW131" s="44">
        <v>-0.04</v>
      </c>
      <c r="AX131" s="44">
        <v>-0.04</v>
      </c>
      <c r="AY131"/>
      <c r="AZ131" s="44">
        <v>-0.04</v>
      </c>
      <c r="BA131"/>
      <c r="BB131"/>
      <c r="BC131" s="44">
        <v>-0.04</v>
      </c>
    </row>
    <row r="132" spans="1:55" x14ac:dyDescent="0.3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/>
      <c r="N132" s="44">
        <v>2.9</v>
      </c>
      <c r="P132" s="44">
        <v>2.9</v>
      </c>
      <c r="Q132" s="44">
        <v>2.9</v>
      </c>
      <c r="R132" s="44">
        <v>2.9</v>
      </c>
      <c r="T132" s="44">
        <v>2.9</v>
      </c>
      <c r="U132" s="44"/>
      <c r="V132" s="44">
        <v>2.9</v>
      </c>
      <c r="W132" s="44">
        <v>2.9</v>
      </c>
      <c r="X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 s="44">
        <v>2.9</v>
      </c>
      <c r="AI132" s="44">
        <v>2.9</v>
      </c>
      <c r="AJ132" s="44">
        <v>2.9</v>
      </c>
      <c r="AK132" s="44">
        <v>2.9</v>
      </c>
      <c r="AL132"/>
      <c r="AM132" s="44">
        <v>2.9</v>
      </c>
      <c r="AN132" s="44">
        <v>2.9</v>
      </c>
      <c r="AO132" s="44">
        <v>2.9</v>
      </c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 s="44">
        <v>2.9</v>
      </c>
      <c r="AW132" s="44">
        <v>2.9</v>
      </c>
      <c r="AX132" s="44">
        <v>2.9</v>
      </c>
      <c r="AY132"/>
      <c r="AZ132" s="44">
        <v>2.9</v>
      </c>
      <c r="BA132"/>
      <c r="BB132"/>
      <c r="BC132" s="44">
        <v>2.9</v>
      </c>
    </row>
    <row r="133" spans="1:55" x14ac:dyDescent="0.3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/>
      <c r="N133" s="44">
        <v>1</v>
      </c>
      <c r="P133" s="44">
        <v>1</v>
      </c>
      <c r="Q133" s="44">
        <v>1</v>
      </c>
      <c r="R133" s="44">
        <v>1</v>
      </c>
      <c r="T133" s="44">
        <v>1</v>
      </c>
      <c r="U133" s="44"/>
      <c r="V133" s="44">
        <v>1</v>
      </c>
      <c r="W133" s="44">
        <v>1</v>
      </c>
      <c r="X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 s="44">
        <v>1</v>
      </c>
      <c r="AI133" s="44">
        <v>1</v>
      </c>
      <c r="AJ133" s="44">
        <v>1</v>
      </c>
      <c r="AK133" s="44">
        <v>1</v>
      </c>
      <c r="AL133"/>
      <c r="AM133" s="44">
        <v>1</v>
      </c>
      <c r="AN133" s="44">
        <v>1</v>
      </c>
      <c r="AO133" s="44">
        <v>1</v>
      </c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 s="44">
        <v>1</v>
      </c>
      <c r="AW133" s="44">
        <v>1</v>
      </c>
      <c r="AX133" s="44">
        <v>1</v>
      </c>
      <c r="AY133"/>
      <c r="AZ133" s="44">
        <v>1</v>
      </c>
      <c r="BA133"/>
      <c r="BB133"/>
      <c r="BC133" s="44">
        <v>1</v>
      </c>
    </row>
    <row r="134" spans="1:55" x14ac:dyDescent="0.3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/>
      <c r="N134" s="44">
        <v>1.9999999999999999E-7</v>
      </c>
      <c r="P134" s="44">
        <v>1.9999999999999999E-7</v>
      </c>
      <c r="Q134" s="44">
        <v>1.9999999999999999E-7</v>
      </c>
      <c r="R134" s="44">
        <v>1.9999999999999999E-7</v>
      </c>
      <c r="T134" s="44">
        <v>1.9999999999999999E-7</v>
      </c>
      <c r="U134" s="44"/>
      <c r="V134" s="44">
        <v>1.9999999999999999E-7</v>
      </c>
      <c r="W134" s="44">
        <v>1.9999999999999999E-7</v>
      </c>
      <c r="X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/>
      <c r="AM134" s="44">
        <v>1.9999999999999999E-7</v>
      </c>
      <c r="AN134" s="44">
        <v>1.9999999999999999E-7</v>
      </c>
      <c r="AO134" s="44">
        <v>1.9999999999999999E-7</v>
      </c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 s="44">
        <v>1.9999999999999999E-7</v>
      </c>
      <c r="AW134" s="44">
        <v>1.9999999999999999E-7</v>
      </c>
      <c r="AX134" s="44">
        <v>1.9999999999999999E-7</v>
      </c>
      <c r="AY134"/>
      <c r="AZ134" s="44">
        <v>1.9999999999999999E-7</v>
      </c>
      <c r="BA134"/>
      <c r="BB134"/>
      <c r="BC134" s="44">
        <v>1.9999999999999999E-7</v>
      </c>
    </row>
    <row r="135" spans="1:55" x14ac:dyDescent="0.3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/>
      <c r="N135" s="55">
        <v>0</v>
      </c>
      <c r="P135" s="61">
        <v>1.9999999999999999E-7</v>
      </c>
      <c r="Q135" s="61">
        <f>0.0000002</f>
        <v>1.9999999999999999E-7</v>
      </c>
      <c r="R135" s="61">
        <f>0.0000002*100</f>
        <v>1.9999999999999998E-5</v>
      </c>
      <c r="T135" s="55">
        <v>0</v>
      </c>
      <c r="U135" s="55"/>
      <c r="V135" s="44">
        <v>1.9999999999999999E-7</v>
      </c>
      <c r="W135" s="44">
        <v>1.9999999999999999E-7</v>
      </c>
      <c r="X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/>
      <c r="AM135" s="44">
        <v>1.9999999999999999E-7</v>
      </c>
      <c r="AN135" s="44">
        <v>1.9999999999999999E-7</v>
      </c>
      <c r="AO135" s="44">
        <v>1.9999999999999999E-7</v>
      </c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 s="44">
        <v>1.9999999999999999E-7</v>
      </c>
      <c r="AW135" s="44">
        <v>1.9999999999999999E-7</v>
      </c>
      <c r="AX135" s="44">
        <v>1.9999999999999999E-7</v>
      </c>
      <c r="AY135"/>
      <c r="AZ135" s="44">
        <v>1.9999999999999999E-7</v>
      </c>
      <c r="BA135"/>
      <c r="BB135"/>
      <c r="BC135" s="44">
        <v>1.9999999999999999E-7</v>
      </c>
    </row>
    <row r="136" spans="1:55" x14ac:dyDescent="0.3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/>
      <c r="N136" s="44">
        <v>10</v>
      </c>
      <c r="P136" s="44">
        <v>10</v>
      </c>
      <c r="Q136" s="44">
        <v>10</v>
      </c>
      <c r="R136" s="44">
        <v>10</v>
      </c>
      <c r="T136" s="44">
        <v>10</v>
      </c>
      <c r="U136" s="44"/>
      <c r="V136" s="44">
        <v>10</v>
      </c>
      <c r="W136" s="44">
        <v>10</v>
      </c>
      <c r="X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 s="44">
        <v>10</v>
      </c>
      <c r="AI136" s="44">
        <v>10</v>
      </c>
      <c r="AJ136" s="44">
        <v>10</v>
      </c>
      <c r="AK136" s="44">
        <v>10</v>
      </c>
      <c r="AL136"/>
      <c r="AM136" s="44">
        <v>10</v>
      </c>
      <c r="AN136" s="44">
        <v>10</v>
      </c>
      <c r="AO136" s="44">
        <v>10</v>
      </c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 s="44">
        <v>10</v>
      </c>
      <c r="AW136" s="44">
        <v>10</v>
      </c>
      <c r="AX136" s="44">
        <v>10</v>
      </c>
      <c r="AY136"/>
      <c r="AZ136" s="44">
        <v>10</v>
      </c>
      <c r="BA136"/>
      <c r="BB136"/>
      <c r="BC136" s="44">
        <v>10</v>
      </c>
    </row>
    <row r="137" spans="1:55" x14ac:dyDescent="0.3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/>
      <c r="N137" s="44">
        <v>-0.04</v>
      </c>
      <c r="P137" s="44">
        <v>-0.04</v>
      </c>
      <c r="Q137" s="44">
        <v>-0.04</v>
      </c>
      <c r="R137" s="44">
        <v>-0.04</v>
      </c>
      <c r="T137" s="44">
        <v>-0.04</v>
      </c>
      <c r="U137" s="44"/>
      <c r="V137" s="44">
        <v>-0.04</v>
      </c>
      <c r="W137" s="44">
        <v>-0.04</v>
      </c>
      <c r="X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 s="44">
        <v>-0.04</v>
      </c>
      <c r="AI137" s="44">
        <v>-0.04</v>
      </c>
      <c r="AJ137" s="44">
        <v>-0.04</v>
      </c>
      <c r="AK137" s="44">
        <v>-0.04</v>
      </c>
      <c r="AL137"/>
      <c r="AM137" s="44">
        <v>-0.04</v>
      </c>
      <c r="AN137" s="44">
        <v>-0.04</v>
      </c>
      <c r="AO137" s="44">
        <v>-0.04</v>
      </c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 s="44">
        <v>-0.04</v>
      </c>
      <c r="AW137" s="44">
        <v>-0.04</v>
      </c>
      <c r="AX137" s="44">
        <v>-0.04</v>
      </c>
      <c r="AY137"/>
      <c r="AZ137" s="44">
        <v>-0.04</v>
      </c>
      <c r="BA137"/>
      <c r="BB137"/>
      <c r="BC137" s="44">
        <v>-0.04</v>
      </c>
    </row>
    <row r="138" spans="1:55" x14ac:dyDescent="0.3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/>
      <c r="N138" s="44">
        <v>2.9</v>
      </c>
      <c r="P138" s="44">
        <v>2.9</v>
      </c>
      <c r="Q138" s="44">
        <v>2.9</v>
      </c>
      <c r="R138" s="44">
        <v>2.9</v>
      </c>
      <c r="T138" s="44">
        <v>2.9</v>
      </c>
      <c r="U138" s="44"/>
      <c r="V138" s="44">
        <v>2.9</v>
      </c>
      <c r="W138" s="44">
        <v>2.9</v>
      </c>
      <c r="X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 s="44">
        <v>2.9</v>
      </c>
      <c r="AI138" s="44">
        <v>2.9</v>
      </c>
      <c r="AJ138" s="44">
        <v>2.9</v>
      </c>
      <c r="AK138" s="44">
        <v>2.9</v>
      </c>
      <c r="AL138"/>
      <c r="AM138" s="44">
        <v>2.9</v>
      </c>
      <c r="AN138" s="44">
        <v>2.9</v>
      </c>
      <c r="AO138" s="44">
        <v>2.9</v>
      </c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 s="44">
        <v>2.9</v>
      </c>
      <c r="AW138" s="44">
        <v>2.9</v>
      </c>
      <c r="AX138" s="44">
        <v>2.9</v>
      </c>
      <c r="AY138"/>
      <c r="AZ138" s="44">
        <v>2.9</v>
      </c>
      <c r="BA138"/>
      <c r="BB138"/>
      <c r="BC138" s="44">
        <v>2.9</v>
      </c>
    </row>
    <row r="139" spans="1:55" x14ac:dyDescent="0.3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/>
      <c r="N139" s="44">
        <v>1</v>
      </c>
      <c r="P139" s="44">
        <v>1</v>
      </c>
      <c r="Q139" s="44">
        <v>1</v>
      </c>
      <c r="R139" s="44">
        <v>1</v>
      </c>
      <c r="T139" s="44">
        <v>1</v>
      </c>
      <c r="U139" s="44"/>
      <c r="V139" s="44">
        <v>1</v>
      </c>
      <c r="W139" s="44">
        <v>1</v>
      </c>
      <c r="X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 s="44">
        <v>1</v>
      </c>
      <c r="AI139" s="44">
        <v>1</v>
      </c>
      <c r="AJ139" s="44">
        <v>1</v>
      </c>
      <c r="AK139" s="44">
        <v>1</v>
      </c>
      <c r="AL139"/>
      <c r="AM139" s="44">
        <v>1</v>
      </c>
      <c r="AN139" s="44">
        <v>1</v>
      </c>
      <c r="AO139" s="44">
        <v>1</v>
      </c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 s="44">
        <v>1</v>
      </c>
      <c r="AW139" s="44">
        <v>1</v>
      </c>
      <c r="AX139" s="44">
        <v>1</v>
      </c>
      <c r="AY139"/>
      <c r="AZ139" s="44">
        <v>1</v>
      </c>
      <c r="BA139"/>
      <c r="BB139"/>
      <c r="BC139" s="44">
        <v>1</v>
      </c>
    </row>
    <row r="140" spans="1:55" x14ac:dyDescent="0.3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/>
      <c r="N140" s="44">
        <v>0</v>
      </c>
      <c r="P140" s="44">
        <v>0</v>
      </c>
      <c r="Q140" s="44">
        <v>0</v>
      </c>
      <c r="R140" s="44">
        <v>0</v>
      </c>
      <c r="T140" s="44">
        <v>0</v>
      </c>
      <c r="U140" s="44"/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3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/>
      <c r="N141" s="44">
        <v>5.0000000000000004E-6</v>
      </c>
      <c r="P141" s="44">
        <v>5.0000000000000004E-6</v>
      </c>
      <c r="Q141" s="44">
        <v>5.0000000000000004E-6</v>
      </c>
      <c r="R141" s="44">
        <f>0.01/3</f>
        <v>3.3333333333333335E-3</v>
      </c>
      <c r="T141" s="44">
        <v>5.0000000000000004E-6</v>
      </c>
      <c r="U141" s="44"/>
      <c r="V141" s="44">
        <v>5.0000000000000004E-6</v>
      </c>
      <c r="W141" s="44">
        <v>5.0000000000000004E-6</v>
      </c>
      <c r="X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/>
      <c r="AM141" s="44">
        <v>5.0000000000000004E-6</v>
      </c>
      <c r="AN141" s="44">
        <v>5.0000000000000004E-6</v>
      </c>
      <c r="AO141" s="44">
        <v>5.0000000000000004E-6</v>
      </c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 s="44">
        <v>5.0000000000000004E-6</v>
      </c>
      <c r="AW141" s="44">
        <v>5.0000000000000004E-6</v>
      </c>
      <c r="AX141" s="44">
        <v>5.0000000000000004E-6</v>
      </c>
      <c r="AY141"/>
      <c r="AZ141" s="44">
        <v>5.0000000000000004E-6</v>
      </c>
      <c r="BA141"/>
      <c r="BB141"/>
      <c r="BC141" s="44">
        <v>5.0000000000000004E-6</v>
      </c>
    </row>
    <row r="142" spans="1:55" x14ac:dyDescent="0.3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/>
      <c r="N142" s="44">
        <v>0</v>
      </c>
      <c r="P142" s="44">
        <v>0</v>
      </c>
      <c r="Q142" s="44">
        <v>0</v>
      </c>
      <c r="R142" s="44">
        <v>0</v>
      </c>
      <c r="T142" s="44">
        <v>0</v>
      </c>
      <c r="U142" s="44"/>
      <c r="V142" s="44">
        <v>0</v>
      </c>
      <c r="W142" s="44">
        <v>0</v>
      </c>
      <c r="X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 s="44">
        <v>0</v>
      </c>
      <c r="AK142" s="44">
        <v>0</v>
      </c>
      <c r="AL142"/>
      <c r="AM142" s="44">
        <v>0</v>
      </c>
      <c r="AN142" s="44">
        <v>0</v>
      </c>
      <c r="AO142" s="44">
        <v>0</v>
      </c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 s="44">
        <v>0</v>
      </c>
      <c r="AW142" s="44">
        <v>0</v>
      </c>
      <c r="AX142" s="44">
        <v>0</v>
      </c>
      <c r="AY142"/>
      <c r="AZ142" s="44">
        <v>0</v>
      </c>
      <c r="BA142"/>
      <c r="BB142"/>
      <c r="BC142" s="44">
        <v>0</v>
      </c>
    </row>
    <row r="143" spans="1:55" x14ac:dyDescent="0.3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/>
      <c r="N143" s="44">
        <v>2E-3</v>
      </c>
      <c r="P143" s="44">
        <v>2E-3</v>
      </c>
      <c r="Q143" s="44">
        <v>2E-3</v>
      </c>
      <c r="R143" s="44">
        <v>2E-3</v>
      </c>
      <c r="T143" s="44">
        <v>2E-3</v>
      </c>
      <c r="U143" s="44"/>
      <c r="V143" s="44">
        <v>2E-3</v>
      </c>
      <c r="W143" s="44">
        <v>2E-3</v>
      </c>
      <c r="X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 s="44">
        <v>2E-3</v>
      </c>
      <c r="AI143" s="44">
        <v>2E-3</v>
      </c>
      <c r="AJ143" s="44">
        <v>2E-3</v>
      </c>
      <c r="AK143" s="44">
        <v>2E-3</v>
      </c>
      <c r="AL143"/>
      <c r="AM143" s="44">
        <v>2E-3</v>
      </c>
      <c r="AN143" s="44">
        <v>2E-3</v>
      </c>
      <c r="AO143" s="44">
        <v>2E-3</v>
      </c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 s="44">
        <v>2E-3</v>
      </c>
      <c r="AW143" s="44">
        <v>2E-3</v>
      </c>
      <c r="AX143" s="44">
        <v>2E-3</v>
      </c>
      <c r="AY143"/>
      <c r="AZ143" s="44">
        <v>2E-3</v>
      </c>
      <c r="BA143"/>
      <c r="BB143"/>
      <c r="BC143" s="44">
        <v>2E-3</v>
      </c>
    </row>
    <row r="144" spans="1:55" x14ac:dyDescent="0.3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/>
      <c r="N144" s="44">
        <v>3.9999999999999998E-6</v>
      </c>
      <c r="P144" s="44">
        <v>3.9999999999999998E-6</v>
      </c>
      <c r="Q144" s="44">
        <v>3.9999999999999998E-6</v>
      </c>
      <c r="R144" s="44">
        <v>3.9999999999999998E-6</v>
      </c>
      <c r="T144" s="44">
        <v>3.9999999999999998E-6</v>
      </c>
      <c r="U144" s="44"/>
      <c r="V144" s="44">
        <v>3.9999999999999998E-6</v>
      </c>
      <c r="W144" s="44">
        <v>3.9999999999999998E-6</v>
      </c>
      <c r="X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/>
      <c r="AM144" s="44">
        <v>3.9999999999999998E-6</v>
      </c>
      <c r="AN144" s="44">
        <v>3.9999999999999998E-6</v>
      </c>
      <c r="AO144" s="44">
        <v>3.9999999999999998E-6</v>
      </c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 s="44">
        <v>3.9999999999999998E-6</v>
      </c>
      <c r="AW144" s="44">
        <v>3.9999999999999998E-6</v>
      </c>
      <c r="AX144" s="44">
        <v>3.9999999999999998E-6</v>
      </c>
      <c r="AY144"/>
      <c r="AZ144" s="44">
        <v>3.9999999999999998E-6</v>
      </c>
      <c r="BA144"/>
      <c r="BB144"/>
      <c r="BC144" s="44">
        <v>3.9999999999999998E-6</v>
      </c>
    </row>
    <row r="145" spans="1:55" x14ac:dyDescent="0.3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/>
      <c r="N145" s="44">
        <v>3.7699999999999999E-10</v>
      </c>
      <c r="P145" s="44">
        <v>3.7699999999999999E-10</v>
      </c>
      <c r="Q145" s="44">
        <v>3.7699999999999999E-10</v>
      </c>
      <c r="R145" s="44">
        <v>3.7699999999999999E-10</v>
      </c>
      <c r="T145" s="44">
        <v>3.7699999999999999E-10</v>
      </c>
      <c r="U145" s="44"/>
      <c r="V145" s="44">
        <v>3.7699999999999999E-10</v>
      </c>
      <c r="W145" s="44">
        <v>3.7699999999999999E-10</v>
      </c>
      <c r="X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/>
      <c r="AM145" s="44">
        <v>3.7699999999999999E-10</v>
      </c>
      <c r="AN145" s="44">
        <v>3.7699999999999999E-10</v>
      </c>
      <c r="AO145" s="44">
        <v>3.7699999999999999E-10</v>
      </c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 s="44">
        <v>3.7699999999999999E-10</v>
      </c>
      <c r="AW145" s="44">
        <v>3.7699999999999999E-10</v>
      </c>
      <c r="AX145" s="44">
        <v>3.7699999999999999E-10</v>
      </c>
      <c r="AY145"/>
      <c r="AZ145" s="44">
        <v>3.7699999999999999E-10</v>
      </c>
      <c r="BA145"/>
      <c r="BB145"/>
      <c r="BC145" s="44">
        <v>3.7699999999999999E-10</v>
      </c>
    </row>
    <row r="146" spans="1:55" x14ac:dyDescent="0.3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/>
      <c r="N146" s="44">
        <v>20</v>
      </c>
      <c r="P146" s="44">
        <v>20</v>
      </c>
      <c r="Q146" s="44">
        <v>20</v>
      </c>
      <c r="R146" s="44">
        <v>20</v>
      </c>
      <c r="T146" s="44">
        <v>20</v>
      </c>
      <c r="U146" s="44"/>
      <c r="V146" s="44">
        <v>20</v>
      </c>
      <c r="W146" s="44">
        <v>20</v>
      </c>
      <c r="X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 s="44">
        <v>20</v>
      </c>
      <c r="AI146" s="44">
        <v>20</v>
      </c>
      <c r="AJ146" s="44">
        <v>20</v>
      </c>
      <c r="AK146" s="44">
        <v>20</v>
      </c>
      <c r="AL146"/>
      <c r="AM146" s="44">
        <v>20</v>
      </c>
      <c r="AN146" s="44">
        <v>20</v>
      </c>
      <c r="AO146" s="44">
        <v>20</v>
      </c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 s="44">
        <v>20</v>
      </c>
      <c r="AW146" s="44">
        <v>20</v>
      </c>
      <c r="AX146" s="44">
        <v>20</v>
      </c>
      <c r="AY146"/>
      <c r="AZ146" s="44">
        <v>20</v>
      </c>
      <c r="BA146"/>
      <c r="BB146"/>
      <c r="BC146" s="44">
        <v>20</v>
      </c>
    </row>
    <row r="147" spans="1:55" x14ac:dyDescent="0.3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/>
      <c r="N147" s="44">
        <v>-0.06</v>
      </c>
      <c r="P147" s="44">
        <v>-0.06</v>
      </c>
      <c r="Q147" s="44">
        <v>-0.06</v>
      </c>
      <c r="R147" s="44">
        <v>-0.06</v>
      </c>
      <c r="T147" s="44">
        <v>-0.06</v>
      </c>
      <c r="U147" s="44"/>
      <c r="V147" s="44">
        <v>-0.06</v>
      </c>
      <c r="W147" s="44">
        <v>-0.06</v>
      </c>
      <c r="X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 s="44">
        <v>-0.06</v>
      </c>
      <c r="AI147" s="44">
        <v>-0.06</v>
      </c>
      <c r="AJ147" s="44">
        <v>-0.06</v>
      </c>
      <c r="AK147" s="44">
        <v>-0.06</v>
      </c>
      <c r="AL147"/>
      <c r="AM147" s="44">
        <v>-0.06</v>
      </c>
      <c r="AN147" s="44">
        <v>-0.06</v>
      </c>
      <c r="AO147" s="44">
        <v>-0.06</v>
      </c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 s="44">
        <v>-0.06</v>
      </c>
      <c r="AW147" s="44">
        <v>-0.06</v>
      </c>
      <c r="AX147" s="44">
        <v>-0.06</v>
      </c>
      <c r="AY147"/>
      <c r="AZ147" s="44">
        <v>-0.06</v>
      </c>
      <c r="BA147"/>
      <c r="BB147"/>
      <c r="BC147" s="44">
        <v>-0.06</v>
      </c>
    </row>
    <row r="148" spans="1:55" x14ac:dyDescent="0.3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/>
      <c r="N148" s="44">
        <v>0.89100000000000001</v>
      </c>
      <c r="P148" s="44">
        <v>0.89100000000000001</v>
      </c>
      <c r="Q148" s="44">
        <v>0.89100000000000001</v>
      </c>
      <c r="R148" s="44">
        <v>0.89100000000000001</v>
      </c>
      <c r="T148" s="44">
        <v>0.89100000000000001</v>
      </c>
      <c r="U148" s="44"/>
      <c r="V148" s="44">
        <v>0.89100000000000001</v>
      </c>
      <c r="W148" s="44">
        <v>0.89100000000000001</v>
      </c>
      <c r="X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/>
      <c r="AM148" s="44">
        <v>0.89100000000000001</v>
      </c>
      <c r="AN148" s="44">
        <v>0.89100000000000001</v>
      </c>
      <c r="AO148" s="44">
        <v>0.89100000000000001</v>
      </c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 s="44">
        <v>0.89100000000000001</v>
      </c>
      <c r="AW148" s="44">
        <v>0.89100000000000001</v>
      </c>
      <c r="AX148" s="44">
        <v>0.89100000000000001</v>
      </c>
      <c r="AY148"/>
      <c r="AZ148" s="44">
        <v>0.89100000000000001</v>
      </c>
      <c r="BA148"/>
      <c r="BB148"/>
      <c r="BC148" s="44">
        <v>0.89100000000000001</v>
      </c>
    </row>
    <row r="149" spans="1:55" x14ac:dyDescent="0.3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/>
      <c r="N149" s="44">
        <v>1</v>
      </c>
      <c r="P149" s="44">
        <v>1</v>
      </c>
      <c r="Q149" s="44">
        <v>1</v>
      </c>
      <c r="R149" s="44">
        <v>1</v>
      </c>
      <c r="T149" s="44">
        <v>1</v>
      </c>
      <c r="U149" s="44"/>
      <c r="V149" s="44">
        <v>1</v>
      </c>
      <c r="W149" s="44">
        <v>1</v>
      </c>
      <c r="X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 s="44">
        <v>1</v>
      </c>
      <c r="AI149" s="44">
        <v>1</v>
      </c>
      <c r="AJ149" s="44">
        <v>1</v>
      </c>
      <c r="AK149" s="44">
        <v>1</v>
      </c>
      <c r="AL149"/>
      <c r="AM149" s="44">
        <v>1</v>
      </c>
      <c r="AN149" s="44">
        <v>1</v>
      </c>
      <c r="AO149" s="44">
        <v>1</v>
      </c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 s="44">
        <v>1</v>
      </c>
      <c r="AW149" s="44">
        <v>1</v>
      </c>
      <c r="AX149" s="44">
        <v>1</v>
      </c>
      <c r="AY149"/>
      <c r="AZ149" s="44">
        <v>1</v>
      </c>
      <c r="BA149"/>
      <c r="BB149"/>
      <c r="BC149" s="44">
        <v>1</v>
      </c>
    </row>
    <row r="150" spans="1:55" x14ac:dyDescent="0.3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/>
      <c r="N150" s="44">
        <v>4.0000000000000003E-5</v>
      </c>
      <c r="P150" s="44">
        <v>4.0000000000000003E-5</v>
      </c>
      <c r="Q150" s="44">
        <v>4.0000000000000003E-5</v>
      </c>
      <c r="R150" s="44">
        <v>4.0000000000000003E-5</v>
      </c>
      <c r="T150" s="44">
        <v>4.0000000000000003E-5</v>
      </c>
      <c r="U150" s="44"/>
      <c r="V150" s="44">
        <v>4.0000000000000003E-5</v>
      </c>
      <c r="W150" s="44">
        <v>4.0000000000000003E-5</v>
      </c>
      <c r="X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/>
      <c r="AM150" s="44">
        <v>4.0000000000000003E-5</v>
      </c>
      <c r="AN150" s="44">
        <v>4.0000000000000003E-5</v>
      </c>
      <c r="AO150" s="44">
        <v>4.0000000000000003E-5</v>
      </c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 s="44">
        <v>4.0000000000000003E-5</v>
      </c>
      <c r="AW150" s="44">
        <v>4.0000000000000003E-5</v>
      </c>
      <c r="AX150" s="44">
        <v>4.0000000000000003E-5</v>
      </c>
      <c r="AY150"/>
      <c r="AZ150" s="44">
        <v>4.0000000000000003E-5</v>
      </c>
      <c r="BA150"/>
      <c r="BB150"/>
      <c r="BC150" s="44">
        <v>4.0000000000000003E-5</v>
      </c>
    </row>
    <row r="151" spans="1:55" x14ac:dyDescent="0.3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/>
      <c r="N151" s="44">
        <v>5.8333333333333335E-9</v>
      </c>
      <c r="P151" s="44">
        <v>5.8333333333333335E-9</v>
      </c>
      <c r="Q151" s="44">
        <v>5.8333333333333335E-9</v>
      </c>
      <c r="R151" s="44">
        <v>5.8333333333333335E-9</v>
      </c>
      <c r="T151" s="44">
        <v>5.8333333333333335E-9</v>
      </c>
      <c r="U151" s="44"/>
      <c r="V151" s="44">
        <v>5.8333333333333335E-9</v>
      </c>
      <c r="W151" s="44">
        <v>5.8333333333333335E-9</v>
      </c>
      <c r="X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/>
      <c r="AM151" s="44">
        <v>5.8333333333333335E-9</v>
      </c>
      <c r="AN151" s="44">
        <v>5.8333333333333335E-9</v>
      </c>
      <c r="AO151" s="44">
        <v>5.8333333333333335E-9</v>
      </c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 s="44">
        <v>5.8333333333333335E-9</v>
      </c>
      <c r="AW151" s="44">
        <v>5.8333333333333335E-9</v>
      </c>
      <c r="AX151" s="44">
        <v>5.8333333333333335E-9</v>
      </c>
      <c r="AY151"/>
      <c r="AZ151" s="44">
        <v>5.8333333333333335E-9</v>
      </c>
      <c r="BA151"/>
      <c r="BB151"/>
      <c r="BC151" s="44">
        <v>5.8333333333333335E-9</v>
      </c>
    </row>
    <row r="152" spans="1:55" x14ac:dyDescent="0.3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/>
      <c r="N152" s="44">
        <v>20</v>
      </c>
      <c r="P152" s="44">
        <v>20</v>
      </c>
      <c r="Q152" s="44">
        <v>20</v>
      </c>
      <c r="R152" s="44">
        <v>20</v>
      </c>
      <c r="T152" s="44">
        <v>20</v>
      </c>
      <c r="U152" s="44"/>
      <c r="V152" s="44">
        <v>20</v>
      </c>
      <c r="W152" s="44">
        <v>20</v>
      </c>
      <c r="X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 s="44">
        <v>20</v>
      </c>
      <c r="AI152" s="44">
        <v>20</v>
      </c>
      <c r="AJ152" s="44">
        <v>20</v>
      </c>
      <c r="AK152" s="44">
        <v>20</v>
      </c>
      <c r="AL152"/>
      <c r="AM152" s="44">
        <v>20</v>
      </c>
      <c r="AN152" s="44">
        <v>20</v>
      </c>
      <c r="AO152" s="44">
        <v>20</v>
      </c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 s="44">
        <v>20</v>
      </c>
      <c r="AW152" s="44">
        <v>20</v>
      </c>
      <c r="AX152" s="44">
        <v>20</v>
      </c>
      <c r="AY152"/>
      <c r="AZ152" s="44">
        <v>20</v>
      </c>
      <c r="BA152"/>
      <c r="BB152"/>
      <c r="BC152" s="44">
        <v>20</v>
      </c>
    </row>
    <row r="153" spans="1:55" x14ac:dyDescent="0.3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/>
      <c r="N153" s="44">
        <v>-0.06</v>
      </c>
      <c r="P153" s="44">
        <v>-0.06</v>
      </c>
      <c r="Q153" s="44">
        <v>-0.06</v>
      </c>
      <c r="R153" s="44">
        <v>-0.06</v>
      </c>
      <c r="T153" s="44">
        <v>-0.06</v>
      </c>
      <c r="U153" s="44"/>
      <c r="V153" s="44">
        <v>-0.06</v>
      </c>
      <c r="W153" s="44">
        <v>-0.06</v>
      </c>
      <c r="X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 s="44">
        <v>-0.06</v>
      </c>
      <c r="AI153" s="44">
        <v>-0.06</v>
      </c>
      <c r="AJ153" s="44">
        <v>-0.06</v>
      </c>
      <c r="AK153" s="44">
        <v>-0.06</v>
      </c>
      <c r="AL153"/>
      <c r="AM153" s="44">
        <v>-0.06</v>
      </c>
      <c r="AN153" s="44">
        <v>-0.06</v>
      </c>
      <c r="AO153" s="44">
        <v>-0.06</v>
      </c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 s="44">
        <v>-0.06</v>
      </c>
      <c r="AW153" s="44">
        <v>-0.06</v>
      </c>
      <c r="AX153" s="44">
        <v>-0.06</v>
      </c>
      <c r="AY153"/>
      <c r="AZ153" s="44">
        <v>-0.06</v>
      </c>
      <c r="BA153"/>
      <c r="BB153"/>
      <c r="BC153" s="44">
        <v>-0.06</v>
      </c>
    </row>
    <row r="154" spans="1:55" x14ac:dyDescent="0.3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/>
      <c r="N154" s="44">
        <v>0.89100000000000001</v>
      </c>
      <c r="P154" s="44">
        <v>0.89100000000000001</v>
      </c>
      <c r="Q154" s="44">
        <v>0.89100000000000001</v>
      </c>
      <c r="R154" s="44">
        <v>0.89100000000000001</v>
      </c>
      <c r="T154" s="44">
        <v>0.89100000000000001</v>
      </c>
      <c r="U154" s="44"/>
      <c r="V154" s="44">
        <v>0.89100000000000001</v>
      </c>
      <c r="W154" s="44">
        <v>0.89100000000000001</v>
      </c>
      <c r="X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/>
      <c r="AM154" s="44">
        <v>0.89100000000000001</v>
      </c>
      <c r="AN154" s="44">
        <v>0.89100000000000001</v>
      </c>
      <c r="AO154" s="44">
        <v>0.89100000000000001</v>
      </c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 s="44">
        <v>0.89100000000000001</v>
      </c>
      <c r="AW154" s="44">
        <v>0.89100000000000001</v>
      </c>
      <c r="AX154" s="44">
        <v>0.89100000000000001</v>
      </c>
      <c r="AY154"/>
      <c r="AZ154" s="44">
        <v>0.89100000000000001</v>
      </c>
      <c r="BA154"/>
      <c r="BB154"/>
      <c r="BC154" s="44">
        <v>0.89100000000000001</v>
      </c>
    </row>
    <row r="155" spans="1:55" x14ac:dyDescent="0.3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/>
      <c r="N155" s="44">
        <v>1</v>
      </c>
      <c r="P155" s="44">
        <v>1</v>
      </c>
      <c r="Q155" s="44">
        <v>1</v>
      </c>
      <c r="R155" s="44">
        <v>1</v>
      </c>
      <c r="T155" s="44">
        <v>1</v>
      </c>
      <c r="U155" s="44"/>
      <c r="V155" s="44">
        <v>1</v>
      </c>
      <c r="W155" s="44">
        <v>1</v>
      </c>
      <c r="X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 s="44">
        <v>1</v>
      </c>
      <c r="AI155" s="44">
        <v>1</v>
      </c>
      <c r="AJ155" s="44">
        <v>1</v>
      </c>
      <c r="AK155" s="44">
        <v>1</v>
      </c>
      <c r="AL155"/>
      <c r="AM155" s="44">
        <v>1</v>
      </c>
      <c r="AN155" s="44">
        <v>1</v>
      </c>
      <c r="AO155" s="44">
        <v>1</v>
      </c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 s="44">
        <v>1</v>
      </c>
      <c r="AW155" s="44">
        <v>1</v>
      </c>
      <c r="AX155" s="44">
        <v>1</v>
      </c>
      <c r="AY155"/>
      <c r="AZ155" s="44">
        <v>1</v>
      </c>
      <c r="BA155"/>
      <c r="BB155"/>
      <c r="BC155" s="44">
        <v>1</v>
      </c>
    </row>
    <row r="156" spans="1:55" x14ac:dyDescent="0.3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/>
      <c r="N156" s="44">
        <v>4.0000000000000003E-5</v>
      </c>
      <c r="P156" s="44">
        <v>4.0000000000000003E-5</v>
      </c>
      <c r="Q156" s="44">
        <v>4.0000000000000003E-5</v>
      </c>
      <c r="R156" s="44">
        <v>4.0000000000000003E-5</v>
      </c>
      <c r="T156" s="44">
        <v>4.0000000000000003E-5</v>
      </c>
      <c r="U156" s="44"/>
      <c r="V156" s="44">
        <v>4.0000000000000003E-5</v>
      </c>
      <c r="W156" s="44">
        <v>4.0000000000000003E-5</v>
      </c>
      <c r="X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/>
      <c r="AM156" s="44">
        <v>4.0000000000000003E-5</v>
      </c>
      <c r="AN156" s="44">
        <v>4.0000000000000003E-5</v>
      </c>
      <c r="AO156" s="44">
        <v>4.0000000000000003E-5</v>
      </c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 s="44">
        <v>4.0000000000000003E-5</v>
      </c>
      <c r="AW156" s="44">
        <v>4.0000000000000003E-5</v>
      </c>
      <c r="AX156" s="44">
        <v>4.0000000000000003E-5</v>
      </c>
      <c r="AY156"/>
      <c r="AZ156" s="44">
        <v>4.0000000000000003E-5</v>
      </c>
      <c r="BA156"/>
      <c r="BB156"/>
      <c r="BC156" s="44">
        <v>4.0000000000000003E-5</v>
      </c>
    </row>
    <row r="157" spans="1:55" x14ac:dyDescent="0.3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/>
      <c r="N157" s="44">
        <v>4.0000000000000001E-8</v>
      </c>
      <c r="P157" s="44">
        <v>4.0000000000000001E-8</v>
      </c>
      <c r="Q157" s="44">
        <v>4.0000000000000001E-8</v>
      </c>
      <c r="R157" s="44">
        <v>4.0000000000000001E-8</v>
      </c>
      <c r="T157" s="44">
        <v>4.0000000000000001E-8</v>
      </c>
      <c r="U157" s="44"/>
      <c r="V157" s="44">
        <v>4.0000000000000001E-8</v>
      </c>
      <c r="W157" s="44">
        <v>4.0000000000000001E-8</v>
      </c>
      <c r="X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/>
      <c r="AM157" s="44">
        <v>4.0000000000000001E-8</v>
      </c>
      <c r="AN157" s="44">
        <v>4.0000000000000001E-8</v>
      </c>
      <c r="AO157" s="44">
        <v>4.0000000000000001E-8</v>
      </c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 s="44">
        <v>4.0000000000000001E-8</v>
      </c>
      <c r="AW157" s="44">
        <v>4.0000000000000001E-8</v>
      </c>
      <c r="AX157" s="44">
        <v>4.0000000000000001E-8</v>
      </c>
      <c r="AY157"/>
      <c r="AZ157" s="44">
        <v>4.0000000000000001E-8</v>
      </c>
      <c r="BA157"/>
      <c r="BB157"/>
      <c r="BC157" s="44">
        <v>4.0000000000000001E-8</v>
      </c>
    </row>
    <row r="158" spans="1:55" x14ac:dyDescent="0.3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/>
      <c r="N158" s="44">
        <v>20</v>
      </c>
      <c r="P158" s="44">
        <v>20</v>
      </c>
      <c r="Q158" s="44">
        <v>20</v>
      </c>
      <c r="R158" s="44">
        <v>20</v>
      </c>
      <c r="T158" s="44">
        <v>20</v>
      </c>
      <c r="U158" s="44"/>
      <c r="V158" s="44">
        <v>20</v>
      </c>
      <c r="W158" s="44">
        <v>20</v>
      </c>
      <c r="X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 s="44">
        <v>20</v>
      </c>
      <c r="AI158" s="44">
        <v>20</v>
      </c>
      <c r="AJ158" s="44">
        <v>20</v>
      </c>
      <c r="AK158" s="44">
        <v>20</v>
      </c>
      <c r="AL158"/>
      <c r="AM158" s="44">
        <v>20</v>
      </c>
      <c r="AN158" s="44">
        <v>20</v>
      </c>
      <c r="AO158" s="44">
        <v>20</v>
      </c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 s="44">
        <v>20</v>
      </c>
      <c r="AW158" s="44">
        <v>20</v>
      </c>
      <c r="AX158" s="44">
        <v>20</v>
      </c>
      <c r="AY158"/>
      <c r="AZ158" s="44">
        <v>20</v>
      </c>
      <c r="BA158"/>
      <c r="BB158"/>
      <c r="BC158" s="44">
        <v>20</v>
      </c>
    </row>
    <row r="159" spans="1:55" x14ac:dyDescent="0.3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/>
      <c r="N159" s="44">
        <v>-4.4200000000000003E-2</v>
      </c>
      <c r="P159" s="44">
        <v>-4.4200000000000003E-2</v>
      </c>
      <c r="Q159" s="44">
        <v>-4.4200000000000003E-2</v>
      </c>
      <c r="R159" s="44">
        <v>-4.4200000000000003E-2</v>
      </c>
      <c r="T159" s="44">
        <v>-4.4200000000000003E-2</v>
      </c>
      <c r="U159" s="44"/>
      <c r="V159" s="44">
        <v>-4.4200000000000003E-2</v>
      </c>
      <c r="W159" s="44">
        <v>-4.4200000000000003E-2</v>
      </c>
      <c r="X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/>
      <c r="AM159" s="44">
        <v>-4.4200000000000003E-2</v>
      </c>
      <c r="AN159" s="44">
        <v>-4.4200000000000003E-2</v>
      </c>
      <c r="AO159" s="44">
        <v>-4.4200000000000003E-2</v>
      </c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 s="44">
        <v>-4.4200000000000003E-2</v>
      </c>
      <c r="AW159" s="44">
        <v>-4.4200000000000003E-2</v>
      </c>
      <c r="AX159" s="44">
        <v>-4.4200000000000003E-2</v>
      </c>
      <c r="AY159"/>
      <c r="AZ159" s="44">
        <v>-4.4200000000000003E-2</v>
      </c>
      <c r="BA159"/>
      <c r="BB159"/>
      <c r="BC159" s="44">
        <v>-4.4200000000000003E-2</v>
      </c>
    </row>
    <row r="160" spans="1:55" x14ac:dyDescent="0.3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/>
      <c r="N160" s="44">
        <v>1.55</v>
      </c>
      <c r="P160" s="44">
        <v>1.55</v>
      </c>
      <c r="Q160" s="44">
        <v>1.55</v>
      </c>
      <c r="R160" s="44">
        <v>1.55</v>
      </c>
      <c r="T160" s="44">
        <v>1.55</v>
      </c>
      <c r="U160" s="44"/>
      <c r="V160" s="44">
        <v>1.55</v>
      </c>
      <c r="W160" s="44">
        <v>1.55</v>
      </c>
      <c r="X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 s="44">
        <v>1.55</v>
      </c>
      <c r="AI160" s="44">
        <v>1.55</v>
      </c>
      <c r="AJ160" s="44">
        <v>1.55</v>
      </c>
      <c r="AK160" s="44">
        <v>1.55</v>
      </c>
      <c r="AL160"/>
      <c r="AM160" s="44">
        <v>1.55</v>
      </c>
      <c r="AN160" s="44">
        <v>1.55</v>
      </c>
      <c r="AO160" s="44">
        <v>1.55</v>
      </c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 s="44">
        <v>1.55</v>
      </c>
      <c r="AW160" s="44">
        <v>1.55</v>
      </c>
      <c r="AX160" s="44">
        <v>1.55</v>
      </c>
      <c r="AY160"/>
      <c r="AZ160" s="44">
        <v>1.55</v>
      </c>
      <c r="BA160"/>
      <c r="BB160"/>
      <c r="BC160" s="44">
        <v>1.55</v>
      </c>
    </row>
    <row r="161" spans="1:55" x14ac:dyDescent="0.3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/>
      <c r="N161" s="44">
        <v>1</v>
      </c>
      <c r="P161" s="44">
        <v>1</v>
      </c>
      <c r="Q161" s="44">
        <v>1</v>
      </c>
      <c r="R161" s="44">
        <v>1</v>
      </c>
      <c r="T161" s="44">
        <v>1</v>
      </c>
      <c r="U161" s="44"/>
      <c r="V161" s="44">
        <v>1</v>
      </c>
      <c r="W161" s="44">
        <v>1</v>
      </c>
      <c r="X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 s="44">
        <v>1</v>
      </c>
      <c r="AI161" s="44">
        <v>1</v>
      </c>
      <c r="AJ161" s="44">
        <v>1</v>
      </c>
      <c r="AK161" s="44">
        <v>1</v>
      </c>
      <c r="AL161"/>
      <c r="AM161" s="44">
        <v>1</v>
      </c>
      <c r="AN161" s="44">
        <v>1</v>
      </c>
      <c r="AO161" s="44">
        <v>1</v>
      </c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 s="44">
        <v>1</v>
      </c>
      <c r="AW161" s="44">
        <v>1</v>
      </c>
      <c r="AX161" s="44">
        <v>1</v>
      </c>
      <c r="AY161"/>
      <c r="AZ161" s="44">
        <v>1</v>
      </c>
      <c r="BA161"/>
      <c r="BB161"/>
      <c r="BC161" s="44">
        <v>1</v>
      </c>
    </row>
    <row r="162" spans="1:55" x14ac:dyDescent="0.3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/>
      <c r="N162" s="44">
        <v>2.7799999999999998E-4</v>
      </c>
      <c r="P162" s="44">
        <v>2.7799999999999998E-4</v>
      </c>
      <c r="Q162" s="44">
        <v>2.7799999999999998E-4</v>
      </c>
      <c r="R162" s="44">
        <v>2.7799999999999998E-4</v>
      </c>
      <c r="T162" s="44">
        <v>2.7799999999999998E-4</v>
      </c>
      <c r="U162" s="44"/>
      <c r="V162" s="44">
        <v>2.7799999999999998E-4</v>
      </c>
      <c r="W162" s="44">
        <v>2.7799999999999998E-4</v>
      </c>
      <c r="X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/>
      <c r="AM162" s="44">
        <v>2.7799999999999998E-4</v>
      </c>
      <c r="AN162" s="44">
        <v>2.7799999999999998E-4</v>
      </c>
      <c r="AO162" s="44">
        <v>2.7799999999999998E-4</v>
      </c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 s="44">
        <v>2.7799999999999998E-4</v>
      </c>
      <c r="AW162" s="44">
        <v>2.7799999999999998E-4</v>
      </c>
      <c r="AX162" s="44">
        <v>2.7799999999999998E-4</v>
      </c>
      <c r="AY162"/>
      <c r="AZ162" s="44">
        <v>2.7799999999999998E-4</v>
      </c>
      <c r="BA162"/>
      <c r="BB162"/>
      <c r="BC162" s="44">
        <v>2.7799999999999998E-4</v>
      </c>
    </row>
    <row r="163" spans="1:55" x14ac:dyDescent="0.3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/>
      <c r="N163" s="44">
        <f>0.0000000000025/5</f>
        <v>4.9999999999999999E-13</v>
      </c>
      <c r="O163" s="1" t="s">
        <v>605</v>
      </c>
      <c r="P163" s="44">
        <f>0.0000000000025/5</f>
        <v>4.9999999999999999E-13</v>
      </c>
      <c r="Q163" s="44">
        <f>0.0000000000025/5</f>
        <v>4.9999999999999999E-13</v>
      </c>
      <c r="R163" s="44">
        <f>0.0000000000025/5</f>
        <v>4.9999999999999999E-13</v>
      </c>
      <c r="T163" s="44">
        <v>2.4999999999999998E-12</v>
      </c>
      <c r="U163" s="44"/>
      <c r="V163" s="44">
        <v>2.4999999999999998E-12</v>
      </c>
      <c r="W163" s="44">
        <v>2.4999999999999998E-12</v>
      </c>
      <c r="X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/>
      <c r="AM163" s="44">
        <v>2.4999999999999998E-12</v>
      </c>
      <c r="AN163" s="44">
        <v>2.4999999999999998E-12</v>
      </c>
      <c r="AO163" s="44">
        <v>2.4999999999999998E-12</v>
      </c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 s="44">
        <v>2.4999999999999998E-12</v>
      </c>
      <c r="AW163" s="44">
        <v>2.4999999999999998E-12</v>
      </c>
      <c r="AX163" s="44">
        <v>2.4999999999999998E-12</v>
      </c>
      <c r="AY163"/>
      <c r="AZ163" s="44">
        <v>2.4999999999999998E-12</v>
      </c>
      <c r="BA163"/>
      <c r="BB163"/>
      <c r="BC163" s="44">
        <v>2.4999999999999998E-12</v>
      </c>
    </row>
    <row r="164" spans="1:55" x14ac:dyDescent="0.3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/>
      <c r="N164" s="44">
        <v>20</v>
      </c>
      <c r="P164" s="44">
        <v>20</v>
      </c>
      <c r="Q164" s="44">
        <v>20</v>
      </c>
      <c r="R164" s="44">
        <v>20</v>
      </c>
      <c r="T164" s="44">
        <v>20</v>
      </c>
      <c r="U164" s="44"/>
      <c r="V164" s="44">
        <v>20</v>
      </c>
      <c r="W164" s="44">
        <v>20</v>
      </c>
      <c r="X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 s="44">
        <v>20</v>
      </c>
      <c r="AI164" s="44">
        <v>20</v>
      </c>
      <c r="AJ164" s="44">
        <v>20</v>
      </c>
      <c r="AK164" s="44">
        <v>20</v>
      </c>
      <c r="AL164"/>
      <c r="AM164" s="44">
        <v>20</v>
      </c>
      <c r="AN164" s="44">
        <v>20</v>
      </c>
      <c r="AO164" s="44">
        <v>20</v>
      </c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 s="44">
        <v>20</v>
      </c>
      <c r="AW164" s="44">
        <v>20</v>
      </c>
      <c r="AX164" s="44">
        <v>20</v>
      </c>
      <c r="AY164"/>
      <c r="AZ164" s="44">
        <v>20</v>
      </c>
      <c r="BA164"/>
      <c r="BB164"/>
      <c r="BC164" s="44">
        <v>20</v>
      </c>
    </row>
    <row r="165" spans="1:55" x14ac:dyDescent="0.3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/>
      <c r="N165" s="44">
        <v>0</v>
      </c>
      <c r="P165" s="44">
        <v>0</v>
      </c>
      <c r="Q165" s="44">
        <v>0</v>
      </c>
      <c r="R165" s="44">
        <v>0</v>
      </c>
      <c r="T165" s="44">
        <v>0</v>
      </c>
      <c r="U165" s="44"/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3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/>
      <c r="N166" s="44">
        <v>1</v>
      </c>
      <c r="P166" s="44">
        <v>1</v>
      </c>
      <c r="Q166" s="44">
        <v>1</v>
      </c>
      <c r="R166" s="44">
        <v>1</v>
      </c>
      <c r="T166" s="44">
        <v>1</v>
      </c>
      <c r="U166" s="44"/>
      <c r="V166" s="44">
        <v>1</v>
      </c>
      <c r="W166" s="44">
        <v>1</v>
      </c>
      <c r="X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 s="44">
        <v>1</v>
      </c>
      <c r="AI166" s="44">
        <v>1</v>
      </c>
      <c r="AJ166" s="44">
        <v>1</v>
      </c>
      <c r="AK166" s="44">
        <v>1</v>
      </c>
      <c r="AL166"/>
      <c r="AM166" s="44">
        <v>1</v>
      </c>
      <c r="AN166" s="44">
        <v>1</v>
      </c>
      <c r="AO166" s="44">
        <v>1</v>
      </c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 s="44">
        <v>1</v>
      </c>
      <c r="AW166" s="44">
        <v>1</v>
      </c>
      <c r="AX166" s="44">
        <v>1</v>
      </c>
      <c r="AY166"/>
      <c r="AZ166" s="44">
        <v>1</v>
      </c>
      <c r="BA166"/>
      <c r="BB166"/>
      <c r="BC166" s="44">
        <v>1</v>
      </c>
    </row>
    <row r="167" spans="1:55" x14ac:dyDescent="0.3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/>
      <c r="N167" s="44">
        <v>0</v>
      </c>
      <c r="P167" s="44">
        <v>0</v>
      </c>
      <c r="Q167" s="44">
        <v>0</v>
      </c>
      <c r="R167" s="44">
        <v>0</v>
      </c>
      <c r="T167" s="44">
        <v>0</v>
      </c>
      <c r="U167" s="44"/>
      <c r="V167" s="44">
        <v>0</v>
      </c>
      <c r="W167" s="44">
        <v>0</v>
      </c>
      <c r="X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 s="44">
        <v>0</v>
      </c>
      <c r="AI167" s="44">
        <v>0</v>
      </c>
      <c r="AJ167" s="44">
        <v>0</v>
      </c>
      <c r="AK167" s="44">
        <v>0</v>
      </c>
      <c r="AL167"/>
      <c r="AM167" s="44">
        <v>0</v>
      </c>
      <c r="AN167" s="44">
        <v>0</v>
      </c>
      <c r="AO167" s="44">
        <v>0</v>
      </c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 s="44">
        <v>0</v>
      </c>
      <c r="AW167" s="44">
        <v>0</v>
      </c>
      <c r="AX167" s="44">
        <v>0</v>
      </c>
      <c r="AY167"/>
      <c r="AZ167" s="44">
        <v>0</v>
      </c>
      <c r="BA167"/>
      <c r="BB167"/>
      <c r="BC167" s="44">
        <v>0</v>
      </c>
    </row>
    <row r="168" spans="1:55" x14ac:dyDescent="0.3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/>
      <c r="N168" s="44">
        <v>0.4</v>
      </c>
      <c r="P168" s="44">
        <v>0.4</v>
      </c>
      <c r="Q168" s="44">
        <v>0.4</v>
      </c>
      <c r="R168" s="44">
        <v>0.4</v>
      </c>
      <c r="T168" s="44">
        <v>0.4</v>
      </c>
      <c r="U168" s="44"/>
      <c r="V168" s="44">
        <v>0.4</v>
      </c>
      <c r="W168" s="44">
        <v>0.4</v>
      </c>
      <c r="X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 s="44">
        <v>0.4</v>
      </c>
      <c r="AI168" s="44">
        <v>0.4</v>
      </c>
      <c r="AJ168" s="44">
        <v>0.4</v>
      </c>
      <c r="AK168" s="44">
        <v>0.4</v>
      </c>
      <c r="AL168"/>
      <c r="AM168" s="44">
        <v>0.4</v>
      </c>
      <c r="AN168" s="44">
        <v>0.4</v>
      </c>
      <c r="AO168" s="44">
        <v>0.4</v>
      </c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 s="44">
        <v>0.4</v>
      </c>
      <c r="AW168" s="44">
        <v>0.4</v>
      </c>
      <c r="AX168" s="44">
        <v>0.4</v>
      </c>
      <c r="AY168"/>
      <c r="AZ168" s="44">
        <v>0.4</v>
      </c>
      <c r="BA168"/>
      <c r="BB168"/>
      <c r="BC168" s="44">
        <v>0.4</v>
      </c>
    </row>
    <row r="169" spans="1:55" x14ac:dyDescent="0.3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/>
      <c r="N169" s="44">
        <v>2.0000000000000001E-9</v>
      </c>
      <c r="P169" s="44">
        <v>2.0000000000000001E-9</v>
      </c>
      <c r="Q169" s="44">
        <v>2.0000000000000001E-9</v>
      </c>
      <c r="R169" s="44">
        <v>2.0000000000000001E-9</v>
      </c>
      <c r="T169" s="44">
        <v>2.0000000000000001E-9</v>
      </c>
      <c r="U169" s="44"/>
      <c r="V169" s="44">
        <v>2.0000000000000001E-9</v>
      </c>
      <c r="W169" s="44">
        <v>2.0000000000000001E-9</v>
      </c>
      <c r="X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/>
      <c r="AM169" s="44">
        <v>2.0000000000000001E-9</v>
      </c>
      <c r="AN169" s="44">
        <v>2.0000000000000001E-9</v>
      </c>
      <c r="AO169" s="44">
        <v>2.0000000000000001E-9</v>
      </c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 s="44">
        <v>2.0000000000000001E-9</v>
      </c>
      <c r="AW169" s="44">
        <v>2.0000000000000001E-9</v>
      </c>
      <c r="AX169" s="44">
        <v>2.0000000000000001E-9</v>
      </c>
      <c r="AY169"/>
      <c r="AZ169" s="44">
        <v>2.0000000000000001E-9</v>
      </c>
      <c r="BA169"/>
      <c r="BB169"/>
      <c r="BC169" s="44">
        <v>2.0000000000000001E-9</v>
      </c>
    </row>
    <row r="170" spans="1:55" x14ac:dyDescent="0.3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/>
      <c r="N170" s="44">
        <v>25</v>
      </c>
      <c r="P170" s="44">
        <v>25</v>
      </c>
      <c r="Q170" s="44">
        <v>25</v>
      </c>
      <c r="R170" s="44">
        <v>25</v>
      </c>
      <c r="T170" s="44">
        <v>25</v>
      </c>
      <c r="U170" s="44"/>
      <c r="V170" s="44">
        <v>25</v>
      </c>
      <c r="W170" s="44">
        <v>25</v>
      </c>
      <c r="X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 s="44">
        <v>25</v>
      </c>
      <c r="AI170" s="44">
        <v>25</v>
      </c>
      <c r="AJ170" s="44">
        <v>25</v>
      </c>
      <c r="AK170" s="44">
        <v>25</v>
      </c>
      <c r="AL170"/>
      <c r="AM170" s="44">
        <v>25</v>
      </c>
      <c r="AN170" s="44">
        <v>25</v>
      </c>
      <c r="AO170" s="44">
        <v>25</v>
      </c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 s="44">
        <v>25</v>
      </c>
      <c r="AW170" s="44">
        <v>25</v>
      </c>
      <c r="AX170" s="44">
        <v>25</v>
      </c>
      <c r="AY170"/>
      <c r="AZ170" s="44">
        <v>25</v>
      </c>
      <c r="BA170"/>
      <c r="BB170"/>
      <c r="BC170" s="44">
        <v>25</v>
      </c>
    </row>
    <row r="171" spans="1:55" x14ac:dyDescent="0.3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/>
      <c r="N171" s="44">
        <v>0</v>
      </c>
      <c r="P171" s="44">
        <v>0</v>
      </c>
      <c r="Q171" s="44">
        <v>0</v>
      </c>
      <c r="R171" s="44">
        <v>0</v>
      </c>
      <c r="T171" s="44">
        <v>0</v>
      </c>
      <c r="U171" s="44"/>
      <c r="V171" s="44">
        <v>0</v>
      </c>
      <c r="W171" s="44">
        <v>0</v>
      </c>
      <c r="X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 s="44">
        <v>0</v>
      </c>
      <c r="AI171" s="44">
        <v>0</v>
      </c>
      <c r="AJ171" s="44">
        <v>0</v>
      </c>
      <c r="AK171" s="44">
        <v>0</v>
      </c>
      <c r="AL171"/>
      <c r="AM171" s="44">
        <v>0</v>
      </c>
      <c r="AN171" s="44">
        <v>0</v>
      </c>
      <c r="AO171" s="44">
        <v>0</v>
      </c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 s="44">
        <v>0</v>
      </c>
      <c r="AW171" s="44">
        <v>0</v>
      </c>
      <c r="AX171" s="44">
        <v>0</v>
      </c>
      <c r="AY171"/>
      <c r="AZ171" s="44">
        <v>0</v>
      </c>
      <c r="BA171"/>
      <c r="BB171"/>
      <c r="BC171" s="44">
        <v>0</v>
      </c>
    </row>
    <row r="172" spans="1:55" x14ac:dyDescent="0.3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/>
      <c r="N172" s="44">
        <v>3.98</v>
      </c>
      <c r="P172" s="44">
        <v>3.98</v>
      </c>
      <c r="Q172" s="44">
        <v>3.98</v>
      </c>
      <c r="R172" s="44">
        <v>3.98</v>
      </c>
      <c r="T172" s="44">
        <v>3.98</v>
      </c>
      <c r="U172" s="44"/>
      <c r="V172" s="44">
        <v>3.98</v>
      </c>
      <c r="W172" s="44">
        <v>3.98</v>
      </c>
      <c r="X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 s="44">
        <v>3.98</v>
      </c>
      <c r="AI172" s="44">
        <v>3.98</v>
      </c>
      <c r="AJ172" s="44">
        <v>3.98</v>
      </c>
      <c r="AK172" s="44">
        <v>3.98</v>
      </c>
      <c r="AL172"/>
      <c r="AM172" s="44">
        <v>3.98</v>
      </c>
      <c r="AN172" s="44">
        <v>3.98</v>
      </c>
      <c r="AO172" s="44">
        <v>3.98</v>
      </c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 s="44">
        <v>3.98</v>
      </c>
      <c r="AW172" s="44">
        <v>3.98</v>
      </c>
      <c r="AX172" s="44">
        <v>3.98</v>
      </c>
      <c r="AY172"/>
      <c r="AZ172" s="44">
        <v>3.98</v>
      </c>
      <c r="BA172"/>
      <c r="BB172"/>
      <c r="BC172" s="44">
        <v>3.98</v>
      </c>
    </row>
    <row r="173" spans="1:55" x14ac:dyDescent="0.3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/>
      <c r="N173" s="44">
        <v>1</v>
      </c>
      <c r="P173" s="44">
        <v>1</v>
      </c>
      <c r="Q173" s="44">
        <v>1</v>
      </c>
      <c r="R173" s="44">
        <v>1</v>
      </c>
      <c r="T173" s="44">
        <v>1</v>
      </c>
      <c r="U173" s="44"/>
      <c r="V173" s="44">
        <v>1</v>
      </c>
      <c r="W173" s="44">
        <v>1</v>
      </c>
      <c r="X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 s="44">
        <v>1</v>
      </c>
      <c r="AI173" s="44">
        <v>1</v>
      </c>
      <c r="AJ173" s="44">
        <v>1</v>
      </c>
      <c r="AK173" s="44">
        <v>1</v>
      </c>
      <c r="AL173"/>
      <c r="AM173" s="44">
        <v>1</v>
      </c>
      <c r="AN173" s="44">
        <v>1</v>
      </c>
      <c r="AO173" s="44">
        <v>1</v>
      </c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 s="44">
        <v>1</v>
      </c>
      <c r="AW173" s="44">
        <v>1</v>
      </c>
      <c r="AX173" s="44">
        <v>1</v>
      </c>
      <c r="AY173"/>
      <c r="AZ173" s="44">
        <v>1</v>
      </c>
      <c r="BA173"/>
      <c r="BB173"/>
      <c r="BC173" s="44">
        <v>1</v>
      </c>
    </row>
    <row r="174" spans="1:55" x14ac:dyDescent="0.3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/>
      <c r="N174" s="44">
        <v>1.6666666666666666E-4</v>
      </c>
      <c r="P174" s="44">
        <v>1.6666666666666666E-4</v>
      </c>
      <c r="Q174" s="44">
        <v>1.6666666666666666E-4</v>
      </c>
      <c r="R174" s="44">
        <v>1.6666666666666666E-4</v>
      </c>
      <c r="T174" s="44">
        <v>1.6666666666666666E-4</v>
      </c>
      <c r="U174" s="44"/>
      <c r="V174" s="44">
        <v>1.6666666666666666E-4</v>
      </c>
      <c r="W174" s="44">
        <v>1.6666666666666666E-4</v>
      </c>
      <c r="X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/>
      <c r="AM174" s="44">
        <v>1.6666666666666666E-4</v>
      </c>
      <c r="AN174" s="44">
        <v>1.6666666666666666E-4</v>
      </c>
      <c r="AO174" s="44">
        <v>1.6666666666666666E-4</v>
      </c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 s="44">
        <v>1.6666666666666666E-4</v>
      </c>
      <c r="AW174" s="44">
        <v>1.6666666666666666E-4</v>
      </c>
      <c r="AX174" s="44">
        <v>1.6666666666666666E-4</v>
      </c>
      <c r="AY174"/>
      <c r="AZ174" s="44">
        <v>1.6666666666666666E-4</v>
      </c>
      <c r="BA174"/>
      <c r="BB174"/>
      <c r="BC174" s="44">
        <v>1.6666666666666666E-4</v>
      </c>
    </row>
    <row r="175" spans="1:55" x14ac:dyDescent="0.3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/>
      <c r="N175" s="44">
        <v>1E-8</v>
      </c>
      <c r="P175" s="44">
        <v>1E-8</v>
      </c>
      <c r="Q175" s="44">
        <v>1E-8</v>
      </c>
      <c r="R175" s="44">
        <v>1E-8</v>
      </c>
      <c r="T175" s="44">
        <v>1E-8</v>
      </c>
      <c r="U175" s="44"/>
      <c r="V175" s="44">
        <v>1E-8</v>
      </c>
      <c r="W175" s="44">
        <v>1E-8</v>
      </c>
      <c r="X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 s="44">
        <v>1E-8</v>
      </c>
      <c r="AI175" s="44">
        <v>1E-8</v>
      </c>
      <c r="AJ175" s="44">
        <v>1E-8</v>
      </c>
      <c r="AK175" s="44">
        <v>1E-8</v>
      </c>
      <c r="AL175"/>
      <c r="AM175" s="44">
        <v>1E-8</v>
      </c>
      <c r="AN175" s="44">
        <v>1E-8</v>
      </c>
      <c r="AO175" s="44">
        <v>1E-8</v>
      </c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 s="44">
        <v>1E-8</v>
      </c>
      <c r="AW175" s="44">
        <v>1E-8</v>
      </c>
      <c r="AX175" s="44">
        <v>1E-8</v>
      </c>
      <c r="AY175"/>
      <c r="AZ175" s="44">
        <v>1E-8</v>
      </c>
      <c r="BA175"/>
      <c r="BB175"/>
      <c r="BC175" s="44">
        <v>1E-8</v>
      </c>
    </row>
    <row r="176" spans="1:55" x14ac:dyDescent="0.3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/>
      <c r="N176" s="44">
        <v>20</v>
      </c>
      <c r="P176" s="44">
        <v>20</v>
      </c>
      <c r="Q176" s="44">
        <v>20</v>
      </c>
      <c r="R176" s="44">
        <v>20</v>
      </c>
      <c r="T176" s="44">
        <v>20</v>
      </c>
      <c r="U176" s="44"/>
      <c r="V176" s="44">
        <v>20</v>
      </c>
      <c r="W176" s="44">
        <v>20</v>
      </c>
      <c r="X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 s="44">
        <v>20</v>
      </c>
      <c r="AI176" s="44">
        <v>20</v>
      </c>
      <c r="AJ176" s="44">
        <v>20</v>
      </c>
      <c r="AK176" s="44">
        <v>20</v>
      </c>
      <c r="AL176"/>
      <c r="AM176" s="44">
        <v>20</v>
      </c>
      <c r="AN176" s="44">
        <v>20</v>
      </c>
      <c r="AO176" s="44">
        <v>20</v>
      </c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 s="44">
        <v>20</v>
      </c>
      <c r="AW176" s="44">
        <v>20</v>
      </c>
      <c r="AX176" s="44">
        <v>20</v>
      </c>
      <c r="AY176"/>
      <c r="AZ176" s="44">
        <v>20</v>
      </c>
      <c r="BA176"/>
      <c r="BB176"/>
      <c r="BC176" s="44">
        <v>20</v>
      </c>
    </row>
    <row r="177" spans="1:55" x14ac:dyDescent="0.3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/>
      <c r="N177" s="44">
        <v>0</v>
      </c>
      <c r="P177" s="44">
        <v>0</v>
      </c>
      <c r="Q177" s="44">
        <v>0</v>
      </c>
      <c r="R177" s="44">
        <v>0</v>
      </c>
      <c r="T177" s="44">
        <v>0</v>
      </c>
      <c r="U177" s="44"/>
      <c r="V177" s="44">
        <v>0</v>
      </c>
      <c r="W177" s="44">
        <v>0</v>
      </c>
      <c r="X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 s="44">
        <v>0</v>
      </c>
      <c r="AI177" s="44">
        <v>0</v>
      </c>
      <c r="AJ177" s="44">
        <v>0</v>
      </c>
      <c r="AK177" s="44">
        <v>0</v>
      </c>
      <c r="AL177"/>
      <c r="AM177" s="44">
        <v>0</v>
      </c>
      <c r="AN177" s="44">
        <v>0</v>
      </c>
      <c r="AO177" s="44">
        <v>0</v>
      </c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 s="44">
        <v>0</v>
      </c>
      <c r="AW177" s="44">
        <v>0</v>
      </c>
      <c r="AX177" s="44">
        <v>0</v>
      </c>
      <c r="AY177"/>
      <c r="AZ177" s="44">
        <v>0</v>
      </c>
      <c r="BA177"/>
      <c r="BB177"/>
      <c r="BC177" s="44">
        <v>0</v>
      </c>
    </row>
    <row r="178" spans="1:55" x14ac:dyDescent="0.3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/>
      <c r="N178" s="44">
        <v>2</v>
      </c>
      <c r="P178" s="44">
        <v>2</v>
      </c>
      <c r="Q178" s="44">
        <v>2</v>
      </c>
      <c r="R178" s="44">
        <v>2</v>
      </c>
      <c r="T178" s="44">
        <v>2</v>
      </c>
      <c r="U178" s="44"/>
      <c r="V178" s="44">
        <v>2</v>
      </c>
      <c r="W178" s="44">
        <v>2</v>
      </c>
      <c r="X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 s="44">
        <v>2</v>
      </c>
      <c r="AI178" s="44">
        <v>2</v>
      </c>
      <c r="AJ178" s="44">
        <v>2</v>
      </c>
      <c r="AK178" s="44">
        <v>2</v>
      </c>
      <c r="AL178"/>
      <c r="AM178" s="44">
        <v>2</v>
      </c>
      <c r="AN178" s="44">
        <v>2</v>
      </c>
      <c r="AO178" s="44">
        <v>2</v>
      </c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 s="44">
        <v>2</v>
      </c>
      <c r="AW178" s="44">
        <v>2</v>
      </c>
      <c r="AX178" s="44">
        <v>2</v>
      </c>
      <c r="AY178"/>
      <c r="AZ178" s="44">
        <v>2</v>
      </c>
      <c r="BA178"/>
      <c r="BB178"/>
      <c r="BC178" s="44">
        <v>2</v>
      </c>
    </row>
    <row r="179" spans="1:55" x14ac:dyDescent="0.3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/>
      <c r="N179" s="44">
        <v>1</v>
      </c>
      <c r="P179" s="44">
        <v>1</v>
      </c>
      <c r="Q179" s="44">
        <v>1</v>
      </c>
      <c r="R179" s="44">
        <v>1</v>
      </c>
      <c r="T179" s="44">
        <v>1</v>
      </c>
      <c r="U179" s="44"/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3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/>
      <c r="N180" s="44">
        <v>8.3333333333333331E-5</v>
      </c>
      <c r="P180" s="44">
        <v>8.3333333333333331E-5</v>
      </c>
      <c r="Q180" s="44">
        <v>8.3333333333333331E-5</v>
      </c>
      <c r="R180" s="44">
        <v>8.3333333333333331E-5</v>
      </c>
      <c r="T180" s="44">
        <v>8.3333333333333331E-5</v>
      </c>
      <c r="U180" s="44"/>
      <c r="V180" s="44">
        <v>8.3333333333333331E-5</v>
      </c>
      <c r="W180" s="44">
        <v>8.3333333333333331E-5</v>
      </c>
      <c r="X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/>
      <c r="AM180" s="44">
        <v>8.3333333333333331E-5</v>
      </c>
      <c r="AN180" s="44">
        <v>8.3333333333333331E-5</v>
      </c>
      <c r="AO180" s="44">
        <v>8.3333333333333331E-5</v>
      </c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 s="44">
        <v>8.3333333333333331E-5</v>
      </c>
      <c r="AW180" s="44">
        <v>8.3333333333333331E-5</v>
      </c>
      <c r="AX180" s="44">
        <v>8.3333333333333331E-5</v>
      </c>
      <c r="AY180"/>
      <c r="AZ180" s="44">
        <v>8.3333333333333331E-5</v>
      </c>
      <c r="BA180"/>
      <c r="BB180"/>
      <c r="BC180" s="44">
        <v>8.3333333333333331E-5</v>
      </c>
    </row>
    <row r="181" spans="1:55" x14ac:dyDescent="0.3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/>
      <c r="N181" s="44">
        <v>1</v>
      </c>
      <c r="P181" s="44">
        <v>1</v>
      </c>
      <c r="Q181" s="44">
        <v>1</v>
      </c>
      <c r="R181" s="44">
        <v>1</v>
      </c>
      <c r="T181" s="44">
        <v>1</v>
      </c>
      <c r="U181" s="44"/>
      <c r="V181" s="44">
        <v>1</v>
      </c>
      <c r="W181" s="44">
        <v>1</v>
      </c>
      <c r="X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 s="44">
        <v>1</v>
      </c>
      <c r="AI181" s="44">
        <v>1</v>
      </c>
      <c r="AJ181" s="44">
        <v>1</v>
      </c>
      <c r="AK181" s="44">
        <v>1</v>
      </c>
      <c r="AL181"/>
      <c r="AM181" s="44">
        <v>1</v>
      </c>
      <c r="AN181" s="44">
        <v>1</v>
      </c>
      <c r="AO181" s="44">
        <v>1</v>
      </c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 s="44">
        <v>1</v>
      </c>
      <c r="AW181" s="44">
        <v>1</v>
      </c>
      <c r="AX181" s="44">
        <v>1</v>
      </c>
      <c r="AY181"/>
      <c r="AZ181" s="44">
        <v>1</v>
      </c>
      <c r="BA181"/>
      <c r="BB181"/>
      <c r="BC181" s="44">
        <v>1</v>
      </c>
    </row>
    <row r="182" spans="1:55" x14ac:dyDescent="0.3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/>
      <c r="N182" s="44">
        <v>2.3533050791148899E-8</v>
      </c>
      <c r="P182" s="44">
        <v>2.3533050791148899E-8</v>
      </c>
      <c r="Q182" s="44">
        <v>2.3533050791148899E-8</v>
      </c>
      <c r="R182" s="44">
        <v>2.3533050791148899E-8</v>
      </c>
      <c r="T182" s="44">
        <v>2.3533050791148899E-8</v>
      </c>
      <c r="U182" s="44"/>
      <c r="V182" s="44">
        <v>2.3533050791148899E-8</v>
      </c>
      <c r="W182" s="44">
        <v>2.3533050791148899E-8</v>
      </c>
      <c r="X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/>
      <c r="AM182" s="44">
        <v>2.3533050791148899E-8</v>
      </c>
      <c r="AN182" s="44">
        <v>2.3533050791148899E-8</v>
      </c>
      <c r="AO182" s="44">
        <v>2.3533050791148899E-8</v>
      </c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 s="44">
        <v>2.3533050791148899E-8</v>
      </c>
      <c r="AW182" s="44">
        <v>2.3533050791148899E-8</v>
      </c>
      <c r="AX182" s="44">
        <v>2.3533050791148899E-8</v>
      </c>
      <c r="AY182"/>
      <c r="AZ182" s="44">
        <v>2.3533050791148899E-8</v>
      </c>
      <c r="BA182"/>
      <c r="BB182"/>
      <c r="BC182" s="44">
        <v>2.3533050791148899E-8</v>
      </c>
    </row>
    <row r="183" spans="1:55" x14ac:dyDescent="0.3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/>
      <c r="N183" s="44">
        <v>20</v>
      </c>
      <c r="P183" s="44">
        <v>20</v>
      </c>
      <c r="Q183" s="44">
        <v>20</v>
      </c>
      <c r="R183" s="44">
        <v>20</v>
      </c>
      <c r="T183" s="44">
        <v>20</v>
      </c>
      <c r="U183" s="44"/>
      <c r="V183" s="44">
        <v>20</v>
      </c>
      <c r="W183" s="44">
        <v>20</v>
      </c>
      <c r="X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 s="44">
        <v>20</v>
      </c>
      <c r="AI183" s="44">
        <v>20</v>
      </c>
      <c r="AJ183" s="44">
        <v>20</v>
      </c>
      <c r="AK183" s="44">
        <v>20</v>
      </c>
      <c r="AL183"/>
      <c r="AM183" s="44">
        <v>20</v>
      </c>
      <c r="AN183" s="44">
        <v>20</v>
      </c>
      <c r="AO183" s="44">
        <v>20</v>
      </c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 s="44">
        <v>20</v>
      </c>
      <c r="AW183" s="44">
        <v>20</v>
      </c>
      <c r="AX183" s="44">
        <v>20</v>
      </c>
      <c r="AY183"/>
      <c r="AZ183" s="44">
        <v>20</v>
      </c>
      <c r="BA183"/>
      <c r="BB183"/>
      <c r="BC183" s="44">
        <v>20</v>
      </c>
    </row>
    <row r="184" spans="1:55" x14ac:dyDescent="0.3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/>
      <c r="N184" s="44">
        <v>-0.187</v>
      </c>
      <c r="P184" s="44">
        <v>-0.187</v>
      </c>
      <c r="Q184" s="44">
        <v>-0.187</v>
      </c>
      <c r="R184" s="44">
        <v>-0.187</v>
      </c>
      <c r="T184" s="44">
        <v>-0.187</v>
      </c>
      <c r="U184" s="44"/>
      <c r="V184" s="44">
        <v>-0.187</v>
      </c>
      <c r="W184" s="44">
        <v>-0.187</v>
      </c>
      <c r="X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 s="44">
        <v>-0.187</v>
      </c>
      <c r="AI184" s="44">
        <v>-0.187</v>
      </c>
      <c r="AJ184" s="44">
        <v>-0.187</v>
      </c>
      <c r="AK184" s="44">
        <v>-0.187</v>
      </c>
      <c r="AL184"/>
      <c r="AM184" s="44">
        <v>-0.187</v>
      </c>
      <c r="AN184" s="44">
        <v>-0.187</v>
      </c>
      <c r="AO184" s="44">
        <v>-0.187</v>
      </c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 s="44">
        <v>-0.187</v>
      </c>
      <c r="AW184" s="44">
        <v>-0.187</v>
      </c>
      <c r="AX184" s="44">
        <v>-0.187</v>
      </c>
      <c r="AY184"/>
      <c r="AZ184" s="44">
        <v>-0.187</v>
      </c>
      <c r="BA184"/>
      <c r="BB184"/>
      <c r="BC184" s="44">
        <v>-0.187</v>
      </c>
    </row>
    <row r="185" spans="1:55" x14ac:dyDescent="0.3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/>
      <c r="N185" s="44">
        <v>2.48</v>
      </c>
      <c r="P185" s="44">
        <v>2.48</v>
      </c>
      <c r="Q185" s="44">
        <v>2.48</v>
      </c>
      <c r="R185" s="44">
        <v>2.48</v>
      </c>
      <c r="T185" s="44">
        <v>2.48</v>
      </c>
      <c r="U185" s="44"/>
      <c r="V185" s="44">
        <v>2.48</v>
      </c>
      <c r="W185" s="44">
        <v>2.48</v>
      </c>
      <c r="X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 s="44">
        <v>2.48</v>
      </c>
      <c r="AI185" s="44">
        <v>2.48</v>
      </c>
      <c r="AJ185" s="44">
        <v>2.48</v>
      </c>
      <c r="AK185" s="44">
        <v>2.48</v>
      </c>
      <c r="AL185"/>
      <c r="AM185" s="44">
        <v>2.48</v>
      </c>
      <c r="AN185" s="44">
        <v>2.48</v>
      </c>
      <c r="AO185" s="44">
        <v>2.48</v>
      </c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 s="44">
        <v>2.48</v>
      </c>
      <c r="AW185" s="44">
        <v>2.48</v>
      </c>
      <c r="AX185" s="44">
        <v>2.48</v>
      </c>
      <c r="AY185"/>
      <c r="AZ185" s="44">
        <v>2.48</v>
      </c>
      <c r="BA185"/>
      <c r="BB185"/>
      <c r="BC185" s="44">
        <v>2.48</v>
      </c>
    </row>
    <row r="186" spans="1:55" x14ac:dyDescent="0.3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/>
      <c r="N186" s="44">
        <v>1</v>
      </c>
      <c r="P186" s="44">
        <v>1</v>
      </c>
      <c r="Q186" s="44">
        <v>1</v>
      </c>
      <c r="R186" s="44">
        <v>1</v>
      </c>
      <c r="T186" s="44">
        <v>1</v>
      </c>
      <c r="U186" s="44"/>
      <c r="V186" s="44">
        <v>1</v>
      </c>
      <c r="W186" s="44">
        <v>1</v>
      </c>
      <c r="X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 s="44">
        <v>1</v>
      </c>
      <c r="AI186" s="44">
        <v>1</v>
      </c>
      <c r="AJ186" s="44">
        <v>1</v>
      </c>
      <c r="AK186" s="44">
        <v>1</v>
      </c>
      <c r="AL186"/>
      <c r="AM186" s="44">
        <v>1</v>
      </c>
      <c r="AN186" s="44">
        <v>1</v>
      </c>
      <c r="AO186" s="44">
        <v>1</v>
      </c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 s="44">
        <v>1</v>
      </c>
      <c r="AW186" s="44">
        <v>1</v>
      </c>
      <c r="AX186" s="44">
        <v>1</v>
      </c>
      <c r="AY186"/>
      <c r="AZ186" s="44">
        <v>1</v>
      </c>
      <c r="BA186"/>
      <c r="BB186"/>
      <c r="BC186" s="44">
        <v>1</v>
      </c>
    </row>
    <row r="187" spans="1:55" x14ac:dyDescent="0.3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/>
      <c r="N187" s="44">
        <v>6.1060227588121015E-4</v>
      </c>
      <c r="P187" s="44">
        <v>6.1060227588121015E-4</v>
      </c>
      <c r="Q187" s="44">
        <v>6.1060227588121015E-4</v>
      </c>
      <c r="R187" s="44">
        <v>6.1060227588121015E-4</v>
      </c>
      <c r="T187" s="44">
        <v>6.1060227588121015E-4</v>
      </c>
      <c r="U187" s="44"/>
      <c r="V187" s="44">
        <v>6.1060227588121015E-4</v>
      </c>
      <c r="W187" s="44">
        <v>6.1060227588121015E-4</v>
      </c>
      <c r="X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/>
      <c r="AM187" s="44">
        <v>6.1060227588121015E-4</v>
      </c>
      <c r="AN187" s="44">
        <v>6.1060227588121015E-4</v>
      </c>
      <c r="AO187" s="44">
        <v>6.1060227588121015E-4</v>
      </c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 s="44">
        <v>6.1060227588121015E-4</v>
      </c>
      <c r="AW187" s="44">
        <v>6.1060227588121015E-4</v>
      </c>
      <c r="AX187" s="44">
        <v>6.1060227588121015E-4</v>
      </c>
      <c r="AY187"/>
      <c r="AZ187" s="44">
        <v>6.1060227588121015E-4</v>
      </c>
      <c r="BA187"/>
      <c r="BB187"/>
      <c r="BC187" s="44">
        <v>6.1060227588121015E-4</v>
      </c>
    </row>
    <row r="188" spans="1:55" x14ac:dyDescent="0.3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/>
      <c r="N188" s="44">
        <v>3.9999999999999998E-7</v>
      </c>
      <c r="P188" s="44">
        <v>3.9999999999999998E-7</v>
      </c>
      <c r="Q188" s="44">
        <v>3.9999999999999998E-7</v>
      </c>
      <c r="R188" s="44">
        <v>3.9999999999999998E-7</v>
      </c>
      <c r="T188" s="44">
        <v>3.9999999999999998E-7</v>
      </c>
      <c r="U188" s="44"/>
      <c r="V188" s="44">
        <v>3.9999999999999998E-7</v>
      </c>
      <c r="W188" s="44">
        <v>3.9999999999999998E-7</v>
      </c>
      <c r="X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/>
      <c r="AM188" s="44">
        <v>3.9999999999999998E-7</v>
      </c>
      <c r="AN188" s="44">
        <v>3.9999999999999998E-7</v>
      </c>
      <c r="AO188" s="44">
        <v>3.9999999999999998E-7</v>
      </c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 s="44">
        <v>3.9999999999999998E-7</v>
      </c>
      <c r="AW188" s="44">
        <v>3.9999999999999998E-7</v>
      </c>
      <c r="AX188" s="44">
        <v>3.9999999999999998E-7</v>
      </c>
      <c r="AY188"/>
      <c r="AZ188" s="44">
        <v>3.9999999999999998E-7</v>
      </c>
      <c r="BA188"/>
      <c r="BB188"/>
      <c r="BC188" s="44">
        <v>3.9999999999999998E-7</v>
      </c>
    </row>
    <row r="189" spans="1:55" x14ac:dyDescent="0.3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/>
      <c r="N189" s="44">
        <v>25</v>
      </c>
      <c r="P189" s="44">
        <v>25</v>
      </c>
      <c r="Q189" s="44">
        <v>25</v>
      </c>
      <c r="R189" s="44">
        <v>25</v>
      </c>
      <c r="T189" s="44">
        <v>25</v>
      </c>
      <c r="U189" s="44"/>
      <c r="V189" s="44">
        <v>25</v>
      </c>
      <c r="W189" s="44">
        <v>25</v>
      </c>
      <c r="X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 s="44">
        <v>25</v>
      </c>
      <c r="AI189" s="44">
        <v>25</v>
      </c>
      <c r="AJ189" s="44">
        <v>25</v>
      </c>
      <c r="AK189" s="44">
        <v>25</v>
      </c>
      <c r="AL189"/>
      <c r="AM189" s="44">
        <v>25</v>
      </c>
      <c r="AN189" s="44">
        <v>25</v>
      </c>
      <c r="AO189" s="44">
        <v>25</v>
      </c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 s="44">
        <v>25</v>
      </c>
      <c r="AW189" s="44">
        <v>25</v>
      </c>
      <c r="AX189" s="44">
        <v>25</v>
      </c>
      <c r="AY189"/>
      <c r="AZ189" s="44">
        <v>25</v>
      </c>
      <c r="BA189"/>
      <c r="BB189"/>
      <c r="BC189" s="44">
        <v>25</v>
      </c>
    </row>
    <row r="190" spans="1:55" x14ac:dyDescent="0.3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/>
      <c r="N190" s="44">
        <v>0</v>
      </c>
      <c r="P190" s="44">
        <v>0</v>
      </c>
      <c r="Q190" s="44">
        <v>0</v>
      </c>
      <c r="R190" s="44">
        <v>0</v>
      </c>
      <c r="T190" s="44">
        <v>0</v>
      </c>
      <c r="U190" s="44"/>
      <c r="V190" s="44">
        <v>0</v>
      </c>
      <c r="W190" s="44">
        <v>0</v>
      </c>
      <c r="X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 s="44">
        <v>0</v>
      </c>
      <c r="AI190" s="44">
        <v>0</v>
      </c>
      <c r="AJ190" s="44">
        <v>0</v>
      </c>
      <c r="AK190" s="44">
        <v>0</v>
      </c>
      <c r="AL190"/>
      <c r="AM190" s="44">
        <v>0</v>
      </c>
      <c r="AN190" s="44">
        <v>0</v>
      </c>
      <c r="AO190" s="44">
        <v>0</v>
      </c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 s="44">
        <v>0</v>
      </c>
      <c r="AW190" s="44">
        <v>0</v>
      </c>
      <c r="AX190" s="44">
        <v>0</v>
      </c>
      <c r="AY190"/>
      <c r="AZ190" s="44">
        <v>0</v>
      </c>
      <c r="BA190"/>
      <c r="BB190"/>
      <c r="BC190" s="44">
        <v>0</v>
      </c>
    </row>
    <row r="191" spans="1:55" x14ac:dyDescent="0.3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/>
      <c r="N191" s="44">
        <v>3.98</v>
      </c>
      <c r="P191" s="44">
        <v>3.98</v>
      </c>
      <c r="Q191" s="44">
        <v>3.98</v>
      </c>
      <c r="R191" s="44">
        <v>3.98</v>
      </c>
      <c r="T191" s="44">
        <v>3.98</v>
      </c>
      <c r="U191" s="44"/>
      <c r="V191" s="44">
        <v>3.98</v>
      </c>
      <c r="W191" s="44">
        <v>3.98</v>
      </c>
      <c r="X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 s="44">
        <v>3.98</v>
      </c>
      <c r="AI191" s="44">
        <v>3.98</v>
      </c>
      <c r="AJ191" s="44">
        <v>3.98</v>
      </c>
      <c r="AK191" s="44">
        <v>3.98</v>
      </c>
      <c r="AL191"/>
      <c r="AM191" s="44">
        <v>3.98</v>
      </c>
      <c r="AN191" s="44">
        <v>3.98</v>
      </c>
      <c r="AO191" s="44">
        <v>3.98</v>
      </c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 s="44">
        <v>3.98</v>
      </c>
      <c r="AW191" s="44">
        <v>3.98</v>
      </c>
      <c r="AX191" s="44">
        <v>3.98</v>
      </c>
      <c r="AY191"/>
      <c r="AZ191" s="44">
        <v>3.98</v>
      </c>
      <c r="BA191"/>
      <c r="BB191"/>
      <c r="BC191" s="44">
        <v>3.98</v>
      </c>
    </row>
    <row r="192" spans="1:55" x14ac:dyDescent="0.3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/>
      <c r="N192" s="44">
        <v>1</v>
      </c>
      <c r="P192" s="44">
        <v>1</v>
      </c>
      <c r="Q192" s="44">
        <v>1</v>
      </c>
      <c r="R192" s="44">
        <v>1</v>
      </c>
      <c r="T192" s="44">
        <v>1</v>
      </c>
      <c r="U192" s="44"/>
      <c r="V192" s="44">
        <v>1</v>
      </c>
      <c r="W192" s="44">
        <v>1</v>
      </c>
      <c r="X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 s="44">
        <v>1</v>
      </c>
      <c r="AI192" s="44">
        <v>1</v>
      </c>
      <c r="AJ192" s="44">
        <v>1</v>
      </c>
      <c r="AK192" s="44">
        <v>1</v>
      </c>
      <c r="AL192"/>
      <c r="AM192" s="44">
        <v>1</v>
      </c>
      <c r="AN192" s="44">
        <v>1</v>
      </c>
      <c r="AO192" s="44">
        <v>1</v>
      </c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 s="44">
        <v>1</v>
      </c>
      <c r="AW192" s="44">
        <v>1</v>
      </c>
      <c r="AX192" s="44">
        <v>1</v>
      </c>
      <c r="AY192"/>
      <c r="AZ192" s="44">
        <v>1</v>
      </c>
      <c r="BA192"/>
      <c r="BB192"/>
      <c r="BC192" s="44">
        <v>1</v>
      </c>
    </row>
    <row r="193" spans="1:63" x14ac:dyDescent="0.3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/>
      <c r="N193" s="44">
        <v>8.3333333333333331E-5</v>
      </c>
      <c r="P193" s="44">
        <v>8.3333333333333331E-5</v>
      </c>
      <c r="Q193" s="44">
        <v>8.3333333333333331E-5</v>
      </c>
      <c r="R193" s="44">
        <v>8.3333333333333331E-5</v>
      </c>
      <c r="T193" s="44">
        <v>8.3333333333333331E-5</v>
      </c>
      <c r="U193" s="44"/>
      <c r="V193" s="44">
        <v>8.3333333333333331E-5</v>
      </c>
      <c r="W193" s="44">
        <v>8.3333333333333331E-5</v>
      </c>
      <c r="X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/>
      <c r="AM193" s="44">
        <v>8.3333333333333331E-5</v>
      </c>
      <c r="AN193" s="44">
        <v>8.3333333333333331E-5</v>
      </c>
      <c r="AO193" s="44">
        <v>8.3333333333333331E-5</v>
      </c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 s="44">
        <v>8.3333333333333331E-5</v>
      </c>
      <c r="AW193" s="44">
        <v>8.3333333333333331E-5</v>
      </c>
      <c r="AX193" s="44">
        <v>8.3333333333333331E-5</v>
      </c>
      <c r="AY193"/>
      <c r="AZ193" s="44">
        <v>8.3333333333333331E-5</v>
      </c>
      <c r="BA193"/>
      <c r="BB193"/>
      <c r="BC193" s="44">
        <v>8.3333333333333331E-5</v>
      </c>
    </row>
    <row r="194" spans="1:63" x14ac:dyDescent="0.3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/>
      <c r="N194" s="44">
        <v>3.9999999999999998E-7</v>
      </c>
      <c r="P194" s="44">
        <v>3.9999999999999998E-7</v>
      </c>
      <c r="Q194" s="44">
        <v>3.9999999999999998E-7</v>
      </c>
      <c r="R194" s="44">
        <v>3.9999999999999998E-7</v>
      </c>
      <c r="T194" s="44">
        <v>3.9999999999999998E-7</v>
      </c>
      <c r="U194" s="44"/>
      <c r="V194" s="44">
        <v>3.9999999999999998E-7</v>
      </c>
      <c r="W194" s="44">
        <v>3.9999999999999998E-7</v>
      </c>
      <c r="X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/>
      <c r="AM194" s="44">
        <v>3.9999999999999998E-7</v>
      </c>
      <c r="AN194" s="44">
        <v>3.9999999999999998E-7</v>
      </c>
      <c r="AO194" s="44">
        <v>3.9999999999999998E-7</v>
      </c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 s="44">
        <v>3.9999999999999998E-7</v>
      </c>
      <c r="AW194" s="44">
        <v>3.9999999999999998E-7</v>
      </c>
      <c r="AX194" s="44">
        <v>3.9999999999999998E-7</v>
      </c>
      <c r="AY194"/>
      <c r="AZ194" s="44">
        <v>3.9999999999999998E-7</v>
      </c>
      <c r="BA194"/>
      <c r="BB194"/>
      <c r="BC194" s="44">
        <v>3.9999999999999998E-7</v>
      </c>
    </row>
    <row r="195" spans="1:63" x14ac:dyDescent="0.3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/>
      <c r="N195" s="44">
        <v>25</v>
      </c>
      <c r="P195" s="44">
        <v>25</v>
      </c>
      <c r="Q195" s="44">
        <v>25</v>
      </c>
      <c r="R195" s="44">
        <v>25</v>
      </c>
      <c r="T195" s="44">
        <v>25</v>
      </c>
      <c r="U195" s="44"/>
      <c r="V195" s="44">
        <v>25</v>
      </c>
      <c r="W195" s="44">
        <v>25</v>
      </c>
      <c r="X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 s="44">
        <v>25</v>
      </c>
      <c r="AI195" s="44">
        <v>25</v>
      </c>
      <c r="AJ195" s="44">
        <v>25</v>
      </c>
      <c r="AK195" s="44">
        <v>25</v>
      </c>
      <c r="AL195"/>
      <c r="AM195" s="44">
        <v>25</v>
      </c>
      <c r="AN195" s="44">
        <v>25</v>
      </c>
      <c r="AO195" s="44">
        <v>25</v>
      </c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 s="44">
        <v>25</v>
      </c>
      <c r="AW195" s="44">
        <v>25</v>
      </c>
      <c r="AX195" s="44">
        <v>25</v>
      </c>
      <c r="AY195"/>
      <c r="AZ195" s="44">
        <v>25</v>
      </c>
      <c r="BA195"/>
      <c r="BB195"/>
      <c r="BC195" s="44">
        <v>25</v>
      </c>
    </row>
    <row r="196" spans="1:63" x14ac:dyDescent="0.3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/>
      <c r="N196" s="44">
        <v>0</v>
      </c>
      <c r="P196" s="44">
        <v>0</v>
      </c>
      <c r="Q196" s="44">
        <v>0</v>
      </c>
      <c r="R196" s="44">
        <v>0</v>
      </c>
      <c r="T196" s="44">
        <v>0</v>
      </c>
      <c r="U196" s="44"/>
      <c r="V196" s="44">
        <v>0</v>
      </c>
      <c r="W196" s="44">
        <v>0</v>
      </c>
      <c r="X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 s="44">
        <v>0</v>
      </c>
      <c r="AI196" s="44">
        <v>0</v>
      </c>
      <c r="AJ196" s="44">
        <v>0</v>
      </c>
      <c r="AK196" s="44">
        <v>0</v>
      </c>
      <c r="AL196"/>
      <c r="AM196" s="44">
        <v>0</v>
      </c>
      <c r="AN196" s="44">
        <v>0</v>
      </c>
      <c r="AO196" s="44">
        <v>0</v>
      </c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 s="44">
        <v>0</v>
      </c>
      <c r="AW196" s="44">
        <v>0</v>
      </c>
      <c r="AX196" s="44">
        <v>0</v>
      </c>
      <c r="AY196"/>
      <c r="AZ196" s="44">
        <v>0</v>
      </c>
      <c r="BA196"/>
      <c r="BB196"/>
      <c r="BC196" s="44">
        <v>0</v>
      </c>
    </row>
    <row r="197" spans="1:63" x14ac:dyDescent="0.3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/>
      <c r="N197" s="44">
        <v>3.98</v>
      </c>
      <c r="P197" s="44">
        <v>3.98</v>
      </c>
      <c r="Q197" s="44">
        <v>3.98</v>
      </c>
      <c r="R197" s="44">
        <v>3.98</v>
      </c>
      <c r="T197" s="44">
        <v>3.98</v>
      </c>
      <c r="U197" s="44"/>
      <c r="V197" s="44">
        <v>3.98</v>
      </c>
      <c r="W197" s="44">
        <v>3.98</v>
      </c>
      <c r="X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 s="44">
        <v>3.98</v>
      </c>
      <c r="AI197" s="44">
        <v>3.98</v>
      </c>
      <c r="AJ197" s="44">
        <v>3.98</v>
      </c>
      <c r="AK197" s="44">
        <v>3.98</v>
      </c>
      <c r="AL197"/>
      <c r="AM197" s="44">
        <v>3.98</v>
      </c>
      <c r="AN197" s="44">
        <v>3.98</v>
      </c>
      <c r="AO197" s="44">
        <v>3.98</v>
      </c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 s="44">
        <v>3.98</v>
      </c>
      <c r="AW197" s="44">
        <v>3.98</v>
      </c>
      <c r="AX197" s="44">
        <v>3.98</v>
      </c>
      <c r="AY197"/>
      <c r="AZ197" s="44">
        <v>3.98</v>
      </c>
      <c r="BA197"/>
      <c r="BB197"/>
      <c r="BC197" s="44">
        <v>3.98</v>
      </c>
    </row>
    <row r="198" spans="1:63" x14ac:dyDescent="0.3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/>
      <c r="N198" s="44">
        <v>1</v>
      </c>
      <c r="P198" s="44">
        <v>1</v>
      </c>
      <c r="Q198" s="44">
        <v>1</v>
      </c>
      <c r="R198" s="44">
        <v>1</v>
      </c>
      <c r="T198" s="44">
        <v>1</v>
      </c>
      <c r="U198" s="44"/>
      <c r="V198" s="44">
        <v>1</v>
      </c>
      <c r="W198" s="44">
        <v>1</v>
      </c>
      <c r="X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 s="44">
        <v>1</v>
      </c>
      <c r="AI198" s="44">
        <v>1</v>
      </c>
      <c r="AJ198" s="44">
        <v>1</v>
      </c>
      <c r="AK198" s="44">
        <v>1</v>
      </c>
      <c r="AL198"/>
      <c r="AM198" s="44">
        <v>1</v>
      </c>
      <c r="AN198" s="44">
        <v>1</v>
      </c>
      <c r="AO198" s="44">
        <v>1</v>
      </c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 s="44">
        <v>1</v>
      </c>
      <c r="AW198" s="44">
        <v>1</v>
      </c>
      <c r="AX198" s="44">
        <v>1</v>
      </c>
      <c r="AY198"/>
      <c r="AZ198" s="44">
        <v>1</v>
      </c>
      <c r="BA198"/>
      <c r="BB198"/>
      <c r="BC198" s="44">
        <v>1</v>
      </c>
    </row>
    <row r="199" spans="1:63" x14ac:dyDescent="0.3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/>
      <c r="N199" s="44">
        <v>8.3333333333333331E-5</v>
      </c>
      <c r="P199" s="44">
        <v>8.3333333333333331E-5</v>
      </c>
      <c r="Q199" s="44">
        <v>8.3333333333333331E-5</v>
      </c>
      <c r="R199" s="44">
        <v>8.3333333333333331E-5</v>
      </c>
      <c r="T199" s="44">
        <v>8.3333333333333331E-5</v>
      </c>
      <c r="U199" s="44"/>
      <c r="V199" s="44">
        <v>8.3333333333333331E-5</v>
      </c>
      <c r="W199" s="44">
        <v>8.3333333333333331E-5</v>
      </c>
      <c r="X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/>
      <c r="AM199" s="44">
        <v>8.3333333333333331E-5</v>
      </c>
      <c r="AN199" s="44">
        <v>8.3333333333333331E-5</v>
      </c>
      <c r="AO199" s="44">
        <v>8.3333333333333331E-5</v>
      </c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 s="44">
        <v>8.3333333333333331E-5</v>
      </c>
      <c r="AW199" s="44">
        <v>8.3333333333333331E-5</v>
      </c>
      <c r="AX199" s="44">
        <v>8.3333333333333331E-5</v>
      </c>
      <c r="AY199"/>
      <c r="AZ199" s="44">
        <v>8.3333333333333331E-5</v>
      </c>
      <c r="BA199"/>
      <c r="BB199"/>
      <c r="BC199" s="44">
        <v>8.3333333333333331E-5</v>
      </c>
    </row>
    <row r="200" spans="1:63" x14ac:dyDescent="0.3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/>
      <c r="N200" s="44">
        <v>1.9999999999999999E-7</v>
      </c>
      <c r="P200" s="44">
        <v>1.9999999999999999E-7</v>
      </c>
      <c r="Q200" s="44">
        <v>1.9999999999999999E-7</v>
      </c>
      <c r="R200" s="44">
        <v>1.9999999999999999E-7</v>
      </c>
      <c r="T200" s="44">
        <v>1.9999999999999999E-7</v>
      </c>
      <c r="U200" s="44"/>
      <c r="V200" s="44">
        <v>1.9999999999999999E-7</v>
      </c>
      <c r="W200" s="44">
        <v>1.9999999999999999E-7</v>
      </c>
      <c r="X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/>
      <c r="AM200" s="44">
        <v>1.9999999999999999E-7</v>
      </c>
      <c r="AN200" s="44">
        <v>1.9999999999999999E-7</v>
      </c>
      <c r="AO200" s="44">
        <v>1.9999999999999999E-7</v>
      </c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 s="44">
        <v>1.9999999999999999E-7</v>
      </c>
      <c r="AW200" s="44">
        <v>1.9999999999999999E-7</v>
      </c>
      <c r="AX200" s="44">
        <v>1.9999999999999999E-7</v>
      </c>
      <c r="AY200"/>
      <c r="AZ200" s="44">
        <v>1.9999999999999999E-7</v>
      </c>
      <c r="BA200"/>
      <c r="BB200"/>
      <c r="BC200" s="44">
        <v>1.9999999999999999E-7</v>
      </c>
    </row>
    <row r="201" spans="1:63" x14ac:dyDescent="0.3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/>
      <c r="N201" s="44">
        <v>25</v>
      </c>
      <c r="P201" s="44">
        <v>25</v>
      </c>
      <c r="Q201" s="44">
        <v>25</v>
      </c>
      <c r="R201" s="44">
        <v>25</v>
      </c>
      <c r="T201" s="44">
        <v>25</v>
      </c>
      <c r="U201" s="44"/>
      <c r="V201" s="44">
        <v>25</v>
      </c>
      <c r="W201" s="44">
        <v>25</v>
      </c>
      <c r="X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 s="44">
        <v>25</v>
      </c>
      <c r="AI201" s="44">
        <v>25</v>
      </c>
      <c r="AJ201" s="44">
        <v>25</v>
      </c>
      <c r="AK201" s="44">
        <v>25</v>
      </c>
      <c r="AL201"/>
      <c r="AM201" s="44">
        <v>25</v>
      </c>
      <c r="AN201" s="44">
        <v>25</v>
      </c>
      <c r="AO201" s="44">
        <v>25</v>
      </c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 s="44">
        <v>25</v>
      </c>
      <c r="AW201" s="44">
        <v>25</v>
      </c>
      <c r="AX201" s="44">
        <v>25</v>
      </c>
      <c r="AY201"/>
      <c r="AZ201" s="44">
        <v>25</v>
      </c>
      <c r="BA201"/>
      <c r="BB201"/>
      <c r="BC201" s="44">
        <v>25</v>
      </c>
    </row>
    <row r="202" spans="1:63" x14ac:dyDescent="0.3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/>
      <c r="N202" s="44">
        <v>0</v>
      </c>
      <c r="P202" s="44">
        <v>0</v>
      </c>
      <c r="Q202" s="44">
        <v>0</v>
      </c>
      <c r="R202" s="44">
        <v>0</v>
      </c>
      <c r="T202" s="44">
        <v>0</v>
      </c>
      <c r="U202" s="44"/>
      <c r="V202" s="44">
        <v>0</v>
      </c>
      <c r="W202" s="44">
        <v>0</v>
      </c>
      <c r="X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 s="44">
        <v>0</v>
      </c>
      <c r="AI202" s="44">
        <v>0</v>
      </c>
      <c r="AJ202" s="44">
        <v>0</v>
      </c>
      <c r="AK202" s="44">
        <v>0</v>
      </c>
      <c r="AL202"/>
      <c r="AM202" s="44">
        <v>0</v>
      </c>
      <c r="AN202" s="44">
        <v>0</v>
      </c>
      <c r="AO202" s="44">
        <v>0</v>
      </c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 s="44">
        <v>0</v>
      </c>
      <c r="AW202" s="44">
        <v>0</v>
      </c>
      <c r="AX202" s="44">
        <v>0</v>
      </c>
      <c r="AY202"/>
      <c r="AZ202" s="44">
        <v>0</v>
      </c>
      <c r="BA202"/>
      <c r="BB202"/>
      <c r="BC202" s="44">
        <v>0</v>
      </c>
    </row>
    <row r="203" spans="1:63" x14ac:dyDescent="0.3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/>
      <c r="N203" s="44">
        <v>3.98</v>
      </c>
      <c r="P203" s="44">
        <v>3.98</v>
      </c>
      <c r="Q203" s="44">
        <v>3.98</v>
      </c>
      <c r="R203" s="44">
        <v>3.98</v>
      </c>
      <c r="T203" s="44">
        <v>3.98</v>
      </c>
      <c r="U203" s="44"/>
      <c r="V203" s="44">
        <v>3.98</v>
      </c>
      <c r="W203" s="44">
        <v>3.98</v>
      </c>
      <c r="X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 s="44">
        <v>3.98</v>
      </c>
      <c r="AI203" s="44">
        <v>3.98</v>
      </c>
      <c r="AJ203" s="44">
        <v>3.98</v>
      </c>
      <c r="AK203" s="44">
        <v>3.98</v>
      </c>
      <c r="AL203"/>
      <c r="AM203" s="44">
        <v>3.98</v>
      </c>
      <c r="AN203" s="44">
        <v>3.98</v>
      </c>
      <c r="AO203" s="44">
        <v>3.98</v>
      </c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 s="44">
        <v>3.98</v>
      </c>
      <c r="AW203" s="44">
        <v>3.98</v>
      </c>
      <c r="AX203" s="44">
        <v>3.98</v>
      </c>
      <c r="AY203"/>
      <c r="AZ203" s="44">
        <v>3.98</v>
      </c>
      <c r="BA203"/>
      <c r="BB203"/>
      <c r="BC203" s="44">
        <v>3.98</v>
      </c>
    </row>
    <row r="204" spans="1:63" x14ac:dyDescent="0.3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/>
      <c r="N204" s="44">
        <v>1</v>
      </c>
      <c r="P204" s="44">
        <v>1</v>
      </c>
      <c r="Q204" s="44">
        <v>1</v>
      </c>
      <c r="R204" s="44">
        <v>1</v>
      </c>
      <c r="T204" s="44">
        <v>1</v>
      </c>
      <c r="U204" s="44"/>
      <c r="V204" s="44">
        <v>1</v>
      </c>
      <c r="W204" s="44">
        <v>1</v>
      </c>
      <c r="X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 s="44">
        <v>1</v>
      </c>
      <c r="AI204" s="44">
        <v>1</v>
      </c>
      <c r="AJ204" s="44">
        <v>1</v>
      </c>
      <c r="AK204" s="44">
        <v>1</v>
      </c>
      <c r="AL204"/>
      <c r="AM204" s="44">
        <v>1</v>
      </c>
      <c r="AN204" s="44">
        <v>1</v>
      </c>
      <c r="AO204" s="44">
        <v>1</v>
      </c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 s="44">
        <v>1</v>
      </c>
      <c r="AW204" s="44">
        <v>1</v>
      </c>
      <c r="AX204" s="44">
        <v>1</v>
      </c>
      <c r="AY204"/>
      <c r="AZ204" s="44">
        <v>1</v>
      </c>
      <c r="BA204"/>
      <c r="BB204"/>
      <c r="BC204" s="44">
        <v>1</v>
      </c>
    </row>
    <row r="205" spans="1:63" x14ac:dyDescent="0.3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/>
      <c r="N205" s="44">
        <v>8.3333333333333331E-5</v>
      </c>
      <c r="P205" s="44">
        <v>8.3333333333333331E-5</v>
      </c>
      <c r="Q205" s="44">
        <v>8.3333333333333331E-5</v>
      </c>
      <c r="R205" s="44">
        <v>8.3333333333333331E-5</v>
      </c>
      <c r="T205" s="44">
        <v>8.3333333333333331E-5</v>
      </c>
      <c r="U205" s="44"/>
      <c r="V205" s="44">
        <v>8.3333333333333331E-5</v>
      </c>
      <c r="W205" s="44">
        <v>8.3333333333333331E-5</v>
      </c>
      <c r="X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/>
      <c r="AM205" s="44">
        <v>8.3333333333333331E-5</v>
      </c>
      <c r="AN205" s="44">
        <v>8.3333333333333331E-5</v>
      </c>
      <c r="AO205" s="44">
        <v>8.3333333333333331E-5</v>
      </c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 s="44">
        <v>8.3333333333333331E-5</v>
      </c>
      <c r="AW205" s="44">
        <v>8.3333333333333331E-5</v>
      </c>
      <c r="AX205" s="44">
        <v>8.3333333333333331E-5</v>
      </c>
      <c r="AY205"/>
      <c r="AZ205" s="44">
        <v>8.3333333333333331E-5</v>
      </c>
      <c r="BA205"/>
      <c r="BB205"/>
      <c r="BC205" s="44">
        <v>8.3333333333333331E-5</v>
      </c>
    </row>
    <row r="206" spans="1:63" x14ac:dyDescent="0.3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/>
      <c r="N206" s="44" t="s">
        <v>89</v>
      </c>
      <c r="P206" s="44" t="s">
        <v>89</v>
      </c>
      <c r="Q206" s="44" t="s">
        <v>89</v>
      </c>
      <c r="R206" s="44" t="s">
        <v>89</v>
      </c>
      <c r="T206" s="44" t="s">
        <v>89</v>
      </c>
      <c r="U206" s="44"/>
      <c r="V206" s="44" t="s">
        <v>89</v>
      </c>
      <c r="W206" s="44" t="s">
        <v>89</v>
      </c>
      <c r="X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 s="44" t="s">
        <v>89</v>
      </c>
      <c r="AI206" s="44" t="s">
        <v>89</v>
      </c>
      <c r="AJ206" s="44" t="s">
        <v>89</v>
      </c>
      <c r="AK206" s="44" t="s">
        <v>89</v>
      </c>
      <c r="AL206"/>
      <c r="AM206" s="44" t="s">
        <v>89</v>
      </c>
      <c r="AN206" s="44" t="s">
        <v>89</v>
      </c>
      <c r="AO206" s="44" t="s">
        <v>89</v>
      </c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 s="44" t="s">
        <v>89</v>
      </c>
      <c r="AW206" s="44" t="s">
        <v>89</v>
      </c>
      <c r="AX206" s="44" t="s">
        <v>89</v>
      </c>
      <c r="AY206"/>
      <c r="AZ206" s="44" t="s">
        <v>89</v>
      </c>
      <c r="BA206"/>
      <c r="BB206"/>
      <c r="BC206" s="44" t="s">
        <v>89</v>
      </c>
    </row>
    <row r="207" spans="1:63" x14ac:dyDescent="0.3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/>
      <c r="N207" s="44">
        <f>0.0000005*0.4285*10/2.028*4</f>
        <v>4.2258382642998024E-6</v>
      </c>
      <c r="P207" s="44">
        <f>0.0000005*0.4285*10/2.028*4</f>
        <v>4.2258382642998024E-6</v>
      </c>
      <c r="Q207" s="44">
        <f>0.0000005*0.4285*10/2.028*4</f>
        <v>4.2258382642998024E-6</v>
      </c>
      <c r="R207" s="44">
        <f>0.0000005*0.4285*10/2.028*4</f>
        <v>4.2258382642998024E-6</v>
      </c>
      <c r="T207" s="44">
        <f>0.0000005*0.4285*10/2.028*4</f>
        <v>4.2258382642998024E-6</v>
      </c>
      <c r="U207" s="44"/>
      <c r="V207" s="44">
        <f t="shared" ref="V207:BC207" si="13">0.00002</f>
        <v>2.0000000000000002E-5</v>
      </c>
      <c r="W207" s="44">
        <f t="shared" si="13"/>
        <v>2.0000000000000002E-5</v>
      </c>
      <c r="X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/>
      <c r="AM207" s="44">
        <f t="shared" si="13"/>
        <v>2.0000000000000002E-5</v>
      </c>
      <c r="AN207" s="44">
        <f t="shared" si="13"/>
        <v>2.0000000000000002E-5</v>
      </c>
      <c r="AO207" s="44">
        <f t="shared" si="13"/>
        <v>2.0000000000000002E-5</v>
      </c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 s="44">
        <f t="shared" si="13"/>
        <v>2.0000000000000002E-5</v>
      </c>
      <c r="AW207" s="44">
        <f t="shared" si="13"/>
        <v>2.0000000000000002E-5</v>
      </c>
      <c r="AX207" s="44">
        <f t="shared" si="13"/>
        <v>2.0000000000000002E-5</v>
      </c>
      <c r="AY207"/>
      <c r="AZ207" s="44">
        <f t="shared" si="13"/>
        <v>2.0000000000000002E-5</v>
      </c>
      <c r="BA207"/>
      <c r="BB207"/>
      <c r="BC207" s="44">
        <f t="shared" si="13"/>
        <v>2.0000000000000002E-5</v>
      </c>
      <c r="BD207" s="1"/>
      <c r="BE207" s="1"/>
      <c r="BF207" s="1"/>
      <c r="BG207" s="1"/>
      <c r="BH207" s="1"/>
      <c r="BI207" s="1"/>
      <c r="BJ207" s="1"/>
      <c r="BK207" s="1"/>
    </row>
    <row r="208" spans="1:63" x14ac:dyDescent="0.3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/>
      <c r="N208" s="44">
        <v>0.25</v>
      </c>
      <c r="P208" s="44">
        <v>0.25</v>
      </c>
      <c r="Q208" s="44">
        <v>0.25</v>
      </c>
      <c r="R208" s="44">
        <v>0.25</v>
      </c>
      <c r="T208" s="44">
        <v>0.25</v>
      </c>
      <c r="U208" s="44"/>
      <c r="V208" s="44">
        <v>0.3</v>
      </c>
      <c r="W208" s="44">
        <v>0.3</v>
      </c>
      <c r="X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 s="44">
        <v>0.3</v>
      </c>
      <c r="AH208" s="44">
        <v>0.3</v>
      </c>
      <c r="AI208" s="44">
        <v>0.3</v>
      </c>
      <c r="AJ208" s="44">
        <v>0.3</v>
      </c>
      <c r="AK208" s="44">
        <v>0.3</v>
      </c>
      <c r="AL208"/>
      <c r="AM208" s="44">
        <v>0.3</v>
      </c>
      <c r="AN208" s="44">
        <v>0.3</v>
      </c>
      <c r="AO208" s="44">
        <v>0.3</v>
      </c>
      <c r="AP208" s="44">
        <v>0.3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 s="44">
        <v>0.15</v>
      </c>
      <c r="AW208" s="44">
        <v>0.15</v>
      </c>
      <c r="AX208" s="44">
        <v>0.15</v>
      </c>
      <c r="AY208"/>
      <c r="AZ208" s="44">
        <v>0.15</v>
      </c>
      <c r="BA208"/>
      <c r="BB208"/>
      <c r="BC208" s="44">
        <v>0.3</v>
      </c>
      <c r="BD208" s="51"/>
      <c r="BE208" s="51"/>
      <c r="BF208" s="51"/>
      <c r="BG208" s="51"/>
      <c r="BH208" s="51"/>
      <c r="BI208" s="51"/>
      <c r="BJ208" s="51"/>
      <c r="BK208" s="51"/>
    </row>
    <row r="209" spans="1:63" x14ac:dyDescent="0.3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BC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/>
      <c r="N209" s="44">
        <f t="shared" si="14"/>
        <v>1.4285714285714286E-6</v>
      </c>
      <c r="P209" s="44">
        <f t="shared" si="14"/>
        <v>1.4285714285714286E-6</v>
      </c>
      <c r="Q209" s="44">
        <f t="shared" si="14"/>
        <v>1.4285714285714286E-6</v>
      </c>
      <c r="R209" s="44">
        <f t="shared" si="14"/>
        <v>1.4285714285714286E-6</v>
      </c>
      <c r="T209" s="44">
        <f t="shared" si="14"/>
        <v>1.4285714285714286E-6</v>
      </c>
      <c r="U209" s="44"/>
      <c r="V209" s="44">
        <f t="shared" si="14"/>
        <v>1.4285714285714286E-6</v>
      </c>
      <c r="W209" s="44">
        <v>2E-3</v>
      </c>
      <c r="X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/>
      <c r="AM209" s="44">
        <f t="shared" si="14"/>
        <v>1.4285714285714286E-6</v>
      </c>
      <c r="AN209" s="44">
        <f t="shared" si="14"/>
        <v>1.4285714285714286E-6</v>
      </c>
      <c r="AO209" s="44">
        <f t="shared" si="14"/>
        <v>1.4285714285714286E-6</v>
      </c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f t="shared" si="14"/>
        <v>1.4285714285714286E-6</v>
      </c>
      <c r="AV209" s="44">
        <f t="shared" si="14"/>
        <v>1.4285714285714286E-6</v>
      </c>
      <c r="AW209" s="44">
        <f t="shared" si="14"/>
        <v>1.4285714285714286E-6</v>
      </c>
      <c r="AX209" s="44">
        <f t="shared" si="14"/>
        <v>1.4285714285714286E-6</v>
      </c>
      <c r="AY209"/>
      <c r="AZ209" s="44">
        <v>2E-3</v>
      </c>
      <c r="BA209"/>
      <c r="BB209"/>
      <c r="BC209" s="44">
        <f t="shared" si="14"/>
        <v>1.4285714285714286E-6</v>
      </c>
      <c r="BD209" s="37"/>
      <c r="BE209" s="37"/>
      <c r="BF209" s="37"/>
      <c r="BG209" s="37"/>
      <c r="BH209" s="37"/>
      <c r="BI209" s="37"/>
      <c r="BJ209" s="37"/>
      <c r="BK209" s="37"/>
    </row>
    <row r="210" spans="1:63" x14ac:dyDescent="0.3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/>
      <c r="N210" s="44" t="s">
        <v>485</v>
      </c>
      <c r="P210" s="44" t="s">
        <v>485</v>
      </c>
      <c r="Q210" s="44" t="s">
        <v>485</v>
      </c>
      <c r="R210" s="44" t="s">
        <v>485</v>
      </c>
      <c r="T210" s="44" t="s">
        <v>485</v>
      </c>
      <c r="U210" s="44"/>
      <c r="V210" s="44" t="s">
        <v>485</v>
      </c>
      <c r="W210" s="44">
        <v>0.1</v>
      </c>
      <c r="X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 s="44" t="s">
        <v>485</v>
      </c>
      <c r="AI210" s="44" t="s">
        <v>485</v>
      </c>
      <c r="AJ210" s="44" t="s">
        <v>485</v>
      </c>
      <c r="AK210" s="44" t="s">
        <v>485</v>
      </c>
      <c r="AL210"/>
      <c r="AM210" s="44" t="s">
        <v>485</v>
      </c>
      <c r="AN210" s="44" t="s">
        <v>485</v>
      </c>
      <c r="AO210" s="44" t="s">
        <v>485</v>
      </c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 t="s">
        <v>485</v>
      </c>
      <c r="AV210" s="44" t="s">
        <v>485</v>
      </c>
      <c r="AW210" s="44" t="s">
        <v>485</v>
      </c>
      <c r="AX210" s="44" t="s">
        <v>485</v>
      </c>
      <c r="AY210"/>
      <c r="AZ210" s="44">
        <v>0.1</v>
      </c>
      <c r="BA210"/>
      <c r="BB210"/>
      <c r="BC210" s="44" t="s">
        <v>485</v>
      </c>
      <c r="BD210" s="37"/>
      <c r="BE210" s="37"/>
      <c r="BF210" s="37"/>
      <c r="BG210" s="37"/>
      <c r="BH210" s="37"/>
      <c r="BI210" s="37"/>
      <c r="BJ210" s="37"/>
      <c r="BK210" s="37"/>
    </row>
    <row r="211" spans="1:63" x14ac:dyDescent="0.3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/>
      <c r="N211" s="44">
        <v>0</v>
      </c>
      <c r="P211" s="44">
        <v>0</v>
      </c>
      <c r="Q211" s="44">
        <v>0</v>
      </c>
      <c r="R211" s="44">
        <v>0</v>
      </c>
      <c r="T211" s="44">
        <v>0</v>
      </c>
      <c r="U211" s="44"/>
      <c r="V211" s="44">
        <v>0</v>
      </c>
      <c r="W211" s="44">
        <v>0.04</v>
      </c>
      <c r="X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 s="44">
        <v>0</v>
      </c>
      <c r="AI211" s="44">
        <v>0</v>
      </c>
      <c r="AJ211" s="44">
        <v>0</v>
      </c>
      <c r="AK211" s="44">
        <v>0</v>
      </c>
      <c r="AL211"/>
      <c r="AM211" s="44">
        <v>0</v>
      </c>
      <c r="AN211" s="44">
        <v>0</v>
      </c>
      <c r="AO211" s="44">
        <v>0</v>
      </c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</v>
      </c>
      <c r="AV211" s="44">
        <v>0</v>
      </c>
      <c r="AW211" s="44">
        <v>0</v>
      </c>
      <c r="AX211" s="44">
        <v>0</v>
      </c>
      <c r="AY211"/>
      <c r="AZ211" s="44">
        <v>0.04</v>
      </c>
      <c r="BA211"/>
      <c r="BB211"/>
      <c r="BC211" s="44">
        <v>0</v>
      </c>
      <c r="BD211" s="37"/>
      <c r="BE211" s="37"/>
      <c r="BF211" s="37"/>
      <c r="BG211" s="37"/>
      <c r="BH211" s="37"/>
      <c r="BI211" s="37"/>
      <c r="BJ211" s="37"/>
      <c r="BK211" s="37"/>
    </row>
    <row r="212" spans="1:63" x14ac:dyDescent="0.3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/>
      <c r="N212" s="44">
        <v>1E-3</v>
      </c>
      <c r="P212" s="44">
        <v>1E-3</v>
      </c>
      <c r="Q212" s="44">
        <v>1E-3</v>
      </c>
      <c r="R212" s="44">
        <v>1E-3</v>
      </c>
      <c r="T212" s="44">
        <v>1E-3</v>
      </c>
      <c r="U212" s="44"/>
      <c r="V212" s="44">
        <v>1E-3</v>
      </c>
      <c r="W212" s="44">
        <v>1E-3</v>
      </c>
      <c r="X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 s="44">
        <v>1E-3</v>
      </c>
      <c r="AI212" s="44">
        <v>1E-3</v>
      </c>
      <c r="AJ212" s="44">
        <v>1E-3</v>
      </c>
      <c r="AK212" s="44">
        <v>1E-3</v>
      </c>
      <c r="AL212"/>
      <c r="AM212" s="44">
        <v>1E-3</v>
      </c>
      <c r="AN212" s="44">
        <v>1E-3</v>
      </c>
      <c r="AO212" s="44">
        <v>1E-3</v>
      </c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 s="44">
        <v>1E-3</v>
      </c>
      <c r="AW212" s="44">
        <v>1E-3</v>
      </c>
      <c r="AX212" s="44">
        <v>1E-3</v>
      </c>
      <c r="AY212"/>
      <c r="AZ212" s="44">
        <v>1E-3</v>
      </c>
      <c r="BA212"/>
      <c r="BB212"/>
      <c r="BC212" s="44">
        <v>1E-3</v>
      </c>
      <c r="BD212" s="37"/>
      <c r="BE212" s="37"/>
      <c r="BF212" s="37"/>
      <c r="BG212" s="37"/>
      <c r="BH212" s="37"/>
      <c r="BI212" s="37"/>
      <c r="BJ212" s="37"/>
      <c r="BK212" s="37"/>
    </row>
    <row r="213" spans="1:63" x14ac:dyDescent="0.3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BC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/>
      <c r="N213" s="44">
        <f>1250*0.000001/5</f>
        <v>2.5000000000000001E-4</v>
      </c>
      <c r="P213" s="44">
        <f>1250*0.000001/5</f>
        <v>2.5000000000000001E-4</v>
      </c>
      <c r="Q213" s="44">
        <f>1250*0.000001/5</f>
        <v>2.5000000000000001E-4</v>
      </c>
      <c r="R213" s="44">
        <f>1250*0.000001/5</f>
        <v>2.5000000000000001E-4</v>
      </c>
      <c r="T213" s="44">
        <f t="shared" si="15"/>
        <v>2.5000000000000001E-4</v>
      </c>
      <c r="U213" s="44"/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/>
      <c r="AM213" s="44">
        <f t="shared" si="15"/>
        <v>2.5000000000000001E-4</v>
      </c>
      <c r="AN213" s="44">
        <f t="shared" si="15"/>
        <v>2.5000000000000001E-4</v>
      </c>
      <c r="AO213" s="44">
        <f t="shared" si="15"/>
        <v>2.5000000000000001E-4</v>
      </c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 s="44">
        <f t="shared" si="15"/>
        <v>2.5000000000000001E-4</v>
      </c>
      <c r="AW213" s="44">
        <f t="shared" si="15"/>
        <v>2.5000000000000001E-4</v>
      </c>
      <c r="AX213" s="44">
        <f t="shared" si="15"/>
        <v>2.5000000000000001E-4</v>
      </c>
      <c r="AY213"/>
      <c r="AZ213" s="44">
        <f t="shared" si="15"/>
        <v>2.5000000000000001E-4</v>
      </c>
      <c r="BA213"/>
      <c r="BB213"/>
      <c r="BC213" s="44">
        <f t="shared" si="15"/>
        <v>2.5000000000000001E-4</v>
      </c>
      <c r="BD213" s="51"/>
      <c r="BE213" s="51"/>
      <c r="BF213" s="51"/>
      <c r="BG213" s="51"/>
      <c r="BH213" s="51"/>
      <c r="BI213" s="51"/>
      <c r="BJ213" s="51"/>
      <c r="BK213" s="51"/>
    </row>
    <row r="214" spans="1:63" x14ac:dyDescent="0.3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/>
      <c r="N214" s="44">
        <v>2.0000000000000001E-4</v>
      </c>
      <c r="P214" s="44">
        <v>2.0000000000000001E-4</v>
      </c>
      <c r="Q214" s="44">
        <v>2.0000000000000001E-4</v>
      </c>
      <c r="R214" s="44">
        <v>2.0000000000000001E-4</v>
      </c>
      <c r="T214" s="44">
        <v>2.0000000000000001E-4</v>
      </c>
      <c r="U214" s="44"/>
      <c r="V214" s="44">
        <v>2.0000000000000001E-4</v>
      </c>
      <c r="W214" s="44">
        <v>2.0000000000000001E-4</v>
      </c>
      <c r="X214" s="44">
        <v>2.0000000000000001E-4</v>
      </c>
      <c r="Y214" s="1">
        <f>44.4365413894298/21.9053373</f>
        <v>2.0285714290019081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/>
      <c r="AM214" s="44">
        <v>2.0000000000000001E-4</v>
      </c>
      <c r="AN214" s="44">
        <v>2.0000000000000001E-4</v>
      </c>
      <c r="AO214" s="44">
        <v>2.0000000000000001E-4</v>
      </c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 s="44">
        <v>2.0000000000000001E-4</v>
      </c>
      <c r="AW214" s="44">
        <v>2.0000000000000001E-4</v>
      </c>
      <c r="AX214" s="44">
        <v>2.0000000000000001E-4</v>
      </c>
      <c r="AY214"/>
      <c r="AZ214" s="44">
        <v>2.0000000000000001E-4</v>
      </c>
      <c r="BA214"/>
      <c r="BB214"/>
      <c r="BC214" s="44">
        <v>2.0000000000000001E-4</v>
      </c>
      <c r="BD214" s="51"/>
      <c r="BE214" s="51"/>
      <c r="BF214" s="51"/>
      <c r="BG214" s="51"/>
      <c r="BH214" s="51"/>
      <c r="BI214" s="51"/>
      <c r="BJ214" s="51"/>
      <c r="BK214" s="51"/>
    </row>
    <row r="215" spans="1:63" x14ac:dyDescent="0.3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 t="shared" ref="J215:L216" si="16">0.0000000000025/50</f>
        <v>4.9999999999999995E-14</v>
      </c>
      <c r="K215" s="44">
        <f t="shared" si="16"/>
        <v>4.9999999999999995E-14</v>
      </c>
      <c r="L215" s="44">
        <f t="shared" si="16"/>
        <v>4.9999999999999995E-14</v>
      </c>
      <c r="M215" s="44"/>
      <c r="N215" s="44">
        <f>N163</f>
        <v>4.9999999999999999E-13</v>
      </c>
      <c r="O215" s="1" t="s">
        <v>606</v>
      </c>
      <c r="P215" s="44">
        <f>P163</f>
        <v>4.9999999999999999E-13</v>
      </c>
      <c r="Q215" s="44">
        <f>Q163</f>
        <v>4.9999999999999999E-13</v>
      </c>
      <c r="R215" s="44">
        <f>R163</f>
        <v>4.9999999999999999E-13</v>
      </c>
      <c r="T215" s="44">
        <f>0.0000000000025/50</f>
        <v>4.9999999999999995E-14</v>
      </c>
      <c r="U215" s="44"/>
      <c r="V215" s="44">
        <v>2.4999999999999999E-13</v>
      </c>
      <c r="W215" s="44">
        <v>2.4999999999999999E-13</v>
      </c>
      <c r="X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/>
      <c r="AM215" s="44">
        <v>2.4999999999999999E-13</v>
      </c>
      <c r="AN215" s="44">
        <v>2.4999999999999999E-13</v>
      </c>
      <c r="AO215" s="44">
        <v>2.4999999999999999E-13</v>
      </c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 s="44">
        <v>2.4999999999999999E-13</v>
      </c>
      <c r="AW215" s="44">
        <v>2.4999999999999999E-13</v>
      </c>
      <c r="AX215" s="44">
        <v>2.4999999999999999E-13</v>
      </c>
      <c r="AY215"/>
      <c r="AZ215" s="44">
        <v>2.4999999999999999E-13</v>
      </c>
      <c r="BA215"/>
      <c r="BB215"/>
      <c r="BC215" s="44">
        <v>2.4999999999999999E-13</v>
      </c>
      <c r="BD215" s="51"/>
      <c r="BE215" s="51"/>
      <c r="BF215" s="51"/>
      <c r="BG215" s="51"/>
      <c r="BH215" s="51"/>
      <c r="BI215" s="51"/>
      <c r="BJ215" s="51"/>
      <c r="BK215" s="51"/>
    </row>
    <row r="216" spans="1:63" x14ac:dyDescent="0.35">
      <c r="A216" s="2" t="s">
        <v>610</v>
      </c>
      <c r="B216" s="3" t="s">
        <v>473</v>
      </c>
      <c r="C216" s="3" t="s">
        <v>483</v>
      </c>
      <c r="D216" s="3" t="s">
        <v>521</v>
      </c>
      <c r="E216" s="50" t="s">
        <v>611</v>
      </c>
      <c r="F216" s="50" t="s">
        <v>504</v>
      </c>
      <c r="G216" s="44">
        <v>2.4999999999999998E-12</v>
      </c>
      <c r="I216" s="44">
        <f xml:space="preserve"> 0.0000000000025 * 10</f>
        <v>2.4999999999999998E-11</v>
      </c>
      <c r="J216" s="44">
        <f t="shared" si="16"/>
        <v>4.9999999999999995E-14</v>
      </c>
      <c r="K216" s="44">
        <f t="shared" si="16"/>
        <v>4.9999999999999995E-14</v>
      </c>
      <c r="L216" s="44">
        <f t="shared" si="16"/>
        <v>4.9999999999999995E-14</v>
      </c>
      <c r="M216" s="44"/>
      <c r="N216" s="44">
        <f>N163</f>
        <v>4.9999999999999999E-13</v>
      </c>
      <c r="O216" s="1" t="s">
        <v>606</v>
      </c>
      <c r="P216" s="44">
        <f>P163</f>
        <v>4.9999999999999999E-13</v>
      </c>
      <c r="Q216" s="44">
        <f>Q163</f>
        <v>4.9999999999999999E-13</v>
      </c>
      <c r="R216" s="44">
        <f>R163</f>
        <v>4.9999999999999999E-13</v>
      </c>
      <c r="T216" s="44">
        <f>0.0000000000025/50</f>
        <v>4.9999999999999995E-14</v>
      </c>
      <c r="U216" s="44"/>
      <c r="V216" s="44">
        <v>2.4999999999999999E-13</v>
      </c>
      <c r="W216" s="44">
        <v>2.4999999999999999E-13</v>
      </c>
      <c r="X216" s="44">
        <v>2.4999999999999999E-13</v>
      </c>
      <c r="AA216" s="44">
        <v>2.4999999999999999E-13</v>
      </c>
      <c r="AB216" s="44">
        <v>2.4999999999999999E-13</v>
      </c>
      <c r="AC216" s="44">
        <v>2.4999999999999999E-13</v>
      </c>
      <c r="AD216" s="44">
        <v>2.4999999999999999E-13</v>
      </c>
      <c r="AE216" s="44">
        <v>2.4999999999999999E-13</v>
      </c>
      <c r="AF216" s="44">
        <v>2.4999999999999999E-13</v>
      </c>
      <c r="AG216" s="44">
        <v>2.4999999999999999E-13</v>
      </c>
      <c r="AH216" s="44">
        <v>2.4999999999999999E-13</v>
      </c>
      <c r="AI216" s="44">
        <v>2.4999999999999999E-13</v>
      </c>
      <c r="AJ216" s="44">
        <v>2.4999999999999999E-13</v>
      </c>
      <c r="AK216" s="44">
        <v>2.4999999999999999E-13</v>
      </c>
      <c r="AL216"/>
      <c r="AM216" s="44">
        <v>2.4999999999999999E-13</v>
      </c>
      <c r="AN216" s="44">
        <v>2.4999999999999999E-13</v>
      </c>
      <c r="AO216" s="44">
        <v>2.4999999999999999E-13</v>
      </c>
      <c r="AP216" s="44">
        <v>2.4999999999999999E-13</v>
      </c>
      <c r="AQ216" s="44">
        <v>2.4999999999999999E-13</v>
      </c>
      <c r="AR216" s="44">
        <v>2.4999999999999999E-13</v>
      </c>
      <c r="AS216" s="44">
        <v>2.4999999999999999E-13</v>
      </c>
      <c r="AT216"/>
      <c r="AU216" s="44">
        <v>2.4999999999999999E-13</v>
      </c>
      <c r="AV216" s="44">
        <v>2.4999999999999999E-13</v>
      </c>
      <c r="AW216" s="44">
        <v>2.4999999999999999E-13</v>
      </c>
      <c r="AX216" s="44">
        <v>2.4999999999999999E-13</v>
      </c>
      <c r="AY216"/>
      <c r="AZ216" s="44">
        <v>2.4999999999999999E-13</v>
      </c>
      <c r="BA216"/>
      <c r="BB216"/>
      <c r="BC216" s="44">
        <v>2.4999999999999999E-13</v>
      </c>
      <c r="BD216" s="51"/>
      <c r="BE216" s="51"/>
      <c r="BF216" s="51"/>
      <c r="BG216" s="51"/>
      <c r="BH216" s="51"/>
      <c r="BI216" s="51"/>
      <c r="BJ216" s="51"/>
      <c r="BK216" s="51"/>
    </row>
    <row r="217" spans="1:63" x14ac:dyDescent="0.35">
      <c r="A217" s="2" t="s">
        <v>505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 / 10</f>
        <v>5.0000000000000005E-12</v>
      </c>
      <c r="K217" s="44">
        <f>0.00000000005/ 10</f>
        <v>5.0000000000000005E-12</v>
      </c>
      <c r="L217" s="44">
        <f>0.00000000005</f>
        <v>5.0000000000000002E-11</v>
      </c>
      <c r="M217" s="44"/>
      <c r="N217" s="44">
        <f>0.00000000005 *2</f>
        <v>1E-10</v>
      </c>
      <c r="P217" s="44">
        <f>0.00000000005 *2</f>
        <v>1E-10</v>
      </c>
      <c r="Q217" s="44">
        <f>0.00000000005 *2</f>
        <v>1E-10</v>
      </c>
      <c r="R217" s="44">
        <f>0.00000000005 *2</f>
        <v>1E-10</v>
      </c>
      <c r="T217" s="44">
        <f>0.00000000005*2 / 10 / 2</f>
        <v>5.0000000000000005E-12</v>
      </c>
      <c r="U217" s="44"/>
      <c r="V217" s="44">
        <f t="shared" ref="V217:AZ218" si="17">0.00000012*100</f>
        <v>1.1999999999999999E-5</v>
      </c>
      <c r="W217" s="44">
        <f t="shared" si="17"/>
        <v>1.1999999999999999E-5</v>
      </c>
      <c r="X217" s="44">
        <f t="shared" si="17"/>
        <v>1.1999999999999999E-5</v>
      </c>
      <c r="AA217" s="44">
        <f t="shared" si="17"/>
        <v>1.1999999999999999E-5</v>
      </c>
      <c r="AB217" s="44">
        <f t="shared" si="17"/>
        <v>1.1999999999999999E-5</v>
      </c>
      <c r="AC217" s="44">
        <f t="shared" si="17"/>
        <v>1.1999999999999999E-5</v>
      </c>
      <c r="AD217" s="44">
        <f t="shared" si="17"/>
        <v>1.1999999999999999E-5</v>
      </c>
      <c r="AE217" s="44">
        <f t="shared" si="17"/>
        <v>1.1999999999999999E-5</v>
      </c>
      <c r="AF217" s="44">
        <f t="shared" si="17"/>
        <v>1.1999999999999999E-5</v>
      </c>
      <c r="AG217" s="44">
        <f t="shared" si="17"/>
        <v>1.1999999999999999E-5</v>
      </c>
      <c r="AH217" s="44">
        <f t="shared" si="17"/>
        <v>1.1999999999999999E-5</v>
      </c>
      <c r="AI217" s="44">
        <f t="shared" si="17"/>
        <v>1.1999999999999999E-5</v>
      </c>
      <c r="AJ217" s="44">
        <f t="shared" si="17"/>
        <v>1.1999999999999999E-5</v>
      </c>
      <c r="AK217" s="44">
        <f t="shared" si="17"/>
        <v>1.1999999999999999E-5</v>
      </c>
      <c r="AL217"/>
      <c r="AM217" s="44">
        <f t="shared" si="17"/>
        <v>1.1999999999999999E-5</v>
      </c>
      <c r="AN217" s="44">
        <f t="shared" si="17"/>
        <v>1.1999999999999999E-5</v>
      </c>
      <c r="AO217" s="44">
        <f t="shared" si="17"/>
        <v>1.1999999999999999E-5</v>
      </c>
      <c r="AP217" s="44">
        <f t="shared" si="17"/>
        <v>1.1999999999999999E-5</v>
      </c>
      <c r="AQ217" s="44">
        <f t="shared" si="17"/>
        <v>1.1999999999999999E-5</v>
      </c>
      <c r="AR217" s="44">
        <f t="shared" si="17"/>
        <v>1.1999999999999999E-5</v>
      </c>
      <c r="AS217" s="44">
        <f t="shared" si="17"/>
        <v>1.1999999999999999E-5</v>
      </c>
      <c r="AT217"/>
      <c r="AU217" s="44">
        <f t="shared" si="17"/>
        <v>1.1999999999999999E-5</v>
      </c>
      <c r="AV217" s="44">
        <f t="shared" si="17"/>
        <v>1.1999999999999999E-5</v>
      </c>
      <c r="AW217" s="44">
        <f t="shared" si="17"/>
        <v>1.1999999999999999E-5</v>
      </c>
      <c r="AX217" s="44">
        <f t="shared" si="17"/>
        <v>1.1999999999999999E-5</v>
      </c>
      <c r="AY217"/>
      <c r="AZ217" s="44">
        <f t="shared" si="17"/>
        <v>1.1999999999999999E-5</v>
      </c>
      <c r="BA217"/>
      <c r="BB217"/>
      <c r="BC217" s="44">
        <f>0.00000012*100</f>
        <v>1.1999999999999999E-5</v>
      </c>
      <c r="BD217" s="51"/>
      <c r="BE217" s="51"/>
      <c r="BF217" s="51"/>
      <c r="BG217" s="51"/>
      <c r="BH217" s="51"/>
      <c r="BI217" s="51"/>
      <c r="BJ217" s="51"/>
      <c r="BK217" s="51"/>
    </row>
    <row r="218" spans="1:63" x14ac:dyDescent="0.35">
      <c r="A218" s="2" t="s">
        <v>598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504</v>
      </c>
      <c r="G218" s="44">
        <v>1.2E-8</v>
      </c>
      <c r="I218" s="58"/>
      <c r="J218" s="44">
        <f>0.00000000005*2 / 10 / 2</f>
        <v>5.0000000000000005E-12</v>
      </c>
      <c r="K218" s="44">
        <f>K217</f>
        <v>5.0000000000000005E-12</v>
      </c>
      <c r="L218" s="44">
        <f>L217/3</f>
        <v>1.6666666666666667E-11</v>
      </c>
      <c r="M218" s="44"/>
      <c r="N218" s="44">
        <f>N217/10/4</f>
        <v>2.5000000000000003E-12</v>
      </c>
      <c r="P218" s="44">
        <f>P217/10/4</f>
        <v>2.5000000000000003E-12</v>
      </c>
      <c r="Q218" s="44">
        <f>Q217/10/4</f>
        <v>2.5000000000000003E-12</v>
      </c>
      <c r="R218" s="44">
        <f>R217/10/4</f>
        <v>2.5000000000000003E-12</v>
      </c>
      <c r="T218" s="44">
        <f>0.00000000005*2 / 10 / 2</f>
        <v>5.0000000000000005E-12</v>
      </c>
      <c r="U218" s="44"/>
      <c r="V218" s="44">
        <f t="shared" si="17"/>
        <v>1.1999999999999999E-5</v>
      </c>
      <c r="W218" s="44">
        <f t="shared" si="17"/>
        <v>1.1999999999999999E-5</v>
      </c>
      <c r="X218" s="44">
        <f t="shared" si="17"/>
        <v>1.1999999999999999E-5</v>
      </c>
      <c r="AA218" s="44">
        <f t="shared" si="17"/>
        <v>1.1999999999999999E-5</v>
      </c>
      <c r="AB218" s="44">
        <f t="shared" si="17"/>
        <v>1.1999999999999999E-5</v>
      </c>
      <c r="AC218" s="44">
        <f t="shared" si="17"/>
        <v>1.1999999999999999E-5</v>
      </c>
      <c r="AD218" s="44">
        <f t="shared" si="17"/>
        <v>1.1999999999999999E-5</v>
      </c>
      <c r="AE218" s="44">
        <f t="shared" si="17"/>
        <v>1.1999999999999999E-5</v>
      </c>
      <c r="AF218" s="44">
        <f t="shared" si="17"/>
        <v>1.1999999999999999E-5</v>
      </c>
      <c r="AG218" s="44">
        <f t="shared" si="17"/>
        <v>1.1999999999999999E-5</v>
      </c>
      <c r="AH218" s="44">
        <f t="shared" si="17"/>
        <v>1.1999999999999999E-5</v>
      </c>
      <c r="AI218" s="44">
        <f t="shared" si="17"/>
        <v>1.1999999999999999E-5</v>
      </c>
      <c r="AJ218" s="44">
        <f t="shared" si="17"/>
        <v>1.1999999999999999E-5</v>
      </c>
      <c r="AK218" s="44">
        <f t="shared" si="17"/>
        <v>1.1999999999999999E-5</v>
      </c>
      <c r="AL218"/>
      <c r="AM218" s="44">
        <f t="shared" si="17"/>
        <v>1.1999999999999999E-5</v>
      </c>
      <c r="AN218" s="44">
        <f t="shared" si="17"/>
        <v>1.1999999999999999E-5</v>
      </c>
      <c r="AO218" s="44">
        <f t="shared" si="17"/>
        <v>1.1999999999999999E-5</v>
      </c>
      <c r="AP218" s="44">
        <f t="shared" si="17"/>
        <v>1.1999999999999999E-5</v>
      </c>
      <c r="AQ218" s="44">
        <f t="shared" si="17"/>
        <v>1.1999999999999999E-5</v>
      </c>
      <c r="AR218" s="44">
        <f t="shared" si="17"/>
        <v>1.1999999999999999E-5</v>
      </c>
      <c r="AS218" s="44">
        <f t="shared" si="17"/>
        <v>1.1999999999999999E-5</v>
      </c>
      <c r="AT218"/>
      <c r="AU218" s="44">
        <f t="shared" si="17"/>
        <v>1.1999999999999999E-5</v>
      </c>
      <c r="AV218" s="44">
        <f t="shared" si="17"/>
        <v>1.1999999999999999E-5</v>
      </c>
      <c r="AW218" s="44">
        <f t="shared" si="17"/>
        <v>1.1999999999999999E-5</v>
      </c>
      <c r="AX218" s="44">
        <f t="shared" si="17"/>
        <v>1.1999999999999999E-5</v>
      </c>
      <c r="AY218"/>
      <c r="AZ218" s="44">
        <f t="shared" si="17"/>
        <v>1.1999999999999999E-5</v>
      </c>
      <c r="BA218"/>
      <c r="BB218"/>
      <c r="BC218" s="44">
        <f>0.00000012*100</f>
        <v>1.1999999999999999E-5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63" x14ac:dyDescent="0.35">
      <c r="A219" s="2" t="s">
        <v>573</v>
      </c>
      <c r="B219" s="3" t="s">
        <v>473</v>
      </c>
      <c r="C219" s="3" t="s">
        <v>483</v>
      </c>
      <c r="D219" s="3" t="s">
        <v>521</v>
      </c>
      <c r="E219" s="50" t="s">
        <v>506</v>
      </c>
      <c r="F219" s="50" t="s">
        <v>511</v>
      </c>
      <c r="G219" s="44"/>
      <c r="I219" s="58"/>
      <c r="J219" s="44">
        <f>0</f>
        <v>0</v>
      </c>
      <c r="K219" s="44">
        <f>0</f>
        <v>0</v>
      </c>
      <c r="L219" s="44">
        <f>0</f>
        <v>0</v>
      </c>
      <c r="M219" s="44"/>
      <c r="N219" s="44">
        <f>0.00000001</f>
        <v>1E-8</v>
      </c>
      <c r="P219" s="44">
        <f>0.00000001</f>
        <v>1E-8</v>
      </c>
      <c r="Q219" s="44">
        <f>0.00000001</f>
        <v>1E-8</v>
      </c>
      <c r="R219" s="44">
        <f>0.00000001</f>
        <v>1E-8</v>
      </c>
      <c r="T219" s="44">
        <f>0</f>
        <v>0</v>
      </c>
      <c r="U219" s="44"/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63" x14ac:dyDescent="0.35">
      <c r="A220" s="2" t="s">
        <v>574</v>
      </c>
      <c r="B220" s="3" t="s">
        <v>473</v>
      </c>
      <c r="C220" s="3" t="s">
        <v>483</v>
      </c>
      <c r="D220" s="3" t="s">
        <v>521</v>
      </c>
      <c r="E220" s="50" t="s">
        <v>577</v>
      </c>
      <c r="F220" s="50" t="s">
        <v>487</v>
      </c>
      <c r="G220" s="44"/>
      <c r="I220" s="58"/>
      <c r="J220" s="44">
        <f>100</f>
        <v>100</v>
      </c>
      <c r="K220" s="44">
        <f>100</f>
        <v>100</v>
      </c>
      <c r="L220" s="44">
        <f>100</f>
        <v>100</v>
      </c>
      <c r="M220" s="44"/>
      <c r="N220" s="44">
        <f>100</f>
        <v>100</v>
      </c>
      <c r="P220" s="44">
        <f>100</f>
        <v>100</v>
      </c>
      <c r="Q220" s="44">
        <f>100</f>
        <v>100</v>
      </c>
      <c r="R220" s="44">
        <f>100</f>
        <v>100</v>
      </c>
      <c r="T220" s="44">
        <f>100</f>
        <v>100</v>
      </c>
      <c r="U220" s="44"/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63" x14ac:dyDescent="0.35">
      <c r="A221" s="2" t="s">
        <v>591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*2 * 3</f>
        <v>6E-10</v>
      </c>
      <c r="K221" s="44">
        <f>0.000001 / 10000 *2 * 3/100/10/100</f>
        <v>6.0000000000000005E-15</v>
      </c>
      <c r="L221" s="44">
        <f>0.000001 / 10000 *2 * 3/10</f>
        <v>6E-11</v>
      </c>
      <c r="M221" s="44"/>
      <c r="N221" s="44">
        <f>0.000001 / 10000 / 4 / 10 /5  / 5</f>
        <v>1E-13</v>
      </c>
      <c r="O221" s="1" t="s">
        <v>607</v>
      </c>
      <c r="P221" s="44">
        <f>0.000001 / 10000 / 4 / 10 /5  / 5</f>
        <v>1E-13</v>
      </c>
      <c r="Q221" s="44">
        <f>0.000001 / 10000 / 4 / 10 /5  / 5</f>
        <v>1E-13</v>
      </c>
      <c r="R221" s="44">
        <f>0.000001 / 10000 / 4 / 10 /5  / 5</f>
        <v>1E-13</v>
      </c>
      <c r="T221" s="44">
        <f>0.000001 / 10000 *2 * 3</f>
        <v>6E-10</v>
      </c>
      <c r="U221" s="44"/>
      <c r="V221" s="44">
        <v>9.9999999999999995E-7</v>
      </c>
      <c r="W221" s="44">
        <v>9.9999999999999995E-7</v>
      </c>
      <c r="X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 s="44">
        <v>9.9999999999999995E-7</v>
      </c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/>
      <c r="AM221" s="44">
        <v>9.9999999999999995E-7</v>
      </c>
      <c r="AN221" s="44">
        <v>9.9999999999999995E-7</v>
      </c>
      <c r="AO221" s="44">
        <v>9.9999999999999995E-7</v>
      </c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 s="44">
        <v>9.9999999999999995E-7</v>
      </c>
      <c r="AW221" s="44">
        <v>9.9999999999999995E-7</v>
      </c>
      <c r="AX221" s="44">
        <v>9.9999999999999995E-7</v>
      </c>
      <c r="AY221"/>
      <c r="AZ221" s="44">
        <v>9.9999999999999995E-7</v>
      </c>
      <c r="BA221"/>
      <c r="BB221"/>
      <c r="BC221" s="44">
        <v>9.9999999999999995E-7</v>
      </c>
      <c r="BD221" s="51"/>
      <c r="BE221" s="51"/>
      <c r="BF221" s="51"/>
      <c r="BG221" s="51"/>
      <c r="BH221" s="51"/>
      <c r="BI221" s="51"/>
      <c r="BJ221" s="51"/>
      <c r="BK221" s="51"/>
    </row>
    <row r="222" spans="1:63" x14ac:dyDescent="0.35">
      <c r="A222" s="2" t="s">
        <v>592</v>
      </c>
      <c r="B222" s="3" t="s">
        <v>473</v>
      </c>
      <c r="C222" s="3" t="s">
        <v>483</v>
      </c>
      <c r="D222" s="3" t="s">
        <v>521</v>
      </c>
      <c r="E222" s="50" t="s">
        <v>507</v>
      </c>
      <c r="F222" s="50" t="s">
        <v>508</v>
      </c>
      <c r="G222" s="44">
        <v>9.9999999999999995E-8</v>
      </c>
      <c r="I222" s="44">
        <f>0.000001 / 10000 / 4 / 10</f>
        <v>2.4999999999999998E-12</v>
      </c>
      <c r="J222" s="44">
        <f>0.000001 / 10000 / 4 / 10</f>
        <v>2.4999999999999998E-12</v>
      </c>
      <c r="K222" s="44">
        <f>0.000001 / 10000 / 4 / 10/10/1000</f>
        <v>2.5000000000000002E-16</v>
      </c>
      <c r="L222" s="44">
        <f>0.000001 / 10000 / 4 /100</f>
        <v>2.4999999999999999E-13</v>
      </c>
      <c r="M222" s="44"/>
      <c r="N222" s="44">
        <v>0</v>
      </c>
      <c r="P222" s="44">
        <v>0</v>
      </c>
      <c r="Q222" s="44">
        <v>0</v>
      </c>
      <c r="R222" s="44">
        <v>0</v>
      </c>
      <c r="T222" s="44">
        <f>0.000001 / 10000 / 4 / 10</f>
        <v>2.4999999999999998E-12</v>
      </c>
      <c r="U222" s="44"/>
      <c r="V222" s="44">
        <v>9.9999999999999995E-7</v>
      </c>
      <c r="W222" s="44">
        <v>9.9999999999999995E-7</v>
      </c>
      <c r="X222" s="44">
        <v>9.9999999999999995E-7</v>
      </c>
      <c r="AA222" s="44">
        <v>9.9999999999999995E-7</v>
      </c>
      <c r="AB222" s="44">
        <v>9.9999999999999995E-7</v>
      </c>
      <c r="AC222" s="44">
        <v>9.9999999999999995E-7</v>
      </c>
      <c r="AD222" s="44">
        <v>9.9999999999999995E-7</v>
      </c>
      <c r="AE222" s="44">
        <v>9.9999999999999995E-7</v>
      </c>
      <c r="AF222" s="44">
        <v>9.9999999999999995E-7</v>
      </c>
      <c r="AG222" s="44">
        <v>9.9999999999999995E-7</v>
      </c>
      <c r="AH222" s="44">
        <v>9.9999999999999995E-7</v>
      </c>
      <c r="AI222" s="44">
        <v>9.9999999999999995E-7</v>
      </c>
      <c r="AJ222" s="44">
        <v>9.9999999999999995E-7</v>
      </c>
      <c r="AK222" s="44">
        <v>9.9999999999999995E-7</v>
      </c>
      <c r="AL222"/>
      <c r="AM222" s="44">
        <v>9.9999999999999995E-7</v>
      </c>
      <c r="AN222" s="44">
        <v>9.9999999999999995E-7</v>
      </c>
      <c r="AO222" s="44">
        <v>9.9999999999999995E-7</v>
      </c>
      <c r="AP222" s="44">
        <v>9.9999999999999995E-7</v>
      </c>
      <c r="AQ222" s="44">
        <v>9.9999999999999995E-7</v>
      </c>
      <c r="AR222" s="44">
        <v>9.9999999999999995E-7</v>
      </c>
      <c r="AS222" s="44">
        <v>9.9999999999999995E-7</v>
      </c>
      <c r="AT222"/>
      <c r="AU222" s="44">
        <v>9.9999999999999995E-7</v>
      </c>
      <c r="AV222" s="44">
        <v>9.9999999999999995E-7</v>
      </c>
      <c r="AW222" s="44">
        <v>9.9999999999999995E-7</v>
      </c>
      <c r="AX222" s="44">
        <v>9.9999999999999995E-7</v>
      </c>
      <c r="AY222"/>
      <c r="AZ222" s="44">
        <v>9.9999999999999995E-7</v>
      </c>
      <c r="BA222"/>
      <c r="BB222"/>
      <c r="BC222" s="44">
        <v>9.9999999999999995E-7</v>
      </c>
      <c r="BD222" s="51"/>
      <c r="BE222" s="51"/>
      <c r="BF222" s="51"/>
      <c r="BG222" s="51"/>
      <c r="BH222" s="51"/>
      <c r="BI222" s="51"/>
      <c r="BJ222" s="51"/>
      <c r="BK222" s="51"/>
    </row>
    <row r="223" spans="1:63" x14ac:dyDescent="0.35">
      <c r="A223" s="2" t="s">
        <v>509</v>
      </c>
      <c r="B223" s="3" t="s">
        <v>473</v>
      </c>
      <c r="C223" s="3" t="s">
        <v>483</v>
      </c>
      <c r="D223" s="3" t="s">
        <v>521</v>
      </c>
      <c r="E223" s="50" t="s">
        <v>510</v>
      </c>
      <c r="F223" s="50" t="s">
        <v>511</v>
      </c>
      <c r="G223" s="44">
        <f>2*0.00001</f>
        <v>2.0000000000000002E-5</v>
      </c>
      <c r="I223" s="44">
        <f>0.00001</f>
        <v>1.0000000000000001E-5</v>
      </c>
      <c r="J223" s="44">
        <f>0.00001 / 10/2/4</f>
        <v>1.2500000000000002E-7</v>
      </c>
      <c r="K223" s="44">
        <v>0</v>
      </c>
      <c r="L223" s="44">
        <v>0</v>
      </c>
      <c r="M223" s="44"/>
      <c r="N223" s="44">
        <f>0.00001 / 10 / 2 / 5 /5</f>
        <v>2.0000000000000004E-8</v>
      </c>
      <c r="P223" s="44">
        <f>0.00001 / 10 / 2 / 5 /5</f>
        <v>2.0000000000000004E-8</v>
      </c>
      <c r="Q223" s="44">
        <f>0.00001 / 10 / 2 / 5 /5</f>
        <v>2.0000000000000004E-8</v>
      </c>
      <c r="R223" s="44">
        <f>0.00001 / 10 / 2 / 5 /5</f>
        <v>2.0000000000000004E-8</v>
      </c>
      <c r="T223" s="44">
        <f>0.00001 / 10/2/4</f>
        <v>1.2500000000000002E-7</v>
      </c>
      <c r="U223" s="44"/>
      <c r="V223" s="44">
        <v>2E-8</v>
      </c>
      <c r="W223" s="44">
        <v>2E-8</v>
      </c>
      <c r="X223" s="44">
        <v>2E-8</v>
      </c>
      <c r="AA223" s="44">
        <v>5.0000000000000002E-5</v>
      </c>
      <c r="AB223" s="44">
        <v>5.0000000000000002E-5</v>
      </c>
      <c r="AC223" s="44">
        <v>5.0000000000000002E-5</v>
      </c>
      <c r="AD223" s="44">
        <v>5.0000000000000002E-5</v>
      </c>
      <c r="AE223" s="44">
        <v>2.0000000000000002E-5</v>
      </c>
      <c r="AF223" s="44">
        <v>1.0000000000000001E-5</v>
      </c>
      <c r="AG223" s="44">
        <v>5.0000000000000004E-6</v>
      </c>
      <c r="AH223" s="44">
        <v>1.9999999999999999E-6</v>
      </c>
      <c r="AI223" s="44">
        <v>9.9999999999999995E-7</v>
      </c>
      <c r="AJ223" s="44">
        <v>4.9999999999999998E-7</v>
      </c>
      <c r="AK223" s="44">
        <v>1.9999999999999999E-7</v>
      </c>
      <c r="AL223"/>
      <c r="AM223" s="44">
        <v>2.0000000000000002E-5</v>
      </c>
      <c r="AN223" s="44">
        <v>1.0000000000000001E-5</v>
      </c>
      <c r="AO223" s="44">
        <v>5.0000000000000004E-6</v>
      </c>
      <c r="AP223" s="44">
        <v>1.9999999999999999E-6</v>
      </c>
      <c r="AQ223" s="44">
        <v>9.9999999999999995E-7</v>
      </c>
      <c r="AR223" s="44">
        <v>4.9999999999999998E-7</v>
      </c>
      <c r="AS223" s="44">
        <v>1.9999999999999999E-7</v>
      </c>
      <c r="AT223"/>
      <c r="AU223" s="44">
        <v>2E-8</v>
      </c>
      <c r="AV223" s="44">
        <v>2E-8</v>
      </c>
      <c r="AW223" s="44">
        <v>2.0000000000000001E-9</v>
      </c>
      <c r="AX223" s="44">
        <v>2.0000000000000001E-9</v>
      </c>
      <c r="AY223"/>
      <c r="AZ223" s="44">
        <v>9.9999999999999995E-7</v>
      </c>
      <c r="BA223"/>
      <c r="BB223"/>
      <c r="BC223" s="44">
        <v>5.0000000000000002E-5</v>
      </c>
      <c r="BD223" s="51"/>
      <c r="BE223" s="51"/>
      <c r="BF223" s="51"/>
      <c r="BG223" s="51"/>
      <c r="BH223" s="51"/>
      <c r="BI223" s="51"/>
      <c r="BJ223" s="51"/>
      <c r="BK223" s="51"/>
    </row>
    <row r="224" spans="1:63" x14ac:dyDescent="0.35">
      <c r="A224" s="2" t="s">
        <v>571</v>
      </c>
      <c r="B224" s="3" t="s">
        <v>473</v>
      </c>
      <c r="C224" s="3" t="s">
        <v>483</v>
      </c>
      <c r="D224" s="3" t="s">
        <v>521</v>
      </c>
      <c r="E224" s="50" t="s">
        <v>572</v>
      </c>
      <c r="F224" s="50" t="s">
        <v>511</v>
      </c>
      <c r="G224" s="44"/>
      <c r="I224" s="44">
        <f xml:space="preserve"> 0.001 * 10</f>
        <v>0.01</v>
      </c>
      <c r="J224" s="44">
        <f xml:space="preserve"> 0.001 / 10</f>
        <v>1E-4</v>
      </c>
      <c r="K224" s="44">
        <f xml:space="preserve"> 0.001 / 10</f>
        <v>1E-4</v>
      </c>
      <c r="L224" s="44">
        <f xml:space="preserve"> 0.001 / 10</f>
        <v>1E-4</v>
      </c>
      <c r="M224" s="44"/>
      <c r="N224" s="44">
        <f xml:space="preserve"> 0.001 / 10</f>
        <v>1E-4</v>
      </c>
      <c r="P224" s="44">
        <f xml:space="preserve"> 0.001 / 10</f>
        <v>1E-4</v>
      </c>
      <c r="Q224" s="44">
        <f xml:space="preserve"> 0.001 / 10</f>
        <v>1E-4</v>
      </c>
      <c r="R224" s="44">
        <f xml:space="preserve"> 0.001 / 10</f>
        <v>1E-4</v>
      </c>
      <c r="T224" s="44">
        <f xml:space="preserve"> 0.001 / 10</f>
        <v>1E-4</v>
      </c>
      <c r="U224" s="44"/>
      <c r="V224" s="44"/>
      <c r="W224" s="44"/>
      <c r="X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/>
      <c r="AM224" s="44"/>
      <c r="AN224" s="44"/>
      <c r="AO224" s="44"/>
      <c r="AP224" s="44"/>
      <c r="AQ224" s="44"/>
      <c r="AR224" s="44"/>
      <c r="AS224" s="44"/>
      <c r="AT224"/>
      <c r="AU224" s="44"/>
      <c r="AV224" s="44"/>
      <c r="AW224" s="44"/>
      <c r="AX224" s="44"/>
      <c r="AY224"/>
      <c r="AZ224" s="44"/>
      <c r="BA224"/>
      <c r="BB224"/>
      <c r="BC224" s="44"/>
      <c r="BD224" s="51"/>
      <c r="BE224" s="51"/>
      <c r="BF224" s="51"/>
      <c r="BG224" s="51"/>
      <c r="BH224" s="51"/>
      <c r="BI224" s="51"/>
      <c r="BJ224" s="51"/>
      <c r="BK224" s="51"/>
    </row>
    <row r="225" spans="1:78" x14ac:dyDescent="0.35">
      <c r="A225" s="2" t="s">
        <v>575</v>
      </c>
      <c r="B225" s="3" t="s">
        <v>473</v>
      </c>
      <c r="C225" s="3" t="s">
        <v>483</v>
      </c>
      <c r="D225" s="3" t="s">
        <v>521</v>
      </c>
      <c r="E225" s="50" t="s">
        <v>576</v>
      </c>
      <c r="F225" s="50" t="s">
        <v>511</v>
      </c>
      <c r="G225" s="56">
        <v>1.0000000000000001E-5</v>
      </c>
      <c r="I225" s="44">
        <f>0.00001 /10/4/2</f>
        <v>1.2500000000000002E-7</v>
      </c>
      <c r="J225" s="44">
        <f>0.00001 /5 /2/4</f>
        <v>2.5000000000000004E-7</v>
      </c>
      <c r="K225" s="44">
        <v>0</v>
      </c>
      <c r="L225" s="44">
        <v>0</v>
      </c>
      <c r="M225" s="44"/>
      <c r="N225" s="44">
        <f>0.00001 /5 /2/4 * 4 * 0.6 * 10*2</f>
        <v>1.2000000000000002E-5</v>
      </c>
      <c r="P225" s="44">
        <f>0.00001 /5 /2/4 * 4 * 0.6 * 10*2</f>
        <v>1.2000000000000002E-5</v>
      </c>
      <c r="Q225" s="44">
        <f>0.00001 /5 /2/4 * 4 * 0.6 * 10*2</f>
        <v>1.2000000000000002E-5</v>
      </c>
      <c r="R225" s="44">
        <f>0.00001 /5 /2/4 * 4 * 0.6 * 10*2</f>
        <v>1.2000000000000002E-5</v>
      </c>
      <c r="T225" s="44">
        <f>0.00001 /5 /2/4</f>
        <v>2.5000000000000004E-7</v>
      </c>
      <c r="U225" s="44"/>
      <c r="V225" s="44"/>
      <c r="W225" s="44"/>
      <c r="X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/>
      <c r="AM225" s="44"/>
      <c r="AN225" s="44"/>
      <c r="AO225" s="44"/>
      <c r="AP225" s="44"/>
      <c r="AQ225" s="44"/>
      <c r="AR225" s="44"/>
      <c r="AS225" s="44"/>
      <c r="AT225"/>
      <c r="AU225" s="44"/>
      <c r="AV225" s="44"/>
      <c r="AW225" s="44"/>
      <c r="AX225" s="44"/>
      <c r="AY225"/>
      <c r="AZ225" s="44"/>
      <c r="BA225"/>
      <c r="BB225"/>
      <c r="BC225" s="44"/>
      <c r="BD225" s="51"/>
      <c r="BE225" s="51"/>
      <c r="BF225" s="51"/>
      <c r="BG225" s="51"/>
      <c r="BH225" s="51"/>
      <c r="BI225" s="51"/>
      <c r="BJ225" s="51"/>
      <c r="BK225" s="51"/>
    </row>
    <row r="226" spans="1:78" ht="14.25" customHeight="1" x14ac:dyDescent="0.35">
      <c r="A226" s="53" t="s">
        <v>517</v>
      </c>
      <c r="B226" s="3" t="s">
        <v>473</v>
      </c>
      <c r="C226" s="3" t="s">
        <v>518</v>
      </c>
      <c r="D226" s="3" t="s">
        <v>521</v>
      </c>
      <c r="E226" s="50" t="s">
        <v>519</v>
      </c>
      <c r="F226" s="50" t="s">
        <v>520</v>
      </c>
      <c r="G226" s="44">
        <v>9.9999999999999995E-8</v>
      </c>
      <c r="I226" s="58"/>
      <c r="J226" s="44">
        <f>0.0000001</f>
        <v>9.9999999999999995E-8</v>
      </c>
      <c r="K226" s="44">
        <f>0.0000001</f>
        <v>9.9999999999999995E-8</v>
      </c>
      <c r="L226" s="44">
        <f>0.0000001</f>
        <v>9.9999999999999995E-8</v>
      </c>
      <c r="M226" s="44"/>
      <c r="N226" s="44">
        <f>0.0000001</f>
        <v>9.9999999999999995E-8</v>
      </c>
      <c r="P226" s="44">
        <f>0.0000001</f>
        <v>9.9999999999999995E-8</v>
      </c>
      <c r="Q226" s="44">
        <f>0.0000001</f>
        <v>9.9999999999999995E-8</v>
      </c>
      <c r="R226" s="44">
        <f>0.0000001</f>
        <v>9.9999999999999995E-8</v>
      </c>
      <c r="T226" s="44">
        <f>0.0000001</f>
        <v>9.9999999999999995E-8</v>
      </c>
      <c r="U226" s="44"/>
      <c r="V226" s="44">
        <v>5.0000000000000003E-10</v>
      </c>
      <c r="W226" s="44">
        <v>5.0000000000000003E-10</v>
      </c>
      <c r="X226" s="44">
        <v>9.9999999999999995E-8</v>
      </c>
      <c r="AA226" s="44">
        <v>4.9999999999999998E-8</v>
      </c>
      <c r="AB226" s="44">
        <v>2E-8</v>
      </c>
      <c r="AC226" s="44">
        <v>1E-8</v>
      </c>
      <c r="AD226" s="44">
        <v>1.0000000000000001E-9</v>
      </c>
      <c r="AE226" s="44">
        <v>1E-8</v>
      </c>
      <c r="AF226" s="44">
        <v>1E-8</v>
      </c>
      <c r="AG226" s="44">
        <v>1E-8</v>
      </c>
      <c r="AH226" s="44">
        <v>1E-8</v>
      </c>
      <c r="AI226" s="44">
        <v>1E-8</v>
      </c>
      <c r="AJ226" s="44">
        <v>1E-8</v>
      </c>
      <c r="AK226" s="44">
        <v>1E-8</v>
      </c>
      <c r="AL226"/>
      <c r="AM226" s="44">
        <v>1.0000000000000001E-9</v>
      </c>
      <c r="AN226" s="44">
        <v>1.0000000000000001E-9</v>
      </c>
      <c r="AO226" s="44">
        <v>1.0000000000000001E-9</v>
      </c>
      <c r="AP226" s="44">
        <v>1.0000000000000001E-9</v>
      </c>
      <c r="AQ226" s="44">
        <v>1.0000000000000001E-9</v>
      </c>
      <c r="AR226" s="44">
        <v>1.0000000000000001E-9</v>
      </c>
      <c r="AS226" s="44">
        <v>1.0000000000000001E-9</v>
      </c>
      <c r="AT226"/>
      <c r="AU226" s="44">
        <v>1E-8</v>
      </c>
      <c r="AV226" s="44">
        <v>1.0000000000000001E-9</v>
      </c>
      <c r="AW226" s="44">
        <v>1E-8</v>
      </c>
      <c r="AX226" s="44">
        <v>1.0000000000000001E-9</v>
      </c>
      <c r="AY226"/>
      <c r="AZ226" s="44">
        <v>1.0000000000000001E-9</v>
      </c>
      <c r="BA226"/>
      <c r="BB226"/>
      <c r="BC226" s="44">
        <v>9.9999999999999995E-8</v>
      </c>
    </row>
    <row r="227" spans="1:78" x14ac:dyDescent="0.35">
      <c r="A227" s="2" t="s">
        <v>523</v>
      </c>
      <c r="B227" s="3" t="s">
        <v>473</v>
      </c>
      <c r="C227" s="3" t="s">
        <v>483</v>
      </c>
      <c r="D227" s="3" t="s">
        <v>521</v>
      </c>
      <c r="E227" s="50" t="s">
        <v>524</v>
      </c>
      <c r="F227" s="50" t="s">
        <v>487</v>
      </c>
      <c r="G227" s="44">
        <v>0.2</v>
      </c>
      <c r="I227" s="58"/>
      <c r="J227" s="44">
        <v>0.2</v>
      </c>
      <c r="K227" s="44">
        <v>0.2</v>
      </c>
      <c r="L227" s="44">
        <v>0.2</v>
      </c>
      <c r="M227" s="44"/>
      <c r="N227" s="44">
        <v>0.2</v>
      </c>
      <c r="O227" s="1" t="s">
        <v>600</v>
      </c>
      <c r="P227" s="44">
        <v>0.2</v>
      </c>
      <c r="Q227" s="44">
        <v>0.2</v>
      </c>
      <c r="R227" s="44">
        <v>0.2</v>
      </c>
      <c r="T227" s="44">
        <v>0.2</v>
      </c>
      <c r="U227" s="44"/>
      <c r="V227" s="44">
        <v>0.2</v>
      </c>
      <c r="W227" s="44">
        <v>0.2</v>
      </c>
      <c r="X227" s="44">
        <v>0.2</v>
      </c>
      <c r="AA227" s="44">
        <v>0.2</v>
      </c>
      <c r="AB227" s="44">
        <v>0.2</v>
      </c>
      <c r="AC227" s="44">
        <v>0.2</v>
      </c>
      <c r="AD227" s="44">
        <v>0.2</v>
      </c>
      <c r="AE227" s="44">
        <v>0.2</v>
      </c>
      <c r="AF227" s="44">
        <v>0.2</v>
      </c>
      <c r="AG227" s="44">
        <v>0.2</v>
      </c>
      <c r="AH227" s="44">
        <v>0.2</v>
      </c>
      <c r="AI227" s="44">
        <v>0.2</v>
      </c>
      <c r="AJ227" s="44">
        <v>0.2</v>
      </c>
      <c r="AK227" s="44">
        <v>0.2</v>
      </c>
      <c r="AL227"/>
      <c r="AM227" s="44">
        <v>0.2</v>
      </c>
      <c r="AN227" s="44">
        <v>0.2</v>
      </c>
      <c r="AO227" s="44">
        <v>0.2</v>
      </c>
      <c r="AP227" s="44">
        <v>0.2</v>
      </c>
      <c r="AQ227" s="44">
        <v>0.2</v>
      </c>
      <c r="AR227" s="44">
        <v>0.2</v>
      </c>
      <c r="AS227" s="44">
        <v>0.2</v>
      </c>
      <c r="AT227"/>
      <c r="AU227" s="44">
        <v>0.2</v>
      </c>
      <c r="AV227" s="44">
        <v>0.2</v>
      </c>
      <c r="AW227" s="44">
        <v>0.2</v>
      </c>
      <c r="AX227" s="44">
        <v>0.2</v>
      </c>
      <c r="AY227"/>
      <c r="AZ227" s="44">
        <v>0.2</v>
      </c>
      <c r="BA227"/>
      <c r="BB227"/>
      <c r="BC227" s="44">
        <v>0.2</v>
      </c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</row>
    <row r="228" spans="1:78" x14ac:dyDescent="0.35">
      <c r="A228" s="2" t="s">
        <v>525</v>
      </c>
      <c r="B228" s="3" t="s">
        <v>473</v>
      </c>
      <c r="C228" s="3" t="s">
        <v>580</v>
      </c>
      <c r="D228" s="3" t="s">
        <v>581</v>
      </c>
      <c r="E228" s="50" t="s">
        <v>526</v>
      </c>
      <c r="F228" s="50" t="s">
        <v>491</v>
      </c>
      <c r="G228" s="44" t="s">
        <v>485</v>
      </c>
      <c r="I228" s="58"/>
      <c r="J228" s="44" t="s">
        <v>485</v>
      </c>
      <c r="K228" s="44" t="s">
        <v>485</v>
      </c>
      <c r="L228" s="44" t="s">
        <v>485</v>
      </c>
      <c r="M228" s="44"/>
      <c r="N228" s="44" t="s">
        <v>485</v>
      </c>
      <c r="P228" s="44" t="s">
        <v>485</v>
      </c>
      <c r="Q228" s="44" t="s">
        <v>485</v>
      </c>
      <c r="R228" s="44" t="s">
        <v>485</v>
      </c>
      <c r="T228" s="44" t="s">
        <v>485</v>
      </c>
      <c r="U228" s="44"/>
      <c r="V228" s="44" t="s">
        <v>485</v>
      </c>
      <c r="W228" s="44" t="s">
        <v>485</v>
      </c>
      <c r="X228" s="44" t="s">
        <v>485</v>
      </c>
      <c r="AA228" s="44" t="s">
        <v>485</v>
      </c>
      <c r="AB228" s="44" t="s">
        <v>485</v>
      </c>
      <c r="AC228" s="44" t="s">
        <v>485</v>
      </c>
      <c r="AD228" s="44" t="s">
        <v>485</v>
      </c>
      <c r="AE228" s="44" t="s">
        <v>485</v>
      </c>
      <c r="AF228" s="44" t="s">
        <v>485</v>
      </c>
      <c r="AG228" s="44" t="s">
        <v>485</v>
      </c>
      <c r="AH228" s="44" t="s">
        <v>485</v>
      </c>
      <c r="AI228" s="44" t="s">
        <v>485</v>
      </c>
      <c r="AJ228" s="44" t="s">
        <v>485</v>
      </c>
      <c r="AK228" s="44" t="s">
        <v>485</v>
      </c>
      <c r="AL228"/>
      <c r="AM228" s="44" t="s">
        <v>485</v>
      </c>
      <c r="AN228" s="44" t="s">
        <v>485</v>
      </c>
      <c r="AO228" s="44" t="s">
        <v>485</v>
      </c>
      <c r="AP228" s="44" t="s">
        <v>485</v>
      </c>
      <c r="AQ228" s="44" t="s">
        <v>485</v>
      </c>
      <c r="AR228" s="44" t="s">
        <v>485</v>
      </c>
      <c r="AS228" s="44" t="s">
        <v>485</v>
      </c>
      <c r="AT228"/>
      <c r="AU228" s="44" t="s">
        <v>485</v>
      </c>
      <c r="AV228" s="44" t="s">
        <v>485</v>
      </c>
      <c r="AW228" s="44" t="s">
        <v>485</v>
      </c>
      <c r="AX228" s="44" t="s">
        <v>485</v>
      </c>
      <c r="AY228"/>
      <c r="AZ228" s="44" t="s">
        <v>485</v>
      </c>
      <c r="BA228"/>
      <c r="BB228"/>
      <c r="BC228" s="44" t="s">
        <v>485</v>
      </c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</row>
    <row r="229" spans="1:78" x14ac:dyDescent="0.35">
      <c r="A229" s="2" t="s">
        <v>527</v>
      </c>
      <c r="B229" s="3" t="s">
        <v>473</v>
      </c>
      <c r="C229" s="3" t="s">
        <v>580</v>
      </c>
      <c r="D229" s="3" t="s">
        <v>581</v>
      </c>
      <c r="E229" s="50" t="s">
        <v>528</v>
      </c>
      <c r="F229" s="50" t="s">
        <v>491</v>
      </c>
      <c r="G229" s="44">
        <f t="shared" ref="G229:BC229" si="18">2*0.1</f>
        <v>0.2</v>
      </c>
      <c r="I229" s="58"/>
      <c r="J229" s="44">
        <f t="shared" si="18"/>
        <v>0.2</v>
      </c>
      <c r="K229" s="44">
        <f t="shared" si="18"/>
        <v>0.2</v>
      </c>
      <c r="L229" s="44">
        <f t="shared" si="18"/>
        <v>0.2</v>
      </c>
      <c r="M229" s="44"/>
      <c r="N229" s="44">
        <f t="shared" si="18"/>
        <v>0.2</v>
      </c>
      <c r="P229" s="44">
        <f t="shared" si="18"/>
        <v>0.2</v>
      </c>
      <c r="Q229" s="44">
        <f t="shared" si="18"/>
        <v>0.2</v>
      </c>
      <c r="R229" s="44">
        <f t="shared" si="18"/>
        <v>0.2</v>
      </c>
      <c r="T229" s="44">
        <f t="shared" si="18"/>
        <v>0.2</v>
      </c>
      <c r="U229" s="44"/>
      <c r="V229" s="44">
        <f t="shared" si="18"/>
        <v>0.2</v>
      </c>
      <c r="W229" s="44">
        <f t="shared" si="18"/>
        <v>0.2</v>
      </c>
      <c r="X229" s="44">
        <f t="shared" si="18"/>
        <v>0.2</v>
      </c>
      <c r="AA229" s="44">
        <f t="shared" si="18"/>
        <v>0.2</v>
      </c>
      <c r="AB229" s="44">
        <f t="shared" si="18"/>
        <v>0.2</v>
      </c>
      <c r="AC229" s="44">
        <f t="shared" si="18"/>
        <v>0.2</v>
      </c>
      <c r="AD229" s="44">
        <f t="shared" si="18"/>
        <v>0.2</v>
      </c>
      <c r="AE229" s="44">
        <f t="shared" si="18"/>
        <v>0.2</v>
      </c>
      <c r="AF229" s="44">
        <f t="shared" si="18"/>
        <v>0.2</v>
      </c>
      <c r="AG229" s="44">
        <f t="shared" si="18"/>
        <v>0.2</v>
      </c>
      <c r="AH229" s="44">
        <f t="shared" si="18"/>
        <v>0.2</v>
      </c>
      <c r="AI229" s="44">
        <f t="shared" si="18"/>
        <v>0.2</v>
      </c>
      <c r="AJ229" s="44">
        <f t="shared" si="18"/>
        <v>0.2</v>
      </c>
      <c r="AK229" s="44">
        <f t="shared" si="18"/>
        <v>0.2</v>
      </c>
      <c r="AL229"/>
      <c r="AM229" s="44">
        <f t="shared" si="18"/>
        <v>0.2</v>
      </c>
      <c r="AN229" s="44">
        <f t="shared" si="18"/>
        <v>0.2</v>
      </c>
      <c r="AO229" s="44">
        <f t="shared" si="18"/>
        <v>0.2</v>
      </c>
      <c r="AP229" s="44">
        <f t="shared" si="18"/>
        <v>0.2</v>
      </c>
      <c r="AQ229" s="44">
        <f t="shared" si="18"/>
        <v>0.2</v>
      </c>
      <c r="AR229" s="44">
        <f t="shared" si="18"/>
        <v>0.2</v>
      </c>
      <c r="AS229" s="44">
        <f t="shared" si="18"/>
        <v>0.2</v>
      </c>
      <c r="AT229"/>
      <c r="AU229" s="44">
        <f t="shared" si="18"/>
        <v>0.2</v>
      </c>
      <c r="AV229" s="44">
        <f t="shared" si="18"/>
        <v>0.2</v>
      </c>
      <c r="AW229" s="44">
        <f t="shared" si="18"/>
        <v>0.2</v>
      </c>
      <c r="AX229" s="44">
        <f t="shared" si="18"/>
        <v>0.2</v>
      </c>
      <c r="AY229"/>
      <c r="AZ229" s="44">
        <f t="shared" si="18"/>
        <v>0.2</v>
      </c>
      <c r="BA229"/>
      <c r="BB229"/>
      <c r="BC229" s="44">
        <f t="shared" si="18"/>
        <v>0.2</v>
      </c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</row>
    <row r="230" spans="1:78" x14ac:dyDescent="0.35">
      <c r="A230" s="2" t="s">
        <v>529</v>
      </c>
      <c r="B230" s="3" t="s">
        <v>473</v>
      </c>
      <c r="C230" s="3" t="s">
        <v>580</v>
      </c>
      <c r="D230" s="3" t="s">
        <v>581</v>
      </c>
      <c r="E230" s="50" t="s">
        <v>530</v>
      </c>
      <c r="F230" s="50" t="s">
        <v>491</v>
      </c>
      <c r="G230" s="44">
        <v>1E-3</v>
      </c>
      <c r="I230" s="58"/>
      <c r="J230" s="44">
        <v>1E-3</v>
      </c>
      <c r="K230" s="44">
        <v>1E-3</v>
      </c>
      <c r="L230" s="44">
        <v>1E-3</v>
      </c>
      <c r="M230" s="44"/>
      <c r="N230" s="44">
        <v>1E-3</v>
      </c>
      <c r="P230" s="44">
        <v>1E-3</v>
      </c>
      <c r="Q230" s="44">
        <v>1E-3</v>
      </c>
      <c r="R230" s="44">
        <v>1E-3</v>
      </c>
      <c r="T230" s="44">
        <v>1E-3</v>
      </c>
      <c r="U230" s="44"/>
      <c r="V230" s="44">
        <v>1E-3</v>
      </c>
      <c r="W230" s="44">
        <v>1E-3</v>
      </c>
      <c r="X230" s="44">
        <v>1E-3</v>
      </c>
      <c r="AA230" s="44">
        <v>1E-3</v>
      </c>
      <c r="AB230" s="44">
        <v>1E-3</v>
      </c>
      <c r="AC230" s="44">
        <v>1E-3</v>
      </c>
      <c r="AD230" s="44">
        <v>1E-3</v>
      </c>
      <c r="AE230" s="44">
        <v>1E-3</v>
      </c>
      <c r="AF230" s="44">
        <v>1E-3</v>
      </c>
      <c r="AG230" s="44">
        <v>1E-3</v>
      </c>
      <c r="AH230" s="44">
        <v>1E-3</v>
      </c>
      <c r="AI230" s="44">
        <v>1E-3</v>
      </c>
      <c r="AJ230" s="44">
        <v>1E-3</v>
      </c>
      <c r="AK230" s="44">
        <v>1E-3</v>
      </c>
      <c r="AL230"/>
      <c r="AM230" s="44">
        <v>1E-3</v>
      </c>
      <c r="AN230" s="44">
        <v>1E-3</v>
      </c>
      <c r="AO230" s="44">
        <v>1E-3</v>
      </c>
      <c r="AP230" s="44">
        <v>1E-3</v>
      </c>
      <c r="AQ230" s="44">
        <v>1E-3</v>
      </c>
      <c r="AR230" s="44">
        <v>1E-3</v>
      </c>
      <c r="AS230" s="44">
        <v>1E-3</v>
      </c>
      <c r="AT230"/>
      <c r="AU230" s="44">
        <v>1E-3</v>
      </c>
      <c r="AV230" s="44">
        <v>1E-3</v>
      </c>
      <c r="AW230" s="44">
        <v>1E-3</v>
      </c>
      <c r="AX230" s="44">
        <v>1E-3</v>
      </c>
      <c r="AY230"/>
      <c r="AZ230" s="44">
        <v>1E-3</v>
      </c>
      <c r="BA230"/>
      <c r="BB230"/>
      <c r="BC230" s="44">
        <v>1E-3</v>
      </c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</row>
    <row r="231" spans="1:78" x14ac:dyDescent="0.35">
      <c r="A231" s="2" t="s">
        <v>531</v>
      </c>
      <c r="B231" s="3" t="s">
        <v>473</v>
      </c>
      <c r="C231" s="3" t="s">
        <v>483</v>
      </c>
      <c r="D231" s="3" t="s">
        <v>521</v>
      </c>
      <c r="E231" s="50" t="s">
        <v>532</v>
      </c>
      <c r="F231" s="50" t="s">
        <v>561</v>
      </c>
      <c r="G231" s="44">
        <v>1.0000000000000001E-5</v>
      </c>
      <c r="I231" s="58"/>
      <c r="J231" s="44">
        <f>0.00001 / 2</f>
        <v>5.0000000000000004E-6</v>
      </c>
      <c r="K231" s="44">
        <f>0.00001 / 2</f>
        <v>5.0000000000000004E-6</v>
      </c>
      <c r="L231" s="44">
        <f>0.00001 / 2 * 10</f>
        <v>5.0000000000000002E-5</v>
      </c>
      <c r="M231" s="44"/>
      <c r="N231" s="44">
        <f>0.00001 / 2 * 10 /2 / 3 / 3 / 3</f>
        <v>9.2592592592592594E-7</v>
      </c>
      <c r="P231" s="44">
        <f>0.00001 / 2 * 10 /2 / 3 / 3 / 3</f>
        <v>9.2592592592592594E-7</v>
      </c>
      <c r="Q231" s="44">
        <f>0.00001 / 2 * 10 /2 / 3 / 3 / 3</f>
        <v>9.2592592592592594E-7</v>
      </c>
      <c r="R231" s="44">
        <f>0.00001 / 2 * 10 /2 / 3 / 3 / 3</f>
        <v>9.2592592592592594E-7</v>
      </c>
      <c r="T231" s="44">
        <f>0.00001 / 2</f>
        <v>5.0000000000000004E-6</v>
      </c>
      <c r="U231" s="44"/>
      <c r="V231" s="44">
        <v>1.0000000000000001E-5</v>
      </c>
      <c r="W231" s="44">
        <v>1.0000000000000001E-5</v>
      </c>
      <c r="X231" s="44">
        <v>1.0000000000000001E-5</v>
      </c>
      <c r="AA231" s="44">
        <v>1.0000000000000001E-5</v>
      </c>
      <c r="AB231" s="44">
        <v>1.0000000000000001E-5</v>
      </c>
      <c r="AC231" s="44">
        <v>1.0000000000000001E-5</v>
      </c>
      <c r="AD231" s="44">
        <v>1.0000000000000001E-5</v>
      </c>
      <c r="AE231" s="44">
        <v>1.0000000000000001E-5</v>
      </c>
      <c r="AF231" s="44">
        <v>1.0000000000000001E-5</v>
      </c>
      <c r="AG231" s="44">
        <v>1.0000000000000001E-5</v>
      </c>
      <c r="AH231" s="44">
        <v>1.0000000000000001E-5</v>
      </c>
      <c r="AI231" s="44">
        <v>1.0000000000000001E-5</v>
      </c>
      <c r="AJ231" s="44">
        <v>1.0000000000000001E-5</v>
      </c>
      <c r="AK231" s="44">
        <v>1.0000000000000001E-5</v>
      </c>
      <c r="AL231"/>
      <c r="AM231" s="44">
        <v>1.0000000000000001E-5</v>
      </c>
      <c r="AN231" s="44">
        <v>1.0000000000000001E-5</v>
      </c>
      <c r="AO231" s="44">
        <v>1.0000000000000001E-5</v>
      </c>
      <c r="AP231" s="44">
        <v>1.0000000000000001E-5</v>
      </c>
      <c r="AQ231" s="44">
        <v>1.0000000000000001E-5</v>
      </c>
      <c r="AR231" s="44">
        <v>1.0000000000000001E-5</v>
      </c>
      <c r="AS231" s="44">
        <v>1.0000000000000001E-5</v>
      </c>
      <c r="AT231"/>
      <c r="AU231" s="44">
        <v>1.0000000000000001E-5</v>
      </c>
      <c r="AV231" s="44">
        <v>1.0000000000000001E-5</v>
      </c>
      <c r="AW231" s="44">
        <v>1.0000000000000001E-5</v>
      </c>
      <c r="AX231" s="44">
        <v>1.0000000000000001E-5</v>
      </c>
      <c r="AY231"/>
      <c r="AZ231" s="44">
        <v>1.0000000000000001E-5</v>
      </c>
      <c r="BA231"/>
      <c r="BB231"/>
      <c r="BC231" s="44">
        <v>1.0000000000000001E-5</v>
      </c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1"/>
      <c r="BP231" s="52"/>
      <c r="BQ231" s="52"/>
      <c r="BR231" s="52"/>
      <c r="BS231" s="52"/>
      <c r="BT231" s="52"/>
      <c r="BU231" s="52"/>
      <c r="BV231" s="52"/>
      <c r="BW231" s="52"/>
      <c r="BX231" s="52"/>
      <c r="BY231" s="52"/>
      <c r="BZ231" s="52"/>
    </row>
    <row r="232" spans="1:78" x14ac:dyDescent="0.35">
      <c r="A232" s="2" t="s">
        <v>578</v>
      </c>
      <c r="B232" s="3" t="s">
        <v>473</v>
      </c>
      <c r="C232" s="3" t="s">
        <v>483</v>
      </c>
      <c r="D232" s="3" t="s">
        <v>521</v>
      </c>
      <c r="E232" s="50" t="s">
        <v>579</v>
      </c>
      <c r="F232" s="50" t="s">
        <v>491</v>
      </c>
      <c r="G232" s="57">
        <v>1.0000000000000001E-5</v>
      </c>
      <c r="I232" s="58"/>
      <c r="J232" s="44">
        <f t="shared" ref="J232:T232" si="19">0.000000005 / 5</f>
        <v>1.0000000000000001E-9</v>
      </c>
      <c r="K232" s="44">
        <f t="shared" si="19"/>
        <v>1.0000000000000001E-9</v>
      </c>
      <c r="L232" s="44">
        <f>0.000000005 / 5 *10</f>
        <v>1E-8</v>
      </c>
      <c r="M232" s="44"/>
      <c r="N232" s="44">
        <f>0.000000005 / 5 *10 / 2 / 3 / 2 / 2</f>
        <v>4.1666666666666668E-10</v>
      </c>
      <c r="P232" s="44">
        <f>0.000000005 / 5 *10 / 2 / 3 / 2 / 2</f>
        <v>4.1666666666666668E-10</v>
      </c>
      <c r="Q232" s="44">
        <f>0.000000005 / 5 *10 / 2 / 3 / 2 / 2</f>
        <v>4.1666666666666668E-10</v>
      </c>
      <c r="R232" s="44">
        <f>0.000000005 / 5 *10 / 2 / 3 / 2 / 2</f>
        <v>4.1666666666666668E-10</v>
      </c>
      <c r="T232" s="44">
        <f t="shared" si="19"/>
        <v>1.0000000000000001E-9</v>
      </c>
      <c r="U232" s="44"/>
      <c r="V232" s="44"/>
      <c r="W232" s="44"/>
      <c r="X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/>
      <c r="AM232" s="44"/>
      <c r="AN232" s="44"/>
      <c r="AO232" s="44"/>
      <c r="AP232" s="44"/>
      <c r="AQ232" s="44"/>
      <c r="AR232" s="44"/>
      <c r="AS232" s="44"/>
      <c r="AT232"/>
      <c r="AU232" s="44"/>
      <c r="AV232" s="44"/>
      <c r="AW232" s="44"/>
      <c r="AX232" s="44"/>
      <c r="AY232"/>
      <c r="AZ232" s="44"/>
      <c r="BA232"/>
      <c r="BB232"/>
      <c r="BC232" s="44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1"/>
      <c r="BP232" s="52"/>
      <c r="BQ232" s="52"/>
      <c r="BR232" s="52"/>
      <c r="BS232" s="52"/>
      <c r="BT232" s="52"/>
      <c r="BU232" s="52"/>
      <c r="BV232" s="52"/>
      <c r="BW232" s="52"/>
      <c r="BX232" s="52"/>
      <c r="BY232" s="52"/>
      <c r="BZ232" s="52"/>
    </row>
    <row r="233" spans="1:78" x14ac:dyDescent="0.35">
      <c r="A233" s="2" t="s">
        <v>540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BC234" si="20">0.00002 / 14 / 5</f>
        <v>2.8571428571428575E-7</v>
      </c>
      <c r="I233" s="58"/>
      <c r="J233" s="44">
        <v>0</v>
      </c>
      <c r="K233" s="44">
        <v>0</v>
      </c>
      <c r="L233" s="44">
        <v>0</v>
      </c>
      <c r="M233" s="44"/>
      <c r="N233" s="44">
        <v>0</v>
      </c>
      <c r="P233" s="44">
        <v>0</v>
      </c>
      <c r="Q233" s="44">
        <v>0</v>
      </c>
      <c r="R233" s="44">
        <v>0</v>
      </c>
      <c r="T233" s="44">
        <v>0</v>
      </c>
      <c r="U233" s="44"/>
      <c r="V233" s="44">
        <f t="shared" si="20"/>
        <v>2.8571428571428575E-7</v>
      </c>
      <c r="W233" s="44">
        <f t="shared" si="20"/>
        <v>2.8571428571428575E-7</v>
      </c>
      <c r="X233" s="44">
        <f t="shared" si="20"/>
        <v>2.8571428571428575E-7</v>
      </c>
      <c r="AA233" s="44">
        <f t="shared" si="20"/>
        <v>2.8571428571428575E-7</v>
      </c>
      <c r="AB233" s="44">
        <f t="shared" si="20"/>
        <v>2.8571428571428575E-7</v>
      </c>
      <c r="AC233" s="44">
        <f t="shared" si="20"/>
        <v>2.8571428571428575E-7</v>
      </c>
      <c r="AD233" s="44">
        <f t="shared" si="20"/>
        <v>2.8571428571428575E-7</v>
      </c>
      <c r="AE233" s="44">
        <f t="shared" si="20"/>
        <v>2.8571428571428575E-7</v>
      </c>
      <c r="AF233" s="44">
        <f t="shared" si="20"/>
        <v>2.8571428571428575E-7</v>
      </c>
      <c r="AG233" s="44">
        <f t="shared" si="20"/>
        <v>2.8571428571428575E-7</v>
      </c>
      <c r="AH233" s="44">
        <f t="shared" si="20"/>
        <v>2.8571428571428575E-7</v>
      </c>
      <c r="AI233" s="44">
        <f t="shared" si="20"/>
        <v>2.8571428571428575E-7</v>
      </c>
      <c r="AJ233" s="44">
        <f t="shared" si="20"/>
        <v>2.8571428571428575E-7</v>
      </c>
      <c r="AK233" s="44">
        <f t="shared" si="20"/>
        <v>2.8571428571428575E-7</v>
      </c>
      <c r="AL233"/>
      <c r="AM233" s="44">
        <f t="shared" si="20"/>
        <v>2.8571428571428575E-7</v>
      </c>
      <c r="AN233" s="44">
        <f t="shared" si="20"/>
        <v>2.8571428571428575E-7</v>
      </c>
      <c r="AO233" s="44">
        <f t="shared" si="20"/>
        <v>2.8571428571428575E-7</v>
      </c>
      <c r="AP233" s="44">
        <f t="shared" si="20"/>
        <v>2.8571428571428575E-7</v>
      </c>
      <c r="AQ233" s="44">
        <f t="shared" si="20"/>
        <v>2.8571428571428575E-7</v>
      </c>
      <c r="AR233" s="44">
        <f t="shared" si="20"/>
        <v>2.8571428571428575E-7</v>
      </c>
      <c r="AS233" s="44">
        <f t="shared" si="20"/>
        <v>2.8571428571428575E-7</v>
      </c>
      <c r="AT233"/>
      <c r="AU233" s="44">
        <f t="shared" si="20"/>
        <v>2.8571428571428575E-7</v>
      </c>
      <c r="AV233" s="44">
        <f t="shared" si="20"/>
        <v>2.8571428571428575E-7</v>
      </c>
      <c r="AW233" s="44">
        <f t="shared" si="20"/>
        <v>2.8571428571428575E-7</v>
      </c>
      <c r="AX233" s="44">
        <f t="shared" si="20"/>
        <v>2.8571428571428575E-7</v>
      </c>
      <c r="AY233"/>
      <c r="AZ233" s="44">
        <f t="shared" si="20"/>
        <v>2.8571428571428575E-7</v>
      </c>
      <c r="BA233"/>
      <c r="BB233"/>
      <c r="BC233" s="44">
        <f t="shared" si="20"/>
        <v>2.8571428571428575E-7</v>
      </c>
      <c r="BD233" s="1"/>
      <c r="BE233" s="1"/>
      <c r="BF233" s="1"/>
      <c r="BG233" s="1"/>
      <c r="BH233" s="1"/>
      <c r="BI233" s="1"/>
      <c r="BJ233" s="1"/>
      <c r="BK233" s="1"/>
    </row>
    <row r="234" spans="1:78" x14ac:dyDescent="0.35">
      <c r="A234" s="2" t="s">
        <v>541</v>
      </c>
      <c r="B234" s="3" t="s">
        <v>473</v>
      </c>
      <c r="C234" s="3" t="s">
        <v>580</v>
      </c>
      <c r="D234" s="3" t="s">
        <v>581</v>
      </c>
      <c r="E234" s="30" t="s">
        <v>537</v>
      </c>
      <c r="F234" s="30" t="s">
        <v>536</v>
      </c>
      <c r="G234" s="44">
        <f t="shared" ref="G234:AZ234" si="21">0.00002 / 14 / 5 /10</f>
        <v>2.8571428571428575E-8</v>
      </c>
      <c r="I234" s="58"/>
      <c r="J234" s="44">
        <v>0</v>
      </c>
      <c r="K234" s="44">
        <v>0</v>
      </c>
      <c r="L234" s="44">
        <v>0</v>
      </c>
      <c r="M234" s="44"/>
      <c r="N234" s="44">
        <v>0</v>
      </c>
      <c r="P234" s="44">
        <v>0</v>
      </c>
      <c r="Q234" s="44">
        <v>0</v>
      </c>
      <c r="R234" s="44">
        <v>0</v>
      </c>
      <c r="T234" s="44">
        <v>0</v>
      </c>
      <c r="U234" s="44"/>
      <c r="V234" s="44">
        <f t="shared" si="21"/>
        <v>2.8571428571428575E-8</v>
      </c>
      <c r="W234" s="44">
        <f t="shared" si="21"/>
        <v>2.8571428571428575E-8</v>
      </c>
      <c r="X234" s="44">
        <f t="shared" si="21"/>
        <v>2.8571428571428575E-8</v>
      </c>
      <c r="AA234" s="44">
        <f t="shared" si="21"/>
        <v>2.8571428571428575E-8</v>
      </c>
      <c r="AB234" s="44">
        <f t="shared" si="21"/>
        <v>2.8571428571428575E-8</v>
      </c>
      <c r="AC234" s="44">
        <f t="shared" si="21"/>
        <v>2.8571428571428575E-8</v>
      </c>
      <c r="AD234" s="44">
        <f t="shared" si="21"/>
        <v>2.8571428571428575E-8</v>
      </c>
      <c r="AE234" s="44">
        <f t="shared" si="21"/>
        <v>2.8571428571428575E-8</v>
      </c>
      <c r="AF234" s="44">
        <f t="shared" si="21"/>
        <v>2.8571428571428575E-8</v>
      </c>
      <c r="AG234" s="44">
        <f t="shared" si="21"/>
        <v>2.8571428571428575E-8</v>
      </c>
      <c r="AH234" s="44">
        <f t="shared" si="21"/>
        <v>2.8571428571428575E-8</v>
      </c>
      <c r="AI234" s="44">
        <f t="shared" si="21"/>
        <v>2.8571428571428575E-8</v>
      </c>
      <c r="AJ234" s="44">
        <f t="shared" si="21"/>
        <v>2.8571428571428575E-8</v>
      </c>
      <c r="AK234" s="44">
        <f t="shared" si="21"/>
        <v>2.8571428571428575E-8</v>
      </c>
      <c r="AL234"/>
      <c r="AM234" s="44">
        <f t="shared" si="21"/>
        <v>2.8571428571428575E-8</v>
      </c>
      <c r="AN234" s="44">
        <f t="shared" si="21"/>
        <v>2.8571428571428575E-8</v>
      </c>
      <c r="AO234" s="44">
        <f t="shared" si="21"/>
        <v>2.8571428571428575E-8</v>
      </c>
      <c r="AP234" s="44">
        <f t="shared" si="21"/>
        <v>2.8571428571428575E-8</v>
      </c>
      <c r="AQ234" s="44">
        <f t="shared" si="21"/>
        <v>2.8571428571428575E-8</v>
      </c>
      <c r="AR234" s="44">
        <f t="shared" si="21"/>
        <v>2.8571428571428575E-8</v>
      </c>
      <c r="AS234" s="44">
        <f t="shared" si="21"/>
        <v>2.8571428571428575E-8</v>
      </c>
      <c r="AT234"/>
      <c r="AU234" s="44">
        <f t="shared" si="21"/>
        <v>2.8571428571428575E-8</v>
      </c>
      <c r="AV234" s="44">
        <f t="shared" si="21"/>
        <v>2.8571428571428575E-8</v>
      </c>
      <c r="AW234" s="44">
        <f t="shared" si="21"/>
        <v>2.8571428571428575E-8</v>
      </c>
      <c r="AX234" s="44">
        <f t="shared" si="21"/>
        <v>2.8571428571428575E-8</v>
      </c>
      <c r="AY234"/>
      <c r="AZ234" s="44">
        <f t="shared" si="21"/>
        <v>2.8571428571428575E-8</v>
      </c>
      <c r="BA234"/>
      <c r="BB234"/>
      <c r="BC234" s="44">
        <f t="shared" si="20"/>
        <v>2.8571428571428575E-7</v>
      </c>
      <c r="BD234" s="1"/>
      <c r="BE234" s="1"/>
      <c r="BF234" s="1"/>
      <c r="BG234" s="1"/>
      <c r="BH234" s="1"/>
      <c r="BI234" s="1"/>
      <c r="BJ234" s="1"/>
      <c r="BK234" s="1"/>
    </row>
    <row r="235" spans="1:78" x14ac:dyDescent="0.35">
      <c r="A235" s="1" t="s">
        <v>583</v>
      </c>
      <c r="B235" s="3" t="s">
        <v>473</v>
      </c>
      <c r="C235" s="3" t="s">
        <v>483</v>
      </c>
      <c r="D235" s="3" t="s">
        <v>521</v>
      </c>
      <c r="E235" s="30" t="s">
        <v>584</v>
      </c>
      <c r="F235" s="30" t="s">
        <v>486</v>
      </c>
      <c r="G235" s="44">
        <v>-1</v>
      </c>
      <c r="I235" s="58"/>
      <c r="J235" s="44" t="s">
        <v>86</v>
      </c>
      <c r="K235" s="44" t="s">
        <v>86</v>
      </c>
      <c r="L235" s="44" t="s">
        <v>86</v>
      </c>
      <c r="M235" s="44"/>
      <c r="N235" s="44" t="s">
        <v>86</v>
      </c>
      <c r="P235" s="44" t="s">
        <v>86</v>
      </c>
      <c r="Q235" s="44" t="s">
        <v>86</v>
      </c>
      <c r="R235" s="44" t="s">
        <v>86</v>
      </c>
      <c r="T235" s="44" t="s">
        <v>86</v>
      </c>
      <c r="U235" s="44"/>
      <c r="V235" s="44">
        <v>-1</v>
      </c>
      <c r="W235" s="44">
        <v>-1</v>
      </c>
      <c r="X235" s="44">
        <v>-1</v>
      </c>
      <c r="AA235" s="44">
        <v>-1</v>
      </c>
      <c r="AB235" s="44">
        <v>-1</v>
      </c>
      <c r="AC235" s="44">
        <v>-1</v>
      </c>
      <c r="AD235" s="44">
        <v>-1</v>
      </c>
      <c r="AE235" s="44">
        <v>-1</v>
      </c>
      <c r="AF235" s="44">
        <v>-1</v>
      </c>
      <c r="AG235" s="44">
        <v>-1</v>
      </c>
      <c r="AH235" s="44">
        <v>-1</v>
      </c>
      <c r="AI235" s="44">
        <v>-1</v>
      </c>
      <c r="AJ235" s="44">
        <v>-1</v>
      </c>
      <c r="AK235" s="44">
        <v>-1</v>
      </c>
      <c r="AL235" s="44">
        <v>-1</v>
      </c>
      <c r="AM235" s="44">
        <v>-1</v>
      </c>
      <c r="AN235" s="44">
        <v>-1</v>
      </c>
      <c r="AO235" s="44">
        <v>-1</v>
      </c>
      <c r="AP235" s="44">
        <v>-1</v>
      </c>
      <c r="AQ235" s="44">
        <v>-1</v>
      </c>
      <c r="AR235" s="44">
        <v>-1</v>
      </c>
      <c r="AS235" s="44">
        <v>-1</v>
      </c>
      <c r="AT235" s="44">
        <v>-1</v>
      </c>
      <c r="AU235" s="44">
        <v>-1</v>
      </c>
      <c r="AV235" s="44">
        <v>-1</v>
      </c>
      <c r="AW235" s="44">
        <v>-1</v>
      </c>
      <c r="AX235" s="44">
        <v>-1</v>
      </c>
      <c r="AY235" s="44">
        <v>-1</v>
      </c>
      <c r="AZ235" s="44">
        <v>-1</v>
      </c>
      <c r="BA235" s="44">
        <v>-1</v>
      </c>
      <c r="BB235" s="44">
        <v>-1</v>
      </c>
      <c r="BC235" s="44">
        <v>-1</v>
      </c>
      <c r="BD235" s="1"/>
      <c r="BE235" s="1"/>
      <c r="BF235" s="1"/>
      <c r="BG235" s="1"/>
      <c r="BH235" s="1"/>
      <c r="BI235" s="1"/>
      <c r="BJ235" s="1"/>
      <c r="BK235" s="1"/>
    </row>
    <row r="236" spans="1:78" x14ac:dyDescent="0.35">
      <c r="A236" s="21" t="s">
        <v>588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J129* (6 * 12 / 0.44) * 0.015 / 14 / 1.4 /2/2/2</f>
        <v>5.8702458256029672E-17</v>
      </c>
      <c r="K236" s="44">
        <f>K129* (6 * 12 / 0.44) * 0.015 / 14 / 1.4</f>
        <v>4.6961966604823737E-16</v>
      </c>
      <c r="L236" s="44">
        <f>L128* (6 * 12 / 0.44) * 0.015 / 14 / 1.4</f>
        <v>6.2615955473098323E-16</v>
      </c>
      <c r="M236" s="44"/>
      <c r="N236" s="44">
        <f>0.0000000000005* (6 * 12 / 0.44) * 0.0173 / 14 / 1.4 / 10 / 2</f>
        <v>3.6108534322820035E-15</v>
      </c>
      <c r="O236" s="1" t="s">
        <v>599</v>
      </c>
      <c r="P236" s="44">
        <f>0.0000000000005* (6 * 12 / 0.44) * 0.0173 / 14 / 1.4 / 10 / 2</f>
        <v>3.6108534322820035E-15</v>
      </c>
      <c r="Q236" s="44">
        <f>0.0000000000005* (6 * 12 / 0.44) * 0.0173 / 14 / 1.4 / 10 / 2</f>
        <v>3.6108534322820035E-15</v>
      </c>
      <c r="R236" s="44">
        <f>0.0000000000005* (6 * 12 / 0.44) * 0.0173 / 14 / 1.4 / 10 / 2</f>
        <v>3.6108534322820035E-15</v>
      </c>
      <c r="T236" s="44">
        <f>T129* 6 * 12 / 0.44 * 0.015 / 14 / 1.4 /2/2/2</f>
        <v>5.8702458256029672E-17</v>
      </c>
      <c r="U236" s="44"/>
      <c r="V236" s="44">
        <v>4.9999999999999999E-13</v>
      </c>
      <c r="W236" s="44">
        <v>4.9999999999999999E-13</v>
      </c>
      <c r="X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 s="44">
        <v>4.9999999999999999E-13</v>
      </c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/>
      <c r="AM236" s="44">
        <v>4.9999999999999999E-13</v>
      </c>
      <c r="AN236" s="44">
        <v>4.9999999999999999E-13</v>
      </c>
      <c r="AO236" s="44">
        <v>4.9999999999999999E-13</v>
      </c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 s="44">
        <v>4.9999999999999999E-13</v>
      </c>
      <c r="AW236" s="44">
        <v>4.9999999999999999E-13</v>
      </c>
      <c r="AX236" s="44">
        <v>4.9999999999999999E-13</v>
      </c>
      <c r="AY236"/>
      <c r="AZ236" s="44">
        <v>4.9999999999999999E-13</v>
      </c>
      <c r="BA236"/>
      <c r="BB236"/>
      <c r="BC236" s="44">
        <v>4.9999999999999999E-13</v>
      </c>
    </row>
    <row r="237" spans="1:78" x14ac:dyDescent="0.35">
      <c r="A237" s="21" t="s">
        <v>602</v>
      </c>
      <c r="B237" s="3" t="s">
        <v>473</v>
      </c>
      <c r="C237" s="3" t="s">
        <v>483</v>
      </c>
      <c r="D237" s="3" t="s">
        <v>521</v>
      </c>
      <c r="E237" s="22" t="s">
        <v>589</v>
      </c>
      <c r="F237" s="22" t="s">
        <v>590</v>
      </c>
      <c r="G237" s="44">
        <v>1.0000000000000001E-9</v>
      </c>
      <c r="I237" s="58"/>
      <c r="J237" s="44">
        <f>J130* (6 * 12 / 0.44) * 0.015 / 14 / 1.4 /2/2/2</f>
        <v>0.15653988868274582</v>
      </c>
      <c r="K237" s="44">
        <f>K130* (6 * 12 / 0.44) * 0.015 / 14 / 1.4</f>
        <v>1.2523191094619666</v>
      </c>
      <c r="L237" s="44">
        <f>0.000001/3600</f>
        <v>2.7777777777777777E-10</v>
      </c>
      <c r="M237" s="44"/>
      <c r="N237" s="44">
        <f>0.000001/3600/10/10</f>
        <v>2.7777777777777777E-12</v>
      </c>
      <c r="P237" s="44">
        <f>0.000001/3600/10/10</f>
        <v>2.7777777777777777E-12</v>
      </c>
      <c r="Q237" s="44">
        <f>0.000001/3600/10/10</f>
        <v>2.7777777777777777E-12</v>
      </c>
      <c r="R237" s="44">
        <f>0.000001/3600/10/10</f>
        <v>2.7777777777777777E-12</v>
      </c>
      <c r="T237" s="44">
        <f>T130* 6 * 12 / 0.44 * 0.015 / 14 / 1.4 /2/2/2</f>
        <v>0.15653988868274582</v>
      </c>
      <c r="U237" s="44"/>
      <c r="V237" s="44">
        <v>4.9999999999999999E-13</v>
      </c>
      <c r="W237" s="44">
        <v>4.9999999999999999E-13</v>
      </c>
      <c r="X237" s="44">
        <v>4.9999999999999999E-13</v>
      </c>
      <c r="AA237" s="44">
        <v>4.9999999999999999E-13</v>
      </c>
      <c r="AB237" s="44">
        <v>4.9999999999999999E-13</v>
      </c>
      <c r="AC237" s="44">
        <v>4.9999999999999999E-13</v>
      </c>
      <c r="AD237" s="44">
        <v>4.9999999999999999E-13</v>
      </c>
      <c r="AE237" s="44">
        <v>4.9999999999999999E-13</v>
      </c>
      <c r="AF237" s="44">
        <v>4.9999999999999999E-13</v>
      </c>
      <c r="AG237" s="44">
        <v>4.9999999999999999E-13</v>
      </c>
      <c r="AH237" s="44">
        <v>4.9999999999999999E-13</v>
      </c>
      <c r="AI237" s="44">
        <v>4.9999999999999999E-13</v>
      </c>
      <c r="AJ237" s="44">
        <v>4.9999999999999999E-13</v>
      </c>
      <c r="AK237" s="44">
        <v>4.9999999999999999E-13</v>
      </c>
      <c r="AL237"/>
      <c r="AM237" s="44">
        <v>4.9999999999999999E-13</v>
      </c>
      <c r="AN237" s="44">
        <v>4.9999999999999999E-13</v>
      </c>
      <c r="AO237" s="44">
        <v>4.9999999999999999E-13</v>
      </c>
      <c r="AP237" s="44">
        <v>4.9999999999999999E-13</v>
      </c>
      <c r="AQ237" s="44">
        <v>4.9999999999999999E-13</v>
      </c>
      <c r="AR237" s="44">
        <v>4.9999999999999999E-13</v>
      </c>
      <c r="AS237" s="44">
        <v>4.9999999999999999E-13</v>
      </c>
      <c r="AT237"/>
      <c r="AU237" s="44">
        <v>4.9999999999999999E-13</v>
      </c>
      <c r="AV237" s="44">
        <v>4.9999999999999999E-13</v>
      </c>
      <c r="AW237" s="44">
        <v>4.9999999999999999E-13</v>
      </c>
      <c r="AX237" s="44">
        <v>4.9999999999999999E-13</v>
      </c>
      <c r="AY237"/>
      <c r="AZ237" s="44">
        <v>4.9999999999999999E-13</v>
      </c>
      <c r="BA237"/>
      <c r="BB237"/>
      <c r="BC237" s="44">
        <v>4.9999999999999999E-13</v>
      </c>
    </row>
  </sheetData>
  <phoneticPr fontId="19" type="noConversion"/>
  <conditionalFormatting sqref="G226">
    <cfRule type="colorScale" priority="5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N127">
    <cfRule type="colorScale" priority="5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N135">
    <cfRule type="colorScale" priority="5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N207">
    <cfRule type="colorScale" priority="5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N208">
    <cfRule type="colorScale" priority="5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N21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N216">
    <cfRule type="colorScale" priority="5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N218">
    <cfRule type="colorScale" priority="5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N220">
    <cfRule type="colorScale" priority="5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N222">
    <cfRule type="colorScale" priority="5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N223">
    <cfRule type="colorScale" priority="5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N224">
    <cfRule type="colorScale" priority="5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N225">
    <cfRule type="colorScale" priority="5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N231">
    <cfRule type="colorScale" priority="5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:N232">
    <cfRule type="colorScale" priority="5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:N235">
    <cfRule type="colorScale" priority="5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R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R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R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R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:R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:R8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:R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:R1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:R11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:R1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:R1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:R1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:R1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:R16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:R1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:R1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:R19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:R2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:R2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:R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:R2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R2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6:R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7:R27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8:R2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9:R29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0:R30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:R31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2:R32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3:R33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4:R34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5:R35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6:R3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7:R3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8:R38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9:R39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0:R4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:R41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2:R42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R43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R44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5:R45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:R46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7:R4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8:R4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9:R4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0:R5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1:R5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2:R52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3:R53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4:R54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R55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R56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7:R57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8:R58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9:R59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0:R60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1:R61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2:R6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3:R6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4:R64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5:R65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6:R66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7:R67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8:R68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9:R69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0:R70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1:R71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2:R72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3:R73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4:R74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5:R75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6:R76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7:R77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8:R78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9:R7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0:R80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1:R81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2:R82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3:R83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4:R84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5:R85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6:R8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7:R87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8:R8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9:R89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0:R90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1:R91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2:R92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3:R93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4:R94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5:R95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6:R96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7:R97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8:R98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9:R99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0:R100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1:R101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:R102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R103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4:R104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5:R10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6:R106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7:R107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8:R108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9:R109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0:R110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1:R111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2:R112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3:R113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R114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5:R115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6:R116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7:R117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8:R118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9:R119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0:R120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1:R121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2:R122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3:R123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4:R124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5:R125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6:R126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R127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8:R129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R130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1:R131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R132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R133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4:R134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R13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:R13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7:R137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:R138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9:R139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0:R140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:R14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2:R142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3:R143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:R144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5:R145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6:R146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:R147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8:R14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9:R149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0:R150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1:R151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2:R15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3:R153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4:R15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5:R155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6:R15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7:R15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8:R15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9:R159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:R160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1:R16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2:R162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:R163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4:R164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5:R165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:R16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7:R167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8:R168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:R169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0:R170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1:R171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2:R172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3:R173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4:R174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5:R175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6:R176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7:R177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8:R17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9:R179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0:R18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1:R181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2:R18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3:R18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4:R184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5:R18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6:R18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7:R187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8:R188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9:R189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0:R190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1:R19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2:R192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3:R193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4:R19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5:R195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6:R196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7:R197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8:R198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9:R199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0:R20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1:R201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2:R202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3:R20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4:R204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5:R205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6:R206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7:R207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:R208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:R209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:R210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:R211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2:R212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3:R214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6:R216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7:R21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9:R220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1:R222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3:R223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4:R22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5:R225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6:R226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7:R230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1:R231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2:R232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3:R23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5:R235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6:R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5:R2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U4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:U24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7:U127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5:U135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7:U20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8:U20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3:U214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5:U21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6:U216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7:U218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9:U220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1:U22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3:U223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4:U22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5:U225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7:U230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1:U231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2:U232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3:U234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5:U235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6:X226 BC226 I226:N226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1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2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2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 T2:X2 I2:N2">
    <cfRule type="colorScale" priority="3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4 BC3:BC4 G3:G4 V3:X4 I3:N4">
    <cfRule type="colorScale" priority="3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 T5:X5 I5:N5">
    <cfRule type="colorScale" priority="3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 T6:X6 I6:N6">
    <cfRule type="colorScale" priority="3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 T7:X7 I7:N7">
    <cfRule type="colorScale" priority="3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 T8:X8 I8:N8">
    <cfRule type="colorScale" priority="3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 T9:X9 I9:N9">
    <cfRule type="colorScale" priority="3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 T10:X10 I10:N10">
    <cfRule type="colorScale" priority="3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 T11:X11 I11:N11">
    <cfRule type="colorScale" priority="3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 T12:X12 I12:N12">
    <cfRule type="colorScale" priority="3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 T13:X13 I13:N13">
    <cfRule type="colorScale" priority="3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 T14:X14 I14:N14">
    <cfRule type="colorScale" priority="3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 T15:X15 I15:N15">
    <cfRule type="colorScale" priority="3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 T16:X16 I16:N16">
    <cfRule type="colorScale" priority="3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 T17:X17 I17:N17">
    <cfRule type="colorScale" priority="3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 T18:X18 I18:N18">
    <cfRule type="colorScale" priority="3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 T19:X19 I19:N19">
    <cfRule type="colorScale" priority="3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 T20:X20 I20:N20">
    <cfRule type="colorScale" priority="3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 T21:X21 I21:N21">
    <cfRule type="colorScale" priority="3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D22 BC22 G22 T22:X22 I22:N22">
    <cfRule type="colorScale" priority="3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 T25:X25 I25:N25">
    <cfRule type="colorScale" priority="3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 T26:X26 I26:N26">
    <cfRule type="colorScale" priority="3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 T27:X27 I27:N27">
    <cfRule type="colorScale" priority="3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 T28:X28 I28:N28">
    <cfRule type="colorScale" priority="3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 T29:X29 I29:N29">
    <cfRule type="colorScale" priority="3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 T30:X30 I30:N30">
    <cfRule type="colorScale" priority="3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 T31:X31 I31:N31">
    <cfRule type="colorScale" priority="3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 T32:X32 I32:N32">
    <cfRule type="colorScale" priority="3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 T33:X33 I33:N33">
    <cfRule type="colorScale" priority="3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 T34:X34 I34:N34">
    <cfRule type="colorScale" priority="3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 T35:X35 I35:N35">
    <cfRule type="colorScale" priority="3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 T36:X36 I36:N36">
    <cfRule type="colorScale" priority="3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 T37:X37 I37:N37">
    <cfRule type="colorScale" priority="3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 T38:X38 I38:N38">
    <cfRule type="colorScale" priority="3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 T39:X39 I39:N39">
    <cfRule type="colorScale" priority="3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 T40:X40 I40:N40">
    <cfRule type="colorScale" priority="3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 T41:X41 I41:N41">
    <cfRule type="colorScale" priority="3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 T42:X42 I42:N42">
    <cfRule type="colorScale" priority="3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 T43:X43 I43:N43">
    <cfRule type="colorScale" priority="3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 T44:X44 I44:N44">
    <cfRule type="colorScale" priority="3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 T45:X45 I45:N45">
    <cfRule type="colorScale" priority="3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 T46:X46 I46:N46">
    <cfRule type="colorScale" priority="3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 T47:X47 I47:N47">
    <cfRule type="colorScale" priority="3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 T48:X48 I48:N48">
    <cfRule type="colorScale" priority="3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 T49:X49 I49:N49">
    <cfRule type="colorScale" priority="3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 T50:X50 I50:N50">
    <cfRule type="colorScale" priority="3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 T51:X51 I51:N51">
    <cfRule type="colorScale" priority="3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 T52:X52 I52:N52">
    <cfRule type="colorScale" priority="3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 T53:X53 I53:N53">
    <cfRule type="colorScale" priority="3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 T54:X54 I54:N54">
    <cfRule type="colorScale" priority="3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 T55:X55 I55:N55">
    <cfRule type="colorScale" priority="3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 T56:X56 I56:N56">
    <cfRule type="colorScale" priority="3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 T57:X57 I57:N57">
    <cfRule type="colorScale" priority="3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 T58:X58 I58:N58">
    <cfRule type="colorScale" priority="3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 T59:X59 I59:N59">
    <cfRule type="colorScale" priority="3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 T60:X60 I60:N60">
    <cfRule type="colorScale" priority="3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 T61:X61 I61:N61">
    <cfRule type="colorScale" priority="3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 T62:X62 I62:N62">
    <cfRule type="colorScale" priority="3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 T63:X63 I63:N63">
    <cfRule type="colorScale" priority="3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 T64:X64 I64:N64">
    <cfRule type="colorScale" priority="3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 T65:X65 I65:N65">
    <cfRule type="colorScale" priority="3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 T66:X66 I66:N66">
    <cfRule type="colorScale" priority="3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 T67:X67 I67:N67">
    <cfRule type="colorScale" priority="3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 T68:X68 I68:N68">
    <cfRule type="colorScale" priority="3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 T69:X69 I69:N69">
    <cfRule type="colorScale" priority="3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 T70:X70 I70:N70">
    <cfRule type="colorScale" priority="3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 T71:X71 I71:N71">
    <cfRule type="colorScale" priority="3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 T72:X72 I72:N72">
    <cfRule type="colorScale" priority="3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 T73:X73 I73:N73">
    <cfRule type="colorScale" priority="3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 T74:X74 I74:N74">
    <cfRule type="colorScale" priority="3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 T75:X75 I75:N75">
    <cfRule type="colorScale" priority="3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 T76:X76 I76:N76">
    <cfRule type="colorScale" priority="3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 T77:X77 I77:N77">
    <cfRule type="colorScale" priority="3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 T78:X78 I78:N78">
    <cfRule type="colorScale" priority="3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 T79:X79 I79:N79">
    <cfRule type="colorScale" priority="3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 T80:X80 I80:N80">
    <cfRule type="colorScale" priority="3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 T81:X81 I81:N81">
    <cfRule type="colorScale" priority="3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 T82:X82 I82:N82">
    <cfRule type="colorScale" priority="3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 T83:X83 I83:N83">
    <cfRule type="colorScale" priority="3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 T84:X84 I84:N84">
    <cfRule type="colorScale" priority="3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 T85:X85 I85:N85">
    <cfRule type="colorScale" priority="3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 T86:X86 I86:N86">
    <cfRule type="colorScale" priority="3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 T87:X87 I87:N87">
    <cfRule type="colorScale" priority="3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 T88:X88 I88:N88">
    <cfRule type="colorScale" priority="3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 T89:X89 I89:N89">
    <cfRule type="colorScale" priority="3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 T90:X90 I90:N90">
    <cfRule type="colorScale" priority="3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 T91:X91 I91:N91">
    <cfRule type="colorScale" priority="3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 T92:X92 I92:N92">
    <cfRule type="colorScale" priority="3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 T93:X93 I93:N93">
    <cfRule type="colorScale" priority="3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 T94:X94 I94:N94">
    <cfRule type="colorScale" priority="3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 T95:X95 I95:N95">
    <cfRule type="colorScale" priority="3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 T96:X96 I96:N96">
    <cfRule type="colorScale" priority="3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 T97:X97 I97:N97">
    <cfRule type="colorScale" priority="3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 T98:X98 I98:N98">
    <cfRule type="colorScale" priority="3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 T99:X99 I99:N99">
    <cfRule type="colorScale" priority="3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 T100:X100 I100:N100">
    <cfRule type="colorScale" priority="3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 T101:X101 I101:N101">
    <cfRule type="colorScale" priority="3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 T102:X102 I102:N102">
    <cfRule type="colorScale" priority="3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 T103:X103 I103:N103">
    <cfRule type="colorScale" priority="3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 T104:X104 I104:N104">
    <cfRule type="colorScale" priority="3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 T105:X105 I105:N105">
    <cfRule type="colorScale" priority="3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 T106:X106 I106:N106">
    <cfRule type="colorScale" priority="3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 T107:X107 I107:N107">
    <cfRule type="colorScale" priority="3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 T108:X108 I108:N108">
    <cfRule type="colorScale" priority="3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 T109:X109 I109:N109">
    <cfRule type="colorScale" priority="3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 T110:X110 I110:N110">
    <cfRule type="colorScale" priority="3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 T111:X111 I111:N111">
    <cfRule type="colorScale" priority="3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 T112:X112 I112:N112">
    <cfRule type="colorScale" priority="3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 T113:X113 I113:N113">
    <cfRule type="colorScale" priority="3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 T114:X114 I114:N114">
    <cfRule type="colorScale" priority="3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 T115:X115 I115:N115">
    <cfRule type="colorScale" priority="3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 T116:X116 I116:N116">
    <cfRule type="colorScale" priority="3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 T117:X117 I117:N117">
    <cfRule type="colorScale" priority="3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 T118:X118 I118:N118">
    <cfRule type="colorScale" priority="3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 T119:X119 I119:N119">
    <cfRule type="colorScale" priority="3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 T120:X120 I120:N120">
    <cfRule type="colorScale" priority="3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 T121:X121 I121:N121">
    <cfRule type="colorScale" priority="3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 T122:X122 I122:N122">
    <cfRule type="colorScale" priority="3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 T123:X123 I123:N123">
    <cfRule type="colorScale" priority="3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 T124:X124 I124:N124">
    <cfRule type="colorScale" priority="3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 T125:X125 I125:N125">
    <cfRule type="colorScale" priority="3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 T126:X126 I126:N126">
    <cfRule type="colorScale" priority="3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 V127:X127">
    <cfRule type="colorScale" priority="3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9 BC128:BC129 G128:G129 T128:X129 I128:N129">
    <cfRule type="colorScale" priority="3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 T130:X130 I130:N130">
    <cfRule type="colorScale" priority="3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 T131:X131 I131:N131">
    <cfRule type="colorScale" priority="3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 T132:X132 I132:N132">
    <cfRule type="colorScale" priority="3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 T133:X133 I133:N133">
    <cfRule type="colorScale" priority="3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 T134:X134 I134:N134">
    <cfRule type="colorScale" priority="3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 V135:X135">
    <cfRule type="colorScale" priority="3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 T136:X136 I136:N136">
    <cfRule type="colorScale" priority="3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 T137:X137 I137:N137">
    <cfRule type="colorScale" priority="3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 T138:X138 I138:N138">
    <cfRule type="colorScale" priority="3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 T139:X139 I139:N139">
    <cfRule type="colorScale" priority="3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 T140:X140 I140:N140">
    <cfRule type="colorScale" priority="3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 T141:X141 I141:N141">
    <cfRule type="colorScale" priority="3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 T142:X142 I142:N142">
    <cfRule type="colorScale" priority="3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 T143:X143 I143:N143">
    <cfRule type="colorScale" priority="3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 T144:X144 I144:N144">
    <cfRule type="colorScale" priority="3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 T145:X145 I145:N145">
    <cfRule type="colorScale" priority="3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 T146:X146 I146:N146">
    <cfRule type="colorScale" priority="3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 T147:X147 I147:N147">
    <cfRule type="colorScale" priority="3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 T148:X148 I148:N148">
    <cfRule type="colorScale" priority="3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 T149:X149 I149:N149">
    <cfRule type="colorScale" priority="3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 T150:X150 I150:N150">
    <cfRule type="colorScale" priority="3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 T151:X151 I151:N151">
    <cfRule type="colorScale" priority="3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 T152:X152 I152:N152">
    <cfRule type="colorScale" priority="3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 T153:X153 I153:N153">
    <cfRule type="colorScale" priority="3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 T154:X154 I154:N154">
    <cfRule type="colorScale" priority="3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 T155:X155 I155:N155">
    <cfRule type="colorScale" priority="3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 T156:X156 I156:N156">
    <cfRule type="colorScale" priority="3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 T157:X157 I157:N157">
    <cfRule type="colorScale" priority="3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 T158:X158 I158:N158">
    <cfRule type="colorScale" priority="3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 T159:X159 I159:N159">
    <cfRule type="colorScale" priority="3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 T160:X160 I160:N160">
    <cfRule type="colorScale" priority="3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 T161:X161 I161:N161">
    <cfRule type="colorScale" priority="3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 T162:X162 I162:N162">
    <cfRule type="colorScale" priority="3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 T163:X163 I163:N163">
    <cfRule type="colorScale" priority="3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 T164:X164 I164:N164">
    <cfRule type="colorScale" priority="3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 T165:X165 I165:N165">
    <cfRule type="colorScale" priority="3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 T166:X166 I166:N166">
    <cfRule type="colorScale" priority="3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 T167:X167 I167:N167"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 T168:X168 I168:N168">
    <cfRule type="colorScale" priority="3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 T169:X169 I169:N169"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 T170:X170 I170:N170">
    <cfRule type="colorScale" priority="3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 T171:X171 I171:N171"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 T172:X172 I172:N172">
    <cfRule type="colorScale" priority="3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 T173:X173 I173:N173"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 T174:X174 I174:N174">
    <cfRule type="colorScale" priority="3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 T175:X175 I175:N175"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 T176:X176 I176:N176">
    <cfRule type="colorScale" priority="3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 T177:X177 I177:N177"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 T178:X178 I178:N178">
    <cfRule type="colorScale" priority="3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 T179:X179 I179:N179"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 T180:X180 I180:N180">
    <cfRule type="colorScale" priority="3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 T181:X181 I181:N181"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 T182:X182 I182:N182">
    <cfRule type="colorScale" priority="3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 T183:X183 I183:N183"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 T184:X184 I184:N184">
    <cfRule type="colorScale" priority="3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 T185:X185 I185:N185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 T186:X186 I186:N186">
    <cfRule type="colorScale" priority="3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 T187:X187 I187:N187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 T188:X188 I188:N188">
    <cfRule type="colorScale" priority="3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 T189:X189 I189:N189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 T190:X190 I190:N190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 T191:X191 I191:N191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 T192:X192 I192:N19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 T193:X193 I193:N193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 T194:X194 I194:N19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 T195:X195 I195:N195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 T196:X196 I196:N196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 T197:X197 I197:N197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 T198:X198 I198:N198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 T199:X199 I199:N199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 T200:X200 I200:N200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 T201:X201 I201:N201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 T202:X202 I202:N202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 T203:X203 I203:N203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 T204:X204 I204:N204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 T205:X205 I205:N205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 T206:X206 I206:N206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 V207:X207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 V208:X208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 T209:V209 I209:N209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 T210:V210 I210:N210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 BC211 G211 T211:V211 I211:N211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 T212:V212 I212:N212"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4 BC214 G214 V214:X214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5:AD216 BC215:BC216 G215:G216 V215:X216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20 BC217:BC220 G217:G220 V217:X220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2 BC221:BC222 G221:G222 V221:X222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3:AD225 BC223:BC225 G223:G224 V223:X225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D226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6:AD237 BC236:BC237 G236:G237 T236:X237 I236:N237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7:AE232">
    <cfRule type="colorScale" priority="2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3:AE234">
    <cfRule type="colorScale" priority="2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4">
    <cfRule type="colorScale" priority="1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2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2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2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2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2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2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4">
    <cfRule type="colorScale" priority="2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5:AK21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6:AK216">
    <cfRule type="colorScale" priority="2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20">
    <cfRule type="colorScale" priority="2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2">
    <cfRule type="colorScale" priority="2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K225">
    <cfRule type="colorScale" priority="2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K226">
    <cfRule type="colorScale" priority="2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6:AK237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32">
    <cfRule type="colorScale" priority="1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3:AF234">
    <cfRule type="colorScale" priority="1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1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32">
    <cfRule type="colorScale" priority="1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3:AG234">
    <cfRule type="colorScale" priority="1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32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3:AH234">
    <cfRule type="colorScale" priority="1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32"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3:AI234"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32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3:AJ234">
    <cfRule type="colorScale" priority="1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32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3:AK234"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7:AM232"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3:AM234"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4 AU3:AX4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S22 AU22:AX22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5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5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5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5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5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5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5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5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5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5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5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5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5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5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5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5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 AU207:AX207">
    <cfRule type="colorScale" priority="5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5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">
    <cfRule type="colorScale" priority="5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5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 AU211:AX211">
    <cfRule type="colorScale" priority="5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5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">
    <cfRule type="colorScale" priority="5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4 AU214:AX214">
    <cfRule type="colorScale" priority="5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5:AS215 AU215:AX2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6:AS216 AU216:AX216">
    <cfRule type="colorScale" priority="5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20 AU217:AX220">
    <cfRule type="colorScale" priority="5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2 AU221:AX222">
    <cfRule type="colorScale" priority="5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S225 AU223:AX225">
    <cfRule type="colorScale" priority="5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S226">
    <cfRule type="colorScale" priority="5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6:AS237 AU236:AX237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32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3:AN234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O24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32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3:AO23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P2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32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3:AP234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6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32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3:AQ234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:AR24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6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32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3:AR23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:AS24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32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3:AS23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X24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:AX209">
    <cfRule type="colorScale" priority="5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:AX213">
    <cfRule type="colorScale" priority="5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X226">
    <cfRule type="colorScale" priority="5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7:AX232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3:AX23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:AZ4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"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:AZ24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:AZ129"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"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5:AZ216"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:AZ220">
    <cfRule type="colorScale" priority="1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:AZ222"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3:AZ225">
    <cfRule type="colorScale" priority="1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6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7:AZ232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3:AZ234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6:AZ237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3:BC24 AA23:AD24 G23:G24 V23:X24 I23:N24">
    <cfRule type="colorScale" priority="3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13 G213 V213:X213 I213:N2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7:BC232 AA227:AD232 G227:G231 V227:X232 I227:N230">
    <cfRule type="colorScale" priority="5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33:BC234 AA233:AD234 G233:G235 V233:X235 AA235:BC235 I235 I233:N234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53125" defaultRowHeight="14.5" x14ac:dyDescent="0.35"/>
  <cols>
    <col min="1" max="2" width="35.7265625" customWidth="1"/>
    <col min="3" max="3" width="49.54296875" customWidth="1"/>
  </cols>
  <sheetData>
    <row r="1" spans="1:3" s="1" customFormat="1" x14ac:dyDescent="0.35">
      <c r="A1" s="1" t="s">
        <v>285</v>
      </c>
      <c r="B1" s="1" t="s">
        <v>286</v>
      </c>
      <c r="C1" s="1" t="s">
        <v>287</v>
      </c>
    </row>
    <row r="2" spans="1:3" x14ac:dyDescent="0.3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3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5">
      <c r="A4" t="s">
        <v>39</v>
      </c>
      <c r="B4" t="s">
        <v>4</v>
      </c>
      <c r="C4" t="str">
        <f t="shared" si="0"/>
        <v/>
      </c>
    </row>
    <row r="5" spans="1:3" x14ac:dyDescent="0.35">
      <c r="A5" t="s">
        <v>206</v>
      </c>
      <c r="B5" t="s">
        <v>5</v>
      </c>
      <c r="C5" t="str">
        <f t="shared" si="0"/>
        <v/>
      </c>
    </row>
    <row r="6" spans="1:3" x14ac:dyDescent="0.35">
      <c r="A6" t="s">
        <v>41</v>
      </c>
      <c r="B6" t="s">
        <v>20</v>
      </c>
      <c r="C6" t="str">
        <f t="shared" si="0"/>
        <v/>
      </c>
    </row>
    <row r="7" spans="1:3" x14ac:dyDescent="0.35">
      <c r="A7" t="s">
        <v>40</v>
      </c>
      <c r="B7" t="s">
        <v>0</v>
      </c>
      <c r="C7" t="str">
        <f t="shared" si="0"/>
        <v/>
      </c>
    </row>
    <row r="8" spans="1:3" x14ac:dyDescent="0.35">
      <c r="A8" t="s">
        <v>44</v>
      </c>
      <c r="B8" t="s">
        <v>1</v>
      </c>
      <c r="C8" t="str">
        <f t="shared" si="0"/>
        <v/>
      </c>
    </row>
    <row r="9" spans="1:3" x14ac:dyDescent="0.35">
      <c r="A9" t="s">
        <v>49</v>
      </c>
      <c r="B9" t="s">
        <v>6</v>
      </c>
      <c r="C9" t="str">
        <f t="shared" si="0"/>
        <v/>
      </c>
    </row>
    <row r="10" spans="1:3" x14ac:dyDescent="0.35">
      <c r="A10" t="s">
        <v>47</v>
      </c>
      <c r="B10" t="s">
        <v>7</v>
      </c>
      <c r="C10" t="str">
        <f t="shared" si="0"/>
        <v/>
      </c>
    </row>
    <row r="11" spans="1:3" x14ac:dyDescent="0.35">
      <c r="A11" t="s">
        <v>48</v>
      </c>
      <c r="B11" t="s">
        <v>8</v>
      </c>
      <c r="C11" t="str">
        <f t="shared" si="0"/>
        <v/>
      </c>
    </row>
    <row r="12" spans="1:3" x14ac:dyDescent="0.35">
      <c r="A12" t="s">
        <v>46</v>
      </c>
      <c r="B12" t="s">
        <v>9</v>
      </c>
      <c r="C12" t="str">
        <f t="shared" si="0"/>
        <v/>
      </c>
    </row>
    <row r="13" spans="1:3" x14ac:dyDescent="0.35">
      <c r="A13" t="s">
        <v>45</v>
      </c>
      <c r="B13" t="s">
        <v>10</v>
      </c>
      <c r="C13" t="str">
        <f t="shared" si="0"/>
        <v/>
      </c>
    </row>
    <row r="14" spans="1:3" x14ac:dyDescent="0.35">
      <c r="A14" t="s">
        <v>90</v>
      </c>
      <c r="B14" t="s">
        <v>11</v>
      </c>
      <c r="C14" t="str">
        <f t="shared" si="0"/>
        <v/>
      </c>
    </row>
    <row r="15" spans="1:3" x14ac:dyDescent="0.35">
      <c r="A15" t="s">
        <v>42</v>
      </c>
      <c r="B15" t="s">
        <v>12</v>
      </c>
      <c r="C15" t="str">
        <f t="shared" si="0"/>
        <v/>
      </c>
    </row>
    <row r="16" spans="1:3" x14ac:dyDescent="0.35">
      <c r="A16" t="s">
        <v>207</v>
      </c>
      <c r="B16" t="s">
        <v>13</v>
      </c>
      <c r="C16" t="str">
        <f t="shared" si="0"/>
        <v/>
      </c>
    </row>
    <row r="17" spans="1:3" x14ac:dyDescent="0.35">
      <c r="A17" t="s">
        <v>43</v>
      </c>
      <c r="B17" t="s">
        <v>14</v>
      </c>
      <c r="C17" t="str">
        <f t="shared" si="0"/>
        <v/>
      </c>
    </row>
    <row r="18" spans="1:3" x14ac:dyDescent="0.35">
      <c r="A18" t="s">
        <v>50</v>
      </c>
      <c r="B18" t="s">
        <v>15</v>
      </c>
      <c r="C18" t="str">
        <f t="shared" si="0"/>
        <v/>
      </c>
    </row>
    <row r="19" spans="1:3" x14ac:dyDescent="0.35">
      <c r="A19" t="s">
        <v>204</v>
      </c>
      <c r="B19" t="s">
        <v>16</v>
      </c>
      <c r="C19" t="str">
        <f t="shared" si="0"/>
        <v/>
      </c>
    </row>
    <row r="20" spans="1:3" x14ac:dyDescent="0.35">
      <c r="A20" t="s">
        <v>51</v>
      </c>
      <c r="B20" t="s">
        <v>17</v>
      </c>
      <c r="C20" t="str">
        <f t="shared" si="0"/>
        <v/>
      </c>
    </row>
    <row r="21" spans="1:3" x14ac:dyDescent="0.35">
      <c r="A21" t="s">
        <v>52</v>
      </c>
      <c r="B21" t="s">
        <v>18</v>
      </c>
      <c r="C21" t="str">
        <f t="shared" si="0"/>
        <v/>
      </c>
    </row>
    <row r="22" spans="1:3" x14ac:dyDescent="0.35">
      <c r="A22" t="s">
        <v>53</v>
      </c>
      <c r="B22" t="s">
        <v>19</v>
      </c>
      <c r="C22" t="str">
        <f t="shared" si="0"/>
        <v/>
      </c>
    </row>
    <row r="23" spans="1:3" x14ac:dyDescent="0.35">
      <c r="A23" t="s">
        <v>55</v>
      </c>
      <c r="B23" t="s">
        <v>21</v>
      </c>
      <c r="C23" t="str">
        <f t="shared" si="0"/>
        <v/>
      </c>
    </row>
    <row r="24" spans="1:3" x14ac:dyDescent="0.35">
      <c r="A24" t="s">
        <v>54</v>
      </c>
      <c r="B24" t="s">
        <v>22</v>
      </c>
      <c r="C24" t="str">
        <f t="shared" si="0"/>
        <v/>
      </c>
    </row>
    <row r="25" spans="1:3" x14ac:dyDescent="0.35">
      <c r="A25" t="s">
        <v>60</v>
      </c>
      <c r="B25" t="s">
        <v>23</v>
      </c>
      <c r="C25" t="str">
        <f t="shared" si="0"/>
        <v/>
      </c>
    </row>
    <row r="26" spans="1:3" x14ac:dyDescent="0.35">
      <c r="A26" t="s">
        <v>208</v>
      </c>
      <c r="B26" t="s">
        <v>24</v>
      </c>
      <c r="C26" t="str">
        <f t="shared" si="0"/>
        <v/>
      </c>
    </row>
    <row r="27" spans="1:3" x14ac:dyDescent="0.35">
      <c r="A27" t="s">
        <v>209</v>
      </c>
      <c r="B27" t="s">
        <v>25</v>
      </c>
      <c r="C27" t="str">
        <f t="shared" si="0"/>
        <v>root_growth_T_ref</v>
      </c>
    </row>
    <row r="28" spans="1:3" x14ac:dyDescent="0.35">
      <c r="A28" t="s">
        <v>210</v>
      </c>
      <c r="B28" t="s">
        <v>26</v>
      </c>
      <c r="C28" t="str">
        <f t="shared" si="0"/>
        <v>root_growth_A</v>
      </c>
    </row>
    <row r="29" spans="1:3" x14ac:dyDescent="0.35">
      <c r="A29" t="s">
        <v>211</v>
      </c>
      <c r="B29" t="s">
        <v>27</v>
      </c>
      <c r="C29" t="str">
        <f t="shared" si="0"/>
        <v>root_growth_B</v>
      </c>
    </row>
    <row r="30" spans="1:3" x14ac:dyDescent="0.35">
      <c r="A30" t="s">
        <v>212</v>
      </c>
      <c r="B30" t="s">
        <v>28</v>
      </c>
      <c r="C30" t="str">
        <f t="shared" si="0"/>
        <v>root_growth_C</v>
      </c>
    </row>
    <row r="31" spans="1:3" x14ac:dyDescent="0.35">
      <c r="A31" t="s">
        <v>213</v>
      </c>
      <c r="B31" t="s">
        <v>29</v>
      </c>
      <c r="C31" t="str">
        <f t="shared" si="0"/>
        <v/>
      </c>
    </row>
    <row r="32" spans="1:3" x14ac:dyDescent="0.35">
      <c r="A32" t="s">
        <v>214</v>
      </c>
      <c r="B32" t="s">
        <v>30</v>
      </c>
      <c r="C32" t="str">
        <f t="shared" si="0"/>
        <v/>
      </c>
    </row>
    <row r="33" spans="1:3" x14ac:dyDescent="0.35">
      <c r="A33" t="s">
        <v>215</v>
      </c>
      <c r="B33" t="s">
        <v>31</v>
      </c>
      <c r="C33" t="str">
        <f t="shared" si="0"/>
        <v/>
      </c>
    </row>
    <row r="34" spans="1:3" x14ac:dyDescent="0.35">
      <c r="A34" t="s">
        <v>216</v>
      </c>
      <c r="B34" t="s">
        <v>32</v>
      </c>
      <c r="C34" t="str">
        <f t="shared" si="0"/>
        <v/>
      </c>
    </row>
    <row r="35" spans="1:3" x14ac:dyDescent="0.35">
      <c r="A35" t="s">
        <v>217</v>
      </c>
      <c r="B35" t="s">
        <v>33</v>
      </c>
      <c r="C35" t="str">
        <f t="shared" si="0"/>
        <v/>
      </c>
    </row>
    <row r="36" spans="1:3" x14ac:dyDescent="0.35">
      <c r="A36" t="s">
        <v>61</v>
      </c>
      <c r="B36" t="s">
        <v>34</v>
      </c>
      <c r="C36" t="str">
        <f t="shared" si="0"/>
        <v/>
      </c>
    </row>
    <row r="37" spans="1:3" x14ac:dyDescent="0.35">
      <c r="A37" t="s">
        <v>75</v>
      </c>
      <c r="B37" t="s">
        <v>35</v>
      </c>
      <c r="C37" t="str">
        <f t="shared" si="0"/>
        <v/>
      </c>
    </row>
    <row r="38" spans="1:3" x14ac:dyDescent="0.35">
      <c r="A38" t="s">
        <v>218</v>
      </c>
      <c r="B38" t="s">
        <v>36</v>
      </c>
      <c r="C38" t="str">
        <f t="shared" si="0"/>
        <v/>
      </c>
    </row>
    <row r="39" spans="1:3" x14ac:dyDescent="0.35">
      <c r="A39" t="s">
        <v>219</v>
      </c>
      <c r="B39" t="s">
        <v>37</v>
      </c>
      <c r="C39" t="str">
        <f t="shared" si="0"/>
        <v/>
      </c>
    </row>
    <row r="40" spans="1:3" x14ac:dyDescent="0.35">
      <c r="A40" t="s">
        <v>220</v>
      </c>
      <c r="B40" t="s">
        <v>38</v>
      </c>
      <c r="C40" t="str">
        <f t="shared" si="0"/>
        <v/>
      </c>
    </row>
    <row r="41" spans="1:3" x14ac:dyDescent="0.35">
      <c r="A41" t="s">
        <v>221</v>
      </c>
      <c r="B41" t="s">
        <v>39</v>
      </c>
      <c r="C41" t="str">
        <f t="shared" si="0"/>
        <v/>
      </c>
    </row>
    <row r="42" spans="1:3" x14ac:dyDescent="0.35">
      <c r="A42" t="s">
        <v>76</v>
      </c>
      <c r="B42" t="s">
        <v>40</v>
      </c>
      <c r="C42" t="str">
        <f t="shared" si="0"/>
        <v/>
      </c>
    </row>
    <row r="43" spans="1:3" x14ac:dyDescent="0.35">
      <c r="A43" t="s">
        <v>222</v>
      </c>
      <c r="B43" t="s">
        <v>206</v>
      </c>
      <c r="C43" t="str">
        <f t="shared" si="0"/>
        <v>expected_C_sucrose_root</v>
      </c>
    </row>
    <row r="44" spans="1:3" x14ac:dyDescent="0.35">
      <c r="A44" t="s">
        <v>223</v>
      </c>
      <c r="B44" t="s">
        <v>41</v>
      </c>
      <c r="C44" t="str">
        <f t="shared" si="0"/>
        <v>expected_C_hexose_root</v>
      </c>
    </row>
    <row r="45" spans="1:3" x14ac:dyDescent="0.35">
      <c r="A45" t="s">
        <v>224</v>
      </c>
      <c r="B45" t="s">
        <v>90</v>
      </c>
      <c r="C45" t="str">
        <f t="shared" si="0"/>
        <v>expected_C_hexose_soil</v>
      </c>
    </row>
    <row r="46" spans="1:3" x14ac:dyDescent="0.35">
      <c r="A46" t="s">
        <v>225</v>
      </c>
      <c r="B46" t="s">
        <v>42</v>
      </c>
      <c r="C46" t="str">
        <f t="shared" si="0"/>
        <v>expected_C_hexose_reserve</v>
      </c>
    </row>
    <row r="47" spans="1:3" x14ac:dyDescent="0.35">
      <c r="A47" t="s">
        <v>65</v>
      </c>
      <c r="B47" t="s">
        <v>43</v>
      </c>
      <c r="C47" t="str">
        <f t="shared" si="0"/>
        <v/>
      </c>
    </row>
    <row r="48" spans="1:3" x14ac:dyDescent="0.35">
      <c r="A48" t="s">
        <v>77</v>
      </c>
      <c r="B48" t="s">
        <v>44</v>
      </c>
      <c r="C48" t="str">
        <f t="shared" si="0"/>
        <v/>
      </c>
    </row>
    <row r="49" spans="1:3" x14ac:dyDescent="0.3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3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35">
      <c r="A51" t="s">
        <v>66</v>
      </c>
      <c r="B51" t="s">
        <v>46</v>
      </c>
      <c r="C51" t="str">
        <f t="shared" si="0"/>
        <v/>
      </c>
    </row>
    <row r="52" spans="1:3" x14ac:dyDescent="0.35">
      <c r="A52" t="s">
        <v>228</v>
      </c>
      <c r="B52" t="s">
        <v>47</v>
      </c>
      <c r="C52" t="str">
        <f t="shared" si="0"/>
        <v/>
      </c>
    </row>
    <row r="53" spans="1:3" x14ac:dyDescent="0.35">
      <c r="A53" t="s">
        <v>229</v>
      </c>
      <c r="B53" t="s">
        <v>48</v>
      </c>
      <c r="C53" t="str">
        <f t="shared" si="0"/>
        <v/>
      </c>
    </row>
    <row r="54" spans="1:3" x14ac:dyDescent="0.35">
      <c r="A54" t="s">
        <v>230</v>
      </c>
      <c r="B54" t="s">
        <v>49</v>
      </c>
      <c r="C54" t="str">
        <f t="shared" si="0"/>
        <v/>
      </c>
    </row>
    <row r="55" spans="1:3" x14ac:dyDescent="0.35">
      <c r="A55" t="s">
        <v>231</v>
      </c>
      <c r="B55" t="s">
        <v>50</v>
      </c>
      <c r="C55" t="str">
        <f t="shared" si="0"/>
        <v/>
      </c>
    </row>
    <row r="56" spans="1:3" x14ac:dyDescent="0.35">
      <c r="A56" t="s">
        <v>68</v>
      </c>
      <c r="B56" t="s">
        <v>204</v>
      </c>
      <c r="C56" t="str">
        <f t="shared" si="0"/>
        <v/>
      </c>
    </row>
    <row r="57" spans="1:3" x14ac:dyDescent="0.35">
      <c r="A57" t="s">
        <v>232</v>
      </c>
      <c r="B57" t="s">
        <v>51</v>
      </c>
      <c r="C57" t="str">
        <f t="shared" si="0"/>
        <v/>
      </c>
    </row>
    <row r="58" spans="1:3" x14ac:dyDescent="0.35">
      <c r="A58" t="s">
        <v>233</v>
      </c>
      <c r="B58" t="s">
        <v>52</v>
      </c>
      <c r="C58" t="str">
        <f t="shared" si="0"/>
        <v/>
      </c>
    </row>
    <row r="59" spans="1:3" x14ac:dyDescent="0.35">
      <c r="A59" t="s">
        <v>234</v>
      </c>
      <c r="B59" t="s">
        <v>53</v>
      </c>
      <c r="C59" t="str">
        <f t="shared" si="0"/>
        <v/>
      </c>
    </row>
    <row r="60" spans="1:3" x14ac:dyDescent="0.35">
      <c r="A60" t="s">
        <v>235</v>
      </c>
      <c r="B60" t="s">
        <v>54</v>
      </c>
      <c r="C60" t="str">
        <f t="shared" si="0"/>
        <v/>
      </c>
    </row>
    <row r="61" spans="1:3" x14ac:dyDescent="0.35">
      <c r="A61" t="s">
        <v>67</v>
      </c>
      <c r="B61" t="s">
        <v>55</v>
      </c>
      <c r="C61" t="str">
        <f t="shared" si="0"/>
        <v/>
      </c>
    </row>
    <row r="62" spans="1:3" x14ac:dyDescent="0.35">
      <c r="A62" t="s">
        <v>70</v>
      </c>
      <c r="B62" t="s">
        <v>213</v>
      </c>
      <c r="C62" t="str">
        <f t="shared" si="0"/>
        <v/>
      </c>
    </row>
    <row r="63" spans="1:3" x14ac:dyDescent="0.35">
      <c r="A63" t="s">
        <v>69</v>
      </c>
      <c r="B63" t="s">
        <v>214</v>
      </c>
      <c r="C63" t="str">
        <f t="shared" si="0"/>
        <v/>
      </c>
    </row>
    <row r="64" spans="1:3" x14ac:dyDescent="0.35">
      <c r="A64" t="s">
        <v>57</v>
      </c>
      <c r="B64" t="s">
        <v>215</v>
      </c>
      <c r="C64" t="str">
        <f t="shared" si="0"/>
        <v/>
      </c>
    </row>
    <row r="65" spans="1:3" x14ac:dyDescent="0.35">
      <c r="A65" t="s">
        <v>56</v>
      </c>
      <c r="B65" t="s">
        <v>216</v>
      </c>
      <c r="C65" t="str">
        <f t="shared" si="0"/>
        <v/>
      </c>
    </row>
    <row r="66" spans="1:3" x14ac:dyDescent="0.35">
      <c r="A66" t="s">
        <v>58</v>
      </c>
      <c r="B66" t="s">
        <v>217</v>
      </c>
      <c r="C66" t="str">
        <f t="shared" si="0"/>
        <v/>
      </c>
    </row>
    <row r="67" spans="1:3" x14ac:dyDescent="0.3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5">
      <c r="A68" t="s">
        <v>236</v>
      </c>
      <c r="B68" t="s">
        <v>83</v>
      </c>
      <c r="C68" t="str">
        <f t="shared" si="1"/>
        <v/>
      </c>
    </row>
    <row r="69" spans="1:3" x14ac:dyDescent="0.35">
      <c r="A69" t="s">
        <v>237</v>
      </c>
      <c r="B69" t="s">
        <v>84</v>
      </c>
      <c r="C69" t="str">
        <f t="shared" si="1"/>
        <v/>
      </c>
    </row>
    <row r="70" spans="1:3" x14ac:dyDescent="0.35">
      <c r="A70" t="s">
        <v>238</v>
      </c>
      <c r="B70" t="s">
        <v>85</v>
      </c>
      <c r="C70" t="str">
        <f t="shared" si="1"/>
        <v/>
      </c>
    </row>
    <row r="71" spans="1:3" x14ac:dyDescent="0.35">
      <c r="A71" t="s">
        <v>239</v>
      </c>
      <c r="B71" t="s">
        <v>60</v>
      </c>
      <c r="C71" t="str">
        <f t="shared" si="1"/>
        <v/>
      </c>
    </row>
    <row r="72" spans="1:3" x14ac:dyDescent="0.35">
      <c r="A72" t="s">
        <v>72</v>
      </c>
      <c r="B72" t="s">
        <v>208</v>
      </c>
      <c r="C72" t="str">
        <f t="shared" si="1"/>
        <v/>
      </c>
    </row>
    <row r="73" spans="1:3" x14ac:dyDescent="0.35">
      <c r="A73" t="s">
        <v>73</v>
      </c>
      <c r="B73" t="s">
        <v>59</v>
      </c>
      <c r="C73" t="str">
        <f t="shared" si="1"/>
        <v/>
      </c>
    </row>
    <row r="74" spans="1:3" x14ac:dyDescent="0.35">
      <c r="A74" t="s">
        <v>240</v>
      </c>
      <c r="B74" t="s">
        <v>61</v>
      </c>
      <c r="C74" t="str">
        <f t="shared" si="1"/>
        <v/>
      </c>
    </row>
    <row r="75" spans="1:3" x14ac:dyDescent="0.35">
      <c r="A75" t="s">
        <v>241</v>
      </c>
      <c r="B75" t="s">
        <v>62</v>
      </c>
      <c r="C75" t="str">
        <f t="shared" si="1"/>
        <v/>
      </c>
    </row>
    <row r="76" spans="1:3" x14ac:dyDescent="0.35">
      <c r="A76" t="s">
        <v>242</v>
      </c>
      <c r="B76" t="s">
        <v>63</v>
      </c>
      <c r="C76" t="str">
        <f t="shared" si="1"/>
        <v/>
      </c>
    </row>
    <row r="77" spans="1:3" x14ac:dyDescent="0.35">
      <c r="A77" t="s">
        <v>243</v>
      </c>
      <c r="B77" t="s">
        <v>64</v>
      </c>
      <c r="C77" t="str">
        <f t="shared" si="1"/>
        <v/>
      </c>
    </row>
    <row r="78" spans="1:3" x14ac:dyDescent="0.35">
      <c r="A78" t="s">
        <v>74</v>
      </c>
      <c r="B78" t="s">
        <v>65</v>
      </c>
      <c r="C78" t="str">
        <f t="shared" si="1"/>
        <v/>
      </c>
    </row>
    <row r="79" spans="1:3" x14ac:dyDescent="0.35">
      <c r="A79" t="s">
        <v>244</v>
      </c>
      <c r="B79" t="s">
        <v>66</v>
      </c>
      <c r="C79" t="str">
        <f t="shared" si="1"/>
        <v>expected_exudation_efflux</v>
      </c>
    </row>
    <row r="80" spans="1:3" x14ac:dyDescent="0.35">
      <c r="A80" t="s">
        <v>78</v>
      </c>
      <c r="B80" t="s">
        <v>228</v>
      </c>
      <c r="C80" t="str">
        <f t="shared" si="1"/>
        <v/>
      </c>
    </row>
    <row r="81" spans="1:3" x14ac:dyDescent="0.35">
      <c r="A81" t="s">
        <v>245</v>
      </c>
      <c r="B81" t="s">
        <v>229</v>
      </c>
      <c r="C81" t="str">
        <f t="shared" si="1"/>
        <v/>
      </c>
    </row>
    <row r="82" spans="1:3" x14ac:dyDescent="0.35">
      <c r="A82" t="s">
        <v>246</v>
      </c>
      <c r="B82" t="s">
        <v>230</v>
      </c>
      <c r="C82" t="str">
        <f t="shared" si="1"/>
        <v/>
      </c>
    </row>
    <row r="83" spans="1:3" x14ac:dyDescent="0.35">
      <c r="A83" t="s">
        <v>247</v>
      </c>
      <c r="B83" t="s">
        <v>231</v>
      </c>
      <c r="C83" t="str">
        <f t="shared" si="1"/>
        <v/>
      </c>
    </row>
    <row r="84" spans="1:3" x14ac:dyDescent="0.35">
      <c r="A84" t="s">
        <v>248</v>
      </c>
      <c r="B84" t="s">
        <v>67</v>
      </c>
      <c r="C84" t="str">
        <f t="shared" si="1"/>
        <v/>
      </c>
    </row>
    <row r="85" spans="1:3" x14ac:dyDescent="0.35">
      <c r="A85" t="s">
        <v>79</v>
      </c>
      <c r="B85" t="s">
        <v>68</v>
      </c>
      <c r="C85" t="str">
        <f t="shared" si="1"/>
        <v/>
      </c>
    </row>
    <row r="86" spans="1:3" x14ac:dyDescent="0.35">
      <c r="A86" t="s">
        <v>80</v>
      </c>
      <c r="B86" t="s">
        <v>232</v>
      </c>
      <c r="C86" t="str">
        <f t="shared" si="1"/>
        <v/>
      </c>
    </row>
    <row r="87" spans="1:3" x14ac:dyDescent="0.35">
      <c r="A87" t="s">
        <v>249</v>
      </c>
      <c r="B87" t="s">
        <v>233</v>
      </c>
      <c r="C87" t="str">
        <f t="shared" si="1"/>
        <v/>
      </c>
    </row>
    <row r="88" spans="1:3" x14ac:dyDescent="0.35">
      <c r="A88" t="s">
        <v>250</v>
      </c>
      <c r="B88" t="s">
        <v>234</v>
      </c>
      <c r="C88" t="str">
        <f t="shared" si="1"/>
        <v/>
      </c>
    </row>
    <row r="89" spans="1:3" x14ac:dyDescent="0.35">
      <c r="A89" t="s">
        <v>251</v>
      </c>
      <c r="B89" t="s">
        <v>235</v>
      </c>
      <c r="C89" t="str">
        <f t="shared" si="1"/>
        <v/>
      </c>
    </row>
    <row r="90" spans="1:3" x14ac:dyDescent="0.35">
      <c r="A90" t="s">
        <v>252</v>
      </c>
      <c r="B90" t="s">
        <v>69</v>
      </c>
      <c r="C90" t="str">
        <f t="shared" si="1"/>
        <v/>
      </c>
    </row>
    <row r="91" spans="1:3" x14ac:dyDescent="0.35">
      <c r="A91" t="s">
        <v>81</v>
      </c>
      <c r="B91" t="s">
        <v>70</v>
      </c>
      <c r="C91" t="str">
        <f t="shared" si="1"/>
        <v/>
      </c>
    </row>
    <row r="92" spans="1:3" x14ac:dyDescent="0.35">
      <c r="A92" t="s">
        <v>253</v>
      </c>
      <c r="B92" t="s">
        <v>56</v>
      </c>
      <c r="C92" t="str">
        <f t="shared" si="1"/>
        <v/>
      </c>
    </row>
    <row r="93" spans="1:3" x14ac:dyDescent="0.35">
      <c r="A93" t="s">
        <v>254</v>
      </c>
      <c r="B93" t="s">
        <v>57</v>
      </c>
      <c r="C93" t="str">
        <f t="shared" si="1"/>
        <v/>
      </c>
    </row>
    <row r="94" spans="1:3" x14ac:dyDescent="0.35">
      <c r="A94" t="s">
        <v>255</v>
      </c>
      <c r="B94" t="s">
        <v>58</v>
      </c>
      <c r="C94" t="str">
        <f t="shared" si="1"/>
        <v/>
      </c>
    </row>
    <row r="95" spans="1:3" x14ac:dyDescent="0.35">
      <c r="A95" t="s">
        <v>256</v>
      </c>
      <c r="B95" t="s">
        <v>71</v>
      </c>
      <c r="C95" t="str">
        <f t="shared" si="1"/>
        <v/>
      </c>
    </row>
    <row r="96" spans="1:3" x14ac:dyDescent="0.35">
      <c r="A96" t="s">
        <v>257</v>
      </c>
      <c r="B96" t="s">
        <v>236</v>
      </c>
      <c r="C96" t="str">
        <f t="shared" si="1"/>
        <v/>
      </c>
    </row>
    <row r="97" spans="1:3" x14ac:dyDescent="0.35">
      <c r="A97" t="s">
        <v>258</v>
      </c>
      <c r="B97" t="s">
        <v>237</v>
      </c>
      <c r="C97" t="str">
        <f t="shared" si="1"/>
        <v/>
      </c>
    </row>
    <row r="98" spans="1:3" x14ac:dyDescent="0.35">
      <c r="A98" t="s">
        <v>259</v>
      </c>
      <c r="B98" t="s">
        <v>238</v>
      </c>
      <c r="C98" t="str">
        <f t="shared" si="1"/>
        <v/>
      </c>
    </row>
    <row r="99" spans="1:3" x14ac:dyDescent="0.35">
      <c r="A99" t="s">
        <v>260</v>
      </c>
      <c r="B99" t="s">
        <v>239</v>
      </c>
      <c r="C99" t="str">
        <f t="shared" si="1"/>
        <v/>
      </c>
    </row>
    <row r="100" spans="1:3" x14ac:dyDescent="0.35">
      <c r="A100" t="s">
        <v>261</v>
      </c>
      <c r="B100" t="s">
        <v>72</v>
      </c>
      <c r="C100" t="str">
        <f t="shared" si="1"/>
        <v/>
      </c>
    </row>
    <row r="101" spans="1:3" x14ac:dyDescent="0.35">
      <c r="A101" t="s">
        <v>262</v>
      </c>
      <c r="B101" t="s">
        <v>73</v>
      </c>
      <c r="C101" t="str">
        <f t="shared" si="1"/>
        <v/>
      </c>
    </row>
    <row r="102" spans="1:3" x14ac:dyDescent="0.35">
      <c r="A102" t="s">
        <v>263</v>
      </c>
      <c r="B102" t="s">
        <v>240</v>
      </c>
      <c r="C102" t="str">
        <f t="shared" si="1"/>
        <v/>
      </c>
    </row>
    <row r="103" spans="1:3" x14ac:dyDescent="0.35">
      <c r="A103" t="s">
        <v>264</v>
      </c>
      <c r="B103" t="s">
        <v>241</v>
      </c>
      <c r="C103" t="str">
        <f t="shared" si="1"/>
        <v/>
      </c>
    </row>
    <row r="104" spans="1:3" x14ac:dyDescent="0.35">
      <c r="A104" t="s">
        <v>265</v>
      </c>
      <c r="B104" t="s">
        <v>242</v>
      </c>
      <c r="C104" t="str">
        <f t="shared" si="1"/>
        <v/>
      </c>
    </row>
    <row r="105" spans="1:3" x14ac:dyDescent="0.35">
      <c r="A105" t="s">
        <v>266</v>
      </c>
      <c r="B105" t="s">
        <v>243</v>
      </c>
      <c r="C105" t="str">
        <f t="shared" si="1"/>
        <v/>
      </c>
    </row>
    <row r="106" spans="1:3" x14ac:dyDescent="0.35">
      <c r="A106" t="s">
        <v>267</v>
      </c>
      <c r="B106" t="s">
        <v>74</v>
      </c>
      <c r="C106" t="str">
        <f t="shared" si="1"/>
        <v/>
      </c>
    </row>
    <row r="107" spans="1:3" x14ac:dyDescent="0.35">
      <c r="A107" t="s">
        <v>268</v>
      </c>
      <c r="B107" t="s">
        <v>75</v>
      </c>
      <c r="C107" t="str">
        <f t="shared" si="1"/>
        <v/>
      </c>
    </row>
    <row r="108" spans="1:3" x14ac:dyDescent="0.35">
      <c r="A108" t="s">
        <v>269</v>
      </c>
      <c r="B108" t="s">
        <v>218</v>
      </c>
      <c r="C108" t="str">
        <f t="shared" si="1"/>
        <v/>
      </c>
    </row>
    <row r="109" spans="1:3" x14ac:dyDescent="0.35">
      <c r="A109" t="s">
        <v>270</v>
      </c>
      <c r="B109" t="s">
        <v>219</v>
      </c>
      <c r="C109" t="str">
        <f t="shared" si="1"/>
        <v/>
      </c>
    </row>
    <row r="110" spans="1:3" x14ac:dyDescent="0.35">
      <c r="A110" t="s">
        <v>271</v>
      </c>
      <c r="B110" t="s">
        <v>220</v>
      </c>
      <c r="C110" t="str">
        <f t="shared" si="1"/>
        <v/>
      </c>
    </row>
    <row r="111" spans="1:3" x14ac:dyDescent="0.35">
      <c r="A111" t="s">
        <v>272</v>
      </c>
      <c r="B111" t="s">
        <v>221</v>
      </c>
      <c r="C111" t="str">
        <f t="shared" si="1"/>
        <v/>
      </c>
    </row>
    <row r="112" spans="1:3" x14ac:dyDescent="0.35">
      <c r="A112" t="s">
        <v>273</v>
      </c>
      <c r="B112" t="s">
        <v>76</v>
      </c>
      <c r="C112" t="str">
        <f t="shared" si="1"/>
        <v/>
      </c>
    </row>
    <row r="113" spans="1:3" x14ac:dyDescent="0.35">
      <c r="A113" t="s">
        <v>274</v>
      </c>
      <c r="B113" t="s">
        <v>77</v>
      </c>
      <c r="C113" t="str">
        <f t="shared" si="1"/>
        <v/>
      </c>
    </row>
    <row r="114" spans="1:3" x14ac:dyDescent="0.35">
      <c r="A114" t="s">
        <v>275</v>
      </c>
      <c r="B114" t="s">
        <v>78</v>
      </c>
      <c r="C114" t="str">
        <f t="shared" si="1"/>
        <v/>
      </c>
    </row>
    <row r="115" spans="1:3" x14ac:dyDescent="0.35">
      <c r="A115" t="s">
        <v>276</v>
      </c>
      <c r="B115" t="s">
        <v>245</v>
      </c>
      <c r="C115" t="str">
        <f t="shared" si="1"/>
        <v/>
      </c>
    </row>
    <row r="116" spans="1:3" x14ac:dyDescent="0.35">
      <c r="A116" t="s">
        <v>277</v>
      </c>
      <c r="B116" t="s">
        <v>246</v>
      </c>
      <c r="C116" t="str">
        <f t="shared" si="1"/>
        <v/>
      </c>
    </row>
    <row r="117" spans="1:3" x14ac:dyDescent="0.35">
      <c r="A117" t="s">
        <v>278</v>
      </c>
      <c r="B117" t="s">
        <v>247</v>
      </c>
      <c r="C117" t="str">
        <f t="shared" si="1"/>
        <v/>
      </c>
    </row>
    <row r="118" spans="1:3" x14ac:dyDescent="0.35">
      <c r="A118" t="s">
        <v>279</v>
      </c>
      <c r="B118" t="s">
        <v>248</v>
      </c>
      <c r="C118" t="str">
        <f t="shared" si="1"/>
        <v/>
      </c>
    </row>
    <row r="119" spans="1:3" x14ac:dyDescent="0.35">
      <c r="A119" t="s">
        <v>280</v>
      </c>
      <c r="B119" t="s">
        <v>79</v>
      </c>
      <c r="C119" t="str">
        <f t="shared" si="1"/>
        <v/>
      </c>
    </row>
    <row r="120" spans="1:3" x14ac:dyDescent="0.35">
      <c r="A120" t="s">
        <v>281</v>
      </c>
      <c r="B120" t="s">
        <v>80</v>
      </c>
      <c r="C120" t="str">
        <f t="shared" si="1"/>
        <v/>
      </c>
    </row>
    <row r="121" spans="1:3" x14ac:dyDescent="0.35">
      <c r="A121" t="s">
        <v>282</v>
      </c>
      <c r="B121" t="s">
        <v>249</v>
      </c>
      <c r="C121" t="str">
        <f t="shared" si="1"/>
        <v/>
      </c>
    </row>
    <row r="122" spans="1:3" x14ac:dyDescent="0.35">
      <c r="A122" t="s">
        <v>283</v>
      </c>
      <c r="B122" t="s">
        <v>250</v>
      </c>
      <c r="C122" t="str">
        <f t="shared" si="1"/>
        <v/>
      </c>
    </row>
    <row r="123" spans="1:3" x14ac:dyDescent="0.35">
      <c r="A123" t="s">
        <v>59</v>
      </c>
      <c r="B123" t="s">
        <v>251</v>
      </c>
      <c r="C123" t="str">
        <f t="shared" si="1"/>
        <v/>
      </c>
    </row>
    <row r="124" spans="1:3" x14ac:dyDescent="0.35">
      <c r="A124" t="s">
        <v>62</v>
      </c>
      <c r="B124" t="s">
        <v>252</v>
      </c>
      <c r="C124" t="str">
        <f t="shared" si="1"/>
        <v/>
      </c>
    </row>
    <row r="125" spans="1:3" x14ac:dyDescent="0.35">
      <c r="A125" t="s">
        <v>64</v>
      </c>
      <c r="B125" t="s">
        <v>81</v>
      </c>
      <c r="C125" t="str">
        <f t="shared" si="1"/>
        <v/>
      </c>
    </row>
    <row r="126" spans="1:3" x14ac:dyDescent="0.35">
      <c r="A126" t="s">
        <v>63</v>
      </c>
      <c r="B126" t="s">
        <v>253</v>
      </c>
      <c r="C126" t="str">
        <f t="shared" si="1"/>
        <v/>
      </c>
    </row>
    <row r="127" spans="1:3" x14ac:dyDescent="0.35">
      <c r="A127" t="s">
        <v>82</v>
      </c>
      <c r="B127" t="s">
        <v>254</v>
      </c>
      <c r="C127" t="str">
        <f t="shared" si="1"/>
        <v/>
      </c>
    </row>
    <row r="128" spans="1:3" x14ac:dyDescent="0.35">
      <c r="A128" t="s">
        <v>83</v>
      </c>
      <c r="B128" t="s">
        <v>255</v>
      </c>
      <c r="C128" t="str">
        <f t="shared" si="1"/>
        <v/>
      </c>
    </row>
    <row r="129" spans="1:3" x14ac:dyDescent="0.35">
      <c r="A129" t="s">
        <v>85</v>
      </c>
      <c r="B129" t="s">
        <v>256</v>
      </c>
      <c r="C129" t="str">
        <f t="shared" si="1"/>
        <v/>
      </c>
    </row>
    <row r="130" spans="1:3" x14ac:dyDescent="0.35">
      <c r="A130" t="s">
        <v>84</v>
      </c>
      <c r="B130" t="s">
        <v>257</v>
      </c>
      <c r="C130" t="str">
        <f t="shared" si="1"/>
        <v/>
      </c>
    </row>
    <row r="131" spans="1:3" x14ac:dyDescent="0.3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35">
      <c r="A132" t="s">
        <v>4</v>
      </c>
      <c r="B132" t="s">
        <v>259</v>
      </c>
      <c r="C132" t="str">
        <f t="shared" si="2"/>
        <v/>
      </c>
    </row>
    <row r="133" spans="1:3" x14ac:dyDescent="0.35">
      <c r="A133" t="s">
        <v>5</v>
      </c>
      <c r="B133" t="s">
        <v>260</v>
      </c>
      <c r="C133" t="str">
        <f t="shared" si="2"/>
        <v/>
      </c>
    </row>
    <row r="134" spans="1:3" x14ac:dyDescent="0.35">
      <c r="A134" t="s">
        <v>20</v>
      </c>
      <c r="B134" t="s">
        <v>261</v>
      </c>
      <c r="C134" t="str">
        <f t="shared" si="2"/>
        <v/>
      </c>
    </row>
    <row r="135" spans="1:3" x14ac:dyDescent="0.35">
      <c r="A135" t="s">
        <v>0</v>
      </c>
      <c r="B135" t="s">
        <v>262</v>
      </c>
      <c r="C135" t="str">
        <f t="shared" si="2"/>
        <v/>
      </c>
    </row>
    <row r="136" spans="1:3" x14ac:dyDescent="0.35">
      <c r="A136" t="s">
        <v>1</v>
      </c>
      <c r="B136" t="s">
        <v>263</v>
      </c>
      <c r="C136" t="str">
        <f t="shared" si="2"/>
        <v/>
      </c>
    </row>
    <row r="137" spans="1:3" x14ac:dyDescent="0.35">
      <c r="A137" t="s">
        <v>6</v>
      </c>
      <c r="B137" t="s">
        <v>264</v>
      </c>
      <c r="C137" t="str">
        <f t="shared" si="2"/>
        <v/>
      </c>
    </row>
    <row r="138" spans="1:3" x14ac:dyDescent="0.35">
      <c r="A138" t="s">
        <v>7</v>
      </c>
      <c r="B138" t="s">
        <v>265</v>
      </c>
      <c r="C138" t="str">
        <f t="shared" si="2"/>
        <v/>
      </c>
    </row>
    <row r="139" spans="1:3" x14ac:dyDescent="0.35">
      <c r="A139" t="s">
        <v>8</v>
      </c>
      <c r="B139" t="s">
        <v>266</v>
      </c>
      <c r="C139" t="str">
        <f t="shared" si="2"/>
        <v/>
      </c>
    </row>
    <row r="140" spans="1:3" x14ac:dyDescent="0.35">
      <c r="A140" t="s">
        <v>9</v>
      </c>
      <c r="B140" t="s">
        <v>267</v>
      </c>
      <c r="C140" t="str">
        <f t="shared" si="2"/>
        <v/>
      </c>
    </row>
    <row r="141" spans="1:3" x14ac:dyDescent="0.35">
      <c r="A141" t="s">
        <v>10</v>
      </c>
      <c r="B141" t="s">
        <v>268</v>
      </c>
      <c r="C141" t="str">
        <f t="shared" si="2"/>
        <v/>
      </c>
    </row>
    <row r="142" spans="1:3" x14ac:dyDescent="0.35">
      <c r="A142" t="s">
        <v>11</v>
      </c>
      <c r="B142" t="s">
        <v>269</v>
      </c>
      <c r="C142" t="str">
        <f t="shared" si="2"/>
        <v/>
      </c>
    </row>
    <row r="143" spans="1:3" x14ac:dyDescent="0.35">
      <c r="A143" t="s">
        <v>12</v>
      </c>
      <c r="B143" t="s">
        <v>270</v>
      </c>
      <c r="C143" t="str">
        <f t="shared" si="2"/>
        <v/>
      </c>
    </row>
    <row r="144" spans="1:3" x14ac:dyDescent="0.35">
      <c r="A144" t="s">
        <v>13</v>
      </c>
      <c r="B144" t="s">
        <v>271</v>
      </c>
      <c r="C144" t="str">
        <f t="shared" si="2"/>
        <v/>
      </c>
    </row>
    <row r="145" spans="1:3" x14ac:dyDescent="0.35">
      <c r="A145" t="s">
        <v>14</v>
      </c>
      <c r="B145" t="s">
        <v>272</v>
      </c>
      <c r="C145" t="str">
        <f t="shared" si="2"/>
        <v/>
      </c>
    </row>
    <row r="146" spans="1:3" x14ac:dyDescent="0.35">
      <c r="A146" t="s">
        <v>15</v>
      </c>
      <c r="B146" t="s">
        <v>273</v>
      </c>
      <c r="C146" t="str">
        <f t="shared" si="2"/>
        <v/>
      </c>
    </row>
    <row r="147" spans="1:3" x14ac:dyDescent="0.35">
      <c r="A147" t="s">
        <v>16</v>
      </c>
      <c r="B147" t="s">
        <v>274</v>
      </c>
      <c r="C147" t="str">
        <f t="shared" si="2"/>
        <v/>
      </c>
    </row>
    <row r="148" spans="1:3" x14ac:dyDescent="0.35">
      <c r="A148" t="s">
        <v>17</v>
      </c>
      <c r="B148" t="s">
        <v>275</v>
      </c>
      <c r="C148" t="str">
        <f t="shared" si="2"/>
        <v/>
      </c>
    </row>
    <row r="149" spans="1:3" x14ac:dyDescent="0.35">
      <c r="A149" t="s">
        <v>18</v>
      </c>
      <c r="B149" t="s">
        <v>276</v>
      </c>
      <c r="C149" t="str">
        <f t="shared" si="2"/>
        <v/>
      </c>
    </row>
    <row r="150" spans="1:3" x14ac:dyDescent="0.35">
      <c r="A150" t="s">
        <v>19</v>
      </c>
      <c r="B150" t="s">
        <v>277</v>
      </c>
      <c r="C150" t="str">
        <f t="shared" si="2"/>
        <v/>
      </c>
    </row>
    <row r="151" spans="1:3" x14ac:dyDescent="0.35">
      <c r="A151" t="s">
        <v>21</v>
      </c>
      <c r="B151" t="s">
        <v>278</v>
      </c>
      <c r="C151" t="str">
        <f t="shared" si="2"/>
        <v/>
      </c>
    </row>
    <row r="152" spans="1:3" x14ac:dyDescent="0.35">
      <c r="A152" t="s">
        <v>22</v>
      </c>
      <c r="B152" t="s">
        <v>279</v>
      </c>
      <c r="C152" t="str">
        <f t="shared" si="2"/>
        <v/>
      </c>
    </row>
    <row r="153" spans="1:3" x14ac:dyDescent="0.35">
      <c r="A153" t="s">
        <v>23</v>
      </c>
      <c r="B153" t="s">
        <v>280</v>
      </c>
      <c r="C153" t="str">
        <f t="shared" si="2"/>
        <v/>
      </c>
    </row>
    <row r="154" spans="1:3" x14ac:dyDescent="0.35">
      <c r="A154" t="s">
        <v>24</v>
      </c>
      <c r="B154" t="s">
        <v>281</v>
      </c>
      <c r="C154" t="str">
        <f t="shared" si="2"/>
        <v/>
      </c>
    </row>
    <row r="155" spans="1:3" x14ac:dyDescent="0.35">
      <c r="A155" t="s">
        <v>25</v>
      </c>
      <c r="B155" t="s">
        <v>282</v>
      </c>
      <c r="C155" t="str">
        <f t="shared" si="2"/>
        <v/>
      </c>
    </row>
    <row r="156" spans="1:3" x14ac:dyDescent="0.35">
      <c r="A156" t="s">
        <v>26</v>
      </c>
      <c r="B156" t="s">
        <v>283</v>
      </c>
      <c r="C156" t="str">
        <f t="shared" si="2"/>
        <v/>
      </c>
    </row>
    <row r="157" spans="1:3" x14ac:dyDescent="0.35">
      <c r="A157" t="s">
        <v>27</v>
      </c>
      <c r="B157" t="s">
        <v>361</v>
      </c>
      <c r="C157" t="str">
        <f t="shared" si="2"/>
        <v/>
      </c>
    </row>
    <row r="158" spans="1:3" x14ac:dyDescent="0.35">
      <c r="A158" t="s">
        <v>28</v>
      </c>
      <c r="C158" t="str">
        <f t="shared" si="2"/>
        <v/>
      </c>
    </row>
    <row r="159" spans="1:3" x14ac:dyDescent="0.35">
      <c r="A159" t="s">
        <v>29</v>
      </c>
      <c r="C159" t="str">
        <f t="shared" si="2"/>
        <v/>
      </c>
    </row>
    <row r="160" spans="1:3" x14ac:dyDescent="0.35">
      <c r="A160" t="s">
        <v>30</v>
      </c>
      <c r="C160" t="str">
        <f t="shared" si="2"/>
        <v/>
      </c>
    </row>
    <row r="161" spans="1:3" x14ac:dyDescent="0.35">
      <c r="A161" t="s">
        <v>31</v>
      </c>
      <c r="C161" t="str">
        <f t="shared" si="2"/>
        <v/>
      </c>
    </row>
    <row r="162" spans="1:3" x14ac:dyDescent="0.35">
      <c r="A162" t="s">
        <v>32</v>
      </c>
      <c r="C162" t="str">
        <f t="shared" si="2"/>
        <v/>
      </c>
    </row>
    <row r="163" spans="1:3" x14ac:dyDescent="0.35">
      <c r="A163" t="s">
        <v>33</v>
      </c>
      <c r="C163" t="str">
        <f t="shared" si="2"/>
        <v/>
      </c>
    </row>
    <row r="164" spans="1:3" x14ac:dyDescent="0.35">
      <c r="A164" t="s">
        <v>34</v>
      </c>
      <c r="C164" t="str">
        <f t="shared" si="2"/>
        <v/>
      </c>
    </row>
    <row r="165" spans="1:3" x14ac:dyDescent="0.35">
      <c r="A165" t="s">
        <v>35</v>
      </c>
      <c r="C165" t="str">
        <f t="shared" si="2"/>
        <v/>
      </c>
    </row>
    <row r="166" spans="1:3" x14ac:dyDescent="0.35">
      <c r="A166" t="s">
        <v>36</v>
      </c>
      <c r="C166" t="str">
        <f t="shared" si="2"/>
        <v/>
      </c>
    </row>
    <row r="167" spans="1:3" x14ac:dyDescent="0.35">
      <c r="A167" t="s">
        <v>37</v>
      </c>
      <c r="C167" t="str">
        <f t="shared" si="2"/>
        <v/>
      </c>
    </row>
    <row r="168" spans="1:3" x14ac:dyDescent="0.35">
      <c r="A168" t="s">
        <v>38</v>
      </c>
      <c r="C168" t="str">
        <f t="shared" si="2"/>
        <v/>
      </c>
    </row>
    <row r="169" spans="1:3" x14ac:dyDescent="0.3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2025-11-02T11:55:30Z</dcterms:modified>
</cp:coreProperties>
</file>