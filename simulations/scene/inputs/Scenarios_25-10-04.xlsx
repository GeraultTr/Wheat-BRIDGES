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5058\home\torisuten\package\Wheat-BRIDGES\simulations\scene\inputs\"/>
    </mc:Choice>
  </mc:AlternateContent>
  <xr:revisionPtr revIDLastSave="0" documentId="13_ncr:1_{CD8C456E-C16D-42A1-9B63-1EB0CB5DA1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5" i="2" l="1"/>
  <c r="J234" i="2"/>
  <c r="J129" i="2"/>
  <c r="J120" i="2"/>
  <c r="I120" i="2"/>
  <c r="J223" i="2"/>
  <c r="J221" i="2"/>
  <c r="J219" i="2"/>
  <c r="J207" i="2" l="1"/>
  <c r="J222" i="2" l="1"/>
  <c r="J220" i="2"/>
  <c r="I222" i="2"/>
  <c r="I215" i="2" l="1"/>
  <c r="I220" i="2" l="1"/>
  <c r="I219" i="2" l="1"/>
  <c r="J216" i="2"/>
  <c r="O214" i="2" l="1"/>
  <c r="J230" i="2"/>
  <c r="J229" i="2"/>
  <c r="J227" i="2"/>
  <c r="J224" i="2"/>
  <c r="J218" i="2"/>
  <c r="J217" i="2"/>
  <c r="J213" i="2"/>
  <c r="J209" i="2"/>
  <c r="J126" i="2"/>
  <c r="J116" i="2"/>
  <c r="J113" i="2"/>
  <c r="J110" i="2"/>
  <c r="J109" i="2"/>
  <c r="J108" i="2"/>
  <c r="J107" i="2"/>
  <c r="J106" i="2"/>
  <c r="J105" i="2"/>
  <c r="J104" i="2"/>
  <c r="J103" i="2"/>
  <c r="I223" i="2"/>
  <c r="I221" i="2"/>
  <c r="L232" i="2" l="1"/>
  <c r="L231" i="2"/>
  <c r="L227" i="2"/>
  <c r="L216" i="2"/>
  <c r="L213" i="2"/>
  <c r="L209" i="2"/>
  <c r="L207" i="2"/>
  <c r="L126" i="2"/>
  <c r="L116" i="2"/>
  <c r="L113" i="2"/>
  <c r="L110" i="2"/>
  <c r="L109" i="2"/>
  <c r="L108" i="2"/>
  <c r="L107" i="2"/>
  <c r="L106" i="2"/>
  <c r="L105" i="2"/>
  <c r="L104" i="2"/>
  <c r="L103" i="2"/>
  <c r="N232" i="2"/>
  <c r="N231" i="2"/>
  <c r="N227" i="2"/>
  <c r="N216" i="2"/>
  <c r="N213" i="2"/>
  <c r="N209" i="2"/>
  <c r="N207" i="2"/>
  <c r="N126" i="2"/>
  <c r="N116" i="2"/>
  <c r="N113" i="2"/>
  <c r="N110" i="2"/>
  <c r="N109" i="2"/>
  <c r="N108" i="2"/>
  <c r="N107" i="2"/>
  <c r="N106" i="2"/>
  <c r="N105" i="2"/>
  <c r="N104" i="2"/>
  <c r="N103" i="2"/>
  <c r="M232" i="2"/>
  <c r="M231" i="2"/>
  <c r="M227" i="2"/>
  <c r="M216" i="2"/>
  <c r="M213" i="2"/>
  <c r="M207" i="2"/>
  <c r="M126" i="2"/>
  <c r="M116" i="2"/>
  <c r="M113" i="2"/>
  <c r="M110" i="2"/>
  <c r="M109" i="2"/>
  <c r="M108" i="2"/>
  <c r="M107" i="2"/>
  <c r="M106" i="2"/>
  <c r="M105" i="2"/>
  <c r="M104" i="2"/>
  <c r="M103" i="2"/>
  <c r="AN232" i="2"/>
  <c r="AM232" i="2"/>
  <c r="AN231" i="2"/>
  <c r="AM231" i="2"/>
  <c r="AN227" i="2"/>
  <c r="AM227" i="2"/>
  <c r="AN216" i="2"/>
  <c r="AM216" i="2"/>
  <c r="AN213" i="2"/>
  <c r="AM213" i="2"/>
  <c r="AN209" i="2"/>
  <c r="AM209" i="2"/>
  <c r="AN207" i="2"/>
  <c r="AM207" i="2"/>
  <c r="AN126" i="2"/>
  <c r="AM126" i="2"/>
  <c r="AN116" i="2"/>
  <c r="AM116" i="2"/>
  <c r="AN113" i="2"/>
  <c r="AM113" i="2"/>
  <c r="AN110" i="2"/>
  <c r="AM110" i="2"/>
  <c r="AN109" i="2"/>
  <c r="AM109" i="2"/>
  <c r="AN108" i="2"/>
  <c r="AM108" i="2"/>
  <c r="AN107" i="2"/>
  <c r="AM107" i="2"/>
  <c r="AN106" i="2"/>
  <c r="AM106" i="2"/>
  <c r="AN105" i="2"/>
  <c r="AM105" i="2"/>
  <c r="AN104" i="2"/>
  <c r="AM104" i="2"/>
  <c r="AN103" i="2"/>
  <c r="AM103" i="2"/>
  <c r="AL232" i="2"/>
  <c r="AL231" i="2"/>
  <c r="AL227" i="2"/>
  <c r="AL216" i="2"/>
  <c r="AL213" i="2"/>
  <c r="AL209" i="2"/>
  <c r="AL207" i="2"/>
  <c r="AL126" i="2"/>
  <c r="AL116" i="2"/>
  <c r="AL113" i="2"/>
  <c r="AL110" i="2"/>
  <c r="AL109" i="2"/>
  <c r="AL108" i="2"/>
  <c r="AL107" i="2"/>
  <c r="AL106" i="2"/>
  <c r="AL105" i="2"/>
  <c r="AL104" i="2"/>
  <c r="AL103" i="2"/>
  <c r="AK232" i="2"/>
  <c r="AK231" i="2"/>
  <c r="AK227" i="2"/>
  <c r="AK216" i="2"/>
  <c r="AK213" i="2"/>
  <c r="AK209" i="2"/>
  <c r="AK207" i="2"/>
  <c r="AK126" i="2"/>
  <c r="AK116" i="2"/>
  <c r="AK113" i="2"/>
  <c r="AK110" i="2"/>
  <c r="AK109" i="2"/>
  <c r="AK108" i="2"/>
  <c r="AK107" i="2"/>
  <c r="AK106" i="2"/>
  <c r="AK105" i="2"/>
  <c r="AK104" i="2"/>
  <c r="AK103" i="2"/>
  <c r="AP232" i="2"/>
  <c r="AP231" i="2"/>
  <c r="AP227" i="2"/>
  <c r="AP216" i="2"/>
  <c r="AP213" i="2"/>
  <c r="AP207" i="2"/>
  <c r="AP126" i="2"/>
  <c r="AP116" i="2"/>
  <c r="AP113" i="2"/>
  <c r="AP110" i="2"/>
  <c r="AP109" i="2"/>
  <c r="AP108" i="2"/>
  <c r="AP107" i="2"/>
  <c r="AP106" i="2"/>
  <c r="AP105" i="2"/>
  <c r="AP104" i="2"/>
  <c r="AP103" i="2"/>
  <c r="AI232" i="2"/>
  <c r="AH232" i="2"/>
  <c r="AG232" i="2"/>
  <c r="AF232" i="2"/>
  <c r="AE232" i="2"/>
  <c r="AD232" i="2"/>
  <c r="AC232" i="2"/>
  <c r="AI231" i="2"/>
  <c r="AH231" i="2"/>
  <c r="AG231" i="2"/>
  <c r="AF231" i="2"/>
  <c r="AE231" i="2"/>
  <c r="AD231" i="2"/>
  <c r="AC231" i="2"/>
  <c r="AI227" i="2"/>
  <c r="AH227" i="2"/>
  <c r="AG227" i="2"/>
  <c r="AF227" i="2"/>
  <c r="AE227" i="2"/>
  <c r="AD227" i="2"/>
  <c r="AC227" i="2"/>
  <c r="AI216" i="2"/>
  <c r="AH216" i="2"/>
  <c r="AG216" i="2"/>
  <c r="AF216" i="2"/>
  <c r="AE216" i="2"/>
  <c r="AD216" i="2"/>
  <c r="AC216" i="2"/>
  <c r="AI213" i="2"/>
  <c r="AH213" i="2"/>
  <c r="AG213" i="2"/>
  <c r="AF213" i="2"/>
  <c r="AE213" i="2"/>
  <c r="AD213" i="2"/>
  <c r="AC213" i="2"/>
  <c r="AI209" i="2"/>
  <c r="AH209" i="2"/>
  <c r="AG209" i="2"/>
  <c r="AF209" i="2"/>
  <c r="AE209" i="2"/>
  <c r="AD209" i="2"/>
  <c r="AC209" i="2"/>
  <c r="AI207" i="2"/>
  <c r="AH207" i="2"/>
  <c r="AG207" i="2"/>
  <c r="AF207" i="2"/>
  <c r="AE207" i="2"/>
  <c r="AD207" i="2"/>
  <c r="AC207" i="2"/>
  <c r="AI126" i="2"/>
  <c r="AH126" i="2"/>
  <c r="AG126" i="2"/>
  <c r="AF126" i="2"/>
  <c r="AE126" i="2"/>
  <c r="AD126" i="2"/>
  <c r="AC126" i="2"/>
  <c r="AI116" i="2"/>
  <c r="AH116" i="2"/>
  <c r="AG116" i="2"/>
  <c r="AF116" i="2"/>
  <c r="AE116" i="2"/>
  <c r="AD116" i="2"/>
  <c r="AC116" i="2"/>
  <c r="AI113" i="2"/>
  <c r="AH113" i="2"/>
  <c r="AG113" i="2"/>
  <c r="AF113" i="2"/>
  <c r="AE113" i="2"/>
  <c r="AD113" i="2"/>
  <c r="AC113" i="2"/>
  <c r="AI110" i="2"/>
  <c r="AH110" i="2"/>
  <c r="AG110" i="2"/>
  <c r="AF110" i="2"/>
  <c r="AE110" i="2"/>
  <c r="AD110" i="2"/>
  <c r="AC110" i="2"/>
  <c r="AI109" i="2"/>
  <c r="AH109" i="2"/>
  <c r="AG109" i="2"/>
  <c r="AF109" i="2"/>
  <c r="AE109" i="2"/>
  <c r="AD109" i="2"/>
  <c r="AC109" i="2"/>
  <c r="AI108" i="2"/>
  <c r="AH108" i="2"/>
  <c r="AG108" i="2"/>
  <c r="AF108" i="2"/>
  <c r="AE108" i="2"/>
  <c r="AD108" i="2"/>
  <c r="AC108" i="2"/>
  <c r="AI107" i="2"/>
  <c r="AH107" i="2"/>
  <c r="AG107" i="2"/>
  <c r="AF107" i="2"/>
  <c r="AE107" i="2"/>
  <c r="AD107" i="2"/>
  <c r="AC107" i="2"/>
  <c r="AI106" i="2"/>
  <c r="AH106" i="2"/>
  <c r="AG106" i="2"/>
  <c r="AF106" i="2"/>
  <c r="AE106" i="2"/>
  <c r="AD106" i="2"/>
  <c r="AC106" i="2"/>
  <c r="AI105" i="2"/>
  <c r="AH105" i="2"/>
  <c r="AG105" i="2"/>
  <c r="AF105" i="2"/>
  <c r="AE105" i="2"/>
  <c r="AD105" i="2"/>
  <c r="AC105" i="2"/>
  <c r="AI104" i="2"/>
  <c r="AH104" i="2"/>
  <c r="AG104" i="2"/>
  <c r="AF104" i="2"/>
  <c r="AE104" i="2"/>
  <c r="AD104" i="2"/>
  <c r="AC104" i="2"/>
  <c r="AI103" i="2"/>
  <c r="AH103" i="2"/>
  <c r="AG103" i="2"/>
  <c r="AF103" i="2"/>
  <c r="AE103" i="2"/>
  <c r="AD103" i="2"/>
  <c r="AC103" i="2"/>
  <c r="AA232" i="2"/>
  <c r="AA231" i="2"/>
  <c r="AA227" i="2"/>
  <c r="AA216" i="2"/>
  <c r="AA213" i="2"/>
  <c r="AA209" i="2"/>
  <c r="AA207" i="2"/>
  <c r="AA126" i="2"/>
  <c r="AA116" i="2"/>
  <c r="AA113" i="2"/>
  <c r="AA110" i="2"/>
  <c r="AA109" i="2"/>
  <c r="AA108" i="2"/>
  <c r="AA107" i="2"/>
  <c r="AA106" i="2"/>
  <c r="AA105" i="2"/>
  <c r="AA104" i="2"/>
  <c r="AA103" i="2"/>
  <c r="Z232" i="2"/>
  <c r="Z231" i="2"/>
  <c r="Z227" i="2"/>
  <c r="Z216" i="2"/>
  <c r="Z213" i="2"/>
  <c r="Z209" i="2"/>
  <c r="Z207" i="2"/>
  <c r="Z126" i="2"/>
  <c r="Z116" i="2"/>
  <c r="Z113" i="2"/>
  <c r="Z110" i="2"/>
  <c r="Z109" i="2"/>
  <c r="Z108" i="2"/>
  <c r="Z107" i="2"/>
  <c r="Z106" i="2"/>
  <c r="Z105" i="2"/>
  <c r="Z104" i="2"/>
  <c r="Z103" i="2"/>
  <c r="Y232" i="2"/>
  <c r="Y231" i="2"/>
  <c r="Y227" i="2"/>
  <c r="Y216" i="2"/>
  <c r="Y213" i="2"/>
  <c r="Y209" i="2"/>
  <c r="Y207" i="2"/>
  <c r="Y126" i="2"/>
  <c r="Y116" i="2"/>
  <c r="Y113" i="2"/>
  <c r="Y110" i="2"/>
  <c r="Y109" i="2"/>
  <c r="Y108" i="2"/>
  <c r="Y107" i="2"/>
  <c r="Y106" i="2"/>
  <c r="Y105" i="2"/>
  <c r="Y104" i="2"/>
  <c r="Y103" i="2"/>
  <c r="X232" i="2"/>
  <c r="X231" i="2"/>
  <c r="X227" i="2"/>
  <c r="X216" i="2"/>
  <c r="X213" i="2"/>
  <c r="X209" i="2"/>
  <c r="X207" i="2"/>
  <c r="X126" i="2"/>
  <c r="X116" i="2"/>
  <c r="X113" i="2"/>
  <c r="X110" i="2"/>
  <c r="X109" i="2"/>
  <c r="X108" i="2"/>
  <c r="X107" i="2"/>
  <c r="X106" i="2"/>
  <c r="X105" i="2"/>
  <c r="X104" i="2"/>
  <c r="X103" i="2"/>
  <c r="W232" i="2"/>
  <c r="W231" i="2"/>
  <c r="W227" i="2"/>
  <c r="W216" i="2"/>
  <c r="W213" i="2"/>
  <c r="W209" i="2"/>
  <c r="W207" i="2"/>
  <c r="W126" i="2"/>
  <c r="W116" i="2"/>
  <c r="W113" i="2"/>
  <c r="W110" i="2"/>
  <c r="W109" i="2"/>
  <c r="W108" i="2"/>
  <c r="W107" i="2"/>
  <c r="W106" i="2"/>
  <c r="W105" i="2"/>
  <c r="W104" i="2"/>
  <c r="W103" i="2"/>
  <c r="V232" i="2"/>
  <c r="V231" i="2"/>
  <c r="V227" i="2"/>
  <c r="V216" i="2"/>
  <c r="V213" i="2"/>
  <c r="V209" i="2"/>
  <c r="V207" i="2"/>
  <c r="V126" i="2"/>
  <c r="V116" i="2"/>
  <c r="V113" i="2"/>
  <c r="V110" i="2"/>
  <c r="V109" i="2"/>
  <c r="V108" i="2"/>
  <c r="V107" i="2"/>
  <c r="V106" i="2"/>
  <c r="V105" i="2"/>
  <c r="V104" i="2"/>
  <c r="V103" i="2"/>
  <c r="U232" i="2"/>
  <c r="U231" i="2"/>
  <c r="U227" i="2"/>
  <c r="U216" i="2"/>
  <c r="U213" i="2"/>
  <c r="U209" i="2"/>
  <c r="U207" i="2"/>
  <c r="U126" i="2"/>
  <c r="U116" i="2"/>
  <c r="U113" i="2"/>
  <c r="U110" i="2"/>
  <c r="U109" i="2"/>
  <c r="U108" i="2"/>
  <c r="U107" i="2"/>
  <c r="U106" i="2"/>
  <c r="U105" i="2"/>
  <c r="U104" i="2"/>
  <c r="U103" i="2"/>
  <c r="T232" i="2"/>
  <c r="S232" i="2"/>
  <c r="R232" i="2"/>
  <c r="Q232" i="2"/>
  <c r="G232" i="2"/>
  <c r="T231" i="2" l="1"/>
  <c r="T227" i="2"/>
  <c r="T216" i="2"/>
  <c r="T213" i="2"/>
  <c r="T209" i="2"/>
  <c r="T207" i="2"/>
  <c r="T126" i="2"/>
  <c r="T116" i="2"/>
  <c r="T113" i="2"/>
  <c r="T110" i="2"/>
  <c r="T109" i="2"/>
  <c r="T108" i="2"/>
  <c r="T107" i="2"/>
  <c r="T106" i="2"/>
  <c r="T105" i="2"/>
  <c r="T104" i="2"/>
  <c r="T103" i="2"/>
  <c r="S231" i="2"/>
  <c r="S227" i="2"/>
  <c r="S216" i="2"/>
  <c r="S213" i="2"/>
  <c r="S209" i="2"/>
  <c r="S207" i="2"/>
  <c r="S126" i="2"/>
  <c r="S116" i="2"/>
  <c r="S113" i="2"/>
  <c r="S110" i="2"/>
  <c r="S109" i="2"/>
  <c r="S108" i="2"/>
  <c r="S107" i="2"/>
  <c r="S106" i="2"/>
  <c r="S105" i="2"/>
  <c r="S104" i="2"/>
  <c r="S103" i="2"/>
  <c r="R231" i="2"/>
  <c r="R227" i="2"/>
  <c r="R216" i="2"/>
  <c r="R213" i="2"/>
  <c r="R209" i="2"/>
  <c r="R207" i="2"/>
  <c r="R126" i="2"/>
  <c r="R116" i="2"/>
  <c r="R113" i="2"/>
  <c r="R110" i="2"/>
  <c r="R109" i="2"/>
  <c r="R108" i="2"/>
  <c r="R107" i="2"/>
  <c r="R106" i="2"/>
  <c r="R105" i="2"/>
  <c r="R104" i="2"/>
  <c r="R103" i="2"/>
  <c r="Q231" i="2"/>
  <c r="Q227" i="2"/>
  <c r="Q216" i="2"/>
  <c r="Q213" i="2"/>
  <c r="Q209" i="2"/>
  <c r="Q207" i="2"/>
  <c r="Q126" i="2"/>
  <c r="Q116" i="2"/>
  <c r="Q113" i="2"/>
  <c r="Q110" i="2"/>
  <c r="Q109" i="2"/>
  <c r="Q108" i="2"/>
  <c r="Q107" i="2"/>
  <c r="Q106" i="2"/>
  <c r="Q105" i="2"/>
  <c r="Q104" i="2"/>
  <c r="Q103" i="2"/>
  <c r="AS232" i="2"/>
  <c r="AS231" i="2"/>
  <c r="AS227" i="2"/>
  <c r="AS216" i="2"/>
  <c r="AS213" i="2"/>
  <c r="AS209" i="2"/>
  <c r="AS207" i="2"/>
  <c r="AS126" i="2"/>
  <c r="AS116" i="2"/>
  <c r="AS113" i="2"/>
  <c r="AS110" i="2"/>
  <c r="AS109" i="2"/>
  <c r="AS108" i="2"/>
  <c r="AS107" i="2"/>
  <c r="AS106" i="2"/>
  <c r="AS105" i="2"/>
  <c r="AS104" i="2"/>
  <c r="AS103" i="2"/>
  <c r="G207" i="2" l="1"/>
  <c r="G231" i="2"/>
  <c r="G209" i="2" l="1"/>
  <c r="G227" i="2"/>
  <c r="G126" i="2" l="1"/>
  <c r="G106" i="2" l="1"/>
  <c r="G105" i="2"/>
  <c r="G104" i="2"/>
  <c r="G103" i="2"/>
  <c r="G221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<sst xmlns="http://schemas.openxmlformats.org/spreadsheetml/2006/main" count="2785" uniqueCount="606">
  <si>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</si>
  <si>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</si>
  <si>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</si>
  <si>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</si>
  <si>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</si>
  <si>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</si>
  <si>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</si>
  <si>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</si>
  <si>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</si>
  <si>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</si>
  <si>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</si>
  <si>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</si>
  <si>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</si>
  <si>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</si>
  <si>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</si>
  <si>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</si>
  <si>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</si>
  <si>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</si>
  <si>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</si>
  <si>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</si>
  <si>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</si>
  <si>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</si>
  <si>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</si>
  <si>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</si>
  <si>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</si>
  <si>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</si>
  <si>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</si>
  <si>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</si>
  <si>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</si>
  <si>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</si>
  <si>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</si>
  <si>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</si>
  <si>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</si>
  <si>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</si>
  <si>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</si>
  <si>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</si>
  <si>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</si>
  <si>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</si>
  <si>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</si>
  <si>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</si>
  <si>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</si>
  <si>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</si>
  <si>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</si>
  <si>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</si>
  <si>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</si>
  <si>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</si>
  <si>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</si>
  <si>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</si>
  <si>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</si>
  <si>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</si>
  <si>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</si>
  <si>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</si>
  <si>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</si>
  <si>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</si>
  <si>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</si>
  <si>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</si>
  <si>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</si>
  <si>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</si>
  <si>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</si>
  <si>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</si>
  <si>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</si>
  <si>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</si>
  <si>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</si>
  <si>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</si>
  <si>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</si>
  <si>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</si>
  <si>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</si>
  <si>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</si>
  <si>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</si>
  <si>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</si>
  <si>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</si>
  <si>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</si>
  <si>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</si>
  <si>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</si>
  <si>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</si>
  <si>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</si>
  <si>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</si>
  <si>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</si>
  <si>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</si>
  <si>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</si>
  <si>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</si>
  <si>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</si>
  <si>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</si>
  <si>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</si>
  <si>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</si>
  <si>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</si>
  <si>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</si>
  <si>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</si>
  <si>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</si>
  <si>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</si>
  <si>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</si>
  <si>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</si>
  <si>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</si>
  <si>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</si>
  <si>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</si>
  <si>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</si>
  <si>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</si>
  <si>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</si>
  <si>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</si>
  <si>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</si>
  <si>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</si>
  <si>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</si>
  <si>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</si>
  <si>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</si>
  <si>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</si>
  <si>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</si>
  <si>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</si>
  <si>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</si>
  <si>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</si>
  <si>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</si>
  <si>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</si>
  <si>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</si>
  <si>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</si>
  <si>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</si>
  <si>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</si>
  <si>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</si>
  <si>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</si>
  <si>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</si>
  <si>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</si>
  <si>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</si>
  <si>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</si>
  <si>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</si>
  <si>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</si>
  <si>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</si>
  <si>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</si>
  <si>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</si>
  <si>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</si>
  <si>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</si>
  <si>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</si>
  <si>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</si>
  <si>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</si>
  <si>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</si>
  <si>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</si>
  <si>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</si>
  <si>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</si>
  <si>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</si>
  <si>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</si>
  <si>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</si>
  <si>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</si>
  <si>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</si>
  <si>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</si>
  <si>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</si>
  <si>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</si>
  <si>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</si>
  <si>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</si>
  <si>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</si>
  <si>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</si>
  <si>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</si>
  <si>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</si>
  <si>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</si>
  <si>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</si>
  <si>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</si>
  <si>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</si>
  <si>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</si>
  <si>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</si>
  <si>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</si>
  <si>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</si>
  <si>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</si>
  <si>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</si>
  <si>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</si>
  <si>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</si>
  <si>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</si>
  <si>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</si>
  <si>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</si>
  <si>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</si>
  <si>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</si>
  <si>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</si>
  <si>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</si>
  <si>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</si>
  <si>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</si>
  <si>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</si>
  <si>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</si>
  <si>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</si>
  <si>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</si>
  <si>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</si>
  <si>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</si>
  <si>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</si>
  <si>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</si>
  <si>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</si>
  <si>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</si>
  <si>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</si>
  <si>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</si>
  <si>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</si>
  <si>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</si>
  <si>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</si>
  <si>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</si>
  <si>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</si>
  <si>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</si>
  <si>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</si>
  <si>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</si>
  <si>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</si>
  <si>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</si>
  <si>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</si>
  <si>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</si>
  <si>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</si>
  <si>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</si>
  <si>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</si>
  <si>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</si>
  <si>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</si>
  <si>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</si>
  <si>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</si>
  <si>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</si>
  <si>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</si>
  <si>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</si>
  <si>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</si>
  <si>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</si>
  <si>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</si>
  <si>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</si>
  <si>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</si>
  <si>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</si>
  <si>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</si>
  <si>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</si>
  <si>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</si>
  <si>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</si>
  <si>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</si>
  <si>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</si>
  <si>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</si>
  <si>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</si>
  <si>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</si>
  <si>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</si>
  <si>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</si>
  <si>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</si>
  <si>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</si>
  <si>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</si>
  <si>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</si>
  <si>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</si>
  <si>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</si>
  <si>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</si>
  <si>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</si>
  <si>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</si>
  <si>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</si>
  <si>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</si>
  <si>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</si>
  <si>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</si>
  <si>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</si>
  <si>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</si>
  <si>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</si>
  <si>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</si>
  <si>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</si>
  <si>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</si>
  <si>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</si>
  <si>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</si>
  <si>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</si>
  <si>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</si>
  <si>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</si>
  <si>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</si>
  <si>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</si>
  <si>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</si>
  <si>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</si>
  <si>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</si>
  <si>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</si>
  <si>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</si>
  <si>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</si>
  <si>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</si>
  <si>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</si>
  <si>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</si>
  <si>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</si>
  <si>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</si>
  <si>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</si>
  <si>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</si>
  <si>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</si>
  <si>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</si>
  <si>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</si>
  <si>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</si>
  <si>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</si>
  <si>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</si>
  <si>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</si>
  <si>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</si>
  <si>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</si>
  <si>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</si>
  <si>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</si>
  <si>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</si>
  <si>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</si>
  <si>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</si>
  <si>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</si>
  <si>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</si>
  <si>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</si>
  <si>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</si>
  <si>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</si>
  <si>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</si>
  <si>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</si>
  <si>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</si>
  <si>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</si>
  <si>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</si>
  <si>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</si>
  <si>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</si>
  <si>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</si>
  <si>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</si>
  <si>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</si>
  <si>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</si>
  <si>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</si>
  <si>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</si>
  <si>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</si>
  <si>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</si>
  <si>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</si>
  <si>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</si>
  <si>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</si>
  <si>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</si>
  <si>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</si>
  <si>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</si>
  <si>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</si>
  <si>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</si>
  <si>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</si>
  <si>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</si>
  <si>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</si>
  <si>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</si>
  <si>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</si>
  <si>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</si>
  <si>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</si>
  <si>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</si>
  <si>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</si>
  <si>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</si>
  <si>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</si>
  <si>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</si>
  <si>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</si>
  <si>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</si>
  <si>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</si>
  <si>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</si>
  <si>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</si>
  <si>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</si>
  <si>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</si>
  <si>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</si>
  <si>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</si>
  <si>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</si>
  <si>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</si>
  <si>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</si>
  <si>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</si>
  <si>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</si>
  <si>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</si>
  <si>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</si>
  <si>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</si>
  <si>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</si>
  <si>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</si>
  <si>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</si>
  <si>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</si>
  <si>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</si>
  <si>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</si>
  <si>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</si>
  <si>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</si>
  <si>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</si>
  <si>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</si>
  <si>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</si>
  <si>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</si>
  <si>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</si>
  <si>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</si>
  <si>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</si>
  <si>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</si>
  <si>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</si>
  <si>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</si>
  <si>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</si>
  <si>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</si>
  <si>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</si>
  <si>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</si>
  <si>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</si>
  <si>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</si>
  <si>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</si>
  <si>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</si>
  <si>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</si>
  <si>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</si>
  <si>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</si>
  <si>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</si>
  <si>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</si>
  <si>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</si>
  <si>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</si>
  <si>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</si>
  <si>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</si>
  <si>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</si>
  <si>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</si>
  <si>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</si>
  <si>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</si>
  <si>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</si>
  <si>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</si>
  <si>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</si>
  <si>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</si>
  <si>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</si>
  <si>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</si>
  <si>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</si>
  <si>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</si>
  <si>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</si>
  <si>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</si>
  <si>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</si>
  <si>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</si>
  <si>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</si>
  <si>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</si>
  <si>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</si>
  <si>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</si>
  <si>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</si>
  <si>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</si>
  <si>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</si>
  <si>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</si>
  <si>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</si>
  <si>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</si>
  <si>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</si>
  <si>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</si>
  <si>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</si>
  <si>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</si>
  <si>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</si>
  <si>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</si>
  <si>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</si>
  <si>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</si>
  <si>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</si>
  <si>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</si>
  <si>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</si>
  <si>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</si>
  <si>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</si>
  <si>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</si>
  <si>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</si>
  <si>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</si>
  <si>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</si>
  <si>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</si>
  <si>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</si>
  <si>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</si>
  <si>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</si>
  <si>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</si>
  <si>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</si>
  <si>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</si>
  <si>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</si>
  <si>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</si>
  <si>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</si>
  <si>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</si>
  <si>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</si>
  <si>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</si>
  <si>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</si>
  <si>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</si>
  <si>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</si>
  <si>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</si>
  <si>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</si>
  <si>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</si>
  <si>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</si>
  <si>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</si>
  <si>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</si>
  <si>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</si>
  <si>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</si>
  <si>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</si>
  <si>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</si>
  <si>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</si>
  <si>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</si>
  <si>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</si>
  <si>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</si>
  <si>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</si>
  <si>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</si>
  <si>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</si>
  <si>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</si>
  <si>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</si>
  <si>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</si>
  <si>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</si>
  <si>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</si>
  <si>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</si>
  <si>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</si>
  <si>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</si>
  <si>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</si>
  <si>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</si>
  <si>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</si>
  <si>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</si>
  <si>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</si>
  <si>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</si>
  <si>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</si>
  <si>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</si>
  <si>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</si>
  <si>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</si>
  <si>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</si>
  <si>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</si>
  <si>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</si>
  <si>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</si>
  <si>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</si>
  <si>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</si>
  <si>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</si>
  <si>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</si>
  <si>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</si>
  <si>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</si>
  <si>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</si>
  <si>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</si>
  <si>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</si>
  <si>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</si>
  <si>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</si>
  <si>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</si>
  <si>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</si>
  <si>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</si>
  <si>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</si>
  <si>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</si>
  <si>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</si>
  <si>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</si>
  <si>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</si>
  <si>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</si>
  <si>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</si>
  <si>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</si>
  <si>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</si>
  <si>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</si>
  <si>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</si>
  <si>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</si>
  <si>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</si>
  <si>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</si>
  <si>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</si>
  <si>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</si>
  <si>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</si>
  <si>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</si>
  <si>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</si>
  <si>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</si>
  <si>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</si>
  <si>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</si>
  <si>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</si>
  <si>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</si>
  <si>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</si>
  <si>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</si>
  <si>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</si>
  <si>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</si>
  <si>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</si>
  <si>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</si>
  <si>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</si>
  <si>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</si>
  <si>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</si>
  <si>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</si>
  <si>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</si>
  <si>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</si>
  <si>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</si>
  <si>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</si>
  <si>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</si>
  <si>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</si>
  <si>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</si>
  <si>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</si>
  <si>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</si>
  <si>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</si>
  <si>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</si>
  <si>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</si>
  <si>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</si>
  <si>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</si>
  <si>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</si>
  <si>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</si>
  <si>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</si>
  <si>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</si>
  <si>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</si>
  <si>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</si>
  <si>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</si>
  <si>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</si>
  <si>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</si>
  <si>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</si>
  <si>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</si>
  <si>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</si>
  <si>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</si>
  <si>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</si>
  <si>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</si>
  <si>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</si>
  <si>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</si>
  <si>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</si>
  <si>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</si>
  <si>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</si>
  <si>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</si>
  <si>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</si>
  <si>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</si>
  <si>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</si>
  <si>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</si>
  <si>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</si>
  <si>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</si>
  <si>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</si>
  <si>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</si>
  <si>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</si>
  <si>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</si>
  <si>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</si>
  <si>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</si>
  <si>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</si>
  <si>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</si>
  <si>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</si>
  <si>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</si>
  <si>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</si>
  <si>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</si>
  <si>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</si>
  <si>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</si>
  <si>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</si>
  <si>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</si>
  <si>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</si>
  <si>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</si>
  <si>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</si>
  <si>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</si>
  <si>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</si>
  <si>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</si>
  <si>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</si>
  <si>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</si>
  <si>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</si>
  <si>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</si>
  <si>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</si>
  <si>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</si>
  <si>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</si>
  <si>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</si>
  <si>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</si>
  <si>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</si>
  <si>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</si>
  <si>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</si>
  <si>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</si>
  <si>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</si>
  <si>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</si>
  <si>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</si>
  <si>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</si>
  <si>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</si>
  <si>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/4</t>
  </si>
  <si>
    <t>/10</t>
  </si>
  <si>
    <t>meteo_Ljutovac2002_soil.csv</t>
  </si>
  <si>
    <t>* 100 * 3</t>
  </si>
  <si>
    <t>/10 /2/4</t>
  </si>
  <si>
    <t>*16/2/4</t>
  </si>
  <si>
    <t>WB_ref</t>
  </si>
  <si>
    <t>/2</t>
  </si>
  <si>
    <t>/2/2/2</t>
  </si>
  <si>
    <t>rain_intensity</t>
  </si>
  <si>
    <t>Input file containing rain intensity over time for the soil model</t>
  </si>
  <si>
    <t>mm</t>
  </si>
  <si>
    <t>Pmax/50/10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</si>
</sst>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234"/>
  <sheetViews>
    <sheetView tabSelected="1" zoomScale="79" zoomScaleNormal="100" workbookViewId="0">
      <pane xSplit="6" ySplit="1" topLeftCell="G191" activePane="bottomRight" state="frozen"/>
      <selection pane="topRight" activeCell="G1" sqref="G1"/>
      <selection pane="bottomLeft" activeCell="A2" sqref="A2"/>
      <selection pane="bottomRight" activeCell="K217" sqref="K217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5" width="21.5703125" style="1" customWidth="1"/>
  </cols>
  <sheetData>
    <row r="1" spans="1:4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599</v>
      </c>
      <c r="L1" s="54" t="s">
        <v>570</v>
      </c>
      <c r="M1" s="54" t="s">
        <v>568</v>
      </c>
      <c r="N1" s="54" t="s">
        <v>569</v>
      </c>
      <c r="P1" s="1" t="s">
        <v>567</v>
      </c>
      <c r="Q1" s="36" t="s">
        <v>543</v>
      </c>
      <c r="R1" s="36" t="s">
        <v>544</v>
      </c>
      <c r="S1" s="36" t="s">
        <v>545</v>
      </c>
      <c r="T1" s="36" t="s">
        <v>546</v>
      </c>
      <c r="U1" s="36" t="s">
        <v>547</v>
      </c>
      <c r="V1" s="36" t="s">
        <v>548</v>
      </c>
      <c r="W1" s="36" t="s">
        <v>549</v>
      </c>
      <c r="X1" s="36" t="s">
        <v>550</v>
      </c>
      <c r="Y1" s="36" t="s">
        <v>551</v>
      </c>
      <c r="Z1" s="36" t="s">
        <v>552</v>
      </c>
      <c r="AA1" s="36" t="s">
        <v>553</v>
      </c>
      <c r="AB1"/>
      <c r="AC1" s="36" t="s">
        <v>554</v>
      </c>
      <c r="AD1" s="36" t="s">
        <v>555</v>
      </c>
      <c r="AE1" s="36" t="s">
        <v>556</v>
      </c>
      <c r="AF1" s="36" t="s">
        <v>557</v>
      </c>
      <c r="AG1" s="36" t="s">
        <v>558</v>
      </c>
      <c r="AH1" s="36" t="s">
        <v>559</v>
      </c>
      <c r="AI1" s="36" t="s">
        <v>560</v>
      </c>
      <c r="AJ1"/>
      <c r="AK1" s="36" t="s">
        <v>563</v>
      </c>
      <c r="AL1" s="36" t="s">
        <v>564</v>
      </c>
      <c r="AM1" s="36" t="s">
        <v>565</v>
      </c>
      <c r="AN1" s="36" t="s">
        <v>566</v>
      </c>
      <c r="AO1"/>
      <c r="AP1" s="36" t="s">
        <v>562</v>
      </c>
      <c r="AQ1"/>
      <c r="AR1"/>
      <c r="AS1" s="36" t="s">
        <v>542</v>
      </c>
    </row>
    <row r="2" spans="1:45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L2" s="44" t="s">
        <v>478</v>
      </c>
      <c r="M2" s="44" t="s">
        <v>478</v>
      </c>
      <c r="N2" s="44" t="s">
        <v>478</v>
      </c>
      <c r="Q2" s="44" t="s">
        <v>478</v>
      </c>
      <c r="R2" s="44" t="s">
        <v>478</v>
      </c>
      <c r="S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/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/>
      <c r="AK2" s="44" t="s">
        <v>478</v>
      </c>
      <c r="AL2" s="44" t="s">
        <v>478</v>
      </c>
      <c r="AM2" s="44" t="s">
        <v>478</v>
      </c>
      <c r="AN2" s="44" t="s">
        <v>478</v>
      </c>
      <c r="AO2"/>
      <c r="AP2" s="44" t="s">
        <v>478</v>
      </c>
      <c r="AQ2"/>
      <c r="AR2"/>
      <c r="AS2" s="44" t="s">
        <v>478</v>
      </c>
    </row>
    <row r="3" spans="1:45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595</v>
      </c>
      <c r="L3" s="44" t="s">
        <v>476</v>
      </c>
      <c r="M3" s="44" t="s">
        <v>476</v>
      </c>
      <c r="N3" s="44" t="s">
        <v>476</v>
      </c>
      <c r="Q3" s="44" t="s">
        <v>476</v>
      </c>
      <c r="R3" s="44" t="s">
        <v>476</v>
      </c>
      <c r="S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/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/>
      <c r="AK3" s="44" t="s">
        <v>476</v>
      </c>
      <c r="AL3" s="44" t="s">
        <v>476</v>
      </c>
      <c r="AM3" s="44" t="s">
        <v>476</v>
      </c>
      <c r="AN3" s="44" t="s">
        <v>476</v>
      </c>
      <c r="AO3"/>
      <c r="AP3" s="44" t="s">
        <v>476</v>
      </c>
      <c r="AQ3"/>
      <c r="AR3"/>
      <c r="AS3" s="44" t="s">
        <v>476</v>
      </c>
    </row>
    <row r="4" spans="1:45" s="1" customFormat="1" x14ac:dyDescent="0.25">
      <c r="A4" s="42" t="s">
        <v>602</v>
      </c>
      <c r="B4" s="3" t="s">
        <v>474</v>
      </c>
      <c r="C4" s="3" t="s">
        <v>483</v>
      </c>
      <c r="D4" s="3" t="s">
        <v>521</v>
      </c>
      <c r="E4" s="46" t="s">
        <v>603</v>
      </c>
      <c r="F4" s="46" t="s">
        <v>604</v>
      </c>
      <c r="G4" s="44" t="s">
        <v>476</v>
      </c>
      <c r="I4" s="58"/>
      <c r="J4" s="44" t="s">
        <v>595</v>
      </c>
      <c r="L4" s="44" t="s">
        <v>476</v>
      </c>
      <c r="M4" s="44" t="s">
        <v>476</v>
      </c>
      <c r="N4" s="44" t="s">
        <v>476</v>
      </c>
      <c r="Q4" s="44" t="s">
        <v>476</v>
      </c>
      <c r="R4" s="44" t="s">
        <v>476</v>
      </c>
      <c r="S4" s="44" t="s">
        <v>476</v>
      </c>
      <c r="T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/>
      <c r="AC4" s="44" t="s">
        <v>476</v>
      </c>
      <c r="AD4" s="44" t="s">
        <v>476</v>
      </c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/>
      <c r="AK4" s="44" t="s">
        <v>476</v>
      </c>
      <c r="AL4" s="44" t="s">
        <v>476</v>
      </c>
      <c r="AM4" s="44" t="s">
        <v>476</v>
      </c>
      <c r="AN4" s="44" t="s">
        <v>476</v>
      </c>
      <c r="AO4"/>
      <c r="AP4" s="44" t="s">
        <v>476</v>
      </c>
      <c r="AQ4"/>
      <c r="AR4"/>
      <c r="AS4" s="44" t="s">
        <v>476</v>
      </c>
    </row>
    <row r="5" spans="1:45" s="1" customFormat="1" x14ac:dyDescent="0.25">
      <c r="A5" s="42" t="s">
        <v>585</v>
      </c>
      <c r="B5" s="3" t="s">
        <v>474</v>
      </c>
      <c r="C5" s="3" t="s">
        <v>483</v>
      </c>
      <c r="D5" s="3" t="s">
        <v>521</v>
      </c>
      <c r="E5" s="46" t="s">
        <v>586</v>
      </c>
      <c r="F5" s="46" t="s">
        <v>587</v>
      </c>
      <c r="G5" s="44" t="s">
        <v>476</v>
      </c>
      <c r="I5" s="58"/>
      <c r="J5" s="44" t="s">
        <v>476</v>
      </c>
      <c r="L5" s="44" t="s">
        <v>476</v>
      </c>
      <c r="M5" s="44" t="s">
        <v>476</v>
      </c>
      <c r="N5" s="44" t="s">
        <v>476</v>
      </c>
      <c r="Q5" s="44" t="s">
        <v>476</v>
      </c>
      <c r="R5" s="44" t="s">
        <v>476</v>
      </c>
      <c r="S5" s="44" t="s">
        <v>476</v>
      </c>
      <c r="T5" s="44" t="s">
        <v>476</v>
      </c>
      <c r="U5" s="44" t="s">
        <v>476</v>
      </c>
      <c r="V5" s="44" t="s">
        <v>476</v>
      </c>
      <c r="W5" s="44" t="s">
        <v>476</v>
      </c>
      <c r="X5" s="44" t="s">
        <v>476</v>
      </c>
      <c r="Y5" s="44" t="s">
        <v>476</v>
      </c>
      <c r="Z5" s="44" t="s">
        <v>476</v>
      </c>
      <c r="AA5" s="44" t="s">
        <v>476</v>
      </c>
      <c r="AB5"/>
      <c r="AC5" s="44" t="s">
        <v>476</v>
      </c>
      <c r="AD5" s="44" t="s">
        <v>476</v>
      </c>
      <c r="AE5" s="44" t="s">
        <v>476</v>
      </c>
      <c r="AF5" s="44" t="s">
        <v>476</v>
      </c>
      <c r="AG5" s="44" t="s">
        <v>476</v>
      </c>
      <c r="AH5" s="44" t="s">
        <v>476</v>
      </c>
      <c r="AI5" s="44" t="s">
        <v>476</v>
      </c>
      <c r="AJ5"/>
      <c r="AK5" s="44" t="s">
        <v>476</v>
      </c>
      <c r="AL5" s="44" t="s">
        <v>476</v>
      </c>
      <c r="AM5" s="44" t="s">
        <v>476</v>
      </c>
      <c r="AN5" s="44" t="s">
        <v>476</v>
      </c>
      <c r="AO5"/>
      <c r="AP5" s="44" t="s">
        <v>476</v>
      </c>
      <c r="AQ5"/>
      <c r="AR5"/>
      <c r="AS5" s="44" t="s">
        <v>476</v>
      </c>
    </row>
    <row r="6" spans="1:45" x14ac:dyDescent="0.25">
      <c r="A6" s="3" t="s">
        <v>2</v>
      </c>
      <c r="B6" s="3" t="s">
        <v>473</v>
      </c>
      <c r="C6" s="3" t="s">
        <v>483</v>
      </c>
      <c r="D6" s="3" t="s">
        <v>521</v>
      </c>
      <c r="E6" s="4" t="s">
        <v>129</v>
      </c>
      <c r="F6" s="4" t="s">
        <v>94</v>
      </c>
      <c r="G6" s="44" t="s">
        <v>86</v>
      </c>
      <c r="I6" s="58"/>
      <c r="J6" s="44" t="s">
        <v>86</v>
      </c>
      <c r="L6" s="44" t="s">
        <v>86</v>
      </c>
      <c r="M6" s="44" t="s">
        <v>86</v>
      </c>
      <c r="N6" s="44" t="s">
        <v>86</v>
      </c>
      <c r="Q6" s="44" t="s">
        <v>86</v>
      </c>
      <c r="R6" s="44" t="s">
        <v>86</v>
      </c>
      <c r="S6" s="44" t="s">
        <v>86</v>
      </c>
      <c r="T6" s="44" t="s">
        <v>86</v>
      </c>
      <c r="U6" s="44" t="s">
        <v>86</v>
      </c>
      <c r="V6" s="44" t="s">
        <v>86</v>
      </c>
      <c r="W6" s="44" t="s">
        <v>86</v>
      </c>
      <c r="X6" s="44" t="s">
        <v>86</v>
      </c>
      <c r="Y6" s="44" t="s">
        <v>86</v>
      </c>
      <c r="Z6" s="44" t="s">
        <v>86</v>
      </c>
      <c r="AA6" s="44" t="s">
        <v>86</v>
      </c>
      <c r="AB6"/>
      <c r="AC6" s="44" t="s">
        <v>86</v>
      </c>
      <c r="AD6" s="44" t="s">
        <v>86</v>
      </c>
      <c r="AE6" s="44" t="s">
        <v>86</v>
      </c>
      <c r="AF6" s="44" t="s">
        <v>86</v>
      </c>
      <c r="AG6" s="44" t="s">
        <v>86</v>
      </c>
      <c r="AH6" s="44" t="s">
        <v>86</v>
      </c>
      <c r="AI6" s="44" t="s">
        <v>86</v>
      </c>
      <c r="AJ6"/>
      <c r="AK6" s="44" t="s">
        <v>86</v>
      </c>
      <c r="AL6" s="44" t="s">
        <v>86</v>
      </c>
      <c r="AM6" s="44" t="s">
        <v>86</v>
      </c>
      <c r="AN6" s="44" t="s">
        <v>86</v>
      </c>
      <c r="AO6"/>
      <c r="AP6" s="44" t="s">
        <v>86</v>
      </c>
      <c r="AQ6"/>
      <c r="AR6"/>
      <c r="AS6" s="44" t="s">
        <v>86</v>
      </c>
    </row>
    <row r="7" spans="1:45" x14ac:dyDescent="0.25">
      <c r="A7" s="3" t="s">
        <v>3</v>
      </c>
      <c r="B7" s="3" t="s">
        <v>473</v>
      </c>
      <c r="C7" s="3" t="s">
        <v>483</v>
      </c>
      <c r="D7" s="3" t="s">
        <v>521</v>
      </c>
      <c r="E7" s="4" t="s">
        <v>130</v>
      </c>
      <c r="F7" s="4" t="s">
        <v>95</v>
      </c>
      <c r="G7" s="44">
        <v>1</v>
      </c>
      <c r="I7" s="58"/>
      <c r="J7" s="44">
        <v>1</v>
      </c>
      <c r="L7" s="44">
        <v>1</v>
      </c>
      <c r="M7" s="44">
        <v>1</v>
      </c>
      <c r="N7" s="44">
        <v>1</v>
      </c>
      <c r="Q7" s="44">
        <v>1</v>
      </c>
      <c r="R7" s="44">
        <v>1</v>
      </c>
      <c r="S7" s="44">
        <v>1</v>
      </c>
      <c r="T7" s="44">
        <v>1</v>
      </c>
      <c r="U7" s="44">
        <v>1</v>
      </c>
      <c r="V7" s="44">
        <v>1</v>
      </c>
      <c r="W7" s="44">
        <v>1</v>
      </c>
      <c r="X7" s="44">
        <v>1</v>
      </c>
      <c r="Y7" s="44">
        <v>1</v>
      </c>
      <c r="Z7" s="44">
        <v>1</v>
      </c>
      <c r="AA7" s="44">
        <v>1</v>
      </c>
      <c r="AB7"/>
      <c r="AC7" s="44">
        <v>1</v>
      </c>
      <c r="AD7" s="44">
        <v>1</v>
      </c>
      <c r="AE7" s="44">
        <v>1</v>
      </c>
      <c r="AF7" s="44">
        <v>1</v>
      </c>
      <c r="AG7" s="44">
        <v>1</v>
      </c>
      <c r="AH7" s="44">
        <v>1</v>
      </c>
      <c r="AI7" s="44">
        <v>1</v>
      </c>
      <c r="AJ7"/>
      <c r="AK7" s="44">
        <v>1</v>
      </c>
      <c r="AL7" s="44">
        <v>1</v>
      </c>
      <c r="AM7" s="44">
        <v>1</v>
      </c>
      <c r="AN7" s="44">
        <v>1</v>
      </c>
      <c r="AO7"/>
      <c r="AP7" s="44">
        <v>1</v>
      </c>
      <c r="AQ7"/>
      <c r="AR7"/>
      <c r="AS7" s="44">
        <v>1</v>
      </c>
    </row>
    <row r="8" spans="1:45" x14ac:dyDescent="0.25">
      <c r="A8" s="5" t="s">
        <v>4</v>
      </c>
      <c r="B8" s="3" t="s">
        <v>473</v>
      </c>
      <c r="C8" s="3" t="s">
        <v>483</v>
      </c>
      <c r="D8" s="3" t="s">
        <v>521</v>
      </c>
      <c r="E8" s="6" t="s">
        <v>114</v>
      </c>
      <c r="F8" s="6" t="s">
        <v>93</v>
      </c>
      <c r="G8" s="44">
        <v>60</v>
      </c>
      <c r="I8" s="58"/>
      <c r="J8" s="44">
        <v>180</v>
      </c>
      <c r="L8" s="44">
        <v>180</v>
      </c>
      <c r="M8" s="44">
        <v>180</v>
      </c>
      <c r="N8" s="44">
        <v>180</v>
      </c>
      <c r="Q8" s="44">
        <v>180</v>
      </c>
      <c r="R8" s="44">
        <v>180</v>
      </c>
      <c r="S8" s="44">
        <v>180</v>
      </c>
      <c r="T8" s="44">
        <v>180</v>
      </c>
      <c r="U8" s="44">
        <v>180</v>
      </c>
      <c r="V8" s="44">
        <v>180</v>
      </c>
      <c r="W8" s="44">
        <v>180</v>
      </c>
      <c r="X8" s="44">
        <v>180</v>
      </c>
      <c r="Y8" s="44">
        <v>180</v>
      </c>
      <c r="Z8" s="44">
        <v>180</v>
      </c>
      <c r="AA8" s="44">
        <v>180</v>
      </c>
      <c r="AB8"/>
      <c r="AC8" s="44">
        <v>180</v>
      </c>
      <c r="AD8" s="44">
        <v>180</v>
      </c>
      <c r="AE8" s="44">
        <v>180</v>
      </c>
      <c r="AF8" s="44">
        <v>180</v>
      </c>
      <c r="AG8" s="44">
        <v>180</v>
      </c>
      <c r="AH8" s="44">
        <v>180</v>
      </c>
      <c r="AI8" s="44">
        <v>180</v>
      </c>
      <c r="AJ8"/>
      <c r="AK8" s="44">
        <v>180</v>
      </c>
      <c r="AL8" s="44">
        <v>180</v>
      </c>
      <c r="AM8" s="44">
        <v>180</v>
      </c>
      <c r="AN8" s="44">
        <v>180</v>
      </c>
      <c r="AO8"/>
      <c r="AP8" s="44">
        <v>180</v>
      </c>
      <c r="AQ8"/>
      <c r="AR8"/>
      <c r="AS8" s="44">
        <v>180</v>
      </c>
    </row>
    <row r="9" spans="1:45" x14ac:dyDescent="0.25">
      <c r="A9" s="5" t="s">
        <v>5</v>
      </c>
      <c r="B9" s="3" t="s">
        <v>473</v>
      </c>
      <c r="C9" s="3" t="s">
        <v>483</v>
      </c>
      <c r="D9" s="3" t="s">
        <v>521</v>
      </c>
      <c r="E9" s="6" t="s">
        <v>115</v>
      </c>
      <c r="F9" s="6" t="s">
        <v>93</v>
      </c>
      <c r="G9" s="44">
        <v>4.1666666999999998E-2</v>
      </c>
      <c r="I9" s="58"/>
      <c r="J9" s="44">
        <v>4.1666666999999998E-2</v>
      </c>
      <c r="L9" s="44">
        <v>4.1666666999999998E-2</v>
      </c>
      <c r="M9" s="44">
        <v>4.1666666999999998E-2</v>
      </c>
      <c r="N9" s="44">
        <v>4.1666666999999998E-2</v>
      </c>
      <c r="Q9" s="44">
        <v>4.1666666999999998E-2</v>
      </c>
      <c r="R9" s="44">
        <v>4.1666666999999998E-2</v>
      </c>
      <c r="S9" s="44">
        <v>4.1666666999999998E-2</v>
      </c>
      <c r="T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/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/>
      <c r="AK9" s="44">
        <v>4.1666666999999998E-2</v>
      </c>
      <c r="AL9" s="44">
        <v>4.1666666999999998E-2</v>
      </c>
      <c r="AM9" s="44">
        <v>4.1666666999999998E-2</v>
      </c>
      <c r="AN9" s="44">
        <v>4.1666666999999998E-2</v>
      </c>
      <c r="AO9"/>
      <c r="AP9" s="44">
        <v>4.1666666999999998E-2</v>
      </c>
      <c r="AQ9"/>
      <c r="AR9"/>
      <c r="AS9" s="44">
        <v>4.1666666999999998E-2</v>
      </c>
    </row>
    <row r="10" spans="1:45" x14ac:dyDescent="0.25">
      <c r="A10" s="5" t="s">
        <v>20</v>
      </c>
      <c r="B10" s="3" t="s">
        <v>473</v>
      </c>
      <c r="C10" s="3" t="s">
        <v>483</v>
      </c>
      <c r="D10" s="3" t="s">
        <v>521</v>
      </c>
      <c r="E10" s="6" t="s">
        <v>123</v>
      </c>
      <c r="F10" s="6" t="s">
        <v>93</v>
      </c>
      <c r="G10" s="44">
        <v>5</v>
      </c>
      <c r="I10" s="58"/>
      <c r="J10" s="44">
        <v>4.1666666999999998E-2</v>
      </c>
      <c r="L10" s="44">
        <v>4.1666666999999998E-2</v>
      </c>
      <c r="M10" s="44">
        <v>4.1666666999999998E-2</v>
      </c>
      <c r="N10" s="44">
        <v>4.1666666999999998E-2</v>
      </c>
      <c r="Q10" s="44">
        <v>4.1666666999999998E-2</v>
      </c>
      <c r="R10" s="44">
        <v>4.1666666999999998E-2</v>
      </c>
      <c r="S10" s="44">
        <v>4.1666666999999998E-2</v>
      </c>
      <c r="T10" s="44">
        <v>4.1666666999999998E-2</v>
      </c>
      <c r="U10" s="44">
        <v>4.1666666999999998E-2</v>
      </c>
      <c r="V10" s="44">
        <v>4.1666666999999998E-2</v>
      </c>
      <c r="W10" s="44">
        <v>4.1666666999999998E-2</v>
      </c>
      <c r="X10" s="44">
        <v>4.1666666999999998E-2</v>
      </c>
      <c r="Y10" s="44">
        <v>4.1666666999999998E-2</v>
      </c>
      <c r="Z10" s="44">
        <v>4.1666666999999998E-2</v>
      </c>
      <c r="AA10" s="44">
        <v>4.1666666999999998E-2</v>
      </c>
      <c r="AB10"/>
      <c r="AC10" s="44">
        <v>4.1666666999999998E-2</v>
      </c>
      <c r="AD10" s="44">
        <v>4.1666666999999998E-2</v>
      </c>
      <c r="AE10" s="44">
        <v>4.1666666999999998E-2</v>
      </c>
      <c r="AF10" s="44">
        <v>4.1666666999999998E-2</v>
      </c>
      <c r="AG10" s="44">
        <v>4.1666666999999998E-2</v>
      </c>
      <c r="AH10" s="44">
        <v>4.1666666999999998E-2</v>
      </c>
      <c r="AI10" s="44">
        <v>4.1666666999999998E-2</v>
      </c>
      <c r="AJ10"/>
      <c r="AK10" s="44">
        <v>4.1666666999999998E-2</v>
      </c>
      <c r="AL10" s="44">
        <v>4.1666666999999998E-2</v>
      </c>
      <c r="AM10" s="44">
        <v>4.1666666999999998E-2</v>
      </c>
      <c r="AN10" s="44">
        <v>4.1666666999999998E-2</v>
      </c>
      <c r="AO10"/>
      <c r="AP10" s="44">
        <v>4.1666666999999998E-2</v>
      </c>
      <c r="AQ10"/>
      <c r="AR10"/>
      <c r="AS10" s="44">
        <v>4.1666666999999998E-2</v>
      </c>
    </row>
    <row r="11" spans="1:45" x14ac:dyDescent="0.25">
      <c r="A11" s="7" t="s">
        <v>1</v>
      </c>
      <c r="B11" s="3" t="s">
        <v>473</v>
      </c>
      <c r="C11" s="3" t="s">
        <v>483</v>
      </c>
      <c r="D11" s="3" t="s">
        <v>521</v>
      </c>
      <c r="E11" s="8" t="s">
        <v>113</v>
      </c>
      <c r="F11" s="8" t="s">
        <v>93</v>
      </c>
      <c r="G11" s="44">
        <v>1</v>
      </c>
      <c r="I11" s="58"/>
      <c r="J11" s="44">
        <v>1</v>
      </c>
      <c r="L11" s="44">
        <v>1</v>
      </c>
      <c r="M11" s="44">
        <v>1</v>
      </c>
      <c r="N11" s="44">
        <v>1</v>
      </c>
      <c r="Q11" s="44">
        <v>1</v>
      </c>
      <c r="R11" s="44">
        <v>1</v>
      </c>
      <c r="S11" s="44">
        <v>1</v>
      </c>
      <c r="T11" s="44">
        <v>1</v>
      </c>
      <c r="U11" s="44">
        <v>1</v>
      </c>
      <c r="V11" s="44">
        <v>1</v>
      </c>
      <c r="W11" s="44">
        <v>1</v>
      </c>
      <c r="X11" s="44">
        <v>1</v>
      </c>
      <c r="Y11" s="44">
        <v>1</v>
      </c>
      <c r="Z11" s="44">
        <v>1</v>
      </c>
      <c r="AA11" s="44">
        <v>1</v>
      </c>
      <c r="AB11"/>
      <c r="AC11" s="44">
        <v>1</v>
      </c>
      <c r="AD11" s="44">
        <v>1</v>
      </c>
      <c r="AE11" s="44">
        <v>1</v>
      </c>
      <c r="AF11" s="44">
        <v>1</v>
      </c>
      <c r="AG11" s="44">
        <v>1</v>
      </c>
      <c r="AH11" s="44">
        <v>1</v>
      </c>
      <c r="AI11" s="44">
        <v>1</v>
      </c>
      <c r="AJ11"/>
      <c r="AK11" s="44">
        <v>1</v>
      </c>
      <c r="AL11" s="44">
        <v>1</v>
      </c>
      <c r="AM11" s="44">
        <v>1</v>
      </c>
      <c r="AN11" s="44">
        <v>1</v>
      </c>
      <c r="AO11"/>
      <c r="AP11" s="44">
        <v>1</v>
      </c>
      <c r="AQ11"/>
      <c r="AR11"/>
      <c r="AS11" s="44">
        <v>1</v>
      </c>
    </row>
    <row r="12" spans="1:45" x14ac:dyDescent="0.25">
      <c r="A12" s="7" t="s">
        <v>450</v>
      </c>
      <c r="B12" s="3" t="s">
        <v>473</v>
      </c>
      <c r="C12" s="3" t="s">
        <v>483</v>
      </c>
      <c r="D12" s="3" t="s">
        <v>521</v>
      </c>
      <c r="E12" s="8" t="s">
        <v>451</v>
      </c>
      <c r="F12" s="8" t="s">
        <v>93</v>
      </c>
      <c r="G12" s="44">
        <v>0</v>
      </c>
      <c r="I12" s="58"/>
      <c r="J12" s="44">
        <v>0</v>
      </c>
      <c r="L12" s="44">
        <v>0</v>
      </c>
      <c r="M12" s="44">
        <v>0</v>
      </c>
      <c r="N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  <c r="AA12" s="44">
        <v>0</v>
      </c>
      <c r="AB12"/>
      <c r="AC12" s="44">
        <v>0</v>
      </c>
      <c r="AD12" s="44">
        <v>0</v>
      </c>
      <c r="AE12" s="44">
        <v>0</v>
      </c>
      <c r="AF12" s="44">
        <v>0</v>
      </c>
      <c r="AG12" s="44">
        <v>0</v>
      </c>
      <c r="AH12" s="44">
        <v>0</v>
      </c>
      <c r="AI12" s="44">
        <v>0</v>
      </c>
      <c r="AJ12"/>
      <c r="AK12" s="44">
        <v>0</v>
      </c>
      <c r="AL12" s="44">
        <v>0</v>
      </c>
      <c r="AM12" s="44">
        <v>0</v>
      </c>
      <c r="AN12" s="44">
        <v>0</v>
      </c>
      <c r="AO12"/>
      <c r="AP12" s="44">
        <v>0</v>
      </c>
      <c r="AQ12"/>
      <c r="AR12"/>
      <c r="AS12" s="44">
        <v>0</v>
      </c>
    </row>
    <row r="13" spans="1:45" x14ac:dyDescent="0.25">
      <c r="A13" s="7" t="s">
        <v>6</v>
      </c>
      <c r="B13" s="3" t="s">
        <v>473</v>
      </c>
      <c r="C13" s="3" t="s">
        <v>483</v>
      </c>
      <c r="D13" s="3" t="s">
        <v>521</v>
      </c>
      <c r="E13" s="8" t="s">
        <v>131</v>
      </c>
      <c r="F13" s="8" t="s">
        <v>94</v>
      </c>
      <c r="G13" s="44" t="s">
        <v>87</v>
      </c>
      <c r="I13" s="58"/>
      <c r="J13" s="44" t="s">
        <v>87</v>
      </c>
      <c r="L13" s="44" t="s">
        <v>87</v>
      </c>
      <c r="M13" s="44" t="s">
        <v>87</v>
      </c>
      <c r="N13" s="44" t="s">
        <v>87</v>
      </c>
      <c r="Q13" s="44" t="s">
        <v>87</v>
      </c>
      <c r="R13" s="44" t="s">
        <v>87</v>
      </c>
      <c r="S13" s="44" t="s">
        <v>87</v>
      </c>
      <c r="T13" s="44" t="s">
        <v>87</v>
      </c>
      <c r="U13" s="44" t="s">
        <v>87</v>
      </c>
      <c r="V13" s="44" t="s">
        <v>87</v>
      </c>
      <c r="W13" s="44" t="s">
        <v>87</v>
      </c>
      <c r="X13" s="44" t="s">
        <v>87</v>
      </c>
      <c r="Y13" s="44" t="s">
        <v>87</v>
      </c>
      <c r="Z13" s="44" t="s">
        <v>87</v>
      </c>
      <c r="AA13" s="44" t="s">
        <v>87</v>
      </c>
      <c r="AB13"/>
      <c r="AC13" s="44" t="s">
        <v>87</v>
      </c>
      <c r="AD13" s="44" t="s">
        <v>87</v>
      </c>
      <c r="AE13" s="44" t="s">
        <v>87</v>
      </c>
      <c r="AF13" s="44" t="s">
        <v>87</v>
      </c>
      <c r="AG13" s="44" t="s">
        <v>87</v>
      </c>
      <c r="AH13" s="44" t="s">
        <v>87</v>
      </c>
      <c r="AI13" s="44" t="s">
        <v>87</v>
      </c>
      <c r="AJ13"/>
      <c r="AK13" s="44" t="s">
        <v>87</v>
      </c>
      <c r="AL13" s="44" t="s">
        <v>87</v>
      </c>
      <c r="AM13" s="44" t="s">
        <v>87</v>
      </c>
      <c r="AN13" s="44" t="s">
        <v>87</v>
      </c>
      <c r="AO13"/>
      <c r="AP13" s="44" t="s">
        <v>87</v>
      </c>
      <c r="AQ13"/>
      <c r="AR13"/>
      <c r="AS13" s="44" t="s">
        <v>87</v>
      </c>
    </row>
    <row r="14" spans="1:45" x14ac:dyDescent="0.25">
      <c r="A14" s="7" t="s">
        <v>7</v>
      </c>
      <c r="B14" s="3" t="s">
        <v>473</v>
      </c>
      <c r="C14" s="3" t="s">
        <v>483</v>
      </c>
      <c r="D14" s="3" t="s">
        <v>521</v>
      </c>
      <c r="E14" s="8" t="s">
        <v>116</v>
      </c>
      <c r="F14" s="8" t="s">
        <v>96</v>
      </c>
      <c r="G14" s="44">
        <v>5.0000000000000001E-9</v>
      </c>
      <c r="I14" s="58"/>
      <c r="J14" s="44">
        <v>5.0000000000000001E-9</v>
      </c>
      <c r="L14" s="44">
        <v>5.0000000000000001E-9</v>
      </c>
      <c r="M14" s="44">
        <v>5.0000000000000001E-9</v>
      </c>
      <c r="N14" s="44">
        <v>5.0000000000000001E-9</v>
      </c>
      <c r="Q14" s="44">
        <v>5.0000000000000001E-9</v>
      </c>
      <c r="R14" s="44">
        <v>5.0000000000000001E-9</v>
      </c>
      <c r="S14" s="44">
        <v>5.0000000000000001E-9</v>
      </c>
      <c r="T14" s="44">
        <v>5.0000000000000001E-9</v>
      </c>
      <c r="U14" s="44">
        <v>5.0000000000000001E-9</v>
      </c>
      <c r="V14" s="44">
        <v>5.0000000000000001E-9</v>
      </c>
      <c r="W14" s="44">
        <v>5.0000000000000001E-9</v>
      </c>
      <c r="X14" s="44">
        <v>5.0000000000000001E-9</v>
      </c>
      <c r="Y14" s="44">
        <v>5.0000000000000001E-9</v>
      </c>
      <c r="Z14" s="44">
        <v>5.0000000000000001E-9</v>
      </c>
      <c r="AA14" s="44">
        <v>5.0000000000000001E-9</v>
      </c>
      <c r="AB14"/>
      <c r="AC14" s="44">
        <v>5.0000000000000001E-9</v>
      </c>
      <c r="AD14" s="44">
        <v>5.0000000000000001E-9</v>
      </c>
      <c r="AE14" s="44">
        <v>5.0000000000000001E-9</v>
      </c>
      <c r="AF14" s="44">
        <v>5.0000000000000001E-9</v>
      </c>
      <c r="AG14" s="44">
        <v>5.0000000000000001E-9</v>
      </c>
      <c r="AH14" s="44">
        <v>5.0000000000000001E-9</v>
      </c>
      <c r="AI14" s="44">
        <v>5.0000000000000001E-9</v>
      </c>
      <c r="AJ14"/>
      <c r="AK14" s="44">
        <v>5.0000000000000001E-9</v>
      </c>
      <c r="AL14" s="44">
        <v>5.0000000000000001E-9</v>
      </c>
      <c r="AM14" s="44">
        <v>5.0000000000000001E-9</v>
      </c>
      <c r="AN14" s="44">
        <v>5.0000000000000001E-9</v>
      </c>
      <c r="AO14"/>
      <c r="AP14" s="44">
        <v>5.0000000000000001E-9</v>
      </c>
      <c r="AQ14"/>
      <c r="AR14"/>
      <c r="AS14" s="44">
        <v>5.0000000000000001E-9</v>
      </c>
    </row>
    <row r="15" spans="1:45" x14ac:dyDescent="0.25">
      <c r="A15" s="7" t="s">
        <v>8</v>
      </c>
      <c r="B15" s="3" t="s">
        <v>473</v>
      </c>
      <c r="C15" s="3" t="s">
        <v>483</v>
      </c>
      <c r="D15" s="3" t="s">
        <v>521</v>
      </c>
      <c r="E15" s="8" t="s">
        <v>117</v>
      </c>
      <c r="F15" s="8" t="s">
        <v>466</v>
      </c>
      <c r="G15" s="44">
        <v>10</v>
      </c>
      <c r="I15" s="58"/>
      <c r="J15" s="44">
        <v>10</v>
      </c>
      <c r="L15" s="44">
        <v>10</v>
      </c>
      <c r="M15" s="44">
        <v>10</v>
      </c>
      <c r="N15" s="44">
        <v>10</v>
      </c>
      <c r="Q15" s="44">
        <v>10</v>
      </c>
      <c r="R15" s="44">
        <v>10</v>
      </c>
      <c r="S15" s="44">
        <v>10</v>
      </c>
      <c r="T15" s="44">
        <v>10</v>
      </c>
      <c r="U15" s="44">
        <v>10</v>
      </c>
      <c r="V15" s="44">
        <v>10</v>
      </c>
      <c r="W15" s="44">
        <v>10</v>
      </c>
      <c r="X15" s="44">
        <v>10</v>
      </c>
      <c r="Y15" s="44">
        <v>10</v>
      </c>
      <c r="Z15" s="44">
        <v>10</v>
      </c>
      <c r="AA15" s="44">
        <v>10</v>
      </c>
      <c r="AB15"/>
      <c r="AC15" s="44">
        <v>10</v>
      </c>
      <c r="AD15" s="44">
        <v>10</v>
      </c>
      <c r="AE15" s="44">
        <v>10</v>
      </c>
      <c r="AF15" s="44">
        <v>10</v>
      </c>
      <c r="AG15" s="44">
        <v>10</v>
      </c>
      <c r="AH15" s="44">
        <v>10</v>
      </c>
      <c r="AI15" s="44">
        <v>10</v>
      </c>
      <c r="AJ15"/>
      <c r="AK15" s="44">
        <v>10</v>
      </c>
      <c r="AL15" s="44">
        <v>10</v>
      </c>
      <c r="AM15" s="44">
        <v>10</v>
      </c>
      <c r="AN15" s="44">
        <v>10</v>
      </c>
      <c r="AO15"/>
      <c r="AP15" s="44">
        <v>10</v>
      </c>
      <c r="AQ15"/>
      <c r="AR15"/>
      <c r="AS15" s="44">
        <v>10</v>
      </c>
    </row>
    <row r="16" spans="1:45" x14ac:dyDescent="0.25">
      <c r="A16" s="7" t="s">
        <v>463</v>
      </c>
      <c r="B16" s="3" t="s">
        <v>473</v>
      </c>
      <c r="C16" s="3" t="s">
        <v>483</v>
      </c>
      <c r="D16" s="3" t="s">
        <v>521</v>
      </c>
      <c r="E16" s="8" t="s">
        <v>458</v>
      </c>
      <c r="F16" s="8" t="s">
        <v>94</v>
      </c>
      <c r="G16" s="44" t="s">
        <v>87</v>
      </c>
      <c r="I16" s="58"/>
      <c r="J16" s="44" t="s">
        <v>87</v>
      </c>
      <c r="L16" s="44" t="s">
        <v>87</v>
      </c>
      <c r="M16" s="44" t="s">
        <v>87</v>
      </c>
      <c r="N16" s="44" t="s">
        <v>87</v>
      </c>
      <c r="Q16" s="44" t="s">
        <v>87</v>
      </c>
      <c r="R16" s="44" t="s">
        <v>87</v>
      </c>
      <c r="S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/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/>
      <c r="AK16" s="44" t="s">
        <v>87</v>
      </c>
      <c r="AL16" s="44" t="s">
        <v>87</v>
      </c>
      <c r="AM16" s="44" t="s">
        <v>87</v>
      </c>
      <c r="AN16" s="44" t="s">
        <v>87</v>
      </c>
      <c r="AO16"/>
      <c r="AP16" s="44" t="s">
        <v>87</v>
      </c>
      <c r="AQ16"/>
      <c r="AR16"/>
      <c r="AS16" s="44" t="s">
        <v>87</v>
      </c>
    </row>
    <row r="17" spans="1:45" x14ac:dyDescent="0.25">
      <c r="A17" s="7" t="s">
        <v>464</v>
      </c>
      <c r="B17" s="3" t="s">
        <v>473</v>
      </c>
      <c r="C17" s="3" t="s">
        <v>483</v>
      </c>
      <c r="D17" s="3" t="s">
        <v>521</v>
      </c>
      <c r="E17" s="8" t="s">
        <v>465</v>
      </c>
      <c r="F17" s="8" t="s">
        <v>94</v>
      </c>
      <c r="G17" s="44" t="s">
        <v>87</v>
      </c>
      <c r="I17" s="58"/>
      <c r="J17" s="44" t="s">
        <v>87</v>
      </c>
      <c r="L17" s="44" t="s">
        <v>87</v>
      </c>
      <c r="M17" s="44" t="s">
        <v>87</v>
      </c>
      <c r="N17" s="44" t="s">
        <v>87</v>
      </c>
      <c r="Q17" s="44" t="s">
        <v>87</v>
      </c>
      <c r="R17" s="44" t="s">
        <v>87</v>
      </c>
      <c r="S17" s="44" t="s">
        <v>87</v>
      </c>
      <c r="T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/>
      <c r="AC17" s="44" t="s">
        <v>87</v>
      </c>
      <c r="AD17" s="44" t="s">
        <v>87</v>
      </c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/>
      <c r="AK17" s="44" t="s">
        <v>87</v>
      </c>
      <c r="AL17" s="44" t="s">
        <v>87</v>
      </c>
      <c r="AM17" s="44" t="s">
        <v>87</v>
      </c>
      <c r="AN17" s="44" t="s">
        <v>87</v>
      </c>
      <c r="AO17"/>
      <c r="AP17" s="44" t="s">
        <v>87</v>
      </c>
      <c r="AQ17"/>
      <c r="AR17"/>
      <c r="AS17" s="44" t="s">
        <v>87</v>
      </c>
    </row>
    <row r="18" spans="1:45" x14ac:dyDescent="0.25">
      <c r="A18" s="7" t="s">
        <v>467</v>
      </c>
      <c r="B18" s="3" t="s">
        <v>473</v>
      </c>
      <c r="C18" s="3" t="s">
        <v>483</v>
      </c>
      <c r="D18" s="3" t="s">
        <v>521</v>
      </c>
      <c r="E18" s="8" t="s">
        <v>468</v>
      </c>
      <c r="F18" s="8" t="s">
        <v>94</v>
      </c>
      <c r="G18" s="44" t="s">
        <v>87</v>
      </c>
      <c r="I18" s="58"/>
      <c r="J18" s="44" t="s">
        <v>87</v>
      </c>
      <c r="L18" s="44" t="s">
        <v>87</v>
      </c>
      <c r="M18" s="44" t="s">
        <v>87</v>
      </c>
      <c r="N18" s="44" t="s">
        <v>87</v>
      </c>
      <c r="Q18" s="44" t="s">
        <v>87</v>
      </c>
      <c r="R18" s="44" t="s">
        <v>87</v>
      </c>
      <c r="S18" s="44" t="s">
        <v>87</v>
      </c>
      <c r="T18" s="44" t="s">
        <v>87</v>
      </c>
      <c r="U18" s="44" t="s">
        <v>87</v>
      </c>
      <c r="V18" s="44" t="s">
        <v>87</v>
      </c>
      <c r="W18" s="44" t="s">
        <v>87</v>
      </c>
      <c r="X18" s="44" t="s">
        <v>87</v>
      </c>
      <c r="Y18" s="44" t="s">
        <v>87</v>
      </c>
      <c r="Z18" s="44" t="s">
        <v>87</v>
      </c>
      <c r="AA18" s="44" t="s">
        <v>87</v>
      </c>
      <c r="AB18"/>
      <c r="AC18" s="44" t="s">
        <v>87</v>
      </c>
      <c r="AD18" s="44" t="s">
        <v>87</v>
      </c>
      <c r="AE18" s="44" t="s">
        <v>87</v>
      </c>
      <c r="AF18" s="44" t="s">
        <v>87</v>
      </c>
      <c r="AG18" s="44" t="s">
        <v>87</v>
      </c>
      <c r="AH18" s="44" t="s">
        <v>87</v>
      </c>
      <c r="AI18" s="44" t="s">
        <v>87</v>
      </c>
      <c r="AJ18"/>
      <c r="AK18" s="44" t="s">
        <v>87</v>
      </c>
      <c r="AL18" s="44" t="s">
        <v>87</v>
      </c>
      <c r="AM18" s="44" t="s">
        <v>87</v>
      </c>
      <c r="AN18" s="44" t="s">
        <v>87</v>
      </c>
      <c r="AO18"/>
      <c r="AP18" s="44" t="s">
        <v>87</v>
      </c>
      <c r="AQ18"/>
      <c r="AR18"/>
      <c r="AS18" s="44" t="s">
        <v>87</v>
      </c>
    </row>
    <row r="19" spans="1:45" x14ac:dyDescent="0.25">
      <c r="A19" s="7" t="s">
        <v>469</v>
      </c>
      <c r="B19" s="3" t="s">
        <v>473</v>
      </c>
      <c r="C19" s="3" t="s">
        <v>483</v>
      </c>
      <c r="D19" s="3" t="s">
        <v>521</v>
      </c>
      <c r="E19" s="8" t="s">
        <v>470</v>
      </c>
      <c r="F19" s="8" t="s">
        <v>296</v>
      </c>
      <c r="G19" s="44">
        <v>86400</v>
      </c>
      <c r="I19" s="58"/>
      <c r="J19" s="44">
        <v>86400</v>
      </c>
      <c r="L19" s="44">
        <v>86400</v>
      </c>
      <c r="M19" s="44">
        <v>86400</v>
      </c>
      <c r="N19" s="44">
        <v>86400</v>
      </c>
      <c r="Q19" s="44">
        <v>86400</v>
      </c>
      <c r="R19" s="44">
        <v>86400</v>
      </c>
      <c r="S19" s="44">
        <v>86400</v>
      </c>
      <c r="T19" s="44">
        <v>86400</v>
      </c>
      <c r="U19" s="44">
        <v>86400</v>
      </c>
      <c r="V19" s="44">
        <v>86400</v>
      </c>
      <c r="W19" s="44">
        <v>86400</v>
      </c>
      <c r="X19" s="44">
        <v>86400</v>
      </c>
      <c r="Y19" s="44">
        <v>86400</v>
      </c>
      <c r="Z19" s="44">
        <v>86400</v>
      </c>
      <c r="AA19" s="44">
        <v>86400</v>
      </c>
      <c r="AB19"/>
      <c r="AC19" s="44">
        <v>86400</v>
      </c>
      <c r="AD19" s="44">
        <v>86400</v>
      </c>
      <c r="AE19" s="44">
        <v>86400</v>
      </c>
      <c r="AF19" s="44">
        <v>86400</v>
      </c>
      <c r="AG19" s="44">
        <v>86400</v>
      </c>
      <c r="AH19" s="44">
        <v>86400</v>
      </c>
      <c r="AI19" s="44">
        <v>86400</v>
      </c>
      <c r="AJ19"/>
      <c r="AK19" s="44">
        <v>86400</v>
      </c>
      <c r="AL19" s="44">
        <v>86400</v>
      </c>
      <c r="AM19" s="44">
        <v>86400</v>
      </c>
      <c r="AN19" s="44">
        <v>86400</v>
      </c>
      <c r="AO19"/>
      <c r="AP19" s="44">
        <v>86400</v>
      </c>
      <c r="AQ19"/>
      <c r="AR19"/>
      <c r="AS19" s="44">
        <v>86400</v>
      </c>
    </row>
    <row r="20" spans="1:45" x14ac:dyDescent="0.25">
      <c r="A20" s="9" t="s">
        <v>10</v>
      </c>
      <c r="B20" s="3" t="s">
        <v>473</v>
      </c>
      <c r="C20" s="3" t="s">
        <v>483</v>
      </c>
      <c r="D20" s="3" t="s">
        <v>521</v>
      </c>
      <c r="E20" s="10" t="s">
        <v>133</v>
      </c>
      <c r="F20" s="10" t="s">
        <v>94</v>
      </c>
      <c r="G20" s="44" t="s">
        <v>87</v>
      </c>
      <c r="I20" s="58"/>
      <c r="J20" s="44" t="s">
        <v>86</v>
      </c>
      <c r="L20" s="44" t="s">
        <v>86</v>
      </c>
      <c r="M20" s="44" t="s">
        <v>86</v>
      </c>
      <c r="N20" s="44" t="s">
        <v>86</v>
      </c>
      <c r="Q20" s="44" t="s">
        <v>86</v>
      </c>
      <c r="R20" s="44" t="s">
        <v>86</v>
      </c>
      <c r="S20" s="44" t="s">
        <v>86</v>
      </c>
      <c r="T20" s="44" t="s">
        <v>86</v>
      </c>
      <c r="U20" s="44" t="s">
        <v>86</v>
      </c>
      <c r="V20" s="44" t="s">
        <v>86</v>
      </c>
      <c r="W20" s="44" t="s">
        <v>86</v>
      </c>
      <c r="X20" s="44" t="s">
        <v>86</v>
      </c>
      <c r="Y20" s="44" t="s">
        <v>86</v>
      </c>
      <c r="Z20" s="44" t="s">
        <v>86</v>
      </c>
      <c r="AA20" s="44" t="s">
        <v>86</v>
      </c>
      <c r="AB20"/>
      <c r="AC20" s="44" t="s">
        <v>86</v>
      </c>
      <c r="AD20" s="44" t="s">
        <v>86</v>
      </c>
      <c r="AE20" s="44" t="s">
        <v>86</v>
      </c>
      <c r="AF20" s="44" t="s">
        <v>86</v>
      </c>
      <c r="AG20" s="44" t="s">
        <v>86</v>
      </c>
      <c r="AH20" s="44" t="s">
        <v>86</v>
      </c>
      <c r="AI20" s="44" t="s">
        <v>86</v>
      </c>
      <c r="AJ20"/>
      <c r="AK20" s="44" t="s">
        <v>86</v>
      </c>
      <c r="AL20" s="44" t="s">
        <v>86</v>
      </c>
      <c r="AM20" s="44" t="s">
        <v>86</v>
      </c>
      <c r="AN20" s="44" t="s">
        <v>86</v>
      </c>
      <c r="AO20"/>
      <c r="AP20" s="44" t="s">
        <v>86</v>
      </c>
      <c r="AQ20"/>
      <c r="AR20"/>
      <c r="AS20" s="44" t="s">
        <v>86</v>
      </c>
    </row>
    <row r="21" spans="1:45" x14ac:dyDescent="0.25">
      <c r="A21" s="9" t="s">
        <v>11</v>
      </c>
      <c r="B21" s="3" t="s">
        <v>473</v>
      </c>
      <c r="C21" s="3" t="s">
        <v>483</v>
      </c>
      <c r="D21" s="3" t="s">
        <v>521</v>
      </c>
      <c r="E21" s="10" t="s">
        <v>118</v>
      </c>
      <c r="F21" s="10" t="s">
        <v>95</v>
      </c>
      <c r="G21" s="44">
        <v>3</v>
      </c>
      <c r="I21" s="58"/>
      <c r="J21" s="44">
        <v>3</v>
      </c>
      <c r="L21" s="44">
        <v>3</v>
      </c>
      <c r="M21" s="44">
        <v>3</v>
      </c>
      <c r="N21" s="44">
        <v>3</v>
      </c>
      <c r="Q21" s="44">
        <v>3</v>
      </c>
      <c r="R21" s="44">
        <v>3</v>
      </c>
      <c r="S21" s="44">
        <v>3</v>
      </c>
      <c r="T21" s="44">
        <v>3</v>
      </c>
      <c r="U21" s="44">
        <v>3</v>
      </c>
      <c r="V21" s="44">
        <v>3</v>
      </c>
      <c r="W21" s="44">
        <v>3</v>
      </c>
      <c r="X21" s="44">
        <v>3</v>
      </c>
      <c r="Y21" s="44">
        <v>3</v>
      </c>
      <c r="Z21" s="44">
        <v>3</v>
      </c>
      <c r="AA21" s="44">
        <v>3</v>
      </c>
      <c r="AB21"/>
      <c r="AC21" s="44">
        <v>3</v>
      </c>
      <c r="AD21" s="44">
        <v>3</v>
      </c>
      <c r="AE21" s="44">
        <v>3</v>
      </c>
      <c r="AF21" s="44">
        <v>3</v>
      </c>
      <c r="AG21" s="44">
        <v>3</v>
      </c>
      <c r="AH21" s="44">
        <v>3</v>
      </c>
      <c r="AI21" s="44">
        <v>3</v>
      </c>
      <c r="AJ21"/>
      <c r="AK21" s="44">
        <v>3</v>
      </c>
      <c r="AL21" s="44">
        <v>3</v>
      </c>
      <c r="AM21" s="44">
        <v>3</v>
      </c>
      <c r="AN21" s="44">
        <v>3</v>
      </c>
      <c r="AO21"/>
      <c r="AP21" s="44">
        <v>3</v>
      </c>
      <c r="AQ21"/>
      <c r="AR21"/>
      <c r="AS21" s="44">
        <v>3</v>
      </c>
    </row>
    <row r="22" spans="1:45" x14ac:dyDescent="0.25">
      <c r="A22" s="9" t="s">
        <v>362</v>
      </c>
      <c r="B22" s="3" t="s">
        <v>473</v>
      </c>
      <c r="C22" s="3" t="s">
        <v>483</v>
      </c>
      <c r="D22" s="3" t="s">
        <v>521</v>
      </c>
      <c r="E22" s="10" t="s">
        <v>363</v>
      </c>
      <c r="F22" s="10" t="s">
        <v>94</v>
      </c>
      <c r="G22" s="44" t="s">
        <v>87</v>
      </c>
      <c r="I22" s="58"/>
      <c r="J22" s="44" t="s">
        <v>87</v>
      </c>
      <c r="L22" s="44" t="s">
        <v>87</v>
      </c>
      <c r="M22" s="44" t="s">
        <v>87</v>
      </c>
      <c r="N22" s="44" t="s">
        <v>87</v>
      </c>
      <c r="Q22" s="44" t="s">
        <v>87</v>
      </c>
      <c r="R22" s="44" t="s">
        <v>87</v>
      </c>
      <c r="S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/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/>
      <c r="AK22" s="44" t="s">
        <v>87</v>
      </c>
      <c r="AL22" s="44" t="s">
        <v>87</v>
      </c>
      <c r="AM22" s="44" t="s">
        <v>87</v>
      </c>
      <c r="AN22" s="44" t="s">
        <v>87</v>
      </c>
      <c r="AO22"/>
      <c r="AP22" s="44" t="s">
        <v>87</v>
      </c>
      <c r="AQ22"/>
      <c r="AR22"/>
      <c r="AS22" s="44" t="s">
        <v>87</v>
      </c>
    </row>
    <row r="23" spans="1:45" x14ac:dyDescent="0.25">
      <c r="A23" s="9" t="s">
        <v>364</v>
      </c>
      <c r="B23" s="3" t="s">
        <v>473</v>
      </c>
      <c r="C23" s="3" t="s">
        <v>483</v>
      </c>
      <c r="D23" s="3" t="s">
        <v>521</v>
      </c>
      <c r="E23" s="10" t="s">
        <v>365</v>
      </c>
      <c r="F23" s="10" t="s">
        <v>94</v>
      </c>
      <c r="G23" s="44" t="s">
        <v>87</v>
      </c>
      <c r="I23" s="58"/>
      <c r="J23" s="44" t="s">
        <v>87</v>
      </c>
      <c r="L23" s="44" t="s">
        <v>87</v>
      </c>
      <c r="M23" s="44" t="s">
        <v>87</v>
      </c>
      <c r="N23" s="44" t="s">
        <v>87</v>
      </c>
      <c r="Q23" s="44" t="s">
        <v>87</v>
      </c>
      <c r="R23" s="44" t="s">
        <v>87</v>
      </c>
      <c r="S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/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/>
      <c r="AK23" s="44" t="s">
        <v>87</v>
      </c>
      <c r="AL23" s="44" t="s">
        <v>87</v>
      </c>
      <c r="AM23" s="44" t="s">
        <v>87</v>
      </c>
      <c r="AN23" s="44" t="s">
        <v>87</v>
      </c>
      <c r="AO23"/>
      <c r="AP23" s="44" t="s">
        <v>87</v>
      </c>
      <c r="AQ23"/>
      <c r="AR23"/>
      <c r="AS23" s="44" t="s">
        <v>87</v>
      </c>
    </row>
    <row r="24" spans="1:45" x14ac:dyDescent="0.25">
      <c r="A24" s="9" t="s">
        <v>376</v>
      </c>
      <c r="B24" s="3" t="s">
        <v>473</v>
      </c>
      <c r="C24" s="3" t="s">
        <v>483</v>
      </c>
      <c r="D24" s="3" t="s">
        <v>521</v>
      </c>
      <c r="E24" s="10" t="s">
        <v>377</v>
      </c>
      <c r="F24" s="10" t="s">
        <v>94</v>
      </c>
      <c r="G24" s="44" t="s">
        <v>87</v>
      </c>
      <c r="I24" s="58"/>
      <c r="J24" s="44" t="s">
        <v>87</v>
      </c>
      <c r="L24" s="44" t="s">
        <v>87</v>
      </c>
      <c r="M24" s="44" t="s">
        <v>87</v>
      </c>
      <c r="N24" s="44" t="s">
        <v>87</v>
      </c>
      <c r="Q24" s="44" t="s">
        <v>87</v>
      </c>
      <c r="R24" s="44" t="s">
        <v>87</v>
      </c>
      <c r="S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/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/>
      <c r="AK24" s="44" t="s">
        <v>87</v>
      </c>
      <c r="AL24" s="44" t="s">
        <v>87</v>
      </c>
      <c r="AM24" s="44" t="s">
        <v>87</v>
      </c>
      <c r="AN24" s="44" t="s">
        <v>87</v>
      </c>
      <c r="AO24"/>
      <c r="AP24" s="44" t="s">
        <v>87</v>
      </c>
      <c r="AQ24"/>
      <c r="AR24"/>
      <c r="AS24" s="44" t="s">
        <v>87</v>
      </c>
    </row>
    <row r="25" spans="1:45" x14ac:dyDescent="0.25">
      <c r="A25" s="9" t="s">
        <v>375</v>
      </c>
      <c r="B25" s="3" t="s">
        <v>473</v>
      </c>
      <c r="C25" s="3" t="s">
        <v>483</v>
      </c>
      <c r="D25" s="3" t="s">
        <v>521</v>
      </c>
      <c r="E25" s="10" t="s">
        <v>373</v>
      </c>
      <c r="F25" s="10" t="s">
        <v>94</v>
      </c>
      <c r="G25" s="44" t="s">
        <v>87</v>
      </c>
      <c r="I25" s="58"/>
      <c r="J25" s="44" t="s">
        <v>87</v>
      </c>
      <c r="L25" s="44" t="s">
        <v>87</v>
      </c>
      <c r="M25" s="44" t="s">
        <v>87</v>
      </c>
      <c r="N25" s="44" t="s">
        <v>87</v>
      </c>
      <c r="Q25" s="44" t="s">
        <v>87</v>
      </c>
      <c r="R25" s="44" t="s">
        <v>87</v>
      </c>
      <c r="S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/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/>
      <c r="AK25" s="44" t="s">
        <v>87</v>
      </c>
      <c r="AL25" s="44" t="s">
        <v>87</v>
      </c>
      <c r="AM25" s="44" t="s">
        <v>87</v>
      </c>
      <c r="AN25" s="44" t="s">
        <v>87</v>
      </c>
      <c r="AO25"/>
      <c r="AP25" s="44" t="s">
        <v>87</v>
      </c>
      <c r="AQ25"/>
      <c r="AR25"/>
      <c r="AS25" s="44" t="s">
        <v>87</v>
      </c>
    </row>
    <row r="26" spans="1:45" x14ac:dyDescent="0.25">
      <c r="A26" s="9" t="s">
        <v>374</v>
      </c>
      <c r="B26" s="3" t="s">
        <v>473</v>
      </c>
      <c r="C26" s="3" t="s">
        <v>483</v>
      </c>
      <c r="D26" s="3" t="s">
        <v>521</v>
      </c>
      <c r="E26" s="10" t="s">
        <v>372</v>
      </c>
      <c r="F26" s="10" t="s">
        <v>94</v>
      </c>
      <c r="G26" s="44" t="s">
        <v>87</v>
      </c>
      <c r="I26" s="58"/>
      <c r="J26" s="44" t="s">
        <v>87</v>
      </c>
      <c r="L26" s="44" t="s">
        <v>87</v>
      </c>
      <c r="M26" s="44" t="s">
        <v>87</v>
      </c>
      <c r="N26" s="44" t="s">
        <v>87</v>
      </c>
      <c r="Q26" s="44" t="s">
        <v>87</v>
      </c>
      <c r="R26" s="44" t="s">
        <v>87</v>
      </c>
      <c r="S26" s="44" t="s">
        <v>87</v>
      </c>
      <c r="T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/>
      <c r="AC26" s="44" t="s">
        <v>87</v>
      </c>
      <c r="AD26" s="44" t="s">
        <v>87</v>
      </c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/>
      <c r="AK26" s="44" t="s">
        <v>87</v>
      </c>
      <c r="AL26" s="44" t="s">
        <v>87</v>
      </c>
      <c r="AM26" s="44" t="s">
        <v>87</v>
      </c>
      <c r="AN26" s="44" t="s">
        <v>87</v>
      </c>
      <c r="AO26"/>
      <c r="AP26" s="44" t="s">
        <v>87</v>
      </c>
      <c r="AQ26"/>
      <c r="AR26"/>
      <c r="AS26" s="44" t="s">
        <v>87</v>
      </c>
    </row>
    <row r="27" spans="1:45" x14ac:dyDescent="0.25">
      <c r="A27" s="9" t="s">
        <v>12</v>
      </c>
      <c r="B27" s="3" t="s">
        <v>473</v>
      </c>
      <c r="C27" s="3" t="s">
        <v>483</v>
      </c>
      <c r="D27" s="3" t="s">
        <v>521</v>
      </c>
      <c r="E27" s="10" t="s">
        <v>139</v>
      </c>
      <c r="F27" s="10" t="s">
        <v>94</v>
      </c>
      <c r="G27" s="44" t="s">
        <v>87</v>
      </c>
      <c r="I27" s="58"/>
      <c r="J27" s="44" t="s">
        <v>87</v>
      </c>
      <c r="L27" s="44" t="s">
        <v>87</v>
      </c>
      <c r="M27" s="44" t="s">
        <v>87</v>
      </c>
      <c r="N27" s="44" t="s">
        <v>87</v>
      </c>
      <c r="Q27" s="44" t="s">
        <v>87</v>
      </c>
      <c r="R27" s="44" t="s">
        <v>87</v>
      </c>
      <c r="S27" s="44" t="s">
        <v>87</v>
      </c>
      <c r="T27" s="44" t="s">
        <v>87</v>
      </c>
      <c r="U27" s="44" t="s">
        <v>87</v>
      </c>
      <c r="V27" s="44" t="s">
        <v>87</v>
      </c>
      <c r="W27" s="44" t="s">
        <v>87</v>
      </c>
      <c r="X27" s="44" t="s">
        <v>87</v>
      </c>
      <c r="Y27" s="44" t="s">
        <v>87</v>
      </c>
      <c r="Z27" s="44" t="s">
        <v>87</v>
      </c>
      <c r="AA27" s="44" t="s">
        <v>87</v>
      </c>
      <c r="AB27"/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/>
      <c r="AK27" s="44" t="s">
        <v>87</v>
      </c>
      <c r="AL27" s="44" t="s">
        <v>87</v>
      </c>
      <c r="AM27" s="44" t="s">
        <v>87</v>
      </c>
      <c r="AN27" s="44" t="s">
        <v>87</v>
      </c>
      <c r="AO27"/>
      <c r="AP27" s="44" t="s">
        <v>87</v>
      </c>
      <c r="AQ27"/>
      <c r="AR27"/>
      <c r="AS27" s="44" t="s">
        <v>87</v>
      </c>
    </row>
    <row r="28" spans="1:45" x14ac:dyDescent="0.25">
      <c r="A28" s="9" t="s">
        <v>13</v>
      </c>
      <c r="B28" s="3" t="s">
        <v>473</v>
      </c>
      <c r="C28" s="3" t="s">
        <v>483</v>
      </c>
      <c r="D28" s="3" t="s">
        <v>521</v>
      </c>
      <c r="E28" s="10" t="s">
        <v>119</v>
      </c>
      <c r="F28" s="10" t="s">
        <v>97</v>
      </c>
      <c r="G28" s="44">
        <v>0.33</v>
      </c>
      <c r="I28" s="58"/>
      <c r="J28" s="44">
        <v>0.33</v>
      </c>
      <c r="L28" s="44">
        <v>0.33</v>
      </c>
      <c r="M28" s="44">
        <v>0.33</v>
      </c>
      <c r="N28" s="44">
        <v>0.33</v>
      </c>
      <c r="Q28" s="44">
        <v>0.33</v>
      </c>
      <c r="R28" s="44">
        <v>0.33</v>
      </c>
      <c r="S28" s="44">
        <v>0.33</v>
      </c>
      <c r="T28" s="44">
        <v>0.33</v>
      </c>
      <c r="U28" s="44">
        <v>0.33</v>
      </c>
      <c r="V28" s="44">
        <v>0.33</v>
      </c>
      <c r="W28" s="44">
        <v>0.33</v>
      </c>
      <c r="X28" s="44">
        <v>0.33</v>
      </c>
      <c r="Y28" s="44">
        <v>0.33</v>
      </c>
      <c r="Z28" s="44">
        <v>0.33</v>
      </c>
      <c r="AA28" s="44">
        <v>0.33</v>
      </c>
      <c r="AB28"/>
      <c r="AC28" s="44">
        <v>0.33</v>
      </c>
      <c r="AD28" s="44">
        <v>0.33</v>
      </c>
      <c r="AE28" s="44">
        <v>0.33</v>
      </c>
      <c r="AF28" s="44">
        <v>0.33</v>
      </c>
      <c r="AG28" s="44">
        <v>0.33</v>
      </c>
      <c r="AH28" s="44">
        <v>0.33</v>
      </c>
      <c r="AI28" s="44">
        <v>0.33</v>
      </c>
      <c r="AJ28"/>
      <c r="AK28" s="44">
        <v>0.33</v>
      </c>
      <c r="AL28" s="44">
        <v>0.33</v>
      </c>
      <c r="AM28" s="44">
        <v>0.33</v>
      </c>
      <c r="AN28" s="44">
        <v>0.33</v>
      </c>
      <c r="AO28"/>
      <c r="AP28" s="44">
        <v>0.33</v>
      </c>
      <c r="AQ28"/>
      <c r="AR28"/>
      <c r="AS28" s="44">
        <v>0.33</v>
      </c>
    </row>
    <row r="29" spans="1:45" x14ac:dyDescent="0.25">
      <c r="A29" s="9" t="s">
        <v>14</v>
      </c>
      <c r="B29" s="3" t="s">
        <v>473</v>
      </c>
      <c r="C29" s="3" t="s">
        <v>483</v>
      </c>
      <c r="D29" s="3" t="s">
        <v>521</v>
      </c>
      <c r="E29" s="10" t="s">
        <v>134</v>
      </c>
      <c r="F29" s="10" t="s">
        <v>94</v>
      </c>
      <c r="G29" s="44" t="s">
        <v>87</v>
      </c>
      <c r="I29" s="58"/>
      <c r="J29" s="44" t="s">
        <v>87</v>
      </c>
      <c r="L29" s="44" t="s">
        <v>87</v>
      </c>
      <c r="M29" s="44" t="s">
        <v>87</v>
      </c>
      <c r="N29" s="44" t="s">
        <v>87</v>
      </c>
      <c r="Q29" s="44" t="s">
        <v>87</v>
      </c>
      <c r="R29" s="44" t="s">
        <v>87</v>
      </c>
      <c r="S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/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/>
      <c r="AK29" s="44" t="s">
        <v>87</v>
      </c>
      <c r="AL29" s="44" t="s">
        <v>87</v>
      </c>
      <c r="AM29" s="44" t="s">
        <v>87</v>
      </c>
      <c r="AN29" s="44" t="s">
        <v>87</v>
      </c>
      <c r="AO29"/>
      <c r="AP29" s="44" t="s">
        <v>87</v>
      </c>
      <c r="AQ29"/>
      <c r="AR29"/>
      <c r="AS29" s="44" t="s">
        <v>87</v>
      </c>
    </row>
    <row r="30" spans="1:45" x14ac:dyDescent="0.25">
      <c r="A30" s="9" t="s">
        <v>9</v>
      </c>
      <c r="B30" s="3" t="s">
        <v>473</v>
      </c>
      <c r="C30" s="3" t="s">
        <v>483</v>
      </c>
      <c r="D30" s="3" t="s">
        <v>521</v>
      </c>
      <c r="E30" s="10" t="s">
        <v>132</v>
      </c>
      <c r="F30" s="10" t="s">
        <v>94</v>
      </c>
      <c r="G30" s="44" t="s">
        <v>87</v>
      </c>
      <c r="I30" s="58"/>
      <c r="J30" s="44" t="s">
        <v>87</v>
      </c>
      <c r="L30" s="44" t="s">
        <v>87</v>
      </c>
      <c r="M30" s="44" t="s">
        <v>87</v>
      </c>
      <c r="N30" s="44" t="s">
        <v>87</v>
      </c>
      <c r="Q30" s="44" t="s">
        <v>87</v>
      </c>
      <c r="R30" s="44" t="s">
        <v>87</v>
      </c>
      <c r="S30" s="44" t="s">
        <v>87</v>
      </c>
      <c r="T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/>
      <c r="AC30" s="44" t="s">
        <v>87</v>
      </c>
      <c r="AD30" s="44" t="s">
        <v>87</v>
      </c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/>
      <c r="AK30" s="44" t="s">
        <v>87</v>
      </c>
      <c r="AL30" s="44" t="s">
        <v>87</v>
      </c>
      <c r="AM30" s="44" t="s">
        <v>87</v>
      </c>
      <c r="AN30" s="44" t="s">
        <v>87</v>
      </c>
      <c r="AO30"/>
      <c r="AP30" s="44" t="s">
        <v>87</v>
      </c>
      <c r="AQ30"/>
      <c r="AR30"/>
      <c r="AS30" s="44" t="s">
        <v>87</v>
      </c>
    </row>
    <row r="31" spans="1:45" x14ac:dyDescent="0.25">
      <c r="A31" s="9" t="s">
        <v>456</v>
      </c>
      <c r="B31" s="3" t="s">
        <v>473</v>
      </c>
      <c r="C31" s="3" t="s">
        <v>483</v>
      </c>
      <c r="D31" s="3" t="s">
        <v>521</v>
      </c>
      <c r="E31" s="10" t="s">
        <v>457</v>
      </c>
      <c r="F31" s="10" t="s">
        <v>94</v>
      </c>
      <c r="G31" s="44" t="s">
        <v>87</v>
      </c>
      <c r="I31" s="58"/>
      <c r="J31" s="44" t="s">
        <v>87</v>
      </c>
      <c r="L31" s="44" t="s">
        <v>87</v>
      </c>
      <c r="M31" s="44" t="s">
        <v>87</v>
      </c>
      <c r="N31" s="44" t="s">
        <v>87</v>
      </c>
      <c r="Q31" s="44" t="s">
        <v>87</v>
      </c>
      <c r="R31" s="44" t="s">
        <v>87</v>
      </c>
      <c r="S31" s="44" t="s">
        <v>87</v>
      </c>
      <c r="T31" s="44" t="s">
        <v>87</v>
      </c>
      <c r="U31" s="44" t="s">
        <v>87</v>
      </c>
      <c r="V31" s="44" t="s">
        <v>87</v>
      </c>
      <c r="W31" s="44" t="s">
        <v>87</v>
      </c>
      <c r="X31" s="44" t="s">
        <v>87</v>
      </c>
      <c r="Y31" s="44" t="s">
        <v>87</v>
      </c>
      <c r="Z31" s="44" t="s">
        <v>87</v>
      </c>
      <c r="AA31" s="44" t="s">
        <v>87</v>
      </c>
      <c r="AB31"/>
      <c r="AC31" s="44" t="s">
        <v>87</v>
      </c>
      <c r="AD31" s="44" t="s">
        <v>87</v>
      </c>
      <c r="AE31" s="44" t="s">
        <v>87</v>
      </c>
      <c r="AF31" s="44" t="s">
        <v>87</v>
      </c>
      <c r="AG31" s="44" t="s">
        <v>87</v>
      </c>
      <c r="AH31" s="44" t="s">
        <v>87</v>
      </c>
      <c r="AI31" s="44" t="s">
        <v>87</v>
      </c>
      <c r="AJ31"/>
      <c r="AK31" s="44" t="s">
        <v>87</v>
      </c>
      <c r="AL31" s="44" t="s">
        <v>87</v>
      </c>
      <c r="AM31" s="44" t="s">
        <v>87</v>
      </c>
      <c r="AN31" s="44" t="s">
        <v>87</v>
      </c>
      <c r="AO31"/>
      <c r="AP31" s="44" t="s">
        <v>87</v>
      </c>
      <c r="AQ31"/>
      <c r="AR31"/>
      <c r="AS31" s="44" t="s">
        <v>87</v>
      </c>
    </row>
    <row r="32" spans="1:45" x14ac:dyDescent="0.25">
      <c r="A32" s="13" t="s">
        <v>21</v>
      </c>
      <c r="B32" s="3" t="s">
        <v>473</v>
      </c>
      <c r="C32" s="3" t="s">
        <v>483</v>
      </c>
      <c r="D32" s="3" t="s">
        <v>521</v>
      </c>
      <c r="E32" s="14" t="s">
        <v>137</v>
      </c>
      <c r="F32" s="14" t="s">
        <v>94</v>
      </c>
      <c r="G32" s="44" t="s">
        <v>86</v>
      </c>
      <c r="I32" s="58"/>
      <c r="J32" s="44" t="s">
        <v>86</v>
      </c>
      <c r="L32" s="44" t="s">
        <v>86</v>
      </c>
      <c r="M32" s="44" t="s">
        <v>86</v>
      </c>
      <c r="N32" s="44" t="s">
        <v>86</v>
      </c>
      <c r="Q32" s="44" t="s">
        <v>86</v>
      </c>
      <c r="R32" s="44" t="s">
        <v>86</v>
      </c>
      <c r="S32" s="44" t="s">
        <v>86</v>
      </c>
      <c r="T32" s="44" t="s">
        <v>86</v>
      </c>
      <c r="U32" s="44" t="s">
        <v>86</v>
      </c>
      <c r="V32" s="44" t="s">
        <v>86</v>
      </c>
      <c r="W32" s="44" t="s">
        <v>86</v>
      </c>
      <c r="X32" s="44" t="s">
        <v>86</v>
      </c>
      <c r="Y32" s="44" t="s">
        <v>86</v>
      </c>
      <c r="Z32" s="44" t="s">
        <v>86</v>
      </c>
      <c r="AA32" s="44" t="s">
        <v>86</v>
      </c>
      <c r="AB32"/>
      <c r="AC32" s="44" t="s">
        <v>86</v>
      </c>
      <c r="AD32" s="44" t="s">
        <v>86</v>
      </c>
      <c r="AE32" s="44" t="s">
        <v>86</v>
      </c>
      <c r="AF32" s="44" t="s">
        <v>86</v>
      </c>
      <c r="AG32" s="44" t="s">
        <v>86</v>
      </c>
      <c r="AH32" s="44" t="s">
        <v>86</v>
      </c>
      <c r="AI32" s="44" t="s">
        <v>86</v>
      </c>
      <c r="AJ32"/>
      <c r="AK32" s="44" t="s">
        <v>86</v>
      </c>
      <c r="AL32" s="44" t="s">
        <v>86</v>
      </c>
      <c r="AM32" s="44" t="s">
        <v>86</v>
      </c>
      <c r="AN32" s="44" t="s">
        <v>86</v>
      </c>
      <c r="AO32"/>
      <c r="AP32" s="44" t="s">
        <v>86</v>
      </c>
      <c r="AQ32"/>
      <c r="AR32"/>
      <c r="AS32" s="44" t="s">
        <v>86</v>
      </c>
    </row>
    <row r="33" spans="1:45" x14ac:dyDescent="0.25">
      <c r="A33" s="13" t="s">
        <v>22</v>
      </c>
      <c r="B33" s="3" t="s">
        <v>473</v>
      </c>
      <c r="C33" s="3" t="s">
        <v>483</v>
      </c>
      <c r="D33" s="3" t="s">
        <v>521</v>
      </c>
      <c r="E33" s="14" t="s">
        <v>124</v>
      </c>
      <c r="F33" s="14" t="s">
        <v>91</v>
      </c>
      <c r="G33" s="44" t="s">
        <v>382</v>
      </c>
      <c r="I33" s="59"/>
      <c r="J33" s="45" t="s">
        <v>436</v>
      </c>
      <c r="L33" s="45" t="s">
        <v>436</v>
      </c>
      <c r="M33" s="45" t="s">
        <v>436</v>
      </c>
      <c r="N33" s="45" t="s">
        <v>436</v>
      </c>
      <c r="Q33" s="45" t="s">
        <v>436</v>
      </c>
      <c r="R33" s="45" t="s">
        <v>436</v>
      </c>
      <c r="S33" s="45" t="s">
        <v>436</v>
      </c>
      <c r="T33" s="45" t="s">
        <v>436</v>
      </c>
      <c r="U33" s="45" t="s">
        <v>436</v>
      </c>
      <c r="V33" s="45" t="s">
        <v>436</v>
      </c>
      <c r="W33" s="45" t="s">
        <v>436</v>
      </c>
      <c r="X33" s="45" t="s">
        <v>436</v>
      </c>
      <c r="Y33" s="45" t="s">
        <v>436</v>
      </c>
      <c r="Z33" s="45" t="s">
        <v>436</v>
      </c>
      <c r="AA33" s="45" t="s">
        <v>436</v>
      </c>
      <c r="AB33"/>
      <c r="AC33" s="45" t="s">
        <v>436</v>
      </c>
      <c r="AD33" s="45" t="s">
        <v>436</v>
      </c>
      <c r="AE33" s="45" t="s">
        <v>436</v>
      </c>
      <c r="AF33" s="45" t="s">
        <v>436</v>
      </c>
      <c r="AG33" s="45" t="s">
        <v>436</v>
      </c>
      <c r="AH33" s="45" t="s">
        <v>436</v>
      </c>
      <c r="AI33" s="45" t="s">
        <v>436</v>
      </c>
      <c r="AJ33"/>
      <c r="AK33" s="45" t="s">
        <v>436</v>
      </c>
      <c r="AL33" s="45" t="s">
        <v>436</v>
      </c>
      <c r="AM33" s="45" t="s">
        <v>436</v>
      </c>
      <c r="AN33" s="45" t="s">
        <v>436</v>
      </c>
      <c r="AO33"/>
      <c r="AP33" s="45" t="s">
        <v>436</v>
      </c>
      <c r="AQ33"/>
      <c r="AR33"/>
      <c r="AS33" s="45" t="s">
        <v>436</v>
      </c>
    </row>
    <row r="34" spans="1:45" x14ac:dyDescent="0.25">
      <c r="A34" s="13" t="s">
        <v>23</v>
      </c>
      <c r="B34" s="3" t="s">
        <v>473</v>
      </c>
      <c r="C34" s="3" t="s">
        <v>483</v>
      </c>
      <c r="D34" s="3" t="s">
        <v>521</v>
      </c>
      <c r="E34" s="14" t="s">
        <v>125</v>
      </c>
      <c r="F34" s="14" t="s">
        <v>99</v>
      </c>
      <c r="G34" s="44">
        <v>9.9999999999999995E-7</v>
      </c>
      <c r="I34" s="58"/>
      <c r="J34" s="44">
        <v>9.9999999999999995E-7</v>
      </c>
      <c r="L34" s="44">
        <v>9.9999999999999995E-7</v>
      </c>
      <c r="M34" s="44">
        <v>9.9999999999999995E-7</v>
      </c>
      <c r="N34" s="44">
        <v>9.9999999999999995E-7</v>
      </c>
      <c r="Q34" s="44">
        <v>9.9999999999999995E-7</v>
      </c>
      <c r="R34" s="44">
        <v>9.9999999999999995E-7</v>
      </c>
      <c r="S34" s="44">
        <v>9.9999999999999995E-7</v>
      </c>
      <c r="T34" s="44">
        <v>9.9999999999999995E-7</v>
      </c>
      <c r="U34" s="44">
        <v>9.9999999999999995E-7</v>
      </c>
      <c r="V34" s="44">
        <v>9.9999999999999995E-7</v>
      </c>
      <c r="W34" s="44">
        <v>9.9999999999999995E-7</v>
      </c>
      <c r="X34" s="44">
        <v>9.9999999999999995E-7</v>
      </c>
      <c r="Y34" s="44">
        <v>9.9999999999999995E-7</v>
      </c>
      <c r="Z34" s="44">
        <v>9.9999999999999995E-7</v>
      </c>
      <c r="AA34" s="44">
        <v>9.9999999999999995E-7</v>
      </c>
      <c r="AB34"/>
      <c r="AC34" s="44">
        <v>9.9999999999999995E-7</v>
      </c>
      <c r="AD34" s="44">
        <v>9.9999999999999995E-7</v>
      </c>
      <c r="AE34" s="44">
        <v>9.9999999999999995E-7</v>
      </c>
      <c r="AF34" s="44">
        <v>9.9999999999999995E-7</v>
      </c>
      <c r="AG34" s="44">
        <v>9.9999999999999995E-7</v>
      </c>
      <c r="AH34" s="44">
        <v>9.9999999999999995E-7</v>
      </c>
      <c r="AI34" s="44">
        <v>9.9999999999999995E-7</v>
      </c>
      <c r="AJ34"/>
      <c r="AK34" s="44">
        <v>9.9999999999999995E-7</v>
      </c>
      <c r="AL34" s="44">
        <v>9.9999999999999995E-7</v>
      </c>
      <c r="AM34" s="44">
        <v>9.9999999999999995E-7</v>
      </c>
      <c r="AN34" s="44">
        <v>9.9999999999999995E-7</v>
      </c>
      <c r="AO34"/>
      <c r="AP34" s="44">
        <v>9.9999999999999995E-7</v>
      </c>
      <c r="AQ34"/>
      <c r="AR34"/>
      <c r="AS34" s="44">
        <v>9.9999999999999995E-7</v>
      </c>
    </row>
    <row r="35" spans="1:45" x14ac:dyDescent="0.25">
      <c r="A35" s="13" t="s">
        <v>24</v>
      </c>
      <c r="B35" s="3" t="s">
        <v>473</v>
      </c>
      <c r="C35" s="3" t="s">
        <v>483</v>
      </c>
      <c r="D35" s="3" t="s">
        <v>521</v>
      </c>
      <c r="E35" s="14" t="s">
        <v>126</v>
      </c>
      <c r="F35" s="14" t="s">
        <v>99</v>
      </c>
      <c r="G35" s="44">
        <v>2.0000000000000001E-4</v>
      </c>
      <c r="I35" s="58"/>
      <c r="J35" s="44">
        <v>1E-3</v>
      </c>
      <c r="L35" s="44">
        <v>1E-3</v>
      </c>
      <c r="M35" s="44">
        <v>1E-3</v>
      </c>
      <c r="N35" s="44">
        <v>1E-3</v>
      </c>
      <c r="Q35" s="44">
        <v>1E-3</v>
      </c>
      <c r="R35" s="44">
        <v>1E-3</v>
      </c>
      <c r="S35" s="44">
        <v>1E-3</v>
      </c>
      <c r="T35" s="44">
        <v>1E-3</v>
      </c>
      <c r="U35" s="44">
        <v>1E-3</v>
      </c>
      <c r="V35" s="44">
        <v>1E-3</v>
      </c>
      <c r="W35" s="44">
        <v>1E-3</v>
      </c>
      <c r="X35" s="44">
        <v>1E-3</v>
      </c>
      <c r="Y35" s="44">
        <v>1E-3</v>
      </c>
      <c r="Z35" s="44">
        <v>1E-3</v>
      </c>
      <c r="AA35" s="44">
        <v>1E-3</v>
      </c>
      <c r="AB35"/>
      <c r="AC35" s="44">
        <v>1E-3</v>
      </c>
      <c r="AD35" s="44">
        <v>1E-3</v>
      </c>
      <c r="AE35" s="44">
        <v>1E-3</v>
      </c>
      <c r="AF35" s="44">
        <v>1E-3</v>
      </c>
      <c r="AG35" s="44">
        <v>1E-3</v>
      </c>
      <c r="AH35" s="44">
        <v>1E-3</v>
      </c>
      <c r="AI35" s="44">
        <v>1E-3</v>
      </c>
      <c r="AJ35"/>
      <c r="AK35" s="44">
        <v>1E-3</v>
      </c>
      <c r="AL35" s="44">
        <v>1E-3</v>
      </c>
      <c r="AM35" s="44">
        <v>1E-3</v>
      </c>
      <c r="AN35" s="44">
        <v>1E-3</v>
      </c>
      <c r="AO35"/>
      <c r="AP35" s="44">
        <v>1E-3</v>
      </c>
      <c r="AQ35"/>
      <c r="AR35"/>
      <c r="AS35" s="44">
        <v>1E-3</v>
      </c>
    </row>
    <row r="36" spans="1:45" x14ac:dyDescent="0.25">
      <c r="A36" s="13" t="s">
        <v>25</v>
      </c>
      <c r="B36" s="3" t="s">
        <v>473</v>
      </c>
      <c r="C36" s="3" t="s">
        <v>483</v>
      </c>
      <c r="D36" s="3" t="s">
        <v>521</v>
      </c>
      <c r="E36" s="14" t="s">
        <v>138</v>
      </c>
      <c r="F36" s="14" t="s">
        <v>94</v>
      </c>
      <c r="G36" s="44" t="s">
        <v>86</v>
      </c>
      <c r="I36" s="58"/>
      <c r="J36" s="44" t="s">
        <v>86</v>
      </c>
      <c r="L36" s="44" t="s">
        <v>86</v>
      </c>
      <c r="M36" s="44" t="s">
        <v>86</v>
      </c>
      <c r="N36" s="44" t="s">
        <v>86</v>
      </c>
      <c r="Q36" s="44" t="s">
        <v>86</v>
      </c>
      <c r="R36" s="44" t="s">
        <v>86</v>
      </c>
      <c r="S36" s="44" t="s">
        <v>86</v>
      </c>
      <c r="T36" s="44" t="s">
        <v>86</v>
      </c>
      <c r="U36" s="44" t="s">
        <v>86</v>
      </c>
      <c r="V36" s="44" t="s">
        <v>86</v>
      </c>
      <c r="W36" s="44" t="s">
        <v>86</v>
      </c>
      <c r="X36" s="44" t="s">
        <v>86</v>
      </c>
      <c r="Y36" s="44" t="s">
        <v>86</v>
      </c>
      <c r="Z36" s="44" t="s">
        <v>86</v>
      </c>
      <c r="AA36" s="44" t="s">
        <v>86</v>
      </c>
      <c r="AB36"/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/>
      <c r="AK36" s="44" t="s">
        <v>86</v>
      </c>
      <c r="AL36" s="44" t="s">
        <v>86</v>
      </c>
      <c r="AM36" s="44" t="s">
        <v>86</v>
      </c>
      <c r="AN36" s="44" t="s">
        <v>86</v>
      </c>
      <c r="AO36"/>
      <c r="AP36" s="44" t="s">
        <v>86</v>
      </c>
      <c r="AQ36"/>
      <c r="AR36"/>
      <c r="AS36" s="44" t="s">
        <v>86</v>
      </c>
    </row>
    <row r="37" spans="1:45" x14ac:dyDescent="0.25">
      <c r="A37" s="13" t="s">
        <v>26</v>
      </c>
      <c r="B37" s="3" t="s">
        <v>473</v>
      </c>
      <c r="C37" s="3" t="s">
        <v>483</v>
      </c>
      <c r="D37" s="3" t="s">
        <v>521</v>
      </c>
      <c r="E37" s="14" t="s">
        <v>127</v>
      </c>
      <c r="F37" s="14" t="s">
        <v>91</v>
      </c>
      <c r="G37" s="44" t="s">
        <v>88</v>
      </c>
      <c r="I37" s="58"/>
      <c r="J37" s="44" t="s">
        <v>88</v>
      </c>
      <c r="L37" s="44" t="s">
        <v>88</v>
      </c>
      <c r="M37" s="44" t="s">
        <v>88</v>
      </c>
      <c r="N37" s="44" t="s">
        <v>88</v>
      </c>
      <c r="Q37" s="44" t="s">
        <v>88</v>
      </c>
      <c r="R37" s="44" t="s">
        <v>88</v>
      </c>
      <c r="S37" s="44" t="s">
        <v>88</v>
      </c>
      <c r="T37" s="44" t="s">
        <v>88</v>
      </c>
      <c r="U37" s="44" t="s">
        <v>88</v>
      </c>
      <c r="V37" s="44" t="s">
        <v>88</v>
      </c>
      <c r="W37" s="44" t="s">
        <v>88</v>
      </c>
      <c r="X37" s="44" t="s">
        <v>88</v>
      </c>
      <c r="Y37" s="44" t="s">
        <v>88</v>
      </c>
      <c r="Z37" s="44" t="s">
        <v>88</v>
      </c>
      <c r="AA37" s="44" t="s">
        <v>88</v>
      </c>
      <c r="AB37"/>
      <c r="AC37" s="44" t="s">
        <v>88</v>
      </c>
      <c r="AD37" s="44" t="s">
        <v>88</v>
      </c>
      <c r="AE37" s="44" t="s">
        <v>88</v>
      </c>
      <c r="AF37" s="44" t="s">
        <v>88</v>
      </c>
      <c r="AG37" s="44" t="s">
        <v>88</v>
      </c>
      <c r="AH37" s="44" t="s">
        <v>88</v>
      </c>
      <c r="AI37" s="44" t="s">
        <v>88</v>
      </c>
      <c r="AJ37"/>
      <c r="AK37" s="44" t="s">
        <v>88</v>
      </c>
      <c r="AL37" s="44" t="s">
        <v>88</v>
      </c>
      <c r="AM37" s="44" t="s">
        <v>88</v>
      </c>
      <c r="AN37" s="44" t="s">
        <v>88</v>
      </c>
      <c r="AO37"/>
      <c r="AP37" s="44" t="s">
        <v>88</v>
      </c>
      <c r="AQ37"/>
      <c r="AR37"/>
      <c r="AS37" s="44" t="s">
        <v>88</v>
      </c>
    </row>
    <row r="38" spans="1:45" x14ac:dyDescent="0.25">
      <c r="A38" s="13" t="s">
        <v>27</v>
      </c>
      <c r="B38" s="3" t="s">
        <v>473</v>
      </c>
      <c r="C38" s="3" t="s">
        <v>483</v>
      </c>
      <c r="D38" s="3" t="s">
        <v>521</v>
      </c>
      <c r="E38" s="14" t="s">
        <v>128</v>
      </c>
      <c r="F38" s="14" t="s">
        <v>94</v>
      </c>
      <c r="G38" s="44" t="s">
        <v>86</v>
      </c>
      <c r="I38" s="58"/>
      <c r="J38" s="44" t="s">
        <v>86</v>
      </c>
      <c r="L38" s="44" t="s">
        <v>86</v>
      </c>
      <c r="M38" s="44" t="s">
        <v>86</v>
      </c>
      <c r="N38" s="44" t="s">
        <v>86</v>
      </c>
      <c r="Q38" s="44" t="s">
        <v>86</v>
      </c>
      <c r="R38" s="44" t="s">
        <v>86</v>
      </c>
      <c r="S38" s="44" t="s">
        <v>86</v>
      </c>
      <c r="T38" s="44" t="s">
        <v>86</v>
      </c>
      <c r="U38" s="44" t="s">
        <v>86</v>
      </c>
      <c r="V38" s="44" t="s">
        <v>86</v>
      </c>
      <c r="W38" s="44" t="s">
        <v>86</v>
      </c>
      <c r="X38" s="44" t="s">
        <v>86</v>
      </c>
      <c r="Y38" s="44" t="s">
        <v>86</v>
      </c>
      <c r="Z38" s="44" t="s">
        <v>86</v>
      </c>
      <c r="AA38" s="44" t="s">
        <v>86</v>
      </c>
      <c r="AB38"/>
      <c r="AC38" s="44" t="s">
        <v>86</v>
      </c>
      <c r="AD38" s="44" t="s">
        <v>86</v>
      </c>
      <c r="AE38" s="44" t="s">
        <v>86</v>
      </c>
      <c r="AF38" s="44" t="s">
        <v>86</v>
      </c>
      <c r="AG38" s="44" t="s">
        <v>86</v>
      </c>
      <c r="AH38" s="44" t="s">
        <v>86</v>
      </c>
      <c r="AI38" s="44" t="s">
        <v>86</v>
      </c>
      <c r="AJ38"/>
      <c r="AK38" s="44" t="s">
        <v>86</v>
      </c>
      <c r="AL38" s="44" t="s">
        <v>86</v>
      </c>
      <c r="AM38" s="44" t="s">
        <v>86</v>
      </c>
      <c r="AN38" s="44" t="s">
        <v>86</v>
      </c>
      <c r="AO38"/>
      <c r="AP38" s="44" t="s">
        <v>86</v>
      </c>
      <c r="AQ38"/>
      <c r="AR38"/>
      <c r="AS38" s="44" t="s">
        <v>86</v>
      </c>
    </row>
    <row r="39" spans="1:45" x14ac:dyDescent="0.25">
      <c r="A39" s="13" t="s">
        <v>28</v>
      </c>
      <c r="B39" s="3" t="s">
        <v>473</v>
      </c>
      <c r="C39" s="3" t="s">
        <v>483</v>
      </c>
      <c r="D39" s="3" t="s">
        <v>521</v>
      </c>
      <c r="E39" s="14" t="s">
        <v>140</v>
      </c>
      <c r="F39" s="14" t="s">
        <v>94</v>
      </c>
      <c r="G39" s="44" t="s">
        <v>87</v>
      </c>
      <c r="I39" s="58"/>
      <c r="J39" s="44" t="s">
        <v>87</v>
      </c>
      <c r="L39" s="44" t="s">
        <v>87</v>
      </c>
      <c r="M39" s="44" t="s">
        <v>87</v>
      </c>
      <c r="N39" s="44" t="s">
        <v>87</v>
      </c>
      <c r="Q39" s="44" t="s">
        <v>87</v>
      </c>
      <c r="R39" s="44" t="s">
        <v>87</v>
      </c>
      <c r="S39" s="44" t="s">
        <v>87</v>
      </c>
      <c r="T39" s="44" t="s">
        <v>87</v>
      </c>
      <c r="U39" s="44" t="s">
        <v>87</v>
      </c>
      <c r="V39" s="44" t="s">
        <v>87</v>
      </c>
      <c r="W39" s="44" t="s">
        <v>87</v>
      </c>
      <c r="X39" s="44" t="s">
        <v>87</v>
      </c>
      <c r="Y39" s="44" t="s">
        <v>87</v>
      </c>
      <c r="Z39" s="44" t="s">
        <v>87</v>
      </c>
      <c r="AA39" s="44" t="s">
        <v>87</v>
      </c>
      <c r="AB39"/>
      <c r="AC39" s="44" t="s">
        <v>87</v>
      </c>
      <c r="AD39" s="44" t="s">
        <v>87</v>
      </c>
      <c r="AE39" s="44" t="s">
        <v>87</v>
      </c>
      <c r="AF39" s="44" t="s">
        <v>87</v>
      </c>
      <c r="AG39" s="44" t="s">
        <v>87</v>
      </c>
      <c r="AH39" s="44" t="s">
        <v>87</v>
      </c>
      <c r="AI39" s="44" t="s">
        <v>87</v>
      </c>
      <c r="AJ39"/>
      <c r="AK39" s="44" t="s">
        <v>87</v>
      </c>
      <c r="AL39" s="44" t="s">
        <v>87</v>
      </c>
      <c r="AM39" s="44" t="s">
        <v>87</v>
      </c>
      <c r="AN39" s="44" t="s">
        <v>87</v>
      </c>
      <c r="AO39"/>
      <c r="AP39" s="44" t="s">
        <v>87</v>
      </c>
      <c r="AQ39"/>
      <c r="AR39"/>
      <c r="AS39" s="44" t="s">
        <v>87</v>
      </c>
    </row>
    <row r="40" spans="1:45" x14ac:dyDescent="0.25">
      <c r="A40" s="13" t="s">
        <v>29</v>
      </c>
      <c r="B40" s="3" t="s">
        <v>473</v>
      </c>
      <c r="C40" s="3" t="s">
        <v>483</v>
      </c>
      <c r="D40" s="3" t="s">
        <v>521</v>
      </c>
      <c r="E40" s="14" t="s">
        <v>141</v>
      </c>
      <c r="F40" s="14" t="s">
        <v>95</v>
      </c>
      <c r="G40" s="44">
        <v>120</v>
      </c>
      <c r="I40" s="58"/>
      <c r="J40" s="44">
        <v>120</v>
      </c>
      <c r="L40" s="44">
        <v>120</v>
      </c>
      <c r="M40" s="44">
        <v>120</v>
      </c>
      <c r="N40" s="44">
        <v>120</v>
      </c>
      <c r="Q40" s="44">
        <v>120</v>
      </c>
      <c r="R40" s="44">
        <v>120</v>
      </c>
      <c r="S40" s="44">
        <v>120</v>
      </c>
      <c r="T40" s="44">
        <v>120</v>
      </c>
      <c r="U40" s="44">
        <v>120</v>
      </c>
      <c r="V40" s="44">
        <v>120</v>
      </c>
      <c r="W40" s="44">
        <v>120</v>
      </c>
      <c r="X40" s="44">
        <v>120</v>
      </c>
      <c r="Y40" s="44">
        <v>120</v>
      </c>
      <c r="Z40" s="44">
        <v>120</v>
      </c>
      <c r="AA40" s="44">
        <v>120</v>
      </c>
      <c r="AB40"/>
      <c r="AC40" s="44">
        <v>120</v>
      </c>
      <c r="AD40" s="44">
        <v>120</v>
      </c>
      <c r="AE40" s="44">
        <v>120</v>
      </c>
      <c r="AF40" s="44">
        <v>120</v>
      </c>
      <c r="AG40" s="44">
        <v>120</v>
      </c>
      <c r="AH40" s="44">
        <v>120</v>
      </c>
      <c r="AI40" s="44">
        <v>120</v>
      </c>
      <c r="AJ40"/>
      <c r="AK40" s="44">
        <v>120</v>
      </c>
      <c r="AL40" s="44">
        <v>120</v>
      </c>
      <c r="AM40" s="44">
        <v>120</v>
      </c>
      <c r="AN40" s="44">
        <v>120</v>
      </c>
      <c r="AO40"/>
      <c r="AP40" s="44">
        <v>120</v>
      </c>
      <c r="AQ40"/>
      <c r="AR40"/>
      <c r="AS40" s="44">
        <v>120</v>
      </c>
    </row>
    <row r="41" spans="1:45" x14ac:dyDescent="0.25">
      <c r="A41" s="13" t="s">
        <v>30</v>
      </c>
      <c r="B41" s="3" t="s">
        <v>473</v>
      </c>
      <c r="C41" s="3" t="s">
        <v>483</v>
      </c>
      <c r="D41" s="3" t="s">
        <v>521</v>
      </c>
      <c r="E41" s="14" t="s">
        <v>142</v>
      </c>
      <c r="F41" s="14" t="s">
        <v>98</v>
      </c>
      <c r="G41" s="44">
        <v>0</v>
      </c>
      <c r="I41" s="58"/>
      <c r="J41" s="44">
        <v>0</v>
      </c>
      <c r="L41" s="44">
        <v>0</v>
      </c>
      <c r="M41" s="44">
        <v>0</v>
      </c>
      <c r="N41" s="44">
        <v>0</v>
      </c>
      <c r="Q41" s="44">
        <v>0</v>
      </c>
      <c r="R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/>
      <c r="AC41" s="44">
        <v>0</v>
      </c>
      <c r="AD41" s="44">
        <v>0</v>
      </c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/>
      <c r="AK41" s="44">
        <v>0</v>
      </c>
      <c r="AL41" s="44">
        <v>0</v>
      </c>
      <c r="AM41" s="44">
        <v>0</v>
      </c>
      <c r="AN41" s="44">
        <v>0</v>
      </c>
      <c r="AO41"/>
      <c r="AP41" s="44">
        <v>0</v>
      </c>
      <c r="AQ41"/>
      <c r="AR41"/>
      <c r="AS41" s="44">
        <v>0</v>
      </c>
    </row>
    <row r="42" spans="1:45" x14ac:dyDescent="0.25">
      <c r="A42" s="13" t="s">
        <v>31</v>
      </c>
      <c r="B42" s="3" t="s">
        <v>473</v>
      </c>
      <c r="C42" s="3" t="s">
        <v>483</v>
      </c>
      <c r="D42" s="3" t="s">
        <v>521</v>
      </c>
      <c r="E42" s="14" t="s">
        <v>143</v>
      </c>
      <c r="F42" s="14" t="s">
        <v>98</v>
      </c>
      <c r="G42" s="44">
        <v>0</v>
      </c>
      <c r="I42" s="58"/>
      <c r="J42" s="44">
        <v>0</v>
      </c>
      <c r="L42" s="44">
        <v>0</v>
      </c>
      <c r="M42" s="44">
        <v>0</v>
      </c>
      <c r="N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</v>
      </c>
      <c r="AA42" s="44">
        <v>0</v>
      </c>
      <c r="AB42"/>
      <c r="AC42" s="44">
        <v>0</v>
      </c>
      <c r="AD42" s="44">
        <v>0</v>
      </c>
      <c r="AE42" s="44">
        <v>0</v>
      </c>
      <c r="AF42" s="44">
        <v>0</v>
      </c>
      <c r="AG42" s="44">
        <v>0</v>
      </c>
      <c r="AH42" s="44">
        <v>0</v>
      </c>
      <c r="AI42" s="44">
        <v>0</v>
      </c>
      <c r="AJ42"/>
      <c r="AK42" s="44">
        <v>0</v>
      </c>
      <c r="AL42" s="44">
        <v>0</v>
      </c>
      <c r="AM42" s="44">
        <v>0</v>
      </c>
      <c r="AN42" s="44">
        <v>0</v>
      </c>
      <c r="AO42"/>
      <c r="AP42" s="44">
        <v>0</v>
      </c>
      <c r="AQ42"/>
      <c r="AR42"/>
      <c r="AS42" s="44">
        <v>0</v>
      </c>
    </row>
    <row r="43" spans="1:45" x14ac:dyDescent="0.25">
      <c r="A43" s="13" t="s">
        <v>32</v>
      </c>
      <c r="B43" s="3" t="s">
        <v>473</v>
      </c>
      <c r="C43" s="3" t="s">
        <v>483</v>
      </c>
      <c r="D43" s="3" t="s">
        <v>521</v>
      </c>
      <c r="E43" s="14" t="s">
        <v>144</v>
      </c>
      <c r="F43" s="14" t="s">
        <v>98</v>
      </c>
      <c r="G43" s="44">
        <v>-0.1</v>
      </c>
      <c r="I43" s="58"/>
      <c r="J43" s="44">
        <v>-0.1</v>
      </c>
      <c r="L43" s="44">
        <v>-0.1</v>
      </c>
      <c r="M43" s="44">
        <v>-0.1</v>
      </c>
      <c r="N43" s="44">
        <v>-0.1</v>
      </c>
      <c r="Q43" s="44">
        <v>-0.1</v>
      </c>
      <c r="R43" s="44">
        <v>-0.1</v>
      </c>
      <c r="S43" s="44">
        <v>-0.1</v>
      </c>
      <c r="T43" s="44">
        <v>-0.1</v>
      </c>
      <c r="U43" s="44">
        <v>-0.1</v>
      </c>
      <c r="V43" s="44">
        <v>-0.1</v>
      </c>
      <c r="W43" s="44">
        <v>-0.1</v>
      </c>
      <c r="X43" s="44">
        <v>-0.1</v>
      </c>
      <c r="Y43" s="44">
        <v>-0.1</v>
      </c>
      <c r="Z43" s="44">
        <v>-0.1</v>
      </c>
      <c r="AA43" s="44">
        <v>-0.1</v>
      </c>
      <c r="AB43"/>
      <c r="AC43" s="44">
        <v>-0.1</v>
      </c>
      <c r="AD43" s="44">
        <v>-0.1</v>
      </c>
      <c r="AE43" s="44">
        <v>-0.1</v>
      </c>
      <c r="AF43" s="44">
        <v>-0.1</v>
      </c>
      <c r="AG43" s="44">
        <v>-0.1</v>
      </c>
      <c r="AH43" s="44">
        <v>-0.1</v>
      </c>
      <c r="AI43" s="44">
        <v>-0.1</v>
      </c>
      <c r="AJ43"/>
      <c r="AK43" s="44">
        <v>-0.1</v>
      </c>
      <c r="AL43" s="44">
        <v>-0.1</v>
      </c>
      <c r="AM43" s="44">
        <v>-0.1</v>
      </c>
      <c r="AN43" s="44">
        <v>-0.1</v>
      </c>
      <c r="AO43"/>
      <c r="AP43" s="44">
        <v>-0.1</v>
      </c>
      <c r="AQ43"/>
      <c r="AR43"/>
      <c r="AS43" s="44">
        <v>-0.1</v>
      </c>
    </row>
    <row r="44" spans="1:45" x14ac:dyDescent="0.25">
      <c r="A44" s="13" t="s">
        <v>33</v>
      </c>
      <c r="B44" s="3" t="s">
        <v>473</v>
      </c>
      <c r="C44" s="3" t="s">
        <v>483</v>
      </c>
      <c r="D44" s="3" t="s">
        <v>521</v>
      </c>
      <c r="E44" s="14" t="s">
        <v>145</v>
      </c>
      <c r="F44" s="14" t="s">
        <v>98</v>
      </c>
      <c r="G44" s="44">
        <v>-0.2</v>
      </c>
      <c r="I44" s="58"/>
      <c r="J44" s="44">
        <v>-0.2</v>
      </c>
      <c r="L44" s="44">
        <v>-0.2</v>
      </c>
      <c r="M44" s="44">
        <v>-0.2</v>
      </c>
      <c r="N44" s="44">
        <v>-0.2</v>
      </c>
      <c r="Q44" s="44">
        <v>-0.2</v>
      </c>
      <c r="R44" s="44">
        <v>-0.2</v>
      </c>
      <c r="S44" s="44">
        <v>-0.2</v>
      </c>
      <c r="T44" s="44">
        <v>-0.2</v>
      </c>
      <c r="U44" s="44">
        <v>-0.2</v>
      </c>
      <c r="V44" s="44">
        <v>-0.2</v>
      </c>
      <c r="W44" s="44">
        <v>-0.2</v>
      </c>
      <c r="X44" s="44">
        <v>-0.2</v>
      </c>
      <c r="Y44" s="44">
        <v>-0.2</v>
      </c>
      <c r="Z44" s="44">
        <v>-0.2</v>
      </c>
      <c r="AA44" s="44">
        <v>-0.2</v>
      </c>
      <c r="AB44"/>
      <c r="AC44" s="44">
        <v>-0.2</v>
      </c>
      <c r="AD44" s="44">
        <v>-0.2</v>
      </c>
      <c r="AE44" s="44">
        <v>-0.2</v>
      </c>
      <c r="AF44" s="44">
        <v>-0.2</v>
      </c>
      <c r="AG44" s="44">
        <v>-0.2</v>
      </c>
      <c r="AH44" s="44">
        <v>-0.2</v>
      </c>
      <c r="AI44" s="44">
        <v>-0.2</v>
      </c>
      <c r="AJ44"/>
      <c r="AK44" s="44">
        <v>-0.2</v>
      </c>
      <c r="AL44" s="44">
        <v>-0.2</v>
      </c>
      <c r="AM44" s="44">
        <v>-0.2</v>
      </c>
      <c r="AN44" s="44">
        <v>-0.2</v>
      </c>
      <c r="AO44"/>
      <c r="AP44" s="44">
        <v>-0.2</v>
      </c>
      <c r="AQ44"/>
      <c r="AR44"/>
      <c r="AS44" s="44">
        <v>-0.2</v>
      </c>
    </row>
    <row r="45" spans="1:45" x14ac:dyDescent="0.25">
      <c r="A45" s="13" t="s">
        <v>34</v>
      </c>
      <c r="B45" s="3" t="s">
        <v>473</v>
      </c>
      <c r="C45" s="3" t="s">
        <v>483</v>
      </c>
      <c r="D45" s="3" t="s">
        <v>521</v>
      </c>
      <c r="E45" s="14" t="s">
        <v>146</v>
      </c>
      <c r="F45" s="14" t="s">
        <v>98</v>
      </c>
      <c r="G45" s="44">
        <v>0.4</v>
      </c>
      <c r="I45" s="58"/>
      <c r="J45" s="44">
        <v>0.4</v>
      </c>
      <c r="L45" s="44">
        <v>0.4</v>
      </c>
      <c r="M45" s="44">
        <v>0.4</v>
      </c>
      <c r="N45" s="44">
        <v>0.4</v>
      </c>
      <c r="Q45" s="44">
        <v>0.4</v>
      </c>
      <c r="R45" s="44">
        <v>0.4</v>
      </c>
      <c r="S45" s="44">
        <v>0.4</v>
      </c>
      <c r="T45" s="44">
        <v>0.4</v>
      </c>
      <c r="U45" s="44">
        <v>0.4</v>
      </c>
      <c r="V45" s="44">
        <v>0.4</v>
      </c>
      <c r="W45" s="44">
        <v>0.4</v>
      </c>
      <c r="X45" s="44">
        <v>0.4</v>
      </c>
      <c r="Y45" s="44">
        <v>0.4</v>
      </c>
      <c r="Z45" s="44">
        <v>0.4</v>
      </c>
      <c r="AA45" s="44">
        <v>0.4</v>
      </c>
      <c r="AB45"/>
      <c r="AC45" s="44">
        <v>0.4</v>
      </c>
      <c r="AD45" s="44">
        <v>0.4</v>
      </c>
      <c r="AE45" s="44">
        <v>0.4</v>
      </c>
      <c r="AF45" s="44">
        <v>0.4</v>
      </c>
      <c r="AG45" s="44">
        <v>0.4</v>
      </c>
      <c r="AH45" s="44">
        <v>0.4</v>
      </c>
      <c r="AI45" s="44">
        <v>0.4</v>
      </c>
      <c r="AJ45"/>
      <c r="AK45" s="44">
        <v>0.4</v>
      </c>
      <c r="AL45" s="44">
        <v>0.4</v>
      </c>
      <c r="AM45" s="44">
        <v>0.4</v>
      </c>
      <c r="AN45" s="44">
        <v>0.4</v>
      </c>
      <c r="AO45"/>
      <c r="AP45" s="44">
        <v>0.4</v>
      </c>
      <c r="AQ45"/>
      <c r="AR45"/>
      <c r="AS45" s="44">
        <v>0.4</v>
      </c>
    </row>
    <row r="46" spans="1:45" x14ac:dyDescent="0.25">
      <c r="A46" s="13" t="s">
        <v>35</v>
      </c>
      <c r="B46" s="3" t="s">
        <v>473</v>
      </c>
      <c r="C46" s="3" t="s">
        <v>483</v>
      </c>
      <c r="D46" s="3" t="s">
        <v>521</v>
      </c>
      <c r="E46" s="14" t="s">
        <v>147</v>
      </c>
      <c r="F46" s="14" t="s">
        <v>101</v>
      </c>
      <c r="G46" s="44">
        <v>0</v>
      </c>
      <c r="I46" s="58"/>
      <c r="J46" s="44">
        <v>0</v>
      </c>
      <c r="L46" s="44">
        <v>0</v>
      </c>
      <c r="M46" s="44">
        <v>0</v>
      </c>
      <c r="N46" s="44">
        <v>0</v>
      </c>
      <c r="Q46" s="44">
        <v>0</v>
      </c>
      <c r="R46" s="44">
        <v>0</v>
      </c>
      <c r="S46" s="44">
        <v>0</v>
      </c>
      <c r="T46" s="44">
        <v>0</v>
      </c>
      <c r="U46" s="44">
        <v>0</v>
      </c>
      <c r="V46" s="44">
        <v>0</v>
      </c>
      <c r="W46" s="44">
        <v>0</v>
      </c>
      <c r="X46" s="44">
        <v>0</v>
      </c>
      <c r="Y46" s="44">
        <v>0</v>
      </c>
      <c r="Z46" s="44">
        <v>0</v>
      </c>
      <c r="AA46" s="44">
        <v>0</v>
      </c>
      <c r="AB46"/>
      <c r="AC46" s="44">
        <v>0</v>
      </c>
      <c r="AD46" s="44">
        <v>0</v>
      </c>
      <c r="AE46" s="44">
        <v>0</v>
      </c>
      <c r="AF46" s="44">
        <v>0</v>
      </c>
      <c r="AG46" s="44">
        <v>0</v>
      </c>
      <c r="AH46" s="44">
        <v>0</v>
      </c>
      <c r="AI46" s="44">
        <v>0</v>
      </c>
      <c r="AJ46"/>
      <c r="AK46" s="44">
        <v>0</v>
      </c>
      <c r="AL46" s="44">
        <v>0</v>
      </c>
      <c r="AM46" s="44">
        <v>0</v>
      </c>
      <c r="AN46" s="44">
        <v>0</v>
      </c>
      <c r="AO46"/>
      <c r="AP46" s="44">
        <v>0</v>
      </c>
      <c r="AQ46"/>
      <c r="AR46"/>
      <c r="AS46" s="44">
        <v>0</v>
      </c>
    </row>
    <row r="47" spans="1:45" x14ac:dyDescent="0.25">
      <c r="A47" s="13" t="s">
        <v>437</v>
      </c>
      <c r="B47" s="3" t="s">
        <v>473</v>
      </c>
      <c r="C47" s="3" t="s">
        <v>483</v>
      </c>
      <c r="D47" s="3" t="s">
        <v>521</v>
      </c>
      <c r="E47" s="14" t="s">
        <v>439</v>
      </c>
      <c r="F47" s="14" t="s">
        <v>95</v>
      </c>
      <c r="G47" s="44">
        <v>1200</v>
      </c>
      <c r="I47" s="58"/>
      <c r="J47" s="44">
        <v>1200</v>
      </c>
      <c r="L47" s="44">
        <v>1200</v>
      </c>
      <c r="M47" s="44">
        <v>1200</v>
      </c>
      <c r="N47" s="44">
        <v>1200</v>
      </c>
      <c r="Q47" s="44">
        <v>1200</v>
      </c>
      <c r="R47" s="44">
        <v>1200</v>
      </c>
      <c r="S47" s="44">
        <v>1200</v>
      </c>
      <c r="T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/>
      <c r="AC47" s="44">
        <v>1200</v>
      </c>
      <c r="AD47" s="44">
        <v>1200</v>
      </c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/>
      <c r="AK47" s="44">
        <v>1200</v>
      </c>
      <c r="AL47" s="44">
        <v>1200</v>
      </c>
      <c r="AM47" s="44">
        <v>1200</v>
      </c>
      <c r="AN47" s="44">
        <v>1200</v>
      </c>
      <c r="AO47"/>
      <c r="AP47" s="44">
        <v>1200</v>
      </c>
      <c r="AQ47"/>
      <c r="AR47"/>
      <c r="AS47" s="44">
        <v>1200</v>
      </c>
    </row>
    <row r="48" spans="1:45" x14ac:dyDescent="0.25">
      <c r="A48" s="13" t="s">
        <v>438</v>
      </c>
      <c r="B48" s="3" t="s">
        <v>473</v>
      </c>
      <c r="C48" s="3" t="s">
        <v>483</v>
      </c>
      <c r="D48" s="3" t="s">
        <v>521</v>
      </c>
      <c r="E48" s="14" t="s">
        <v>440</v>
      </c>
      <c r="F48" s="14" t="s">
        <v>95</v>
      </c>
      <c r="G48" s="44">
        <v>1200</v>
      </c>
      <c r="I48" s="58"/>
      <c r="J48" s="44">
        <v>1200</v>
      </c>
      <c r="L48" s="44">
        <v>1200</v>
      </c>
      <c r="M48" s="44">
        <v>1200</v>
      </c>
      <c r="N48" s="44">
        <v>1200</v>
      </c>
      <c r="Q48" s="44">
        <v>1200</v>
      </c>
      <c r="R48" s="44">
        <v>1200</v>
      </c>
      <c r="S48" s="44">
        <v>1200</v>
      </c>
      <c r="T48" s="44">
        <v>1200</v>
      </c>
      <c r="U48" s="44">
        <v>1200</v>
      </c>
      <c r="V48" s="44">
        <v>1200</v>
      </c>
      <c r="W48" s="44">
        <v>1200</v>
      </c>
      <c r="X48" s="44">
        <v>1200</v>
      </c>
      <c r="Y48" s="44">
        <v>1200</v>
      </c>
      <c r="Z48" s="44">
        <v>1200</v>
      </c>
      <c r="AA48" s="44">
        <v>1200</v>
      </c>
      <c r="AB48"/>
      <c r="AC48" s="44">
        <v>1200</v>
      </c>
      <c r="AD48" s="44">
        <v>1200</v>
      </c>
      <c r="AE48" s="44">
        <v>1200</v>
      </c>
      <c r="AF48" s="44">
        <v>1200</v>
      </c>
      <c r="AG48" s="44">
        <v>1200</v>
      </c>
      <c r="AH48" s="44">
        <v>1200</v>
      </c>
      <c r="AI48" s="44">
        <v>1200</v>
      </c>
      <c r="AJ48"/>
      <c r="AK48" s="44">
        <v>1200</v>
      </c>
      <c r="AL48" s="44">
        <v>1200</v>
      </c>
      <c r="AM48" s="44">
        <v>1200</v>
      </c>
      <c r="AN48" s="44">
        <v>1200</v>
      </c>
      <c r="AO48"/>
      <c r="AP48" s="44">
        <v>1200</v>
      </c>
      <c r="AQ48"/>
      <c r="AR48"/>
      <c r="AS48" s="44">
        <v>1200</v>
      </c>
    </row>
    <row r="49" spans="1:45" x14ac:dyDescent="0.25">
      <c r="A49" s="13" t="s">
        <v>459</v>
      </c>
      <c r="B49" s="3" t="s">
        <v>473</v>
      </c>
      <c r="C49" s="3" t="s">
        <v>483</v>
      </c>
      <c r="D49" s="3" t="s">
        <v>521</v>
      </c>
      <c r="E49" s="14" t="s">
        <v>460</v>
      </c>
      <c r="F49" s="14" t="s">
        <v>461</v>
      </c>
      <c r="G49" s="44" t="s">
        <v>462</v>
      </c>
      <c r="I49" s="58"/>
      <c r="J49" s="44" t="s">
        <v>462</v>
      </c>
      <c r="L49" s="44" t="s">
        <v>462</v>
      </c>
      <c r="M49" s="44" t="s">
        <v>462</v>
      </c>
      <c r="N49" s="44" t="s">
        <v>462</v>
      </c>
      <c r="Q49" s="44" t="s">
        <v>462</v>
      </c>
      <c r="R49" s="44" t="s">
        <v>462</v>
      </c>
      <c r="S49" s="44" t="s">
        <v>462</v>
      </c>
      <c r="T49" s="44" t="s">
        <v>462</v>
      </c>
      <c r="U49" s="44" t="s">
        <v>462</v>
      </c>
      <c r="V49" s="44" t="s">
        <v>462</v>
      </c>
      <c r="W49" s="44" t="s">
        <v>462</v>
      </c>
      <c r="X49" s="44" t="s">
        <v>462</v>
      </c>
      <c r="Y49" s="44" t="s">
        <v>462</v>
      </c>
      <c r="Z49" s="44" t="s">
        <v>462</v>
      </c>
      <c r="AA49" s="44" t="s">
        <v>462</v>
      </c>
      <c r="AB49"/>
      <c r="AC49" s="44" t="s">
        <v>462</v>
      </c>
      <c r="AD49" s="44" t="s">
        <v>462</v>
      </c>
      <c r="AE49" s="44" t="s">
        <v>462</v>
      </c>
      <c r="AF49" s="44" t="s">
        <v>462</v>
      </c>
      <c r="AG49" s="44" t="s">
        <v>462</v>
      </c>
      <c r="AH49" s="44" t="s">
        <v>462</v>
      </c>
      <c r="AI49" s="44" t="s">
        <v>462</v>
      </c>
      <c r="AJ49"/>
      <c r="AK49" s="44" t="s">
        <v>462</v>
      </c>
      <c r="AL49" s="44" t="s">
        <v>462</v>
      </c>
      <c r="AM49" s="44" t="s">
        <v>462</v>
      </c>
      <c r="AN49" s="44" t="s">
        <v>462</v>
      </c>
      <c r="AO49"/>
      <c r="AP49" s="44" t="s">
        <v>462</v>
      </c>
      <c r="AQ49"/>
      <c r="AR49"/>
      <c r="AS49" s="44" t="s">
        <v>462</v>
      </c>
    </row>
    <row r="50" spans="1:45" x14ac:dyDescent="0.25">
      <c r="A50" s="13" t="s">
        <v>15</v>
      </c>
      <c r="B50" s="3" t="s">
        <v>473</v>
      </c>
      <c r="C50" s="3" t="s">
        <v>483</v>
      </c>
      <c r="D50" s="3" t="s">
        <v>521</v>
      </c>
      <c r="E50" s="14" t="s">
        <v>135</v>
      </c>
      <c r="F50" s="14" t="s">
        <v>94</v>
      </c>
      <c r="G50" s="44" t="s">
        <v>86</v>
      </c>
      <c r="I50" s="58"/>
      <c r="J50" s="44" t="s">
        <v>86</v>
      </c>
      <c r="L50" s="44" t="s">
        <v>86</v>
      </c>
      <c r="M50" s="44" t="s">
        <v>86</v>
      </c>
      <c r="N50" s="44" t="s">
        <v>86</v>
      </c>
      <c r="Q50" s="44" t="s">
        <v>86</v>
      </c>
      <c r="R50" s="44" t="s">
        <v>86</v>
      </c>
      <c r="S50" s="44" t="s">
        <v>86</v>
      </c>
      <c r="T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/>
      <c r="AC50" s="44" t="s">
        <v>86</v>
      </c>
      <c r="AD50" s="44" t="s">
        <v>86</v>
      </c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/>
      <c r="AK50" s="44" t="s">
        <v>86</v>
      </c>
      <c r="AL50" s="44" t="s">
        <v>86</v>
      </c>
      <c r="AM50" s="44" t="s">
        <v>86</v>
      </c>
      <c r="AN50" s="44" t="s">
        <v>86</v>
      </c>
      <c r="AO50"/>
      <c r="AP50" s="44" t="s">
        <v>86</v>
      </c>
      <c r="AQ50"/>
      <c r="AR50"/>
      <c r="AS50" s="44" t="s">
        <v>86</v>
      </c>
    </row>
    <row r="51" spans="1:45" x14ac:dyDescent="0.25">
      <c r="A51" s="11" t="s">
        <v>16</v>
      </c>
      <c r="B51" s="3" t="s">
        <v>473</v>
      </c>
      <c r="C51" s="3" t="s">
        <v>483</v>
      </c>
      <c r="D51" s="3" t="s">
        <v>521</v>
      </c>
      <c r="E51" s="12" t="s">
        <v>136</v>
      </c>
      <c r="F51" s="12" t="s">
        <v>94</v>
      </c>
      <c r="G51" s="44" t="s">
        <v>86</v>
      </c>
      <c r="I51" s="58"/>
      <c r="J51" s="44" t="s">
        <v>86</v>
      </c>
      <c r="L51" s="44" t="s">
        <v>86</v>
      </c>
      <c r="M51" s="44" t="s">
        <v>86</v>
      </c>
      <c r="N51" s="44" t="s">
        <v>86</v>
      </c>
      <c r="Q51" s="44" t="s">
        <v>86</v>
      </c>
      <c r="R51" s="44" t="s">
        <v>86</v>
      </c>
      <c r="S51" s="44" t="s">
        <v>86</v>
      </c>
      <c r="T51" s="44" t="s">
        <v>86</v>
      </c>
      <c r="U51" s="44" t="s">
        <v>86</v>
      </c>
      <c r="V51" s="44" t="s">
        <v>86</v>
      </c>
      <c r="W51" s="44" t="s">
        <v>86</v>
      </c>
      <c r="X51" s="44" t="s">
        <v>86</v>
      </c>
      <c r="Y51" s="44" t="s">
        <v>86</v>
      </c>
      <c r="Z51" s="44" t="s">
        <v>86</v>
      </c>
      <c r="AA51" s="44" t="s">
        <v>86</v>
      </c>
      <c r="AB51"/>
      <c r="AC51" s="44" t="s">
        <v>86</v>
      </c>
      <c r="AD51" s="44" t="s">
        <v>86</v>
      </c>
      <c r="AE51" s="44" t="s">
        <v>86</v>
      </c>
      <c r="AF51" s="44" t="s">
        <v>86</v>
      </c>
      <c r="AG51" s="44" t="s">
        <v>86</v>
      </c>
      <c r="AH51" s="44" t="s">
        <v>86</v>
      </c>
      <c r="AI51" s="44" t="s">
        <v>86</v>
      </c>
      <c r="AJ51"/>
      <c r="AK51" s="44" t="s">
        <v>86</v>
      </c>
      <c r="AL51" s="44" t="s">
        <v>86</v>
      </c>
      <c r="AM51" s="44" t="s">
        <v>86</v>
      </c>
      <c r="AN51" s="44" t="s">
        <v>86</v>
      </c>
      <c r="AO51"/>
      <c r="AP51" s="44" t="s">
        <v>86</v>
      </c>
      <c r="AQ51"/>
      <c r="AR51"/>
      <c r="AS51" s="44" t="s">
        <v>86</v>
      </c>
    </row>
    <row r="52" spans="1:45" x14ac:dyDescent="0.25">
      <c r="A52" s="11" t="s">
        <v>17</v>
      </c>
      <c r="B52" s="3" t="s">
        <v>473</v>
      </c>
      <c r="C52" s="3" t="s">
        <v>483</v>
      </c>
      <c r="D52" s="3" t="s">
        <v>521</v>
      </c>
      <c r="E52" s="12" t="s">
        <v>120</v>
      </c>
      <c r="F52" s="12" t="s">
        <v>98</v>
      </c>
      <c r="G52" s="44">
        <v>0</v>
      </c>
      <c r="I52" s="58"/>
      <c r="J52" s="44">
        <v>0</v>
      </c>
      <c r="L52" s="44">
        <v>0</v>
      </c>
      <c r="M52" s="44">
        <v>0</v>
      </c>
      <c r="N52" s="44">
        <v>0</v>
      </c>
      <c r="Q52" s="44">
        <v>0</v>
      </c>
      <c r="R52" s="44">
        <v>0</v>
      </c>
      <c r="S52" s="44">
        <v>0</v>
      </c>
      <c r="T52" s="44">
        <v>0</v>
      </c>
      <c r="U52" s="44">
        <v>0</v>
      </c>
      <c r="V52" s="44">
        <v>0</v>
      </c>
      <c r="W52" s="44">
        <v>0</v>
      </c>
      <c r="X52" s="44">
        <v>0</v>
      </c>
      <c r="Y52" s="44">
        <v>0</v>
      </c>
      <c r="Z52" s="44">
        <v>0</v>
      </c>
      <c r="AA52" s="44">
        <v>0</v>
      </c>
      <c r="AB52"/>
      <c r="AC52" s="44">
        <v>0</v>
      </c>
      <c r="AD52" s="44">
        <v>0</v>
      </c>
      <c r="AE52" s="44">
        <v>0</v>
      </c>
      <c r="AF52" s="44">
        <v>0</v>
      </c>
      <c r="AG52" s="44">
        <v>0</v>
      </c>
      <c r="AH52" s="44">
        <v>0</v>
      </c>
      <c r="AI52" s="44">
        <v>0</v>
      </c>
      <c r="AJ52"/>
      <c r="AK52" s="44">
        <v>0</v>
      </c>
      <c r="AL52" s="44">
        <v>0</v>
      </c>
      <c r="AM52" s="44">
        <v>0</v>
      </c>
      <c r="AN52" s="44">
        <v>0</v>
      </c>
      <c r="AO52"/>
      <c r="AP52" s="44">
        <v>0</v>
      </c>
      <c r="AQ52"/>
      <c r="AR52"/>
      <c r="AS52" s="44">
        <v>0</v>
      </c>
    </row>
    <row r="53" spans="1:45" x14ac:dyDescent="0.25">
      <c r="A53" s="11" t="s">
        <v>18</v>
      </c>
      <c r="B53" s="3" t="s">
        <v>473</v>
      </c>
      <c r="C53" s="3" t="s">
        <v>483</v>
      </c>
      <c r="D53" s="3" t="s">
        <v>521</v>
      </c>
      <c r="E53" s="12" t="s">
        <v>121</v>
      </c>
      <c r="F53" s="12" t="s">
        <v>98</v>
      </c>
      <c r="G53" s="44">
        <v>0.5</v>
      </c>
      <c r="I53" s="58"/>
      <c r="J53" s="44">
        <v>0.5</v>
      </c>
      <c r="L53" s="44">
        <v>0.5</v>
      </c>
      <c r="M53" s="44">
        <v>0.5</v>
      </c>
      <c r="N53" s="44">
        <v>0.5</v>
      </c>
      <c r="Q53" s="44">
        <v>0.5</v>
      </c>
      <c r="R53" s="44">
        <v>0.5</v>
      </c>
      <c r="S53" s="44">
        <v>0.5</v>
      </c>
      <c r="T53" s="44">
        <v>0.5</v>
      </c>
      <c r="U53" s="44">
        <v>0.5</v>
      </c>
      <c r="V53" s="44">
        <v>0.5</v>
      </c>
      <c r="W53" s="44">
        <v>0.5</v>
      </c>
      <c r="X53" s="44">
        <v>0.5</v>
      </c>
      <c r="Y53" s="44">
        <v>0.5</v>
      </c>
      <c r="Z53" s="44">
        <v>0.5</v>
      </c>
      <c r="AA53" s="44">
        <v>0.5</v>
      </c>
      <c r="AB53"/>
      <c r="AC53" s="44">
        <v>0.5</v>
      </c>
      <c r="AD53" s="44">
        <v>0.5</v>
      </c>
      <c r="AE53" s="44">
        <v>0.5</v>
      </c>
      <c r="AF53" s="44">
        <v>0.5</v>
      </c>
      <c r="AG53" s="44">
        <v>0.5</v>
      </c>
      <c r="AH53" s="44">
        <v>0.5</v>
      </c>
      <c r="AI53" s="44">
        <v>0.5</v>
      </c>
      <c r="AJ53"/>
      <c r="AK53" s="44">
        <v>0.5</v>
      </c>
      <c r="AL53" s="44">
        <v>0.5</v>
      </c>
      <c r="AM53" s="44">
        <v>0.5</v>
      </c>
      <c r="AN53" s="44">
        <v>0.5</v>
      </c>
      <c r="AO53"/>
      <c r="AP53" s="44">
        <v>0.5</v>
      </c>
      <c r="AQ53"/>
      <c r="AR53"/>
      <c r="AS53" s="44">
        <v>0.5</v>
      </c>
    </row>
    <row r="54" spans="1:45" x14ac:dyDescent="0.25">
      <c r="A54" s="11" t="s">
        <v>19</v>
      </c>
      <c r="B54" s="3" t="s">
        <v>473</v>
      </c>
      <c r="C54" s="3" t="s">
        <v>483</v>
      </c>
      <c r="D54" s="3" t="s">
        <v>521</v>
      </c>
      <c r="E54" s="12" t="s">
        <v>122</v>
      </c>
      <c r="F54" s="12" t="s">
        <v>98</v>
      </c>
      <c r="G54" s="44">
        <v>0.05</v>
      </c>
      <c r="I54" s="58"/>
      <c r="J54" s="44">
        <v>0.05</v>
      </c>
      <c r="L54" s="44">
        <v>0.05</v>
      </c>
      <c r="M54" s="44">
        <v>0.05</v>
      </c>
      <c r="N54" s="44">
        <v>0.05</v>
      </c>
      <c r="Q54" s="44">
        <v>0.05</v>
      </c>
      <c r="R54" s="44">
        <v>0.05</v>
      </c>
      <c r="S54" s="44">
        <v>0.05</v>
      </c>
      <c r="T54" s="44">
        <v>0.05</v>
      </c>
      <c r="U54" s="44">
        <v>0.05</v>
      </c>
      <c r="V54" s="44">
        <v>0.05</v>
      </c>
      <c r="W54" s="44">
        <v>0.05</v>
      </c>
      <c r="X54" s="44">
        <v>0.05</v>
      </c>
      <c r="Y54" s="44">
        <v>0.05</v>
      </c>
      <c r="Z54" s="44">
        <v>0.05</v>
      </c>
      <c r="AA54" s="44">
        <v>0.05</v>
      </c>
      <c r="AB54"/>
      <c r="AC54" s="44">
        <v>0.05</v>
      </c>
      <c r="AD54" s="44">
        <v>0.05</v>
      </c>
      <c r="AE54" s="44">
        <v>0.05</v>
      </c>
      <c r="AF54" s="44">
        <v>0.05</v>
      </c>
      <c r="AG54" s="44">
        <v>0.05</v>
      </c>
      <c r="AH54" s="44">
        <v>0.05</v>
      </c>
      <c r="AI54" s="44">
        <v>0.05</v>
      </c>
      <c r="AJ54"/>
      <c r="AK54" s="44">
        <v>0.05</v>
      </c>
      <c r="AL54" s="44">
        <v>0.05</v>
      </c>
      <c r="AM54" s="44">
        <v>0.05</v>
      </c>
      <c r="AN54" s="44">
        <v>0.05</v>
      </c>
      <c r="AO54"/>
      <c r="AP54" s="44">
        <v>0.05</v>
      </c>
      <c r="AQ54"/>
      <c r="AR54"/>
      <c r="AS54" s="44">
        <v>0.05</v>
      </c>
    </row>
    <row r="55" spans="1:45" x14ac:dyDescent="0.25">
      <c r="A55" s="15" t="s">
        <v>36</v>
      </c>
      <c r="B55" s="3" t="s">
        <v>473</v>
      </c>
      <c r="C55" s="3" t="s">
        <v>483</v>
      </c>
      <c r="D55" s="3" t="s">
        <v>521</v>
      </c>
      <c r="E55" s="16" t="s">
        <v>148</v>
      </c>
      <c r="F55" s="16" t="s">
        <v>98</v>
      </c>
      <c r="G55" s="44">
        <v>1E-3</v>
      </c>
      <c r="I55" s="58"/>
      <c r="J55" s="44">
        <v>1E-3</v>
      </c>
      <c r="L55" s="44">
        <v>1E-3</v>
      </c>
      <c r="M55" s="44">
        <v>1E-3</v>
      </c>
      <c r="N55" s="44">
        <v>1E-3</v>
      </c>
      <c r="Q55" s="44">
        <v>1E-3</v>
      </c>
      <c r="R55" s="44">
        <v>1E-3</v>
      </c>
      <c r="S55" s="44">
        <v>1E-3</v>
      </c>
      <c r="T55" s="44">
        <v>1E-3</v>
      </c>
      <c r="U55" s="44">
        <v>1E-3</v>
      </c>
      <c r="V55" s="44">
        <v>1E-3</v>
      </c>
      <c r="W55" s="44">
        <v>1E-3</v>
      </c>
      <c r="X55" s="44">
        <v>1E-3</v>
      </c>
      <c r="Y55" s="44">
        <v>1E-3</v>
      </c>
      <c r="Z55" s="44">
        <v>1E-3</v>
      </c>
      <c r="AA55" s="44">
        <v>1E-3</v>
      </c>
      <c r="AB55"/>
      <c r="AC55" s="44">
        <v>1E-3</v>
      </c>
      <c r="AD55" s="44">
        <v>1E-3</v>
      </c>
      <c r="AE55" s="44">
        <v>1E-3</v>
      </c>
      <c r="AF55" s="44">
        <v>1E-3</v>
      </c>
      <c r="AG55" s="44">
        <v>1E-3</v>
      </c>
      <c r="AH55" s="44">
        <v>1E-3</v>
      </c>
      <c r="AI55" s="44">
        <v>1E-3</v>
      </c>
      <c r="AJ55"/>
      <c r="AK55" s="44">
        <v>1E-3</v>
      </c>
      <c r="AL55" s="44">
        <v>1E-3</v>
      </c>
      <c r="AM55" s="44">
        <v>1E-3</v>
      </c>
      <c r="AN55" s="44">
        <v>1E-3</v>
      </c>
      <c r="AO55"/>
      <c r="AP55" s="44">
        <v>1E-3</v>
      </c>
      <c r="AQ55"/>
      <c r="AR55"/>
      <c r="AS55" s="44">
        <v>1E-3</v>
      </c>
    </row>
    <row r="56" spans="1:45" x14ac:dyDescent="0.25">
      <c r="A56" s="15" t="s">
        <v>379</v>
      </c>
      <c r="B56" s="3" t="s">
        <v>473</v>
      </c>
      <c r="C56" s="3" t="s">
        <v>483</v>
      </c>
      <c r="D56" s="3" t="s">
        <v>521</v>
      </c>
      <c r="E56" s="16" t="s">
        <v>380</v>
      </c>
      <c r="F56" s="16" t="s">
        <v>98</v>
      </c>
      <c r="G56" s="44">
        <v>0</v>
      </c>
      <c r="I56" s="58"/>
      <c r="J56" s="44">
        <v>0</v>
      </c>
      <c r="L56" s="44">
        <v>0</v>
      </c>
      <c r="M56" s="44">
        <v>0</v>
      </c>
      <c r="N56" s="44">
        <v>0</v>
      </c>
      <c r="Q56" s="44">
        <v>0</v>
      </c>
      <c r="R56" s="44">
        <v>0</v>
      </c>
      <c r="S56" s="44">
        <v>0</v>
      </c>
      <c r="T56" s="44">
        <v>0</v>
      </c>
      <c r="U56" s="44">
        <v>0</v>
      </c>
      <c r="V56" s="44">
        <v>0</v>
      </c>
      <c r="W56" s="44">
        <v>0</v>
      </c>
      <c r="X56" s="44">
        <v>0</v>
      </c>
      <c r="Y56" s="44">
        <v>0</v>
      </c>
      <c r="Z56" s="44">
        <v>0</v>
      </c>
      <c r="AA56" s="44">
        <v>0</v>
      </c>
      <c r="AB56"/>
      <c r="AC56" s="44">
        <v>0</v>
      </c>
      <c r="AD56" s="44">
        <v>0</v>
      </c>
      <c r="AE56" s="44">
        <v>0</v>
      </c>
      <c r="AF56" s="44">
        <v>0</v>
      </c>
      <c r="AG56" s="44">
        <v>0</v>
      </c>
      <c r="AH56" s="44">
        <v>0</v>
      </c>
      <c r="AI56" s="44">
        <v>0</v>
      </c>
      <c r="AJ56"/>
      <c r="AK56" s="44">
        <v>0</v>
      </c>
      <c r="AL56" s="44">
        <v>0</v>
      </c>
      <c r="AM56" s="44">
        <v>0</v>
      </c>
      <c r="AN56" s="44">
        <v>0</v>
      </c>
      <c r="AO56"/>
      <c r="AP56" s="44">
        <v>0</v>
      </c>
      <c r="AQ56"/>
      <c r="AR56"/>
      <c r="AS56" s="44">
        <v>0</v>
      </c>
    </row>
    <row r="57" spans="1:45" x14ac:dyDescent="0.25">
      <c r="A57" s="15" t="s">
        <v>37</v>
      </c>
      <c r="B57" s="3" t="s">
        <v>473</v>
      </c>
      <c r="C57" s="3" t="s">
        <v>483</v>
      </c>
      <c r="D57" s="3" t="s">
        <v>521</v>
      </c>
      <c r="E57" s="16" t="s">
        <v>149</v>
      </c>
      <c r="F57" s="16" t="s">
        <v>195</v>
      </c>
      <c r="G57" s="44">
        <v>1E-4</v>
      </c>
      <c r="I57" s="58"/>
      <c r="J57" s="44">
        <v>1E-4</v>
      </c>
      <c r="L57" s="44">
        <v>1E-4</v>
      </c>
      <c r="M57" s="44">
        <v>1E-4</v>
      </c>
      <c r="N57" s="44">
        <v>1E-4</v>
      </c>
      <c r="Q57" s="44">
        <v>1E-4</v>
      </c>
      <c r="R57" s="44">
        <v>1E-4</v>
      </c>
      <c r="S57" s="44">
        <v>1E-4</v>
      </c>
      <c r="T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/>
      <c r="AC57" s="44">
        <v>1E-4</v>
      </c>
      <c r="AD57" s="44">
        <v>1E-4</v>
      </c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/>
      <c r="AK57" s="44">
        <v>1E-4</v>
      </c>
      <c r="AL57" s="44">
        <v>1E-4</v>
      </c>
      <c r="AM57" s="44">
        <v>1E-4</v>
      </c>
      <c r="AN57" s="44">
        <v>1E-4</v>
      </c>
      <c r="AO57"/>
      <c r="AP57" s="44">
        <v>1E-4</v>
      </c>
      <c r="AQ57"/>
      <c r="AR57"/>
      <c r="AS57" s="44">
        <v>1E-4</v>
      </c>
    </row>
    <row r="58" spans="1:45" x14ac:dyDescent="0.25">
      <c r="A58" s="15" t="s">
        <v>38</v>
      </c>
      <c r="B58" s="3" t="s">
        <v>473</v>
      </c>
      <c r="C58" s="3" t="s">
        <v>483</v>
      </c>
      <c r="D58" s="3" t="s">
        <v>521</v>
      </c>
      <c r="E58" s="16" t="s">
        <v>150</v>
      </c>
      <c r="F58" s="16" t="s">
        <v>195</v>
      </c>
      <c r="G58" s="44">
        <v>1E-4</v>
      </c>
      <c r="I58" s="58"/>
      <c r="J58" s="44">
        <v>1E-4</v>
      </c>
      <c r="L58" s="44">
        <v>1E-4</v>
      </c>
      <c r="M58" s="44">
        <v>1E-4</v>
      </c>
      <c r="N58" s="44">
        <v>1E-4</v>
      </c>
      <c r="Q58" s="44">
        <v>1E-4</v>
      </c>
      <c r="R58" s="44">
        <v>1E-4</v>
      </c>
      <c r="S58" s="44">
        <v>1E-4</v>
      </c>
      <c r="T58" s="44">
        <v>1E-4</v>
      </c>
      <c r="U58" s="44">
        <v>1E-4</v>
      </c>
      <c r="V58" s="44">
        <v>1E-4</v>
      </c>
      <c r="W58" s="44">
        <v>1E-4</v>
      </c>
      <c r="X58" s="44">
        <v>1E-4</v>
      </c>
      <c r="Y58" s="44">
        <v>1E-4</v>
      </c>
      <c r="Z58" s="44">
        <v>1E-4</v>
      </c>
      <c r="AA58" s="44">
        <v>1E-4</v>
      </c>
      <c r="AB58"/>
      <c r="AC58" s="44">
        <v>1E-4</v>
      </c>
      <c r="AD58" s="44">
        <v>1E-4</v>
      </c>
      <c r="AE58" s="44">
        <v>1E-4</v>
      </c>
      <c r="AF58" s="44">
        <v>1E-4</v>
      </c>
      <c r="AG58" s="44">
        <v>1E-4</v>
      </c>
      <c r="AH58" s="44">
        <v>1E-4</v>
      </c>
      <c r="AI58" s="44">
        <v>1E-4</v>
      </c>
      <c r="AJ58"/>
      <c r="AK58" s="44">
        <v>1E-4</v>
      </c>
      <c r="AL58" s="44">
        <v>1E-4</v>
      </c>
      <c r="AM58" s="44">
        <v>1E-4</v>
      </c>
      <c r="AN58" s="44">
        <v>1E-4</v>
      </c>
      <c r="AO58"/>
      <c r="AP58" s="44">
        <v>1E-4</v>
      </c>
      <c r="AQ58"/>
      <c r="AR58"/>
      <c r="AS58" s="44">
        <v>1E-4</v>
      </c>
    </row>
    <row r="59" spans="1:45" x14ac:dyDescent="0.25">
      <c r="A59" s="17" t="s">
        <v>39</v>
      </c>
      <c r="B59" s="3" t="s">
        <v>473</v>
      </c>
      <c r="C59" s="3" t="s">
        <v>483</v>
      </c>
      <c r="D59" s="3" t="s">
        <v>521</v>
      </c>
      <c r="E59" s="18" t="s">
        <v>151</v>
      </c>
      <c r="F59" s="18" t="s">
        <v>98</v>
      </c>
      <c r="G59" s="44">
        <v>6.9999999999999999E-4</v>
      </c>
      <c r="I59" s="58"/>
      <c r="J59" s="44">
        <v>6.9999999999999999E-4</v>
      </c>
      <c r="L59" s="44">
        <v>6.9999999999999999E-4</v>
      </c>
      <c r="M59" s="44">
        <v>6.9999999999999999E-4</v>
      </c>
      <c r="N59" s="44">
        <v>6.9999999999999999E-4</v>
      </c>
      <c r="Q59" s="44">
        <v>6.9999999999999999E-4</v>
      </c>
      <c r="R59" s="44">
        <v>6.9999999999999999E-4</v>
      </c>
      <c r="S59" s="44">
        <v>6.9999999999999999E-4</v>
      </c>
      <c r="T59" s="44">
        <v>6.9999999999999999E-4</v>
      </c>
      <c r="U59" s="44">
        <v>6.9999999999999999E-4</v>
      </c>
      <c r="V59" s="44">
        <v>6.9999999999999999E-4</v>
      </c>
      <c r="W59" s="44">
        <v>6.9999999999999999E-4</v>
      </c>
      <c r="X59" s="44">
        <v>6.9999999999999999E-4</v>
      </c>
      <c r="Y59" s="44">
        <v>6.9999999999999999E-4</v>
      </c>
      <c r="Z59" s="44">
        <v>6.9999999999999999E-4</v>
      </c>
      <c r="AA59" s="44">
        <v>6.9999999999999999E-4</v>
      </c>
      <c r="AB59"/>
      <c r="AC59" s="44">
        <v>6.9999999999999999E-4</v>
      </c>
      <c r="AD59" s="44">
        <v>6.9999999999999999E-4</v>
      </c>
      <c r="AE59" s="44">
        <v>6.9999999999999999E-4</v>
      </c>
      <c r="AF59" s="44">
        <v>6.9999999999999999E-4</v>
      </c>
      <c r="AG59" s="44">
        <v>6.9999999999999999E-4</v>
      </c>
      <c r="AH59" s="44">
        <v>6.9999999999999999E-4</v>
      </c>
      <c r="AI59" s="44">
        <v>6.9999999999999999E-4</v>
      </c>
      <c r="AJ59"/>
      <c r="AK59" s="44">
        <v>6.9999999999999999E-4</v>
      </c>
      <c r="AL59" s="44">
        <v>6.9999999999999999E-4</v>
      </c>
      <c r="AM59" s="44">
        <v>6.9999999999999999E-4</v>
      </c>
      <c r="AN59" s="44">
        <v>6.9999999999999999E-4</v>
      </c>
      <c r="AO59"/>
      <c r="AP59" s="44">
        <v>6.9999999999999999E-4</v>
      </c>
      <c r="AQ59"/>
      <c r="AR59"/>
      <c r="AS59" s="44">
        <v>6.9999999999999999E-4</v>
      </c>
    </row>
    <row r="60" spans="1:45" x14ac:dyDescent="0.25">
      <c r="A60" s="17" t="s">
        <v>40</v>
      </c>
      <c r="B60" s="3" t="s">
        <v>473</v>
      </c>
      <c r="C60" s="3" t="s">
        <v>483</v>
      </c>
      <c r="D60" s="3" t="s">
        <v>521</v>
      </c>
      <c r="E60" s="18" t="s">
        <v>152</v>
      </c>
      <c r="F60" s="18" t="s">
        <v>98</v>
      </c>
      <c r="G60" s="44">
        <v>1.22E-4</v>
      </c>
      <c r="I60" s="58"/>
      <c r="J60" s="44">
        <v>1.22E-4</v>
      </c>
      <c r="L60" s="44">
        <v>1.22E-4</v>
      </c>
      <c r="M60" s="44">
        <v>1.22E-4</v>
      </c>
      <c r="N60" s="44">
        <v>1.22E-4</v>
      </c>
      <c r="Q60" s="44">
        <v>1.22E-4</v>
      </c>
      <c r="R60" s="44">
        <v>1.22E-4</v>
      </c>
      <c r="S60" s="44">
        <v>1.22E-4</v>
      </c>
      <c r="T60" s="44">
        <v>1.22E-4</v>
      </c>
      <c r="U60" s="44">
        <v>1.22E-4</v>
      </c>
      <c r="V60" s="44">
        <v>1.22E-4</v>
      </c>
      <c r="W60" s="44">
        <v>1.22E-4</v>
      </c>
      <c r="X60" s="44">
        <v>1.22E-4</v>
      </c>
      <c r="Y60" s="44">
        <v>1.22E-4</v>
      </c>
      <c r="Z60" s="44">
        <v>1.22E-4</v>
      </c>
      <c r="AA60" s="44">
        <v>1.22E-4</v>
      </c>
      <c r="AB60"/>
      <c r="AC60" s="44">
        <v>1.22E-4</v>
      </c>
      <c r="AD60" s="44">
        <v>1.22E-4</v>
      </c>
      <c r="AE60" s="44">
        <v>1.22E-4</v>
      </c>
      <c r="AF60" s="44">
        <v>1.22E-4</v>
      </c>
      <c r="AG60" s="44">
        <v>1.22E-4</v>
      </c>
      <c r="AH60" s="44">
        <v>1.22E-4</v>
      </c>
      <c r="AI60" s="44">
        <v>1.22E-4</v>
      </c>
      <c r="AJ60"/>
      <c r="AK60" s="44">
        <v>1.22E-4</v>
      </c>
      <c r="AL60" s="44">
        <v>1.22E-4</v>
      </c>
      <c r="AM60" s="44">
        <v>1.22E-4</v>
      </c>
      <c r="AN60" s="44">
        <v>1.22E-4</v>
      </c>
      <c r="AO60"/>
      <c r="AP60" s="44">
        <v>1.22E-4</v>
      </c>
      <c r="AQ60"/>
      <c r="AR60"/>
      <c r="AS60" s="44">
        <v>1.22E-4</v>
      </c>
    </row>
    <row r="61" spans="1:45" x14ac:dyDescent="0.25">
      <c r="A61" s="17" t="s">
        <v>206</v>
      </c>
      <c r="B61" s="3" t="s">
        <v>473</v>
      </c>
      <c r="C61" s="3" t="s">
        <v>483</v>
      </c>
      <c r="D61" s="3" t="s">
        <v>521</v>
      </c>
      <c r="E61" s="18" t="s">
        <v>284</v>
      </c>
      <c r="F61" s="18" t="s">
        <v>98</v>
      </c>
      <c r="G61" s="44">
        <v>1</v>
      </c>
      <c r="I61" s="58"/>
      <c r="J61" s="44">
        <v>1</v>
      </c>
      <c r="L61" s="44">
        <v>1</v>
      </c>
      <c r="M61" s="44">
        <v>1</v>
      </c>
      <c r="N61" s="44">
        <v>1</v>
      </c>
      <c r="Q61" s="44">
        <v>1</v>
      </c>
      <c r="R61" s="44">
        <v>1</v>
      </c>
      <c r="S61" s="44">
        <v>1</v>
      </c>
      <c r="T61" s="44">
        <v>1</v>
      </c>
      <c r="U61" s="44">
        <v>1</v>
      </c>
      <c r="V61" s="44">
        <v>1</v>
      </c>
      <c r="W61" s="44">
        <v>1</v>
      </c>
      <c r="X61" s="44">
        <v>1</v>
      </c>
      <c r="Y61" s="44">
        <v>1</v>
      </c>
      <c r="Z61" s="44">
        <v>1</v>
      </c>
      <c r="AA61" s="44">
        <v>1</v>
      </c>
      <c r="AB61"/>
      <c r="AC61" s="44">
        <v>1</v>
      </c>
      <c r="AD61" s="44">
        <v>1</v>
      </c>
      <c r="AE61" s="44">
        <v>1</v>
      </c>
      <c r="AF61" s="44">
        <v>1</v>
      </c>
      <c r="AG61" s="44">
        <v>1</v>
      </c>
      <c r="AH61" s="44">
        <v>1</v>
      </c>
      <c r="AI61" s="44">
        <v>1</v>
      </c>
      <c r="AJ61"/>
      <c r="AK61" s="44">
        <v>1</v>
      </c>
      <c r="AL61" s="44">
        <v>1</v>
      </c>
      <c r="AM61" s="44">
        <v>1</v>
      </c>
      <c r="AN61" s="44">
        <v>1</v>
      </c>
      <c r="AO61"/>
      <c r="AP61" s="44">
        <v>1</v>
      </c>
      <c r="AQ61"/>
      <c r="AR61"/>
      <c r="AS61" s="44">
        <v>1</v>
      </c>
    </row>
    <row r="62" spans="1:45" x14ac:dyDescent="0.25">
      <c r="A62" s="17" t="s">
        <v>41</v>
      </c>
      <c r="B62" s="3" t="s">
        <v>473</v>
      </c>
      <c r="C62" s="3" t="s">
        <v>483</v>
      </c>
      <c r="D62" s="3" t="s">
        <v>521</v>
      </c>
      <c r="E62" s="18" t="s">
        <v>155</v>
      </c>
      <c r="F62" s="18" t="s">
        <v>102</v>
      </c>
      <c r="G62" s="44">
        <v>0.95</v>
      </c>
      <c r="I62" s="58"/>
      <c r="J62" s="44">
        <v>0.95</v>
      </c>
      <c r="L62" s="44">
        <v>0.95</v>
      </c>
      <c r="M62" s="44">
        <v>0.95</v>
      </c>
      <c r="N62" s="44">
        <v>0.95</v>
      </c>
      <c r="Q62" s="44">
        <v>0.95</v>
      </c>
      <c r="R62" s="44">
        <v>0.95</v>
      </c>
      <c r="S62" s="44">
        <v>0.95</v>
      </c>
      <c r="T62" s="44">
        <v>0.95</v>
      </c>
      <c r="U62" s="44">
        <v>0.95</v>
      </c>
      <c r="V62" s="44">
        <v>0.95</v>
      </c>
      <c r="W62" s="44">
        <v>0.95</v>
      </c>
      <c r="X62" s="44">
        <v>0.95</v>
      </c>
      <c r="Y62" s="44">
        <v>0.95</v>
      </c>
      <c r="Z62" s="44">
        <v>0.95</v>
      </c>
      <c r="AA62" s="44">
        <v>0.95</v>
      </c>
      <c r="AB62"/>
      <c r="AC62" s="44">
        <v>0.95</v>
      </c>
      <c r="AD62" s="44">
        <v>0.95</v>
      </c>
      <c r="AE62" s="44">
        <v>0.95</v>
      </c>
      <c r="AF62" s="44">
        <v>0.95</v>
      </c>
      <c r="AG62" s="44">
        <v>0.95</v>
      </c>
      <c r="AH62" s="44">
        <v>0.95</v>
      </c>
      <c r="AI62" s="44">
        <v>0.95</v>
      </c>
      <c r="AJ62"/>
      <c r="AK62" s="44">
        <v>0.95</v>
      </c>
      <c r="AL62" s="44">
        <v>0.95</v>
      </c>
      <c r="AM62" s="44">
        <v>0.95</v>
      </c>
      <c r="AN62" s="44">
        <v>0.95</v>
      </c>
      <c r="AO62"/>
      <c r="AP62" s="44">
        <v>0.95</v>
      </c>
      <c r="AQ62"/>
      <c r="AR62"/>
      <c r="AS62" s="44">
        <v>0.95</v>
      </c>
    </row>
    <row r="63" spans="1:45" x14ac:dyDescent="0.25">
      <c r="A63" s="17" t="s">
        <v>406</v>
      </c>
      <c r="B63" s="3" t="s">
        <v>473</v>
      </c>
      <c r="C63" s="3" t="s">
        <v>483</v>
      </c>
      <c r="D63" s="3" t="s">
        <v>521</v>
      </c>
      <c r="E63" s="18" t="s">
        <v>407</v>
      </c>
      <c r="F63" s="18" t="s">
        <v>94</v>
      </c>
      <c r="G63" s="44" t="s">
        <v>87</v>
      </c>
      <c r="I63" s="58"/>
      <c r="J63" s="44" t="s">
        <v>87</v>
      </c>
      <c r="L63" s="44" t="s">
        <v>87</v>
      </c>
      <c r="M63" s="44" t="s">
        <v>87</v>
      </c>
      <c r="N63" s="44" t="s">
        <v>87</v>
      </c>
      <c r="Q63" s="44" t="s">
        <v>87</v>
      </c>
      <c r="R63" s="44" t="s">
        <v>87</v>
      </c>
      <c r="S63" s="44" t="s">
        <v>87</v>
      </c>
      <c r="T63" s="44" t="s">
        <v>87</v>
      </c>
      <c r="U63" s="44" t="s">
        <v>87</v>
      </c>
      <c r="V63" s="44" t="s">
        <v>87</v>
      </c>
      <c r="W63" s="44" t="s">
        <v>87</v>
      </c>
      <c r="X63" s="44" t="s">
        <v>87</v>
      </c>
      <c r="Y63" s="44" t="s">
        <v>87</v>
      </c>
      <c r="Z63" s="44" t="s">
        <v>87</v>
      </c>
      <c r="AA63" s="44" t="s">
        <v>87</v>
      </c>
      <c r="AB63"/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/>
      <c r="AK63" s="44" t="s">
        <v>87</v>
      </c>
      <c r="AL63" s="44" t="s">
        <v>87</v>
      </c>
      <c r="AM63" s="44" t="s">
        <v>87</v>
      </c>
      <c r="AN63" s="44" t="s">
        <v>87</v>
      </c>
      <c r="AO63"/>
      <c r="AP63" s="44" t="s">
        <v>87</v>
      </c>
      <c r="AQ63"/>
      <c r="AR63"/>
      <c r="AS63" s="44" t="s">
        <v>87</v>
      </c>
    </row>
    <row r="64" spans="1:45" x14ac:dyDescent="0.25">
      <c r="A64" s="17" t="s">
        <v>90</v>
      </c>
      <c r="B64" s="3" t="s">
        <v>473</v>
      </c>
      <c r="C64" s="3" t="s">
        <v>483</v>
      </c>
      <c r="D64" s="3" t="s">
        <v>521</v>
      </c>
      <c r="E64" s="18" t="s">
        <v>153</v>
      </c>
      <c r="F64" s="18" t="s">
        <v>103</v>
      </c>
      <c r="G64" s="44">
        <v>5</v>
      </c>
      <c r="I64" s="58"/>
      <c r="J64" s="44">
        <v>5</v>
      </c>
      <c r="L64" s="44">
        <v>5</v>
      </c>
      <c r="M64" s="44">
        <v>5</v>
      </c>
      <c r="N64" s="44">
        <v>5</v>
      </c>
      <c r="Q64" s="44">
        <v>5</v>
      </c>
      <c r="R64" s="44">
        <v>5</v>
      </c>
      <c r="S64" s="44">
        <v>5</v>
      </c>
      <c r="T64" s="44">
        <v>5</v>
      </c>
      <c r="U64" s="44">
        <v>5</v>
      </c>
      <c r="V64" s="44">
        <v>5</v>
      </c>
      <c r="W64" s="44">
        <v>5</v>
      </c>
      <c r="X64" s="44">
        <v>5</v>
      </c>
      <c r="Y64" s="44">
        <v>5</v>
      </c>
      <c r="Z64" s="44">
        <v>5</v>
      </c>
      <c r="AA64" s="44">
        <v>5</v>
      </c>
      <c r="AB64"/>
      <c r="AC64" s="44">
        <v>5</v>
      </c>
      <c r="AD64" s="44">
        <v>5</v>
      </c>
      <c r="AE64" s="44">
        <v>5</v>
      </c>
      <c r="AF64" s="44">
        <v>5</v>
      </c>
      <c r="AG64" s="44">
        <v>5</v>
      </c>
      <c r="AH64" s="44">
        <v>5</v>
      </c>
      <c r="AI64" s="44">
        <v>5</v>
      </c>
      <c r="AJ64"/>
      <c r="AK64" s="44">
        <v>5</v>
      </c>
      <c r="AL64" s="44">
        <v>5</v>
      </c>
      <c r="AM64" s="44">
        <v>5</v>
      </c>
      <c r="AN64" s="44">
        <v>5</v>
      </c>
      <c r="AO64"/>
      <c r="AP64" s="44">
        <v>5</v>
      </c>
      <c r="AQ64"/>
      <c r="AR64"/>
      <c r="AS64" s="44">
        <v>5</v>
      </c>
    </row>
    <row r="65" spans="1:45" x14ac:dyDescent="0.25">
      <c r="A65" s="17" t="s">
        <v>408</v>
      </c>
      <c r="B65" s="3" t="s">
        <v>473</v>
      </c>
      <c r="C65" s="3" t="s">
        <v>483</v>
      </c>
      <c r="D65" s="3" t="s">
        <v>521</v>
      </c>
      <c r="E65" s="18" t="s">
        <v>409</v>
      </c>
      <c r="F65" s="18" t="s">
        <v>94</v>
      </c>
      <c r="G65" s="44" t="s">
        <v>87</v>
      </c>
      <c r="I65" s="58"/>
      <c r="J65" s="44" t="s">
        <v>87</v>
      </c>
      <c r="L65" s="44" t="s">
        <v>87</v>
      </c>
      <c r="M65" s="44" t="s">
        <v>87</v>
      </c>
      <c r="N65" s="44" t="s">
        <v>87</v>
      </c>
      <c r="Q65" s="44" t="s">
        <v>87</v>
      </c>
      <c r="R65" s="44" t="s">
        <v>87</v>
      </c>
      <c r="S65" s="44" t="s">
        <v>87</v>
      </c>
      <c r="T65" s="44" t="s">
        <v>87</v>
      </c>
      <c r="U65" s="44" t="s">
        <v>87</v>
      </c>
      <c r="V65" s="44" t="s">
        <v>87</v>
      </c>
      <c r="W65" s="44" t="s">
        <v>87</v>
      </c>
      <c r="X65" s="44" t="s">
        <v>87</v>
      </c>
      <c r="Y65" s="44" t="s">
        <v>87</v>
      </c>
      <c r="Z65" s="44" t="s">
        <v>87</v>
      </c>
      <c r="AA65" s="44" t="s">
        <v>87</v>
      </c>
      <c r="AB65"/>
      <c r="AC65" s="44" t="s">
        <v>87</v>
      </c>
      <c r="AD65" s="44" t="s">
        <v>87</v>
      </c>
      <c r="AE65" s="44" t="s">
        <v>87</v>
      </c>
      <c r="AF65" s="44" t="s">
        <v>87</v>
      </c>
      <c r="AG65" s="44" t="s">
        <v>87</v>
      </c>
      <c r="AH65" s="44" t="s">
        <v>87</v>
      </c>
      <c r="AI65" s="44" t="s">
        <v>87</v>
      </c>
      <c r="AJ65"/>
      <c r="AK65" s="44" t="s">
        <v>87</v>
      </c>
      <c r="AL65" s="44" t="s">
        <v>87</v>
      </c>
      <c r="AM65" s="44" t="s">
        <v>87</v>
      </c>
      <c r="AN65" s="44" t="s">
        <v>87</v>
      </c>
      <c r="AO65"/>
      <c r="AP65" s="44" t="s">
        <v>87</v>
      </c>
      <c r="AQ65"/>
      <c r="AR65"/>
      <c r="AS65" s="44" t="s">
        <v>87</v>
      </c>
    </row>
    <row r="66" spans="1:45" x14ac:dyDescent="0.25">
      <c r="A66" s="17" t="s">
        <v>42</v>
      </c>
      <c r="B66" s="3" t="s">
        <v>473</v>
      </c>
      <c r="C66" s="3" t="s">
        <v>483</v>
      </c>
      <c r="D66" s="3" t="s">
        <v>521</v>
      </c>
      <c r="E66" s="18" t="s">
        <v>154</v>
      </c>
      <c r="F66" s="18" t="s">
        <v>103</v>
      </c>
      <c r="G66" s="44">
        <v>50</v>
      </c>
      <c r="I66" s="58"/>
      <c r="J66" s="44">
        <v>50</v>
      </c>
      <c r="L66" s="44">
        <v>50</v>
      </c>
      <c r="M66" s="44">
        <v>50</v>
      </c>
      <c r="N66" s="44">
        <v>50</v>
      </c>
      <c r="Q66" s="44">
        <v>50</v>
      </c>
      <c r="R66" s="44">
        <v>50</v>
      </c>
      <c r="S66" s="44">
        <v>50</v>
      </c>
      <c r="T66" s="44">
        <v>50</v>
      </c>
      <c r="U66" s="44">
        <v>50</v>
      </c>
      <c r="V66" s="44">
        <v>50</v>
      </c>
      <c r="W66" s="44">
        <v>50</v>
      </c>
      <c r="X66" s="44">
        <v>50</v>
      </c>
      <c r="Y66" s="44">
        <v>50</v>
      </c>
      <c r="Z66" s="44">
        <v>50</v>
      </c>
      <c r="AA66" s="44">
        <v>50</v>
      </c>
      <c r="AB66"/>
      <c r="AC66" s="44">
        <v>50</v>
      </c>
      <c r="AD66" s="44">
        <v>50</v>
      </c>
      <c r="AE66" s="44">
        <v>50</v>
      </c>
      <c r="AF66" s="44">
        <v>50</v>
      </c>
      <c r="AG66" s="44">
        <v>50</v>
      </c>
      <c r="AH66" s="44">
        <v>50</v>
      </c>
      <c r="AI66" s="44">
        <v>50</v>
      </c>
      <c r="AJ66"/>
      <c r="AK66" s="44">
        <v>50</v>
      </c>
      <c r="AL66" s="44">
        <v>50</v>
      </c>
      <c r="AM66" s="44">
        <v>50</v>
      </c>
      <c r="AN66" s="44">
        <v>50</v>
      </c>
      <c r="AO66"/>
      <c r="AP66" s="44">
        <v>50</v>
      </c>
      <c r="AQ66"/>
      <c r="AR66"/>
      <c r="AS66" s="44">
        <v>50</v>
      </c>
    </row>
    <row r="67" spans="1:45" x14ac:dyDescent="0.25">
      <c r="A67" s="17" t="s">
        <v>207</v>
      </c>
      <c r="B67" s="3" t="s">
        <v>473</v>
      </c>
      <c r="C67" s="3" t="s">
        <v>483</v>
      </c>
      <c r="D67" s="3" t="s">
        <v>521</v>
      </c>
      <c r="E67" s="18" t="s">
        <v>288</v>
      </c>
      <c r="F67" s="18" t="s">
        <v>106</v>
      </c>
      <c r="G67" s="44">
        <v>1453890.8941884842</v>
      </c>
      <c r="I67" s="58"/>
      <c r="J67" s="44">
        <v>1453890.8941884842</v>
      </c>
      <c r="L67" s="44">
        <v>1453890.8941884842</v>
      </c>
      <c r="M67" s="44">
        <v>1453890.8941884842</v>
      </c>
      <c r="N67" s="44">
        <v>1453890.8941884842</v>
      </c>
      <c r="Q67" s="44">
        <v>1453890.8941884842</v>
      </c>
      <c r="R67" s="44">
        <v>1453890.8941884842</v>
      </c>
      <c r="S67" s="44">
        <v>1453890.8941884842</v>
      </c>
      <c r="T67" s="44">
        <v>1453890.8941884842</v>
      </c>
      <c r="U67" s="44">
        <v>1453890.8941884842</v>
      </c>
      <c r="V67" s="44">
        <v>1453890.8941884842</v>
      </c>
      <c r="W67" s="44">
        <v>1453890.8941884842</v>
      </c>
      <c r="X67" s="44">
        <v>1453890.8941884842</v>
      </c>
      <c r="Y67" s="44">
        <v>1453890.8941884842</v>
      </c>
      <c r="Z67" s="44">
        <v>1453890.8941884842</v>
      </c>
      <c r="AA67" s="44">
        <v>1453890.8941884842</v>
      </c>
      <c r="AB67"/>
      <c r="AC67" s="44">
        <v>1453890.8941884842</v>
      </c>
      <c r="AD67" s="44">
        <v>1453890.8941884842</v>
      </c>
      <c r="AE67" s="44">
        <v>1453890.8941884842</v>
      </c>
      <c r="AF67" s="44">
        <v>1453890.8941884842</v>
      </c>
      <c r="AG67" s="44">
        <v>1453890.8941884842</v>
      </c>
      <c r="AH67" s="44">
        <v>1453890.8941884842</v>
      </c>
      <c r="AI67" s="44">
        <v>1453890.8941884842</v>
      </c>
      <c r="AJ67"/>
      <c r="AK67" s="44">
        <v>1453890.8941884842</v>
      </c>
      <c r="AL67" s="44">
        <v>1453890.8941884842</v>
      </c>
      <c r="AM67" s="44">
        <v>1453890.8941884842</v>
      </c>
      <c r="AN67" s="44">
        <v>1453890.8941884842</v>
      </c>
      <c r="AO67"/>
      <c r="AP67" s="44">
        <v>1453890.8941884842</v>
      </c>
      <c r="AQ67"/>
      <c r="AR67"/>
      <c r="AS67" s="44">
        <v>1453890.8941884842</v>
      </c>
    </row>
    <row r="68" spans="1:45" x14ac:dyDescent="0.25">
      <c r="A68" s="17" t="s">
        <v>43</v>
      </c>
      <c r="B68" s="3" t="s">
        <v>473</v>
      </c>
      <c r="C68" s="3" t="s">
        <v>483</v>
      </c>
      <c r="D68" s="3" t="s">
        <v>521</v>
      </c>
      <c r="E68" s="18" t="s">
        <v>381</v>
      </c>
      <c r="F68" s="18" t="s">
        <v>104</v>
      </c>
      <c r="G68" s="44">
        <v>1.3888888888888888E-5</v>
      </c>
      <c r="I68" s="58"/>
      <c r="J68" s="44">
        <v>1.3888888888888888E-5</v>
      </c>
      <c r="L68" s="44">
        <v>1.3888888888888888E-5</v>
      </c>
      <c r="M68" s="44">
        <v>1.3888888888888888E-5</v>
      </c>
      <c r="N68" s="44">
        <v>1.3888888888888888E-5</v>
      </c>
      <c r="Q68" s="44">
        <v>1.3888888888888888E-5</v>
      </c>
      <c r="R68" s="44">
        <v>1.3888888888888888E-5</v>
      </c>
      <c r="S68" s="44">
        <v>1.3888888888888888E-5</v>
      </c>
      <c r="T68" s="44">
        <v>1.3888888888888888E-5</v>
      </c>
      <c r="U68" s="44">
        <v>1.3888888888888888E-5</v>
      </c>
      <c r="V68" s="44">
        <v>1.3888888888888888E-5</v>
      </c>
      <c r="W68" s="44">
        <v>1.3888888888888888E-5</v>
      </c>
      <c r="X68" s="44">
        <v>1.3888888888888888E-5</v>
      </c>
      <c r="Y68" s="44">
        <v>1.3888888888888888E-5</v>
      </c>
      <c r="Z68" s="44">
        <v>1.3888888888888888E-5</v>
      </c>
      <c r="AA68" s="44">
        <v>1.3888888888888888E-5</v>
      </c>
      <c r="AB68"/>
      <c r="AC68" s="44">
        <v>1.3888888888888888E-5</v>
      </c>
      <c r="AD68" s="44">
        <v>1.3888888888888888E-5</v>
      </c>
      <c r="AE68" s="44">
        <v>1.3888888888888888E-5</v>
      </c>
      <c r="AF68" s="44">
        <v>1.3888888888888888E-5</v>
      </c>
      <c r="AG68" s="44">
        <v>1.3888888888888888E-5</v>
      </c>
      <c r="AH68" s="44">
        <v>1.3888888888888888E-5</v>
      </c>
      <c r="AI68" s="44">
        <v>1.3888888888888888E-5</v>
      </c>
      <c r="AJ68"/>
      <c r="AK68" s="44">
        <v>1.3888888888888888E-5</v>
      </c>
      <c r="AL68" s="44">
        <v>1.3888888888888888E-5</v>
      </c>
      <c r="AM68" s="44">
        <v>1.3888888888888888E-5</v>
      </c>
      <c r="AN68" s="44">
        <v>1.3888888888888888E-5</v>
      </c>
      <c r="AO68"/>
      <c r="AP68" s="44">
        <v>1.3888888888888888E-5</v>
      </c>
      <c r="AQ68"/>
      <c r="AR68"/>
      <c r="AS68" s="44">
        <v>1.3888888888888888E-5</v>
      </c>
    </row>
    <row r="69" spans="1:45" x14ac:dyDescent="0.25">
      <c r="A69" s="17" t="s">
        <v>44</v>
      </c>
      <c r="B69" s="3" t="s">
        <v>473</v>
      </c>
      <c r="C69" s="3" t="s">
        <v>483</v>
      </c>
      <c r="D69" s="3" t="s">
        <v>521</v>
      </c>
      <c r="E69" s="18" t="s">
        <v>156</v>
      </c>
      <c r="F69" s="18" t="s">
        <v>105</v>
      </c>
      <c r="G69" s="44">
        <v>4.5763888888888888E-4</v>
      </c>
      <c r="I69" s="58"/>
      <c r="J69" s="44">
        <v>6.5011574074074071E-4</v>
      </c>
      <c r="L69" s="44">
        <v>6.5011574074074071E-4</v>
      </c>
      <c r="M69" s="44">
        <v>6.5011574074074071E-4</v>
      </c>
      <c r="N69" s="44">
        <v>6.5011574074074071E-4</v>
      </c>
      <c r="Q69" s="44">
        <v>6.5011574074074071E-4</v>
      </c>
      <c r="R69" s="44">
        <v>6.5011574074074071E-4</v>
      </c>
      <c r="S69" s="44">
        <v>6.5011574074074071E-4</v>
      </c>
      <c r="T69" s="44">
        <v>6.5011574074074071E-4</v>
      </c>
      <c r="U69" s="44">
        <v>6.5011574074074071E-4</v>
      </c>
      <c r="V69" s="44">
        <v>6.5011574074074071E-4</v>
      </c>
      <c r="W69" s="44">
        <v>6.5011574074074071E-4</v>
      </c>
      <c r="X69" s="44">
        <v>6.5011574074074071E-4</v>
      </c>
      <c r="Y69" s="44">
        <v>6.5011574074074071E-4</v>
      </c>
      <c r="Z69" s="44">
        <v>6.5011574074074071E-4</v>
      </c>
      <c r="AA69" s="44">
        <v>6.5011574074074071E-4</v>
      </c>
      <c r="AB69"/>
      <c r="AC69" s="44">
        <v>6.5011574074074071E-4</v>
      </c>
      <c r="AD69" s="44">
        <v>6.5011574074074071E-4</v>
      </c>
      <c r="AE69" s="44">
        <v>6.5011574074074071E-4</v>
      </c>
      <c r="AF69" s="44">
        <v>6.5011574074074071E-4</v>
      </c>
      <c r="AG69" s="44">
        <v>6.5011574074074071E-4</v>
      </c>
      <c r="AH69" s="44">
        <v>6.5011574074074071E-4</v>
      </c>
      <c r="AI69" s="44">
        <v>6.5011574074074071E-4</v>
      </c>
      <c r="AJ69"/>
      <c r="AK69" s="44">
        <v>6.5011574074074071E-4</v>
      </c>
      <c r="AL69" s="44">
        <v>6.5011574074074071E-4</v>
      </c>
      <c r="AM69" s="44">
        <v>6.5011574074074071E-4</v>
      </c>
      <c r="AN69" s="44">
        <v>6.5011574074074071E-4</v>
      </c>
      <c r="AO69"/>
      <c r="AP69" s="44">
        <v>6.5011574074074071E-4</v>
      </c>
      <c r="AQ69"/>
      <c r="AR69"/>
      <c r="AS69" s="44">
        <v>6.5011574074074071E-4</v>
      </c>
    </row>
    <row r="70" spans="1:45" x14ac:dyDescent="0.25">
      <c r="A70" s="17" t="s">
        <v>45</v>
      </c>
      <c r="B70" s="3" t="s">
        <v>473</v>
      </c>
      <c r="C70" s="3" t="s">
        <v>483</v>
      </c>
      <c r="D70" s="3" t="s">
        <v>521</v>
      </c>
      <c r="E70" s="18" t="s">
        <v>157</v>
      </c>
      <c r="F70" s="18" t="s">
        <v>98</v>
      </c>
      <c r="G70" s="44">
        <v>3.63E-3</v>
      </c>
      <c r="I70" s="58"/>
      <c r="J70" s="44">
        <v>4.7400000000000003E-3</v>
      </c>
      <c r="L70" s="44">
        <v>4.7400000000000003E-3</v>
      </c>
      <c r="M70" s="44">
        <v>4.7400000000000003E-3</v>
      </c>
      <c r="N70" s="44">
        <v>4.7400000000000003E-3</v>
      </c>
      <c r="Q70" s="44">
        <v>4.7400000000000003E-3</v>
      </c>
      <c r="R70" s="44">
        <v>4.7400000000000003E-3</v>
      </c>
      <c r="S70" s="44">
        <v>4.7400000000000003E-3</v>
      </c>
      <c r="T70" s="44">
        <v>4.7400000000000003E-3</v>
      </c>
      <c r="U70" s="44">
        <v>4.7400000000000003E-3</v>
      </c>
      <c r="V70" s="44">
        <v>4.7400000000000003E-3</v>
      </c>
      <c r="W70" s="44">
        <v>4.7400000000000003E-3</v>
      </c>
      <c r="X70" s="44">
        <v>4.7400000000000003E-3</v>
      </c>
      <c r="Y70" s="44">
        <v>4.7400000000000003E-3</v>
      </c>
      <c r="Z70" s="44">
        <v>4.7400000000000003E-3</v>
      </c>
      <c r="AA70" s="44">
        <v>4.7400000000000003E-3</v>
      </c>
      <c r="AB70"/>
      <c r="AC70" s="44">
        <v>4.7400000000000003E-3</v>
      </c>
      <c r="AD70" s="44">
        <v>4.7400000000000003E-3</v>
      </c>
      <c r="AE70" s="44">
        <v>4.7400000000000003E-3</v>
      </c>
      <c r="AF70" s="44">
        <v>4.7400000000000003E-3</v>
      </c>
      <c r="AG70" s="44">
        <v>4.7400000000000003E-3</v>
      </c>
      <c r="AH70" s="44">
        <v>4.7400000000000003E-3</v>
      </c>
      <c r="AI70" s="44">
        <v>4.7400000000000003E-3</v>
      </c>
      <c r="AJ70"/>
      <c r="AK70" s="44">
        <v>4.7400000000000003E-3</v>
      </c>
      <c r="AL70" s="44">
        <v>4.7400000000000003E-3</v>
      </c>
      <c r="AM70" s="44">
        <v>4.7400000000000003E-3</v>
      </c>
      <c r="AN70" s="44">
        <v>4.7400000000000003E-3</v>
      </c>
      <c r="AO70"/>
      <c r="AP70" s="44">
        <v>4.7400000000000003E-3</v>
      </c>
      <c r="AQ70"/>
      <c r="AR70"/>
      <c r="AS70" s="44">
        <v>4.7400000000000003E-3</v>
      </c>
    </row>
    <row r="71" spans="1:45" x14ac:dyDescent="0.25">
      <c r="A71" s="17" t="s">
        <v>46</v>
      </c>
      <c r="B71" s="3" t="s">
        <v>473</v>
      </c>
      <c r="C71" s="3" t="s">
        <v>483</v>
      </c>
      <c r="D71" s="3" t="s">
        <v>521</v>
      </c>
      <c r="E71" s="18" t="s">
        <v>158</v>
      </c>
      <c r="F71" s="18" t="s">
        <v>106</v>
      </c>
      <c r="G71" s="44">
        <v>491356.80000000005</v>
      </c>
      <c r="I71" s="58"/>
      <c r="J71" s="44">
        <v>282528</v>
      </c>
      <c r="L71" s="44">
        <v>282528</v>
      </c>
      <c r="M71" s="44">
        <v>282528</v>
      </c>
      <c r="N71" s="44">
        <v>282528</v>
      </c>
      <c r="Q71" s="44">
        <v>282528</v>
      </c>
      <c r="R71" s="44">
        <v>282528</v>
      </c>
      <c r="S71" s="44">
        <v>282528</v>
      </c>
      <c r="T71" s="44">
        <v>282528</v>
      </c>
      <c r="U71" s="44">
        <v>282528</v>
      </c>
      <c r="V71" s="44">
        <v>282528</v>
      </c>
      <c r="W71" s="44">
        <v>282528</v>
      </c>
      <c r="X71" s="44">
        <v>282528</v>
      </c>
      <c r="Y71" s="44">
        <v>282528</v>
      </c>
      <c r="Z71" s="44">
        <v>282528</v>
      </c>
      <c r="AA71" s="44">
        <v>282528</v>
      </c>
      <c r="AB71"/>
      <c r="AC71" s="44">
        <v>282528</v>
      </c>
      <c r="AD71" s="44">
        <v>282528</v>
      </c>
      <c r="AE71" s="44">
        <v>282528</v>
      </c>
      <c r="AF71" s="44">
        <v>282528</v>
      </c>
      <c r="AG71" s="44">
        <v>282528</v>
      </c>
      <c r="AH71" s="44">
        <v>282528</v>
      </c>
      <c r="AI71" s="44">
        <v>282528</v>
      </c>
      <c r="AJ71"/>
      <c r="AK71" s="44">
        <v>282528</v>
      </c>
      <c r="AL71" s="44">
        <v>282528</v>
      </c>
      <c r="AM71" s="44">
        <v>282528</v>
      </c>
      <c r="AN71" s="44">
        <v>282528</v>
      </c>
      <c r="AO71"/>
      <c r="AP71" s="44">
        <v>282528</v>
      </c>
      <c r="AQ71"/>
      <c r="AR71"/>
      <c r="AS71" s="44">
        <v>282528</v>
      </c>
    </row>
    <row r="72" spans="1:45" x14ac:dyDescent="0.25">
      <c r="A72" s="17" t="s">
        <v>47</v>
      </c>
      <c r="B72" s="3" t="s">
        <v>473</v>
      </c>
      <c r="C72" s="3" t="s">
        <v>483</v>
      </c>
      <c r="D72" s="3" t="s">
        <v>521</v>
      </c>
      <c r="E72" s="18" t="s">
        <v>159</v>
      </c>
      <c r="F72" s="18" t="s">
        <v>102</v>
      </c>
      <c r="G72" s="44">
        <v>0.57999999999999996</v>
      </c>
      <c r="I72" s="58"/>
      <c r="J72" s="44">
        <v>0.56999999999999995</v>
      </c>
      <c r="L72" s="44">
        <v>0.56999999999999995</v>
      </c>
      <c r="M72" s="44">
        <v>0.56999999999999995</v>
      </c>
      <c r="N72" s="44">
        <v>0.56999999999999995</v>
      </c>
      <c r="Q72" s="44">
        <v>0.56999999999999995</v>
      </c>
      <c r="R72" s="44">
        <v>0.56999999999999995</v>
      </c>
      <c r="S72" s="44">
        <v>0.56999999999999995</v>
      </c>
      <c r="T72" s="44">
        <v>0.56999999999999995</v>
      </c>
      <c r="U72" s="44">
        <v>0.56999999999999995</v>
      </c>
      <c r="V72" s="44">
        <v>0.56999999999999995</v>
      </c>
      <c r="W72" s="44">
        <v>0.56999999999999995</v>
      </c>
      <c r="X72" s="44">
        <v>0.56999999999999995</v>
      </c>
      <c r="Y72" s="44">
        <v>0.56999999999999995</v>
      </c>
      <c r="Z72" s="44">
        <v>0.56999999999999995</v>
      </c>
      <c r="AA72" s="44">
        <v>0.56999999999999995</v>
      </c>
      <c r="AB72"/>
      <c r="AC72" s="44">
        <v>0.56999999999999995</v>
      </c>
      <c r="AD72" s="44">
        <v>0.56999999999999995</v>
      </c>
      <c r="AE72" s="44">
        <v>0.56999999999999995</v>
      </c>
      <c r="AF72" s="44">
        <v>0.56999999999999995</v>
      </c>
      <c r="AG72" s="44">
        <v>0.56999999999999995</v>
      </c>
      <c r="AH72" s="44">
        <v>0.56999999999999995</v>
      </c>
      <c r="AI72" s="44">
        <v>0.56999999999999995</v>
      </c>
      <c r="AJ72"/>
      <c r="AK72" s="44">
        <v>0.56999999999999995</v>
      </c>
      <c r="AL72" s="44">
        <v>0.56999999999999995</v>
      </c>
      <c r="AM72" s="44">
        <v>0.56999999999999995</v>
      </c>
      <c r="AN72" s="44">
        <v>0.56999999999999995</v>
      </c>
      <c r="AO72"/>
      <c r="AP72" s="44">
        <v>0.56999999999999995</v>
      </c>
      <c r="AQ72"/>
      <c r="AR72"/>
      <c r="AS72" s="44">
        <v>0.56999999999999995</v>
      </c>
    </row>
    <row r="73" spans="1:45" x14ac:dyDescent="0.25">
      <c r="A73" s="17" t="s">
        <v>48</v>
      </c>
      <c r="B73" s="3" t="s">
        <v>473</v>
      </c>
      <c r="C73" s="3" t="s">
        <v>483</v>
      </c>
      <c r="D73" s="3" t="s">
        <v>521</v>
      </c>
      <c r="E73" s="18" t="s">
        <v>160</v>
      </c>
      <c r="F73" s="18" t="s">
        <v>100</v>
      </c>
      <c r="G73" s="44">
        <v>0.25862068965517243</v>
      </c>
      <c r="I73" s="58"/>
      <c r="J73" s="44">
        <v>0.16</v>
      </c>
      <c r="L73" s="44">
        <v>0.16</v>
      </c>
      <c r="M73" s="44">
        <v>0.16</v>
      </c>
      <c r="N73" s="44">
        <v>0.16</v>
      </c>
      <c r="Q73" s="44">
        <v>0.16</v>
      </c>
      <c r="R73" s="44">
        <v>0.16</v>
      </c>
      <c r="S73" s="44">
        <v>0.16</v>
      </c>
      <c r="T73" s="44">
        <v>0.16</v>
      </c>
      <c r="U73" s="44">
        <v>0.16</v>
      </c>
      <c r="V73" s="44">
        <v>0.16</v>
      </c>
      <c r="W73" s="44">
        <v>0.16</v>
      </c>
      <c r="X73" s="44">
        <v>0.16</v>
      </c>
      <c r="Y73" s="44">
        <v>0.16</v>
      </c>
      <c r="Z73" s="44">
        <v>0.16</v>
      </c>
      <c r="AA73" s="44">
        <v>0.16</v>
      </c>
      <c r="AB73"/>
      <c r="AC73" s="44">
        <v>0.16</v>
      </c>
      <c r="AD73" s="44">
        <v>0.16</v>
      </c>
      <c r="AE73" s="44">
        <v>0.16</v>
      </c>
      <c r="AF73" s="44">
        <v>0.16</v>
      </c>
      <c r="AG73" s="44">
        <v>0.16</v>
      </c>
      <c r="AH73" s="44">
        <v>0.16</v>
      </c>
      <c r="AI73" s="44">
        <v>0.16</v>
      </c>
      <c r="AJ73"/>
      <c r="AK73" s="44">
        <v>0.16</v>
      </c>
      <c r="AL73" s="44">
        <v>0.16</v>
      </c>
      <c r="AM73" s="44">
        <v>0.16</v>
      </c>
      <c r="AN73" s="44">
        <v>0.16</v>
      </c>
      <c r="AO73"/>
      <c r="AP73" s="44">
        <v>0.16</v>
      </c>
      <c r="AQ73"/>
      <c r="AR73"/>
      <c r="AS73" s="44">
        <v>0.16</v>
      </c>
    </row>
    <row r="74" spans="1:45" x14ac:dyDescent="0.25">
      <c r="A74" s="17" t="s">
        <v>49</v>
      </c>
      <c r="B74" s="3" t="s">
        <v>473</v>
      </c>
      <c r="C74" s="3" t="s">
        <v>483</v>
      </c>
      <c r="D74" s="3" t="s">
        <v>521</v>
      </c>
      <c r="E74" s="18" t="s">
        <v>161</v>
      </c>
      <c r="F74" s="18" t="s">
        <v>107</v>
      </c>
      <c r="G74" s="44">
        <v>0</v>
      </c>
      <c r="I74" s="58"/>
      <c r="J74" s="44">
        <v>0</v>
      </c>
      <c r="L74" s="44">
        <v>0</v>
      </c>
      <c r="M74" s="44">
        <v>0</v>
      </c>
      <c r="N74" s="44">
        <v>0</v>
      </c>
      <c r="Q74" s="44">
        <v>0</v>
      </c>
      <c r="R74" s="44">
        <v>0</v>
      </c>
      <c r="S74" s="44">
        <v>0</v>
      </c>
      <c r="T74" s="44">
        <v>0</v>
      </c>
      <c r="U74" s="44">
        <v>0</v>
      </c>
      <c r="V74" s="44">
        <v>0</v>
      </c>
      <c r="W74" s="44">
        <v>0</v>
      </c>
      <c r="X74" s="44">
        <v>0</v>
      </c>
      <c r="Y74" s="44">
        <v>0</v>
      </c>
      <c r="Z74" s="44">
        <v>0</v>
      </c>
      <c r="AA74" s="44">
        <v>0</v>
      </c>
      <c r="AB74"/>
      <c r="AC74" s="44">
        <v>0</v>
      </c>
      <c r="AD74" s="44">
        <v>0</v>
      </c>
      <c r="AE74" s="44">
        <v>0</v>
      </c>
      <c r="AF74" s="44">
        <v>0</v>
      </c>
      <c r="AG74" s="44">
        <v>0</v>
      </c>
      <c r="AH74" s="44">
        <v>0</v>
      </c>
      <c r="AI74" s="44">
        <v>0</v>
      </c>
      <c r="AJ74"/>
      <c r="AK74" s="44">
        <v>0</v>
      </c>
      <c r="AL74" s="44">
        <v>0</v>
      </c>
      <c r="AM74" s="44">
        <v>0</v>
      </c>
      <c r="AN74" s="44">
        <v>0</v>
      </c>
      <c r="AO74"/>
      <c r="AP74" s="44">
        <v>0</v>
      </c>
      <c r="AQ74"/>
      <c r="AR74"/>
      <c r="AS74" s="44">
        <v>0</v>
      </c>
    </row>
    <row r="75" spans="1:45" x14ac:dyDescent="0.25">
      <c r="A75" s="33" t="s">
        <v>50</v>
      </c>
      <c r="B75" s="3" t="s">
        <v>473</v>
      </c>
      <c r="C75" s="3" t="s">
        <v>483</v>
      </c>
      <c r="D75" s="3" t="s">
        <v>521</v>
      </c>
      <c r="E75" s="34" t="s">
        <v>419</v>
      </c>
      <c r="F75" s="34" t="s">
        <v>418</v>
      </c>
      <c r="G75" s="44">
        <v>745476480000</v>
      </c>
      <c r="I75" s="58"/>
      <c r="J75" s="44">
        <v>745476480000</v>
      </c>
      <c r="L75" s="44">
        <v>745476480000</v>
      </c>
      <c r="M75" s="44">
        <v>745476480000</v>
      </c>
      <c r="N75" s="44">
        <v>745476480000</v>
      </c>
      <c r="Q75" s="44">
        <v>745476480000</v>
      </c>
      <c r="R75" s="44">
        <v>745476480000</v>
      </c>
      <c r="S75" s="44">
        <v>745476480000</v>
      </c>
      <c r="T75" s="44">
        <v>745476480000</v>
      </c>
      <c r="U75" s="44">
        <v>745476480000</v>
      </c>
      <c r="V75" s="44">
        <v>745476480000</v>
      </c>
      <c r="W75" s="44">
        <v>745476480000</v>
      </c>
      <c r="X75" s="44">
        <v>745476480000</v>
      </c>
      <c r="Y75" s="44">
        <v>745476480000</v>
      </c>
      <c r="Z75" s="44">
        <v>745476480000</v>
      </c>
      <c r="AA75" s="44">
        <v>745476480000</v>
      </c>
      <c r="AB75"/>
      <c r="AC75" s="44">
        <v>745476480000</v>
      </c>
      <c r="AD75" s="44">
        <v>745476480000</v>
      </c>
      <c r="AE75" s="44">
        <v>745476480000</v>
      </c>
      <c r="AF75" s="44">
        <v>745476480000</v>
      </c>
      <c r="AG75" s="44">
        <v>745476480000</v>
      </c>
      <c r="AH75" s="44">
        <v>745476480000</v>
      </c>
      <c r="AI75" s="44">
        <v>745476480000</v>
      </c>
      <c r="AJ75"/>
      <c r="AK75" s="44">
        <v>745476480000</v>
      </c>
      <c r="AL75" s="44">
        <v>745476480000</v>
      </c>
      <c r="AM75" s="44">
        <v>745476480000</v>
      </c>
      <c r="AN75" s="44">
        <v>745476480000</v>
      </c>
      <c r="AO75"/>
      <c r="AP75" s="44">
        <v>745476480000</v>
      </c>
      <c r="AQ75"/>
      <c r="AR75"/>
      <c r="AS75" s="44">
        <v>745476480000</v>
      </c>
    </row>
    <row r="76" spans="1:45" x14ac:dyDescent="0.25">
      <c r="A76" s="33" t="s">
        <v>204</v>
      </c>
      <c r="B76" s="3" t="s">
        <v>473</v>
      </c>
      <c r="C76" s="3" t="s">
        <v>483</v>
      </c>
      <c r="D76" s="3" t="s">
        <v>521</v>
      </c>
      <c r="E76" s="34" t="s">
        <v>413</v>
      </c>
      <c r="F76" s="34" t="s">
        <v>202</v>
      </c>
      <c r="G76" s="44">
        <v>100</v>
      </c>
      <c r="I76" s="58"/>
      <c r="J76" s="44">
        <v>100</v>
      </c>
      <c r="L76" s="44">
        <v>100</v>
      </c>
      <c r="M76" s="44">
        <v>100</v>
      </c>
      <c r="N76" s="44">
        <v>100</v>
      </c>
      <c r="Q76" s="44">
        <v>100</v>
      </c>
      <c r="R76" s="44">
        <v>100</v>
      </c>
      <c r="S76" s="44">
        <v>100</v>
      </c>
      <c r="T76" s="44">
        <v>100</v>
      </c>
      <c r="U76" s="44">
        <v>100</v>
      </c>
      <c r="V76" s="44">
        <v>100</v>
      </c>
      <c r="W76" s="44">
        <v>100</v>
      </c>
      <c r="X76" s="44">
        <v>100</v>
      </c>
      <c r="Y76" s="44">
        <v>100</v>
      </c>
      <c r="Z76" s="44">
        <v>100</v>
      </c>
      <c r="AA76" s="44">
        <v>100</v>
      </c>
      <c r="AB76"/>
      <c r="AC76" s="44">
        <v>100</v>
      </c>
      <c r="AD76" s="44">
        <v>100</v>
      </c>
      <c r="AE76" s="44">
        <v>100</v>
      </c>
      <c r="AF76" s="44">
        <v>100</v>
      </c>
      <c r="AG76" s="44">
        <v>100</v>
      </c>
      <c r="AH76" s="44">
        <v>100</v>
      </c>
      <c r="AI76" s="44">
        <v>100</v>
      </c>
      <c r="AJ76"/>
      <c r="AK76" s="44">
        <v>100</v>
      </c>
      <c r="AL76" s="44">
        <v>100</v>
      </c>
      <c r="AM76" s="44">
        <v>100</v>
      </c>
      <c r="AN76" s="44">
        <v>100</v>
      </c>
      <c r="AO76"/>
      <c r="AP76" s="44">
        <v>100</v>
      </c>
      <c r="AQ76"/>
      <c r="AR76"/>
      <c r="AS76" s="44">
        <v>100</v>
      </c>
    </row>
    <row r="77" spans="1:45" x14ac:dyDescent="0.25">
      <c r="A77" s="33" t="s">
        <v>414</v>
      </c>
      <c r="B77" s="3" t="s">
        <v>473</v>
      </c>
      <c r="C77" s="3" t="s">
        <v>483</v>
      </c>
      <c r="D77" s="3" t="s">
        <v>521</v>
      </c>
      <c r="E77" s="34" t="s">
        <v>420</v>
      </c>
      <c r="F77" s="34" t="s">
        <v>94</v>
      </c>
      <c r="G77" s="44" t="s">
        <v>86</v>
      </c>
      <c r="I77" s="58"/>
      <c r="J77" s="44" t="s">
        <v>86</v>
      </c>
      <c r="L77" s="44" t="s">
        <v>86</v>
      </c>
      <c r="M77" s="44" t="s">
        <v>86</v>
      </c>
      <c r="N77" s="44" t="s">
        <v>86</v>
      </c>
      <c r="Q77" s="44" t="s">
        <v>86</v>
      </c>
      <c r="R77" s="44" t="s">
        <v>86</v>
      </c>
      <c r="S77" s="44" t="s">
        <v>86</v>
      </c>
      <c r="T77" s="44" t="s">
        <v>86</v>
      </c>
      <c r="U77" s="44" t="s">
        <v>86</v>
      </c>
      <c r="V77" s="44" t="s">
        <v>86</v>
      </c>
      <c r="W77" s="44" t="s">
        <v>86</v>
      </c>
      <c r="X77" s="44" t="s">
        <v>86</v>
      </c>
      <c r="Y77" s="44" t="s">
        <v>86</v>
      </c>
      <c r="Z77" s="44" t="s">
        <v>86</v>
      </c>
      <c r="AA77" s="44" t="s">
        <v>86</v>
      </c>
      <c r="AB77"/>
      <c r="AC77" s="44" t="s">
        <v>86</v>
      </c>
      <c r="AD77" s="44" t="s">
        <v>86</v>
      </c>
      <c r="AE77" s="44" t="s">
        <v>86</v>
      </c>
      <c r="AF77" s="44" t="s">
        <v>86</v>
      </c>
      <c r="AG77" s="44" t="s">
        <v>86</v>
      </c>
      <c r="AH77" s="44" t="s">
        <v>86</v>
      </c>
      <c r="AI77" s="44" t="s">
        <v>86</v>
      </c>
      <c r="AJ77"/>
      <c r="AK77" s="44" t="s">
        <v>86</v>
      </c>
      <c r="AL77" s="44" t="s">
        <v>86</v>
      </c>
      <c r="AM77" s="44" t="s">
        <v>86</v>
      </c>
      <c r="AN77" s="44" t="s">
        <v>86</v>
      </c>
      <c r="AO77"/>
      <c r="AP77" s="44" t="s">
        <v>86</v>
      </c>
      <c r="AQ77"/>
      <c r="AR77"/>
      <c r="AS77" s="44" t="s">
        <v>86</v>
      </c>
    </row>
    <row r="78" spans="1:45" x14ac:dyDescent="0.25">
      <c r="A78" s="33" t="s">
        <v>400</v>
      </c>
      <c r="B78" s="3" t="s">
        <v>473</v>
      </c>
      <c r="C78" s="3" t="s">
        <v>483</v>
      </c>
      <c r="D78" s="3" t="s">
        <v>521</v>
      </c>
      <c r="E78" s="34" t="s">
        <v>403</v>
      </c>
      <c r="F78" s="34" t="s">
        <v>106</v>
      </c>
      <c r="G78" s="44">
        <v>29203.200000000001</v>
      </c>
      <c r="I78" s="58"/>
      <c r="J78" s="44">
        <v>21600</v>
      </c>
      <c r="L78" s="44">
        <v>21600</v>
      </c>
      <c r="M78" s="44">
        <v>21600</v>
      </c>
      <c r="N78" s="44">
        <v>21600</v>
      </c>
      <c r="Q78" s="44">
        <v>21600</v>
      </c>
      <c r="R78" s="44">
        <v>21600</v>
      </c>
      <c r="S78" s="44">
        <v>21600</v>
      </c>
      <c r="T78" s="44">
        <v>21600</v>
      </c>
      <c r="U78" s="44">
        <v>21600</v>
      </c>
      <c r="V78" s="44">
        <v>21600</v>
      </c>
      <c r="W78" s="44">
        <v>21600</v>
      </c>
      <c r="X78" s="44">
        <v>21600</v>
      </c>
      <c r="Y78" s="44">
        <v>21600</v>
      </c>
      <c r="Z78" s="44">
        <v>21600</v>
      </c>
      <c r="AA78" s="44">
        <v>21600</v>
      </c>
      <c r="AB78"/>
      <c r="AC78" s="44">
        <v>21600</v>
      </c>
      <c r="AD78" s="44">
        <v>21600</v>
      </c>
      <c r="AE78" s="44">
        <v>21600</v>
      </c>
      <c r="AF78" s="44">
        <v>21600</v>
      </c>
      <c r="AG78" s="44">
        <v>21600</v>
      </c>
      <c r="AH78" s="44">
        <v>21600</v>
      </c>
      <c r="AI78" s="44">
        <v>21600</v>
      </c>
      <c r="AJ78"/>
      <c r="AK78" s="44">
        <v>21600</v>
      </c>
      <c r="AL78" s="44">
        <v>21600</v>
      </c>
      <c r="AM78" s="44">
        <v>21600</v>
      </c>
      <c r="AN78" s="44">
        <v>21600</v>
      </c>
      <c r="AO78"/>
      <c r="AP78" s="44">
        <v>21600</v>
      </c>
      <c r="AQ78"/>
      <c r="AR78"/>
      <c r="AS78" s="44">
        <v>21600</v>
      </c>
    </row>
    <row r="79" spans="1:45" x14ac:dyDescent="0.25">
      <c r="A79" s="33" t="s">
        <v>410</v>
      </c>
      <c r="B79" s="3" t="s">
        <v>473</v>
      </c>
      <c r="C79" s="3" t="s">
        <v>483</v>
      </c>
      <c r="D79" s="3" t="s">
        <v>521</v>
      </c>
      <c r="E79" s="34" t="s">
        <v>416</v>
      </c>
      <c r="F79" s="34" t="s">
        <v>100</v>
      </c>
      <c r="G79" s="44">
        <v>0.5</v>
      </c>
      <c r="I79" s="58"/>
      <c r="J79" s="44">
        <v>0.5</v>
      </c>
      <c r="L79" s="44">
        <v>0.5</v>
      </c>
      <c r="M79" s="44">
        <v>0.5</v>
      </c>
      <c r="N79" s="44">
        <v>0.5</v>
      </c>
      <c r="Q79" s="44">
        <v>0.5</v>
      </c>
      <c r="R79" s="44">
        <v>0.5</v>
      </c>
      <c r="S79" s="44">
        <v>0.5</v>
      </c>
      <c r="T79" s="44">
        <v>0.5</v>
      </c>
      <c r="U79" s="44">
        <v>0.5</v>
      </c>
      <c r="V79" s="44">
        <v>0.5</v>
      </c>
      <c r="W79" s="44">
        <v>0.5</v>
      </c>
      <c r="X79" s="44">
        <v>0.5</v>
      </c>
      <c r="Y79" s="44">
        <v>0.5</v>
      </c>
      <c r="Z79" s="44">
        <v>0.5</v>
      </c>
      <c r="AA79" s="44">
        <v>0.5</v>
      </c>
      <c r="AB79"/>
      <c r="AC79" s="44">
        <v>0.5</v>
      </c>
      <c r="AD79" s="44">
        <v>0.5</v>
      </c>
      <c r="AE79" s="44">
        <v>0.5</v>
      </c>
      <c r="AF79" s="44">
        <v>0.5</v>
      </c>
      <c r="AG79" s="44">
        <v>0.5</v>
      </c>
      <c r="AH79" s="44">
        <v>0.5</v>
      </c>
      <c r="AI79" s="44">
        <v>0.5</v>
      </c>
      <c r="AJ79"/>
      <c r="AK79" s="44">
        <v>0.5</v>
      </c>
      <c r="AL79" s="44">
        <v>0.5</v>
      </c>
      <c r="AM79" s="44">
        <v>0.5</v>
      </c>
      <c r="AN79" s="44">
        <v>0.5</v>
      </c>
      <c r="AO79"/>
      <c r="AP79" s="44">
        <v>0.5</v>
      </c>
      <c r="AQ79"/>
      <c r="AR79"/>
      <c r="AS79" s="44">
        <v>0.5</v>
      </c>
    </row>
    <row r="80" spans="1:45" x14ac:dyDescent="0.25">
      <c r="A80" s="33" t="s">
        <v>401</v>
      </c>
      <c r="B80" s="3" t="s">
        <v>473</v>
      </c>
      <c r="C80" s="3" t="s">
        <v>483</v>
      </c>
      <c r="D80" s="3" t="s">
        <v>521</v>
      </c>
      <c r="E80" s="34" t="s">
        <v>415</v>
      </c>
      <c r="F80" s="34" t="s">
        <v>106</v>
      </c>
      <c r="G80" s="44">
        <v>387936</v>
      </c>
      <c r="I80" s="58"/>
      <c r="J80" s="44">
        <v>60479.999999999993</v>
      </c>
      <c r="L80" s="44">
        <v>60479.999999999993</v>
      </c>
      <c r="M80" s="44">
        <v>60479.999999999993</v>
      </c>
      <c r="N80" s="44">
        <v>60479.999999999993</v>
      </c>
      <c r="Q80" s="44">
        <v>60479.999999999993</v>
      </c>
      <c r="R80" s="44">
        <v>60479.999999999993</v>
      </c>
      <c r="S80" s="44">
        <v>60479.999999999993</v>
      </c>
      <c r="T80" s="44">
        <v>60479.999999999993</v>
      </c>
      <c r="U80" s="44">
        <v>60479.999999999993</v>
      </c>
      <c r="V80" s="44">
        <v>60479.999999999993</v>
      </c>
      <c r="W80" s="44">
        <v>60479.999999999993</v>
      </c>
      <c r="X80" s="44">
        <v>60479.999999999993</v>
      </c>
      <c r="Y80" s="44">
        <v>60479.999999999993</v>
      </c>
      <c r="Z80" s="44">
        <v>60479.999999999993</v>
      </c>
      <c r="AA80" s="44">
        <v>60479.999999999993</v>
      </c>
      <c r="AB80"/>
      <c r="AC80" s="44">
        <v>60479.999999999993</v>
      </c>
      <c r="AD80" s="44">
        <v>60479.999999999993</v>
      </c>
      <c r="AE80" s="44">
        <v>60479.999999999993</v>
      </c>
      <c r="AF80" s="44">
        <v>60479.999999999993</v>
      </c>
      <c r="AG80" s="44">
        <v>60479.999999999993</v>
      </c>
      <c r="AH80" s="44">
        <v>60479.999999999993</v>
      </c>
      <c r="AI80" s="44">
        <v>60479.999999999993</v>
      </c>
      <c r="AJ80"/>
      <c r="AK80" s="44">
        <v>60479.999999999993</v>
      </c>
      <c r="AL80" s="44">
        <v>60479.999999999993</v>
      </c>
      <c r="AM80" s="44">
        <v>60479.999999999993</v>
      </c>
      <c r="AN80" s="44">
        <v>60479.999999999993</v>
      </c>
      <c r="AO80"/>
      <c r="AP80" s="44">
        <v>60479.999999999993</v>
      </c>
      <c r="AQ80"/>
      <c r="AR80"/>
      <c r="AS80" s="44">
        <v>60479.999999999993</v>
      </c>
    </row>
    <row r="81" spans="1:45" x14ac:dyDescent="0.25">
      <c r="A81" s="33" t="s">
        <v>411</v>
      </c>
      <c r="B81" s="3" t="s">
        <v>473</v>
      </c>
      <c r="C81" s="3" t="s">
        <v>483</v>
      </c>
      <c r="D81" s="3" t="s">
        <v>521</v>
      </c>
      <c r="E81" s="34" t="s">
        <v>417</v>
      </c>
      <c r="F81" s="34" t="s">
        <v>100</v>
      </c>
      <c r="G81" s="44">
        <v>0.85</v>
      </c>
      <c r="I81" s="58"/>
      <c r="J81" s="44">
        <v>0.85</v>
      </c>
      <c r="L81" s="44">
        <v>0.85</v>
      </c>
      <c r="M81" s="44">
        <v>0.85</v>
      </c>
      <c r="N81" s="44">
        <v>0.85</v>
      </c>
      <c r="Q81" s="44">
        <v>0.85</v>
      </c>
      <c r="R81" s="44">
        <v>0.85</v>
      </c>
      <c r="S81" s="44">
        <v>0.85</v>
      </c>
      <c r="T81" s="44">
        <v>0.85</v>
      </c>
      <c r="U81" s="44">
        <v>0.85</v>
      </c>
      <c r="V81" s="44">
        <v>0.85</v>
      </c>
      <c r="W81" s="44">
        <v>0.85</v>
      </c>
      <c r="X81" s="44">
        <v>0.85</v>
      </c>
      <c r="Y81" s="44">
        <v>0.85</v>
      </c>
      <c r="Z81" s="44">
        <v>0.85</v>
      </c>
      <c r="AA81" s="44">
        <v>0.85</v>
      </c>
      <c r="AB81"/>
      <c r="AC81" s="44">
        <v>0.85</v>
      </c>
      <c r="AD81" s="44">
        <v>0.85</v>
      </c>
      <c r="AE81" s="44">
        <v>0.85</v>
      </c>
      <c r="AF81" s="44">
        <v>0.85</v>
      </c>
      <c r="AG81" s="44">
        <v>0.85</v>
      </c>
      <c r="AH81" s="44">
        <v>0.85</v>
      </c>
      <c r="AI81" s="44">
        <v>0.85</v>
      </c>
      <c r="AJ81"/>
      <c r="AK81" s="44">
        <v>0.85</v>
      </c>
      <c r="AL81" s="44">
        <v>0.85</v>
      </c>
      <c r="AM81" s="44">
        <v>0.85</v>
      </c>
      <c r="AN81" s="44">
        <v>0.85</v>
      </c>
      <c r="AO81"/>
      <c r="AP81" s="44">
        <v>0.85</v>
      </c>
      <c r="AQ81"/>
      <c r="AR81"/>
      <c r="AS81" s="44">
        <v>0.85</v>
      </c>
    </row>
    <row r="82" spans="1:45" x14ac:dyDescent="0.25">
      <c r="A82" s="33" t="s">
        <v>402</v>
      </c>
      <c r="B82" s="3" t="s">
        <v>473</v>
      </c>
      <c r="C82" s="3" t="s">
        <v>483</v>
      </c>
      <c r="D82" s="3" t="s">
        <v>521</v>
      </c>
      <c r="E82" s="34" t="s">
        <v>404</v>
      </c>
      <c r="F82" s="34" t="s">
        <v>106</v>
      </c>
      <c r="G82" s="44">
        <v>518400</v>
      </c>
      <c r="I82" s="58"/>
      <c r="J82" s="44">
        <v>518400</v>
      </c>
      <c r="L82" s="44">
        <v>518400</v>
      </c>
      <c r="M82" s="44">
        <v>518400</v>
      </c>
      <c r="N82" s="44">
        <v>518400</v>
      </c>
      <c r="Q82" s="44">
        <v>518400</v>
      </c>
      <c r="R82" s="44">
        <v>518400</v>
      </c>
      <c r="S82" s="44">
        <v>518400</v>
      </c>
      <c r="T82" s="44">
        <v>518400</v>
      </c>
      <c r="U82" s="44">
        <v>518400</v>
      </c>
      <c r="V82" s="44">
        <v>518400</v>
      </c>
      <c r="W82" s="44">
        <v>518400</v>
      </c>
      <c r="X82" s="44">
        <v>518400</v>
      </c>
      <c r="Y82" s="44">
        <v>518400</v>
      </c>
      <c r="Z82" s="44">
        <v>518400</v>
      </c>
      <c r="AA82" s="44">
        <v>518400</v>
      </c>
      <c r="AB82"/>
      <c r="AC82" s="44">
        <v>518400</v>
      </c>
      <c r="AD82" s="44">
        <v>518400</v>
      </c>
      <c r="AE82" s="44">
        <v>518400</v>
      </c>
      <c r="AF82" s="44">
        <v>518400</v>
      </c>
      <c r="AG82" s="44">
        <v>518400</v>
      </c>
      <c r="AH82" s="44">
        <v>518400</v>
      </c>
      <c r="AI82" s="44">
        <v>518400</v>
      </c>
      <c r="AJ82"/>
      <c r="AK82" s="44">
        <v>518400</v>
      </c>
      <c r="AL82" s="44">
        <v>518400</v>
      </c>
      <c r="AM82" s="44">
        <v>518400</v>
      </c>
      <c r="AN82" s="44">
        <v>518400</v>
      </c>
      <c r="AO82"/>
      <c r="AP82" s="44">
        <v>518400</v>
      </c>
      <c r="AQ82"/>
      <c r="AR82"/>
      <c r="AS82" s="44">
        <v>518400</v>
      </c>
    </row>
    <row r="83" spans="1:45" x14ac:dyDescent="0.25">
      <c r="A83" s="33" t="s">
        <v>412</v>
      </c>
      <c r="B83" s="3" t="s">
        <v>473</v>
      </c>
      <c r="C83" s="3" t="s">
        <v>483</v>
      </c>
      <c r="D83" s="3" t="s">
        <v>521</v>
      </c>
      <c r="E83" s="34" t="s">
        <v>405</v>
      </c>
      <c r="F83" s="34" t="s">
        <v>106</v>
      </c>
      <c r="G83" s="44">
        <v>5184000</v>
      </c>
      <c r="I83" s="58"/>
      <c r="J83" s="44">
        <v>5184000</v>
      </c>
      <c r="L83" s="44">
        <v>5184000</v>
      </c>
      <c r="M83" s="44">
        <v>5184000</v>
      </c>
      <c r="N83" s="44">
        <v>5184000</v>
      </c>
      <c r="Q83" s="44">
        <v>5184000</v>
      </c>
      <c r="R83" s="44">
        <v>5184000</v>
      </c>
      <c r="S83" s="44">
        <v>5184000</v>
      </c>
      <c r="T83" s="44">
        <v>5184000</v>
      </c>
      <c r="U83" s="44">
        <v>5184000</v>
      </c>
      <c r="V83" s="44">
        <v>5184000</v>
      </c>
      <c r="W83" s="44">
        <v>5184000</v>
      </c>
      <c r="X83" s="44">
        <v>5184000</v>
      </c>
      <c r="Y83" s="44">
        <v>5184000</v>
      </c>
      <c r="Z83" s="44">
        <v>5184000</v>
      </c>
      <c r="AA83" s="44">
        <v>5184000</v>
      </c>
      <c r="AB83"/>
      <c r="AC83" s="44">
        <v>5184000</v>
      </c>
      <c r="AD83" s="44">
        <v>5184000</v>
      </c>
      <c r="AE83" s="44">
        <v>5184000</v>
      </c>
      <c r="AF83" s="44">
        <v>5184000</v>
      </c>
      <c r="AG83" s="44">
        <v>5184000</v>
      </c>
      <c r="AH83" s="44">
        <v>5184000</v>
      </c>
      <c r="AI83" s="44">
        <v>5184000</v>
      </c>
      <c r="AJ83"/>
      <c r="AK83" s="44">
        <v>5184000</v>
      </c>
      <c r="AL83" s="44">
        <v>5184000</v>
      </c>
      <c r="AM83" s="44">
        <v>5184000</v>
      </c>
      <c r="AN83" s="44">
        <v>5184000</v>
      </c>
      <c r="AO83"/>
      <c r="AP83" s="44">
        <v>5184000</v>
      </c>
      <c r="AQ83"/>
      <c r="AR83"/>
      <c r="AS83" s="44">
        <v>5184000</v>
      </c>
    </row>
    <row r="84" spans="1:45" x14ac:dyDescent="0.25">
      <c r="A84" s="17" t="s">
        <v>51</v>
      </c>
      <c r="B84" s="3" t="s">
        <v>473</v>
      </c>
      <c r="C84" s="3" t="s">
        <v>483</v>
      </c>
      <c r="D84" s="3" t="s">
        <v>521</v>
      </c>
      <c r="E84" s="18" t="s">
        <v>162</v>
      </c>
      <c r="F84" s="18" t="s">
        <v>108</v>
      </c>
      <c r="G84" s="44">
        <v>259200</v>
      </c>
      <c r="I84" s="58"/>
      <c r="J84" s="44">
        <v>50000</v>
      </c>
      <c r="L84" s="44">
        <v>50000</v>
      </c>
      <c r="M84" s="44">
        <v>50000</v>
      </c>
      <c r="N84" s="44">
        <v>50000</v>
      </c>
      <c r="Q84" s="44">
        <v>50000</v>
      </c>
      <c r="R84" s="44">
        <v>50000</v>
      </c>
      <c r="S84" s="44">
        <v>50000</v>
      </c>
      <c r="T84" s="44">
        <v>50000</v>
      </c>
      <c r="U84" s="44">
        <v>50000</v>
      </c>
      <c r="V84" s="44">
        <v>50000</v>
      </c>
      <c r="W84" s="44">
        <v>50000</v>
      </c>
      <c r="X84" s="44">
        <v>50000</v>
      </c>
      <c r="Y84" s="44">
        <v>50000</v>
      </c>
      <c r="Z84" s="44">
        <v>50000</v>
      </c>
      <c r="AA84" s="44">
        <v>50000</v>
      </c>
      <c r="AB84"/>
      <c r="AC84" s="44">
        <v>50000</v>
      </c>
      <c r="AD84" s="44">
        <v>50000</v>
      </c>
      <c r="AE84" s="44">
        <v>50000</v>
      </c>
      <c r="AF84" s="44">
        <v>50000</v>
      </c>
      <c r="AG84" s="44">
        <v>50000</v>
      </c>
      <c r="AH84" s="44">
        <v>50000</v>
      </c>
      <c r="AI84" s="44">
        <v>50000</v>
      </c>
      <c r="AJ84"/>
      <c r="AK84" s="44">
        <v>50000</v>
      </c>
      <c r="AL84" s="44">
        <v>50000</v>
      </c>
      <c r="AM84" s="44">
        <v>50000</v>
      </c>
      <c r="AN84" s="44">
        <v>50000</v>
      </c>
      <c r="AO84"/>
      <c r="AP84" s="44">
        <v>50000</v>
      </c>
      <c r="AQ84"/>
      <c r="AR84"/>
      <c r="AS84" s="44">
        <v>50000</v>
      </c>
    </row>
    <row r="85" spans="1:45" x14ac:dyDescent="0.25">
      <c r="A85" s="17" t="s">
        <v>52</v>
      </c>
      <c r="B85" s="3" t="s">
        <v>473</v>
      </c>
      <c r="C85" s="3" t="s">
        <v>483</v>
      </c>
      <c r="D85" s="3" t="s">
        <v>521</v>
      </c>
      <c r="E85" s="18" t="s">
        <v>163</v>
      </c>
      <c r="F85" s="18" t="s">
        <v>196</v>
      </c>
      <c r="G85" s="44">
        <v>140000</v>
      </c>
      <c r="I85" s="58"/>
      <c r="J85" s="44">
        <v>140000</v>
      </c>
      <c r="L85" s="44">
        <v>140000</v>
      </c>
      <c r="M85" s="44">
        <v>140000</v>
      </c>
      <c r="N85" s="44">
        <v>140000</v>
      </c>
      <c r="Q85" s="44">
        <v>140000</v>
      </c>
      <c r="R85" s="44">
        <v>140000</v>
      </c>
      <c r="S85" s="44">
        <v>140000</v>
      </c>
      <c r="T85" s="44">
        <v>140000</v>
      </c>
      <c r="U85" s="44">
        <v>140000</v>
      </c>
      <c r="V85" s="44">
        <v>140000</v>
      </c>
      <c r="W85" s="44">
        <v>140000</v>
      </c>
      <c r="X85" s="44">
        <v>140000</v>
      </c>
      <c r="Y85" s="44">
        <v>140000</v>
      </c>
      <c r="Z85" s="44">
        <v>140000</v>
      </c>
      <c r="AA85" s="44">
        <v>140000</v>
      </c>
      <c r="AB85"/>
      <c r="AC85" s="44">
        <v>140000</v>
      </c>
      <c r="AD85" s="44">
        <v>140000</v>
      </c>
      <c r="AE85" s="44">
        <v>140000</v>
      </c>
      <c r="AF85" s="44">
        <v>140000</v>
      </c>
      <c r="AG85" s="44">
        <v>140000</v>
      </c>
      <c r="AH85" s="44">
        <v>140000</v>
      </c>
      <c r="AI85" s="44">
        <v>140000</v>
      </c>
      <c r="AJ85"/>
      <c r="AK85" s="44">
        <v>140000</v>
      </c>
      <c r="AL85" s="44">
        <v>140000</v>
      </c>
      <c r="AM85" s="44">
        <v>140000</v>
      </c>
      <c r="AN85" s="44">
        <v>140000</v>
      </c>
      <c r="AO85"/>
      <c r="AP85" s="44">
        <v>140000</v>
      </c>
      <c r="AQ85"/>
      <c r="AR85"/>
      <c r="AS85" s="44">
        <v>140000</v>
      </c>
    </row>
    <row r="86" spans="1:45" x14ac:dyDescent="0.25">
      <c r="A86" s="17" t="s">
        <v>53</v>
      </c>
      <c r="B86" s="3" t="s">
        <v>473</v>
      </c>
      <c r="C86" s="3" t="s">
        <v>483</v>
      </c>
      <c r="D86" s="3" t="s">
        <v>521</v>
      </c>
      <c r="E86" s="18" t="s">
        <v>164</v>
      </c>
      <c r="F86" s="18" t="s">
        <v>197</v>
      </c>
      <c r="G86" s="44">
        <v>3.6636136999999999E-2</v>
      </c>
      <c r="I86" s="58"/>
      <c r="J86" s="44">
        <v>3.6636136999999999E-2</v>
      </c>
      <c r="L86" s="44">
        <v>3.6636136999999999E-2</v>
      </c>
      <c r="M86" s="44">
        <v>3.6636136999999999E-2</v>
      </c>
      <c r="N86" s="44">
        <v>3.6636136999999999E-2</v>
      </c>
      <c r="Q86" s="44">
        <v>3.6636136999999999E-2</v>
      </c>
      <c r="R86" s="44">
        <v>3.6636136999999999E-2</v>
      </c>
      <c r="S86" s="44">
        <v>3.6636136999999999E-2</v>
      </c>
      <c r="T86" s="44">
        <v>3.6636136999999999E-2</v>
      </c>
      <c r="U86" s="44">
        <v>3.6636136999999999E-2</v>
      </c>
      <c r="V86" s="44">
        <v>3.6636136999999999E-2</v>
      </c>
      <c r="W86" s="44">
        <v>3.6636136999999999E-2</v>
      </c>
      <c r="X86" s="44">
        <v>3.6636136999999999E-2</v>
      </c>
      <c r="Y86" s="44">
        <v>3.6636136999999999E-2</v>
      </c>
      <c r="Z86" s="44">
        <v>3.6636136999999999E-2</v>
      </c>
      <c r="AA86" s="44">
        <v>3.6636136999999999E-2</v>
      </c>
      <c r="AB86"/>
      <c r="AC86" s="44">
        <v>3.6636136999999999E-2</v>
      </c>
      <c r="AD86" s="44">
        <v>3.6636136999999999E-2</v>
      </c>
      <c r="AE86" s="44">
        <v>3.6636136999999999E-2</v>
      </c>
      <c r="AF86" s="44">
        <v>3.6636136999999999E-2</v>
      </c>
      <c r="AG86" s="44">
        <v>3.6636136999999999E-2</v>
      </c>
      <c r="AH86" s="44">
        <v>3.6636136999999999E-2</v>
      </c>
      <c r="AI86" s="44">
        <v>3.6636136999999999E-2</v>
      </c>
      <c r="AJ86"/>
      <c r="AK86" s="44">
        <v>3.6636136999999999E-2</v>
      </c>
      <c r="AL86" s="44">
        <v>3.6636136999999999E-2</v>
      </c>
      <c r="AM86" s="44">
        <v>3.6636136999999999E-2</v>
      </c>
      <c r="AN86" s="44">
        <v>3.6636136999999999E-2</v>
      </c>
      <c r="AO86"/>
      <c r="AP86" s="44">
        <v>3.6636136999999999E-2</v>
      </c>
      <c r="AQ86"/>
      <c r="AR86"/>
      <c r="AS86" s="44">
        <v>3.6636136999999999E-2</v>
      </c>
    </row>
    <row r="87" spans="1:45" x14ac:dyDescent="0.25">
      <c r="A87" s="17" t="s">
        <v>54</v>
      </c>
      <c r="B87" s="3" t="s">
        <v>473</v>
      </c>
      <c r="C87" s="3" t="s">
        <v>483</v>
      </c>
      <c r="D87" s="3" t="s">
        <v>521</v>
      </c>
      <c r="E87" s="18" t="s">
        <v>165</v>
      </c>
      <c r="F87" s="18" t="s">
        <v>98</v>
      </c>
      <c r="G87" s="44">
        <v>4.4999999999999997E-3</v>
      </c>
      <c r="I87" s="58"/>
      <c r="J87" s="44">
        <v>4.4999999999999997E-3</v>
      </c>
      <c r="L87" s="44">
        <v>4.4999999999999997E-3</v>
      </c>
      <c r="M87" s="44">
        <v>4.4999999999999997E-3</v>
      </c>
      <c r="N87" s="44">
        <v>4.4999999999999997E-3</v>
      </c>
      <c r="Q87" s="44">
        <v>4.4999999999999997E-3</v>
      </c>
      <c r="R87" s="44">
        <v>4.4999999999999997E-3</v>
      </c>
      <c r="S87" s="44">
        <v>4.4999999999999997E-3</v>
      </c>
      <c r="T87" s="44">
        <v>4.4999999999999997E-3</v>
      </c>
      <c r="U87" s="44">
        <v>4.4999999999999997E-3</v>
      </c>
      <c r="V87" s="44">
        <v>4.4999999999999997E-3</v>
      </c>
      <c r="W87" s="44">
        <v>4.4999999999999997E-3</v>
      </c>
      <c r="X87" s="44">
        <v>4.4999999999999997E-3</v>
      </c>
      <c r="Y87" s="44">
        <v>4.4999999999999997E-3</v>
      </c>
      <c r="Z87" s="44">
        <v>4.4999999999999997E-3</v>
      </c>
      <c r="AA87" s="44">
        <v>4.4999999999999997E-3</v>
      </c>
      <c r="AB87"/>
      <c r="AC87" s="44">
        <v>4.4999999999999997E-3</v>
      </c>
      <c r="AD87" s="44">
        <v>4.4999999999999997E-3</v>
      </c>
      <c r="AE87" s="44">
        <v>4.4999999999999997E-3</v>
      </c>
      <c r="AF87" s="44">
        <v>4.4999999999999997E-3</v>
      </c>
      <c r="AG87" s="44">
        <v>4.4999999999999997E-3</v>
      </c>
      <c r="AH87" s="44">
        <v>4.4999999999999997E-3</v>
      </c>
      <c r="AI87" s="44">
        <v>4.4999999999999997E-3</v>
      </c>
      <c r="AJ87"/>
      <c r="AK87" s="44">
        <v>4.4999999999999997E-3</v>
      </c>
      <c r="AL87" s="44">
        <v>4.4999999999999997E-3</v>
      </c>
      <c r="AM87" s="44">
        <v>4.4999999999999997E-3</v>
      </c>
      <c r="AN87" s="44">
        <v>4.4999999999999997E-3</v>
      </c>
      <c r="AO87"/>
      <c r="AP87" s="44">
        <v>4.4999999999999997E-3</v>
      </c>
      <c r="AQ87"/>
      <c r="AR87"/>
      <c r="AS87" s="44">
        <v>4.4999999999999997E-3</v>
      </c>
    </row>
    <row r="88" spans="1:45" x14ac:dyDescent="0.25">
      <c r="A88" s="17" t="s">
        <v>55</v>
      </c>
      <c r="B88" s="3" t="s">
        <v>473</v>
      </c>
      <c r="C88" s="3" t="s">
        <v>483</v>
      </c>
      <c r="D88" s="3" t="s">
        <v>521</v>
      </c>
      <c r="E88" s="18" t="s">
        <v>166</v>
      </c>
      <c r="F88" s="18" t="s">
        <v>100</v>
      </c>
      <c r="G88" s="44">
        <v>0.05</v>
      </c>
      <c r="I88" s="58"/>
      <c r="J88" s="44">
        <v>0.05</v>
      </c>
      <c r="L88" s="44">
        <v>0.05</v>
      </c>
      <c r="M88" s="44">
        <v>0.05</v>
      </c>
      <c r="N88" s="44">
        <v>0.05</v>
      </c>
      <c r="Q88" s="44">
        <v>0.05</v>
      </c>
      <c r="R88" s="44">
        <v>0.05</v>
      </c>
      <c r="S88" s="44">
        <v>0.05</v>
      </c>
      <c r="T88" s="44">
        <v>0.05</v>
      </c>
      <c r="U88" s="44">
        <v>0.05</v>
      </c>
      <c r="V88" s="44">
        <v>0.05</v>
      </c>
      <c r="W88" s="44">
        <v>0.05</v>
      </c>
      <c r="X88" s="44">
        <v>0.05</v>
      </c>
      <c r="Y88" s="44">
        <v>0.05</v>
      </c>
      <c r="Z88" s="44">
        <v>0.05</v>
      </c>
      <c r="AA88" s="44">
        <v>0.05</v>
      </c>
      <c r="AB88"/>
      <c r="AC88" s="44">
        <v>0.05</v>
      </c>
      <c r="AD88" s="44">
        <v>0.05</v>
      </c>
      <c r="AE88" s="44">
        <v>0.05</v>
      </c>
      <c r="AF88" s="44">
        <v>0.05</v>
      </c>
      <c r="AG88" s="44">
        <v>0.05</v>
      </c>
      <c r="AH88" s="44">
        <v>0.05</v>
      </c>
      <c r="AI88" s="44">
        <v>0.05</v>
      </c>
      <c r="AJ88"/>
      <c r="AK88" s="44">
        <v>0.05</v>
      </c>
      <c r="AL88" s="44">
        <v>0.05</v>
      </c>
      <c r="AM88" s="44">
        <v>0.05</v>
      </c>
      <c r="AN88" s="44">
        <v>0.05</v>
      </c>
      <c r="AO88"/>
      <c r="AP88" s="44">
        <v>0.05</v>
      </c>
      <c r="AQ88"/>
      <c r="AR88"/>
      <c r="AS88" s="44">
        <v>0.05</v>
      </c>
    </row>
    <row r="89" spans="1:45" x14ac:dyDescent="0.25">
      <c r="A89" s="19" t="s">
        <v>213</v>
      </c>
      <c r="B89" s="3" t="s">
        <v>473</v>
      </c>
      <c r="C89" s="3" t="s">
        <v>483</v>
      </c>
      <c r="D89" s="3" t="s">
        <v>521</v>
      </c>
      <c r="E89" s="20" t="s">
        <v>290</v>
      </c>
      <c r="F89" s="20" t="s">
        <v>98</v>
      </c>
      <c r="G89" s="44">
        <v>6.0000000000000002E-6</v>
      </c>
      <c r="I89" s="58"/>
      <c r="J89" s="44">
        <v>6.0000000000000002E-6</v>
      </c>
      <c r="L89" s="44">
        <v>6.0000000000000002E-6</v>
      </c>
      <c r="M89" s="44">
        <v>6.0000000000000002E-6</v>
      </c>
      <c r="N89" s="44">
        <v>6.0000000000000002E-6</v>
      </c>
      <c r="Q89" s="44">
        <v>6.0000000000000002E-6</v>
      </c>
      <c r="R89" s="44">
        <v>6.0000000000000002E-6</v>
      </c>
      <c r="S89" s="44">
        <v>6.0000000000000002E-6</v>
      </c>
      <c r="T89" s="44">
        <v>6.0000000000000002E-6</v>
      </c>
      <c r="U89" s="44">
        <v>6.0000000000000002E-6</v>
      </c>
      <c r="V89" s="44">
        <v>6.0000000000000002E-6</v>
      </c>
      <c r="W89" s="44">
        <v>6.0000000000000002E-6</v>
      </c>
      <c r="X89" s="44">
        <v>6.0000000000000002E-6</v>
      </c>
      <c r="Y89" s="44">
        <v>6.0000000000000002E-6</v>
      </c>
      <c r="Z89" s="44">
        <v>6.0000000000000002E-6</v>
      </c>
      <c r="AA89" s="44">
        <v>6.0000000000000002E-6</v>
      </c>
      <c r="AB89"/>
      <c r="AC89" s="44">
        <v>6.0000000000000002E-6</v>
      </c>
      <c r="AD89" s="44">
        <v>6.0000000000000002E-6</v>
      </c>
      <c r="AE89" s="44">
        <v>6.0000000000000002E-6</v>
      </c>
      <c r="AF89" s="44">
        <v>6.0000000000000002E-6</v>
      </c>
      <c r="AG89" s="44">
        <v>6.0000000000000002E-6</v>
      </c>
      <c r="AH89" s="44">
        <v>6.0000000000000002E-6</v>
      </c>
      <c r="AI89" s="44">
        <v>6.0000000000000002E-6</v>
      </c>
      <c r="AJ89"/>
      <c r="AK89" s="44">
        <v>6.0000000000000002E-6</v>
      </c>
      <c r="AL89" s="44">
        <v>6.0000000000000002E-6</v>
      </c>
      <c r="AM89" s="44">
        <v>6.0000000000000002E-6</v>
      </c>
      <c r="AN89" s="44">
        <v>6.0000000000000002E-6</v>
      </c>
      <c r="AO89"/>
      <c r="AP89" s="44">
        <v>6.0000000000000002E-6</v>
      </c>
      <c r="AQ89"/>
      <c r="AR89"/>
      <c r="AS89" s="44">
        <v>6.0000000000000002E-6</v>
      </c>
    </row>
    <row r="90" spans="1:45" x14ac:dyDescent="0.25">
      <c r="A90" s="19" t="s">
        <v>214</v>
      </c>
      <c r="B90" s="3" t="s">
        <v>473</v>
      </c>
      <c r="C90" s="3" t="s">
        <v>483</v>
      </c>
      <c r="D90" s="3" t="s">
        <v>521</v>
      </c>
      <c r="E90" s="20" t="s">
        <v>291</v>
      </c>
      <c r="F90" s="20" t="s">
        <v>98</v>
      </c>
      <c r="G90" s="44">
        <v>1E-3</v>
      </c>
      <c r="I90" s="58"/>
      <c r="J90" s="44">
        <v>1E-3</v>
      </c>
      <c r="L90" s="44">
        <v>1E-3</v>
      </c>
      <c r="M90" s="44">
        <v>1E-3</v>
      </c>
      <c r="N90" s="44">
        <v>1E-3</v>
      </c>
      <c r="Q90" s="44">
        <v>1E-3</v>
      </c>
      <c r="R90" s="44">
        <v>1E-3</v>
      </c>
      <c r="S90" s="44">
        <v>1E-3</v>
      </c>
      <c r="T90" s="44">
        <v>1E-3</v>
      </c>
      <c r="U90" s="44">
        <v>1E-3</v>
      </c>
      <c r="V90" s="44">
        <v>1E-3</v>
      </c>
      <c r="W90" s="44">
        <v>1E-3</v>
      </c>
      <c r="X90" s="44">
        <v>1E-3</v>
      </c>
      <c r="Y90" s="44">
        <v>1E-3</v>
      </c>
      <c r="Z90" s="44">
        <v>1E-3</v>
      </c>
      <c r="AA90" s="44">
        <v>1E-3</v>
      </c>
      <c r="AB90"/>
      <c r="AC90" s="44">
        <v>1E-3</v>
      </c>
      <c r="AD90" s="44">
        <v>1E-3</v>
      </c>
      <c r="AE90" s="44">
        <v>1E-3</v>
      </c>
      <c r="AF90" s="44">
        <v>1E-3</v>
      </c>
      <c r="AG90" s="44">
        <v>1E-3</v>
      </c>
      <c r="AH90" s="44">
        <v>1E-3</v>
      </c>
      <c r="AI90" s="44">
        <v>1E-3</v>
      </c>
      <c r="AJ90"/>
      <c r="AK90" s="44">
        <v>1E-3</v>
      </c>
      <c r="AL90" s="44">
        <v>1E-3</v>
      </c>
      <c r="AM90" s="44">
        <v>1E-3</v>
      </c>
      <c r="AN90" s="44">
        <v>1E-3</v>
      </c>
      <c r="AO90"/>
      <c r="AP90" s="44">
        <v>1E-3</v>
      </c>
      <c r="AQ90"/>
      <c r="AR90"/>
      <c r="AS90" s="44">
        <v>1E-3</v>
      </c>
    </row>
    <row r="91" spans="1:45" x14ac:dyDescent="0.25">
      <c r="A91" s="19" t="s">
        <v>215</v>
      </c>
      <c r="B91" s="3" t="s">
        <v>473</v>
      </c>
      <c r="C91" s="3" t="s">
        <v>483</v>
      </c>
      <c r="D91" s="3" t="s">
        <v>521</v>
      </c>
      <c r="E91" s="20" t="s">
        <v>295</v>
      </c>
      <c r="F91" s="20" t="s">
        <v>294</v>
      </c>
      <c r="G91" s="44">
        <v>374999999.99999994</v>
      </c>
      <c r="I91" s="58"/>
      <c r="J91" s="44">
        <v>374999999.99999994</v>
      </c>
      <c r="L91" s="44">
        <v>374999999.99999994</v>
      </c>
      <c r="M91" s="44">
        <v>374999999.99999994</v>
      </c>
      <c r="N91" s="44">
        <v>374999999.99999994</v>
      </c>
      <c r="Q91" s="44">
        <v>374999999.99999994</v>
      </c>
      <c r="R91" s="44">
        <v>374999999.99999994</v>
      </c>
      <c r="S91" s="44">
        <v>374999999.99999994</v>
      </c>
      <c r="T91" s="44">
        <v>374999999.99999994</v>
      </c>
      <c r="U91" s="44">
        <v>374999999.99999994</v>
      </c>
      <c r="V91" s="44">
        <v>374999999.99999994</v>
      </c>
      <c r="W91" s="44">
        <v>374999999.99999994</v>
      </c>
      <c r="X91" s="44">
        <v>374999999.99999994</v>
      </c>
      <c r="Y91" s="44">
        <v>374999999.99999994</v>
      </c>
      <c r="Z91" s="44">
        <v>374999999.99999994</v>
      </c>
      <c r="AA91" s="44">
        <v>374999999.99999994</v>
      </c>
      <c r="AB91"/>
      <c r="AC91" s="44">
        <v>374999999.99999994</v>
      </c>
      <c r="AD91" s="44">
        <v>374999999.99999994</v>
      </c>
      <c r="AE91" s="44">
        <v>374999999.99999994</v>
      </c>
      <c r="AF91" s="44">
        <v>374999999.99999994</v>
      </c>
      <c r="AG91" s="44">
        <v>374999999.99999994</v>
      </c>
      <c r="AH91" s="44">
        <v>374999999.99999994</v>
      </c>
      <c r="AI91" s="44">
        <v>374999999.99999994</v>
      </c>
      <c r="AJ91"/>
      <c r="AK91" s="44">
        <v>374999999.99999994</v>
      </c>
      <c r="AL91" s="44">
        <v>374999999.99999994</v>
      </c>
      <c r="AM91" s="44">
        <v>374999999.99999994</v>
      </c>
      <c r="AN91" s="44">
        <v>374999999.99999994</v>
      </c>
      <c r="AO91"/>
      <c r="AP91" s="44">
        <v>374999999.99999994</v>
      </c>
      <c r="AQ91"/>
      <c r="AR91"/>
      <c r="AS91" s="44">
        <v>374999999.99999994</v>
      </c>
    </row>
    <row r="92" spans="1:45" x14ac:dyDescent="0.25">
      <c r="A92" s="19" t="s">
        <v>216</v>
      </c>
      <c r="B92" s="3" t="s">
        <v>473</v>
      </c>
      <c r="C92" s="3" t="s">
        <v>483</v>
      </c>
      <c r="D92" s="3" t="s">
        <v>521</v>
      </c>
      <c r="E92" s="20" t="s">
        <v>292</v>
      </c>
      <c r="F92" s="20" t="s">
        <v>297</v>
      </c>
      <c r="G92" s="44">
        <v>3.7037037037037038E-3</v>
      </c>
      <c r="I92" s="58"/>
      <c r="J92" s="44">
        <v>3.7037037037037038E-3</v>
      </c>
      <c r="L92" s="44">
        <v>3.7037037037037038E-3</v>
      </c>
      <c r="M92" s="44">
        <v>3.7037037037037038E-3</v>
      </c>
      <c r="N92" s="44">
        <v>3.7037037037037038E-3</v>
      </c>
      <c r="Q92" s="44">
        <v>3.7037037037037038E-3</v>
      </c>
      <c r="R92" s="44">
        <v>3.7037037037037038E-3</v>
      </c>
      <c r="S92" s="44">
        <v>3.7037037037037038E-3</v>
      </c>
      <c r="T92" s="44">
        <v>3.7037037037037038E-3</v>
      </c>
      <c r="U92" s="44">
        <v>3.7037037037037038E-3</v>
      </c>
      <c r="V92" s="44">
        <v>3.7037037037037038E-3</v>
      </c>
      <c r="W92" s="44">
        <v>3.7037037037037038E-3</v>
      </c>
      <c r="X92" s="44">
        <v>3.7037037037037038E-3</v>
      </c>
      <c r="Y92" s="44">
        <v>3.7037037037037038E-3</v>
      </c>
      <c r="Z92" s="44">
        <v>3.7037037037037038E-3</v>
      </c>
      <c r="AA92" s="44">
        <v>3.7037037037037038E-3</v>
      </c>
      <c r="AB92"/>
      <c r="AC92" s="44">
        <v>3.7037037037037038E-3</v>
      </c>
      <c r="AD92" s="44">
        <v>3.7037037037037038E-3</v>
      </c>
      <c r="AE92" s="44">
        <v>3.7037037037037038E-3</v>
      </c>
      <c r="AF92" s="44">
        <v>3.7037037037037038E-3</v>
      </c>
      <c r="AG92" s="44">
        <v>3.7037037037037038E-3</v>
      </c>
      <c r="AH92" s="44">
        <v>3.7037037037037038E-3</v>
      </c>
      <c r="AI92" s="44">
        <v>3.7037037037037038E-3</v>
      </c>
      <c r="AJ92"/>
      <c r="AK92" s="44">
        <v>3.7037037037037038E-3</v>
      </c>
      <c r="AL92" s="44">
        <v>3.7037037037037038E-3</v>
      </c>
      <c r="AM92" s="44">
        <v>3.7037037037037038E-3</v>
      </c>
      <c r="AN92" s="44">
        <v>3.7037037037037038E-3</v>
      </c>
      <c r="AO92"/>
      <c r="AP92" s="44">
        <v>3.7037037037037038E-3</v>
      </c>
      <c r="AQ92"/>
      <c r="AR92"/>
      <c r="AS92" s="44">
        <v>3.7037037037037038E-3</v>
      </c>
    </row>
    <row r="93" spans="1:45" x14ac:dyDescent="0.25">
      <c r="A93" s="19" t="s">
        <v>217</v>
      </c>
      <c r="B93" s="3" t="s">
        <v>473</v>
      </c>
      <c r="C93" s="3" t="s">
        <v>483</v>
      </c>
      <c r="D93" s="3" t="s">
        <v>521</v>
      </c>
      <c r="E93" s="20" t="s">
        <v>293</v>
      </c>
      <c r="F93" s="20" t="s">
        <v>296</v>
      </c>
      <c r="G93" s="44">
        <v>165600</v>
      </c>
      <c r="I93" s="58"/>
      <c r="J93" s="44">
        <v>165600</v>
      </c>
      <c r="L93" s="44">
        <v>165600</v>
      </c>
      <c r="M93" s="44">
        <v>165600</v>
      </c>
      <c r="N93" s="44">
        <v>165600</v>
      </c>
      <c r="Q93" s="44">
        <v>165600</v>
      </c>
      <c r="R93" s="44">
        <v>165600</v>
      </c>
      <c r="S93" s="44">
        <v>165600</v>
      </c>
      <c r="T93" s="44">
        <v>165600</v>
      </c>
      <c r="U93" s="44">
        <v>165600</v>
      </c>
      <c r="V93" s="44">
        <v>165600</v>
      </c>
      <c r="W93" s="44">
        <v>165600</v>
      </c>
      <c r="X93" s="44">
        <v>165600</v>
      </c>
      <c r="Y93" s="44">
        <v>165600</v>
      </c>
      <c r="Z93" s="44">
        <v>165600</v>
      </c>
      <c r="AA93" s="44">
        <v>165600</v>
      </c>
      <c r="AB93"/>
      <c r="AC93" s="44">
        <v>165600</v>
      </c>
      <c r="AD93" s="44">
        <v>165600</v>
      </c>
      <c r="AE93" s="44">
        <v>165600</v>
      </c>
      <c r="AF93" s="44">
        <v>165600</v>
      </c>
      <c r="AG93" s="44">
        <v>165600</v>
      </c>
      <c r="AH93" s="44">
        <v>165600</v>
      </c>
      <c r="AI93" s="44">
        <v>165600</v>
      </c>
      <c r="AJ93"/>
      <c r="AK93" s="44">
        <v>165600</v>
      </c>
      <c r="AL93" s="44">
        <v>165600</v>
      </c>
      <c r="AM93" s="44">
        <v>165600</v>
      </c>
      <c r="AN93" s="44">
        <v>165600</v>
      </c>
      <c r="AO93"/>
      <c r="AP93" s="44">
        <v>165600</v>
      </c>
      <c r="AQ93"/>
      <c r="AR93"/>
      <c r="AS93" s="44">
        <v>165600</v>
      </c>
    </row>
    <row r="94" spans="1:45" x14ac:dyDescent="0.25">
      <c r="A94" s="13" t="s">
        <v>60</v>
      </c>
      <c r="B94" s="3" t="s">
        <v>473</v>
      </c>
      <c r="C94" s="3" t="s">
        <v>483</v>
      </c>
      <c r="D94" s="3" t="s">
        <v>521</v>
      </c>
      <c r="E94" s="14" t="s">
        <v>171</v>
      </c>
      <c r="F94" s="14" t="s">
        <v>109</v>
      </c>
      <c r="G94" s="44">
        <v>20</v>
      </c>
      <c r="I94" s="58"/>
      <c r="J94" s="44">
        <v>20</v>
      </c>
      <c r="L94" s="44">
        <v>20</v>
      </c>
      <c r="M94" s="44">
        <v>20</v>
      </c>
      <c r="N94" s="44">
        <v>20</v>
      </c>
      <c r="Q94" s="44">
        <v>20</v>
      </c>
      <c r="R94" s="44">
        <v>20</v>
      </c>
      <c r="S94" s="44">
        <v>20</v>
      </c>
      <c r="T94" s="44">
        <v>20</v>
      </c>
      <c r="U94" s="44">
        <v>20</v>
      </c>
      <c r="V94" s="44">
        <v>20</v>
      </c>
      <c r="W94" s="44">
        <v>20</v>
      </c>
      <c r="X94" s="44">
        <v>20</v>
      </c>
      <c r="Y94" s="44">
        <v>20</v>
      </c>
      <c r="Z94" s="44">
        <v>20</v>
      </c>
      <c r="AA94" s="44">
        <v>20</v>
      </c>
      <c r="AB94"/>
      <c r="AC94" s="44">
        <v>20</v>
      </c>
      <c r="AD94" s="44">
        <v>20</v>
      </c>
      <c r="AE94" s="44">
        <v>20</v>
      </c>
      <c r="AF94" s="44">
        <v>20</v>
      </c>
      <c r="AG94" s="44">
        <v>20</v>
      </c>
      <c r="AH94" s="44">
        <v>20</v>
      </c>
      <c r="AI94" s="44">
        <v>20</v>
      </c>
      <c r="AJ94"/>
      <c r="AK94" s="44">
        <v>20</v>
      </c>
      <c r="AL94" s="44">
        <v>20</v>
      </c>
      <c r="AM94" s="44">
        <v>20</v>
      </c>
      <c r="AN94" s="44">
        <v>20</v>
      </c>
      <c r="AO94"/>
      <c r="AP94" s="44">
        <v>20</v>
      </c>
      <c r="AQ94"/>
      <c r="AR94"/>
      <c r="AS94" s="44">
        <v>20</v>
      </c>
    </row>
    <row r="95" spans="1:45" x14ac:dyDescent="0.25">
      <c r="A95" s="13" t="s">
        <v>208</v>
      </c>
      <c r="B95" s="3" t="s">
        <v>473</v>
      </c>
      <c r="C95" s="3" t="s">
        <v>483</v>
      </c>
      <c r="D95" s="3" t="s">
        <v>521</v>
      </c>
      <c r="E95" s="14" t="s">
        <v>289</v>
      </c>
      <c r="F95" s="14" t="s">
        <v>100</v>
      </c>
      <c r="G95" s="44">
        <v>1</v>
      </c>
      <c r="I95" s="58"/>
      <c r="J95" s="44">
        <v>1</v>
      </c>
      <c r="L95" s="44">
        <v>1</v>
      </c>
      <c r="M95" s="44">
        <v>1</v>
      </c>
      <c r="N95" s="44">
        <v>1</v>
      </c>
      <c r="Q95" s="44">
        <v>1</v>
      </c>
      <c r="R95" s="44">
        <v>1</v>
      </c>
      <c r="S95" s="44">
        <v>1</v>
      </c>
      <c r="T95" s="44">
        <v>1</v>
      </c>
      <c r="U95" s="44">
        <v>1</v>
      </c>
      <c r="V95" s="44">
        <v>1</v>
      </c>
      <c r="W95" s="44">
        <v>1</v>
      </c>
      <c r="X95" s="44">
        <v>1</v>
      </c>
      <c r="Y95" s="44">
        <v>1</v>
      </c>
      <c r="Z95" s="44">
        <v>1</v>
      </c>
      <c r="AA95" s="44">
        <v>1</v>
      </c>
      <c r="AB95"/>
      <c r="AC95" s="44">
        <v>1</v>
      </c>
      <c r="AD95" s="44">
        <v>1</v>
      </c>
      <c r="AE95" s="44">
        <v>1</v>
      </c>
      <c r="AF95" s="44">
        <v>1</v>
      </c>
      <c r="AG95" s="44">
        <v>1</v>
      </c>
      <c r="AH95" s="44">
        <v>1</v>
      </c>
      <c r="AI95" s="44">
        <v>1</v>
      </c>
      <c r="AJ95"/>
      <c r="AK95" s="44">
        <v>1</v>
      </c>
      <c r="AL95" s="44">
        <v>1</v>
      </c>
      <c r="AM95" s="44">
        <v>1</v>
      </c>
      <c r="AN95" s="44">
        <v>1</v>
      </c>
      <c r="AO95"/>
      <c r="AP95" s="44">
        <v>1</v>
      </c>
      <c r="AQ95"/>
      <c r="AR95"/>
      <c r="AS95" s="44">
        <v>1</v>
      </c>
    </row>
    <row r="96" spans="1:45" x14ac:dyDescent="0.25">
      <c r="A96" s="13" t="s">
        <v>59</v>
      </c>
      <c r="B96" s="3" t="s">
        <v>473</v>
      </c>
      <c r="C96" s="3" t="s">
        <v>483</v>
      </c>
      <c r="D96" s="3" t="s">
        <v>521</v>
      </c>
      <c r="E96" s="14" t="s">
        <v>170</v>
      </c>
      <c r="F96" s="14" t="s">
        <v>102</v>
      </c>
      <c r="G96" s="44">
        <v>21</v>
      </c>
      <c r="I96" s="58"/>
      <c r="J96" s="44">
        <v>21</v>
      </c>
      <c r="L96" s="44">
        <v>21</v>
      </c>
      <c r="M96" s="44">
        <v>21</v>
      </c>
      <c r="N96" s="44">
        <v>21</v>
      </c>
      <c r="Q96" s="44">
        <v>21</v>
      </c>
      <c r="R96" s="44">
        <v>21</v>
      </c>
      <c r="S96" s="44">
        <v>21</v>
      </c>
      <c r="T96" s="44">
        <v>21</v>
      </c>
      <c r="U96" s="44">
        <v>21</v>
      </c>
      <c r="V96" s="44">
        <v>21</v>
      </c>
      <c r="W96" s="44">
        <v>21</v>
      </c>
      <c r="X96" s="44">
        <v>21</v>
      </c>
      <c r="Y96" s="44">
        <v>21</v>
      </c>
      <c r="Z96" s="44">
        <v>21</v>
      </c>
      <c r="AA96" s="44">
        <v>21</v>
      </c>
      <c r="AB96"/>
      <c r="AC96" s="44">
        <v>21</v>
      </c>
      <c r="AD96" s="44">
        <v>21</v>
      </c>
      <c r="AE96" s="44">
        <v>21</v>
      </c>
      <c r="AF96" s="44">
        <v>21</v>
      </c>
      <c r="AG96" s="44">
        <v>21</v>
      </c>
      <c r="AH96" s="44">
        <v>21</v>
      </c>
      <c r="AI96" s="44">
        <v>21</v>
      </c>
      <c r="AJ96"/>
      <c r="AK96" s="44">
        <v>21</v>
      </c>
      <c r="AL96" s="44">
        <v>21</v>
      </c>
      <c r="AM96" s="44">
        <v>21</v>
      </c>
      <c r="AN96" s="44">
        <v>21</v>
      </c>
      <c r="AO96"/>
      <c r="AP96" s="44">
        <v>21</v>
      </c>
      <c r="AQ96"/>
      <c r="AR96"/>
      <c r="AS96" s="44">
        <v>21</v>
      </c>
    </row>
    <row r="97" spans="1:45" x14ac:dyDescent="0.25">
      <c r="A97" s="23" t="s">
        <v>65</v>
      </c>
      <c r="B97" s="3" t="s">
        <v>473</v>
      </c>
      <c r="C97" s="3" t="s">
        <v>483</v>
      </c>
      <c r="D97" s="3" t="s">
        <v>521</v>
      </c>
      <c r="E97" s="24" t="s">
        <v>176</v>
      </c>
      <c r="F97" s="24" t="s">
        <v>182</v>
      </c>
      <c r="G97" s="44">
        <v>0.64</v>
      </c>
      <c r="I97" s="58"/>
      <c r="J97" s="44">
        <v>0.64</v>
      </c>
      <c r="L97" s="44">
        <v>0.64</v>
      </c>
      <c r="M97" s="44">
        <v>0.64</v>
      </c>
      <c r="N97" s="44">
        <v>0.64</v>
      </c>
      <c r="Q97" s="44">
        <v>0.64</v>
      </c>
      <c r="R97" s="44">
        <v>0.64</v>
      </c>
      <c r="S97" s="44">
        <v>0.64</v>
      </c>
      <c r="T97" s="44">
        <v>0.64</v>
      </c>
      <c r="U97" s="44">
        <v>0.64</v>
      </c>
      <c r="V97" s="44">
        <v>0.64</v>
      </c>
      <c r="W97" s="44">
        <v>0.64</v>
      </c>
      <c r="X97" s="44">
        <v>0.64</v>
      </c>
      <c r="Y97" s="44">
        <v>0.64</v>
      </c>
      <c r="Z97" s="44">
        <v>0.64</v>
      </c>
      <c r="AA97" s="44">
        <v>0.64</v>
      </c>
      <c r="AB97"/>
      <c r="AC97" s="44">
        <v>0.64</v>
      </c>
      <c r="AD97" s="44">
        <v>0.64</v>
      </c>
      <c r="AE97" s="44">
        <v>0.64</v>
      </c>
      <c r="AF97" s="44">
        <v>0.64</v>
      </c>
      <c r="AG97" s="44">
        <v>0.64</v>
      </c>
      <c r="AH97" s="44">
        <v>0.64</v>
      </c>
      <c r="AI97" s="44">
        <v>0.64</v>
      </c>
      <c r="AJ97"/>
      <c r="AK97" s="44">
        <v>0.64</v>
      </c>
      <c r="AL97" s="44">
        <v>0.64</v>
      </c>
      <c r="AM97" s="44">
        <v>0.64</v>
      </c>
      <c r="AN97" s="44">
        <v>0.64</v>
      </c>
      <c r="AO97"/>
      <c r="AP97" s="44">
        <v>0.64</v>
      </c>
      <c r="AQ97"/>
      <c r="AR97"/>
      <c r="AS97" s="44">
        <v>0.64</v>
      </c>
    </row>
    <row r="98" spans="1:45" x14ac:dyDescent="0.25">
      <c r="A98" s="23" t="s">
        <v>366</v>
      </c>
      <c r="B98" s="3" t="s">
        <v>473</v>
      </c>
      <c r="C98" s="3" t="s">
        <v>483</v>
      </c>
      <c r="D98" s="3" t="s">
        <v>521</v>
      </c>
      <c r="E98" s="24" t="s">
        <v>369</v>
      </c>
      <c r="F98" s="24" t="s">
        <v>182</v>
      </c>
      <c r="G98" s="44">
        <v>8</v>
      </c>
      <c r="I98" s="58"/>
      <c r="J98" s="44">
        <v>8</v>
      </c>
      <c r="L98" s="44">
        <v>8</v>
      </c>
      <c r="M98" s="44">
        <v>8</v>
      </c>
      <c r="N98" s="44">
        <v>8</v>
      </c>
      <c r="Q98" s="44">
        <v>8</v>
      </c>
      <c r="R98" s="44">
        <v>8</v>
      </c>
      <c r="S98" s="44">
        <v>8</v>
      </c>
      <c r="T98" s="44">
        <v>8</v>
      </c>
      <c r="U98" s="44">
        <v>8</v>
      </c>
      <c r="V98" s="44">
        <v>8</v>
      </c>
      <c r="W98" s="44">
        <v>8</v>
      </c>
      <c r="X98" s="44">
        <v>8</v>
      </c>
      <c r="Y98" s="44">
        <v>8</v>
      </c>
      <c r="Z98" s="44">
        <v>8</v>
      </c>
      <c r="AA98" s="44">
        <v>8</v>
      </c>
      <c r="AB98"/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/>
      <c r="AK98" s="44">
        <v>8</v>
      </c>
      <c r="AL98" s="44">
        <v>8</v>
      </c>
      <c r="AM98" s="44">
        <v>8</v>
      </c>
      <c r="AN98" s="44">
        <v>8</v>
      </c>
      <c r="AO98"/>
      <c r="AP98" s="44">
        <v>8</v>
      </c>
      <c r="AQ98"/>
      <c r="AR98"/>
      <c r="AS98" s="44">
        <v>8</v>
      </c>
    </row>
    <row r="99" spans="1:45" x14ac:dyDescent="0.25">
      <c r="A99" s="23" t="s">
        <v>367</v>
      </c>
      <c r="B99" s="3" t="s">
        <v>473</v>
      </c>
      <c r="C99" s="3" t="s">
        <v>483</v>
      </c>
      <c r="D99" s="3" t="s">
        <v>521</v>
      </c>
      <c r="E99" s="24" t="s">
        <v>370</v>
      </c>
      <c r="F99" s="24" t="s">
        <v>182</v>
      </c>
      <c r="G99" s="44">
        <v>10</v>
      </c>
      <c r="I99" s="58"/>
      <c r="J99" s="44">
        <v>10</v>
      </c>
      <c r="L99" s="44">
        <v>10</v>
      </c>
      <c r="M99" s="44">
        <v>10</v>
      </c>
      <c r="N99" s="44">
        <v>10</v>
      </c>
      <c r="Q99" s="44">
        <v>10</v>
      </c>
      <c r="R99" s="44">
        <v>10</v>
      </c>
      <c r="S99" s="44">
        <v>10</v>
      </c>
      <c r="T99" s="44">
        <v>10</v>
      </c>
      <c r="U99" s="44">
        <v>10</v>
      </c>
      <c r="V99" s="44">
        <v>10</v>
      </c>
      <c r="W99" s="44">
        <v>10</v>
      </c>
      <c r="X99" s="44">
        <v>10</v>
      </c>
      <c r="Y99" s="44">
        <v>10</v>
      </c>
      <c r="Z99" s="44">
        <v>10</v>
      </c>
      <c r="AA99" s="44">
        <v>10</v>
      </c>
      <c r="AB99"/>
      <c r="AC99" s="44">
        <v>10</v>
      </c>
      <c r="AD99" s="44">
        <v>10</v>
      </c>
      <c r="AE99" s="44">
        <v>10</v>
      </c>
      <c r="AF99" s="44">
        <v>10</v>
      </c>
      <c r="AG99" s="44">
        <v>10</v>
      </c>
      <c r="AH99" s="44">
        <v>10</v>
      </c>
      <c r="AI99" s="44">
        <v>10</v>
      </c>
      <c r="AJ99"/>
      <c r="AK99" s="44">
        <v>10</v>
      </c>
      <c r="AL99" s="44">
        <v>10</v>
      </c>
      <c r="AM99" s="44">
        <v>10</v>
      </c>
      <c r="AN99" s="44">
        <v>10</v>
      </c>
      <c r="AO99"/>
      <c r="AP99" s="44">
        <v>10</v>
      </c>
      <c r="AQ99"/>
      <c r="AR99"/>
      <c r="AS99" s="44">
        <v>10</v>
      </c>
    </row>
    <row r="100" spans="1:45" x14ac:dyDescent="0.25">
      <c r="A100" s="23" t="s">
        <v>368</v>
      </c>
      <c r="B100" s="3" t="s">
        <v>473</v>
      </c>
      <c r="C100" s="3" t="s">
        <v>483</v>
      </c>
      <c r="D100" s="3" t="s">
        <v>521</v>
      </c>
      <c r="E100" s="24" t="s">
        <v>371</v>
      </c>
      <c r="F100" s="24" t="s">
        <v>182</v>
      </c>
      <c r="G100" s="44">
        <v>8</v>
      </c>
      <c r="I100" s="58"/>
      <c r="J100" s="44">
        <v>8</v>
      </c>
      <c r="L100" s="44">
        <v>8</v>
      </c>
      <c r="M100" s="44">
        <v>8</v>
      </c>
      <c r="N100" s="44">
        <v>8</v>
      </c>
      <c r="Q100" s="44">
        <v>8</v>
      </c>
      <c r="R100" s="44">
        <v>8</v>
      </c>
      <c r="S100" s="44">
        <v>8</v>
      </c>
      <c r="T100" s="44">
        <v>8</v>
      </c>
      <c r="U100" s="44">
        <v>8</v>
      </c>
      <c r="V100" s="44">
        <v>8</v>
      </c>
      <c r="W100" s="44">
        <v>8</v>
      </c>
      <c r="X100" s="44">
        <v>8</v>
      </c>
      <c r="Y100" s="44">
        <v>8</v>
      </c>
      <c r="Z100" s="44">
        <v>8</v>
      </c>
      <c r="AA100" s="44">
        <v>8</v>
      </c>
      <c r="AB100"/>
      <c r="AC100" s="44">
        <v>8</v>
      </c>
      <c r="AD100" s="44">
        <v>8</v>
      </c>
      <c r="AE100" s="44">
        <v>8</v>
      </c>
      <c r="AF100" s="44">
        <v>8</v>
      </c>
      <c r="AG100" s="44">
        <v>8</v>
      </c>
      <c r="AH100" s="44">
        <v>8</v>
      </c>
      <c r="AI100" s="44">
        <v>8</v>
      </c>
      <c r="AJ100"/>
      <c r="AK100" s="44">
        <v>8</v>
      </c>
      <c r="AL100" s="44">
        <v>8</v>
      </c>
      <c r="AM100" s="44">
        <v>8</v>
      </c>
      <c r="AN100" s="44">
        <v>8</v>
      </c>
      <c r="AO100"/>
      <c r="AP100" s="44">
        <v>8</v>
      </c>
      <c r="AQ100"/>
      <c r="AR100"/>
      <c r="AS100" s="44">
        <v>8</v>
      </c>
    </row>
    <row r="101" spans="1:45" x14ac:dyDescent="0.25">
      <c r="A101" s="23" t="s">
        <v>383</v>
      </c>
      <c r="B101" s="3" t="s">
        <v>473</v>
      </c>
      <c r="C101" s="3" t="s">
        <v>483</v>
      </c>
      <c r="D101" s="3" t="s">
        <v>521</v>
      </c>
      <c r="E101" s="24" t="s">
        <v>384</v>
      </c>
      <c r="F101" s="24" t="s">
        <v>102</v>
      </c>
      <c r="G101" s="44">
        <v>1</v>
      </c>
      <c r="I101" s="58"/>
      <c r="J101" s="44">
        <v>1</v>
      </c>
      <c r="L101" s="44">
        <v>1</v>
      </c>
      <c r="M101" s="44">
        <v>1</v>
      </c>
      <c r="N101" s="44">
        <v>1</v>
      </c>
      <c r="Q101" s="44">
        <v>1</v>
      </c>
      <c r="R101" s="44">
        <v>1</v>
      </c>
      <c r="S101" s="44">
        <v>1</v>
      </c>
      <c r="T101" s="44">
        <v>1</v>
      </c>
      <c r="U101" s="44">
        <v>1</v>
      </c>
      <c r="V101" s="44">
        <v>1</v>
      </c>
      <c r="W101" s="44">
        <v>1</v>
      </c>
      <c r="X101" s="44">
        <v>1</v>
      </c>
      <c r="Y101" s="44">
        <v>1</v>
      </c>
      <c r="Z101" s="44">
        <v>1</v>
      </c>
      <c r="AA101" s="44">
        <v>1</v>
      </c>
      <c r="AB101"/>
      <c r="AC101" s="44">
        <v>1</v>
      </c>
      <c r="AD101" s="44">
        <v>1</v>
      </c>
      <c r="AE101" s="44">
        <v>1</v>
      </c>
      <c r="AF101" s="44">
        <v>1</v>
      </c>
      <c r="AG101" s="44">
        <v>1</v>
      </c>
      <c r="AH101" s="44">
        <v>1</v>
      </c>
      <c r="AI101" s="44">
        <v>1</v>
      </c>
      <c r="AJ101"/>
      <c r="AK101" s="44">
        <v>1</v>
      </c>
      <c r="AL101" s="44">
        <v>1</v>
      </c>
      <c r="AM101" s="44">
        <v>1</v>
      </c>
      <c r="AN101" s="44">
        <v>1</v>
      </c>
      <c r="AO101"/>
      <c r="AP101" s="44">
        <v>1</v>
      </c>
      <c r="AQ101"/>
      <c r="AR101"/>
      <c r="AS101" s="44">
        <v>1</v>
      </c>
    </row>
    <row r="102" spans="1:45" x14ac:dyDescent="0.25">
      <c r="A102" s="23" t="s">
        <v>385</v>
      </c>
      <c r="B102" s="3" t="s">
        <v>473</v>
      </c>
      <c r="C102" s="3" t="s">
        <v>483</v>
      </c>
      <c r="D102" s="3" t="s">
        <v>521</v>
      </c>
      <c r="E102" s="24" t="s">
        <v>386</v>
      </c>
      <c r="F102" s="24" t="s">
        <v>399</v>
      </c>
      <c r="G102" s="44">
        <v>0.5</v>
      </c>
      <c r="I102" s="58"/>
      <c r="J102" s="44">
        <v>0.5</v>
      </c>
      <c r="L102" s="44">
        <v>0.5</v>
      </c>
      <c r="M102" s="44">
        <v>0.5</v>
      </c>
      <c r="N102" s="44">
        <v>0.5</v>
      </c>
      <c r="Q102" s="44">
        <v>0.5</v>
      </c>
      <c r="R102" s="44">
        <v>0.5</v>
      </c>
      <c r="S102" s="44">
        <v>0.5</v>
      </c>
      <c r="T102" s="44">
        <v>0.5</v>
      </c>
      <c r="U102" s="44">
        <v>0.5</v>
      </c>
      <c r="V102" s="44">
        <v>0.5</v>
      </c>
      <c r="W102" s="44">
        <v>0.5</v>
      </c>
      <c r="X102" s="44">
        <v>0.5</v>
      </c>
      <c r="Y102" s="44">
        <v>0.5</v>
      </c>
      <c r="Z102" s="44">
        <v>0.5</v>
      </c>
      <c r="AA102" s="44">
        <v>0.5</v>
      </c>
      <c r="AB102"/>
      <c r="AC102" s="44">
        <v>0.5</v>
      </c>
      <c r="AD102" s="44">
        <v>0.5</v>
      </c>
      <c r="AE102" s="44">
        <v>0.5</v>
      </c>
      <c r="AF102" s="44">
        <v>0.5</v>
      </c>
      <c r="AG102" s="44">
        <v>0.5</v>
      </c>
      <c r="AH102" s="44">
        <v>0.5</v>
      </c>
      <c r="AI102" s="44">
        <v>0.5</v>
      </c>
      <c r="AJ102"/>
      <c r="AK102" s="44">
        <v>0.5</v>
      </c>
      <c r="AL102" s="44">
        <v>0.5</v>
      </c>
      <c r="AM102" s="44">
        <v>0.5</v>
      </c>
      <c r="AN102" s="44">
        <v>0.5</v>
      </c>
      <c r="AO102"/>
      <c r="AP102" s="44">
        <v>0.5</v>
      </c>
      <c r="AQ102"/>
      <c r="AR102"/>
      <c r="AS102" s="44">
        <v>0.5</v>
      </c>
    </row>
    <row r="103" spans="1:45" x14ac:dyDescent="0.25">
      <c r="A103" s="23" t="s">
        <v>512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 t="shared" ref="G103" si="0">G101</f>
        <v>1</v>
      </c>
      <c r="I103" s="58"/>
      <c r="J103" s="44">
        <f t="shared" ref="J103:AS103" si="1">10/0.1</f>
        <v>100</v>
      </c>
      <c r="L103" s="44">
        <f t="shared" si="1"/>
        <v>100</v>
      </c>
      <c r="M103" s="44">
        <f t="shared" si="1"/>
        <v>100</v>
      </c>
      <c r="N103" s="44">
        <f t="shared" si="1"/>
        <v>100</v>
      </c>
      <c r="Q103" s="44">
        <f t="shared" si="1"/>
        <v>100</v>
      </c>
      <c r="R103" s="44">
        <f t="shared" si="1"/>
        <v>100</v>
      </c>
      <c r="S103" s="44">
        <f t="shared" si="1"/>
        <v>100</v>
      </c>
      <c r="T103" s="44">
        <f t="shared" si="1"/>
        <v>100</v>
      </c>
      <c r="U103" s="44">
        <f t="shared" si="1"/>
        <v>100</v>
      </c>
      <c r="V103" s="44">
        <f t="shared" si="1"/>
        <v>100</v>
      </c>
      <c r="W103" s="44">
        <f t="shared" si="1"/>
        <v>100</v>
      </c>
      <c r="X103" s="44">
        <f t="shared" si="1"/>
        <v>100</v>
      </c>
      <c r="Y103" s="44">
        <f t="shared" si="1"/>
        <v>100</v>
      </c>
      <c r="Z103" s="44">
        <f t="shared" si="1"/>
        <v>100</v>
      </c>
      <c r="AA103" s="44">
        <f t="shared" si="1"/>
        <v>100</v>
      </c>
      <c r="AB103"/>
      <c r="AC103" s="44">
        <f t="shared" si="1"/>
        <v>100</v>
      </c>
      <c r="AD103" s="44">
        <f t="shared" si="1"/>
        <v>100</v>
      </c>
      <c r="AE103" s="44">
        <f t="shared" si="1"/>
        <v>100</v>
      </c>
      <c r="AF103" s="44">
        <f t="shared" si="1"/>
        <v>100</v>
      </c>
      <c r="AG103" s="44">
        <f t="shared" si="1"/>
        <v>100</v>
      </c>
      <c r="AH103" s="44">
        <f t="shared" si="1"/>
        <v>100</v>
      </c>
      <c r="AI103" s="44">
        <f t="shared" si="1"/>
        <v>100</v>
      </c>
      <c r="AJ103"/>
      <c r="AK103" s="44">
        <f t="shared" si="1"/>
        <v>100</v>
      </c>
      <c r="AL103" s="44">
        <f t="shared" si="1"/>
        <v>100</v>
      </c>
      <c r="AM103" s="44">
        <f t="shared" si="1"/>
        <v>100</v>
      </c>
      <c r="AN103" s="44">
        <f t="shared" si="1"/>
        <v>100</v>
      </c>
      <c r="AO103"/>
      <c r="AP103" s="44">
        <f t="shared" si="1"/>
        <v>100</v>
      </c>
      <c r="AQ103"/>
      <c r="AR103"/>
      <c r="AS103" s="44">
        <f t="shared" si="1"/>
        <v>100</v>
      </c>
    </row>
    <row r="104" spans="1:45" x14ac:dyDescent="0.25">
      <c r="A104" s="23" t="s">
        <v>514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>3*G101</f>
        <v>3</v>
      </c>
      <c r="I104" s="58"/>
      <c r="J104" s="44">
        <f t="shared" ref="J104:AS104" si="2">150/0.1</f>
        <v>1500</v>
      </c>
      <c r="L104" s="44">
        <f t="shared" si="2"/>
        <v>1500</v>
      </c>
      <c r="M104" s="44">
        <f t="shared" si="2"/>
        <v>1500</v>
      </c>
      <c r="N104" s="44">
        <f t="shared" si="2"/>
        <v>1500</v>
      </c>
      <c r="Q104" s="44">
        <f t="shared" si="2"/>
        <v>1500</v>
      </c>
      <c r="R104" s="44">
        <f t="shared" si="2"/>
        <v>1500</v>
      </c>
      <c r="S104" s="44">
        <f t="shared" si="2"/>
        <v>1500</v>
      </c>
      <c r="T104" s="44">
        <f t="shared" si="2"/>
        <v>1500</v>
      </c>
      <c r="U104" s="44">
        <f t="shared" si="2"/>
        <v>1500</v>
      </c>
      <c r="V104" s="44">
        <f t="shared" si="2"/>
        <v>1500</v>
      </c>
      <c r="W104" s="44">
        <f t="shared" si="2"/>
        <v>1500</v>
      </c>
      <c r="X104" s="44">
        <f t="shared" si="2"/>
        <v>1500</v>
      </c>
      <c r="Y104" s="44">
        <f t="shared" si="2"/>
        <v>1500</v>
      </c>
      <c r="Z104" s="44">
        <f t="shared" si="2"/>
        <v>1500</v>
      </c>
      <c r="AA104" s="44">
        <f t="shared" si="2"/>
        <v>1500</v>
      </c>
      <c r="AB104"/>
      <c r="AC104" s="44">
        <f t="shared" si="2"/>
        <v>1500</v>
      </c>
      <c r="AD104" s="44">
        <f t="shared" si="2"/>
        <v>1500</v>
      </c>
      <c r="AE104" s="44">
        <f t="shared" si="2"/>
        <v>1500</v>
      </c>
      <c r="AF104" s="44">
        <f t="shared" si="2"/>
        <v>1500</v>
      </c>
      <c r="AG104" s="44">
        <f t="shared" si="2"/>
        <v>1500</v>
      </c>
      <c r="AH104" s="44">
        <f t="shared" si="2"/>
        <v>1500</v>
      </c>
      <c r="AI104" s="44">
        <f t="shared" si="2"/>
        <v>1500</v>
      </c>
      <c r="AJ104"/>
      <c r="AK104" s="44">
        <f t="shared" si="2"/>
        <v>1500</v>
      </c>
      <c r="AL104" s="44">
        <f t="shared" si="2"/>
        <v>1500</v>
      </c>
      <c r="AM104" s="44">
        <f t="shared" si="2"/>
        <v>1500</v>
      </c>
      <c r="AN104" s="44">
        <f t="shared" si="2"/>
        <v>1500</v>
      </c>
      <c r="AO104"/>
      <c r="AP104" s="44">
        <f t="shared" si="2"/>
        <v>1500</v>
      </c>
      <c r="AQ104"/>
      <c r="AR104"/>
      <c r="AS104" s="44">
        <f t="shared" si="2"/>
        <v>1500</v>
      </c>
    </row>
    <row r="105" spans="1:45" x14ac:dyDescent="0.25">
      <c r="A105" s="23" t="s">
        <v>515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 t="shared" ref="G105" si="3">G96</f>
        <v>21</v>
      </c>
      <c r="I105" s="58"/>
      <c r="J105" s="44">
        <f t="shared" ref="J105:AS105" si="4">20/0.1</f>
        <v>200</v>
      </c>
      <c r="L105" s="44">
        <f t="shared" si="4"/>
        <v>200</v>
      </c>
      <c r="M105" s="44">
        <f t="shared" si="4"/>
        <v>200</v>
      </c>
      <c r="N105" s="44">
        <f t="shared" si="4"/>
        <v>200</v>
      </c>
      <c r="Q105" s="44">
        <f t="shared" si="4"/>
        <v>200</v>
      </c>
      <c r="R105" s="44">
        <f t="shared" si="4"/>
        <v>200</v>
      </c>
      <c r="S105" s="44">
        <f t="shared" si="4"/>
        <v>200</v>
      </c>
      <c r="T105" s="44">
        <f t="shared" si="4"/>
        <v>200</v>
      </c>
      <c r="U105" s="44">
        <f t="shared" si="4"/>
        <v>200</v>
      </c>
      <c r="V105" s="44">
        <f t="shared" si="4"/>
        <v>200</v>
      </c>
      <c r="W105" s="44">
        <f t="shared" si="4"/>
        <v>200</v>
      </c>
      <c r="X105" s="44">
        <f t="shared" si="4"/>
        <v>200</v>
      </c>
      <c r="Y105" s="44">
        <f t="shared" si="4"/>
        <v>200</v>
      </c>
      <c r="Z105" s="44">
        <f t="shared" si="4"/>
        <v>200</v>
      </c>
      <c r="AA105" s="44">
        <f t="shared" si="4"/>
        <v>200</v>
      </c>
      <c r="AB105"/>
      <c r="AC105" s="44">
        <f t="shared" si="4"/>
        <v>200</v>
      </c>
      <c r="AD105" s="44">
        <f t="shared" si="4"/>
        <v>200</v>
      </c>
      <c r="AE105" s="44">
        <f t="shared" si="4"/>
        <v>200</v>
      </c>
      <c r="AF105" s="44">
        <f t="shared" si="4"/>
        <v>200</v>
      </c>
      <c r="AG105" s="44">
        <f t="shared" si="4"/>
        <v>200</v>
      </c>
      <c r="AH105" s="44">
        <f t="shared" si="4"/>
        <v>200</v>
      </c>
      <c r="AI105" s="44">
        <f t="shared" si="4"/>
        <v>200</v>
      </c>
      <c r="AJ105"/>
      <c r="AK105" s="44">
        <f t="shared" si="4"/>
        <v>200</v>
      </c>
      <c r="AL105" s="44">
        <f t="shared" si="4"/>
        <v>200</v>
      </c>
      <c r="AM105" s="44">
        <f t="shared" si="4"/>
        <v>200</v>
      </c>
      <c r="AN105" s="44">
        <f t="shared" si="4"/>
        <v>200</v>
      </c>
      <c r="AO105"/>
      <c r="AP105" s="44">
        <f t="shared" si="4"/>
        <v>200</v>
      </c>
      <c r="AQ105"/>
      <c r="AR105"/>
      <c r="AS105" s="44">
        <f t="shared" si="4"/>
        <v>200</v>
      </c>
    </row>
    <row r="106" spans="1:45" x14ac:dyDescent="0.25">
      <c r="A106" s="23" t="s">
        <v>516</v>
      </c>
      <c r="B106" s="3" t="s">
        <v>473</v>
      </c>
      <c r="C106" s="3" t="s">
        <v>483</v>
      </c>
      <c r="D106" s="3" t="s">
        <v>521</v>
      </c>
      <c r="E106" s="24" t="s">
        <v>513</v>
      </c>
      <c r="F106" s="24" t="s">
        <v>486</v>
      </c>
      <c r="G106" s="44">
        <f>10*G96</f>
        <v>210</v>
      </c>
      <c r="I106" s="58"/>
      <c r="J106" s="44">
        <f t="shared" ref="J106:AS106" si="5">400/0.1</f>
        <v>4000</v>
      </c>
      <c r="L106" s="44">
        <f t="shared" si="5"/>
        <v>4000</v>
      </c>
      <c r="M106" s="44">
        <f t="shared" si="5"/>
        <v>4000</v>
      </c>
      <c r="N106" s="44">
        <f t="shared" si="5"/>
        <v>4000</v>
      </c>
      <c r="Q106" s="44">
        <f t="shared" si="5"/>
        <v>4000</v>
      </c>
      <c r="R106" s="44">
        <f t="shared" si="5"/>
        <v>4000</v>
      </c>
      <c r="S106" s="44">
        <f t="shared" si="5"/>
        <v>4000</v>
      </c>
      <c r="T106" s="44">
        <f t="shared" si="5"/>
        <v>4000</v>
      </c>
      <c r="U106" s="44">
        <f t="shared" si="5"/>
        <v>4000</v>
      </c>
      <c r="V106" s="44">
        <f t="shared" si="5"/>
        <v>4000</v>
      </c>
      <c r="W106" s="44">
        <f t="shared" si="5"/>
        <v>4000</v>
      </c>
      <c r="X106" s="44">
        <f t="shared" si="5"/>
        <v>4000</v>
      </c>
      <c r="Y106" s="44">
        <f t="shared" si="5"/>
        <v>4000</v>
      </c>
      <c r="Z106" s="44">
        <f t="shared" si="5"/>
        <v>4000</v>
      </c>
      <c r="AA106" s="44">
        <f t="shared" si="5"/>
        <v>4000</v>
      </c>
      <c r="AB106"/>
      <c r="AC106" s="44">
        <f t="shared" si="5"/>
        <v>4000</v>
      </c>
      <c r="AD106" s="44">
        <f t="shared" si="5"/>
        <v>4000</v>
      </c>
      <c r="AE106" s="44">
        <f t="shared" si="5"/>
        <v>4000</v>
      </c>
      <c r="AF106" s="44">
        <f t="shared" si="5"/>
        <v>4000</v>
      </c>
      <c r="AG106" s="44">
        <f t="shared" si="5"/>
        <v>4000</v>
      </c>
      <c r="AH106" s="44">
        <f t="shared" si="5"/>
        <v>4000</v>
      </c>
      <c r="AI106" s="44">
        <f t="shared" si="5"/>
        <v>4000</v>
      </c>
      <c r="AJ106"/>
      <c r="AK106" s="44">
        <f t="shared" si="5"/>
        <v>4000</v>
      </c>
      <c r="AL106" s="44">
        <f t="shared" si="5"/>
        <v>4000</v>
      </c>
      <c r="AM106" s="44">
        <f t="shared" si="5"/>
        <v>4000</v>
      </c>
      <c r="AN106" s="44">
        <f t="shared" si="5"/>
        <v>4000</v>
      </c>
      <c r="AO106"/>
      <c r="AP106" s="44">
        <f t="shared" si="5"/>
        <v>4000</v>
      </c>
      <c r="AQ106"/>
      <c r="AR106"/>
      <c r="AS106" s="44">
        <f t="shared" si="5"/>
        <v>4000</v>
      </c>
    </row>
    <row r="107" spans="1:45" x14ac:dyDescent="0.25">
      <c r="A107" s="23" t="s">
        <v>387</v>
      </c>
      <c r="B107" s="3" t="s">
        <v>473</v>
      </c>
      <c r="C107" s="3" t="s">
        <v>483</v>
      </c>
      <c r="D107" s="3" t="s">
        <v>521</v>
      </c>
      <c r="E107" s="24" t="s">
        <v>388</v>
      </c>
      <c r="F107" s="24" t="s">
        <v>106</v>
      </c>
      <c r="G107" s="44">
        <v>0</v>
      </c>
      <c r="I107" s="58"/>
      <c r="J107" s="44">
        <f t="shared" ref="J107:AS107" si="6">10/0.1</f>
        <v>100</v>
      </c>
      <c r="L107" s="44">
        <f t="shared" si="6"/>
        <v>100</v>
      </c>
      <c r="M107" s="44">
        <f t="shared" si="6"/>
        <v>100</v>
      </c>
      <c r="N107" s="44">
        <f t="shared" si="6"/>
        <v>100</v>
      </c>
      <c r="Q107" s="44">
        <f t="shared" si="6"/>
        <v>100</v>
      </c>
      <c r="R107" s="44">
        <f t="shared" si="6"/>
        <v>100</v>
      </c>
      <c r="S107" s="44">
        <f t="shared" si="6"/>
        <v>100</v>
      </c>
      <c r="T107" s="44">
        <f t="shared" si="6"/>
        <v>100</v>
      </c>
      <c r="U107" s="44">
        <f t="shared" si="6"/>
        <v>100</v>
      </c>
      <c r="V107" s="44">
        <f t="shared" si="6"/>
        <v>100</v>
      </c>
      <c r="W107" s="44">
        <f t="shared" si="6"/>
        <v>100</v>
      </c>
      <c r="X107" s="44">
        <f t="shared" si="6"/>
        <v>100</v>
      </c>
      <c r="Y107" s="44">
        <f t="shared" si="6"/>
        <v>100</v>
      </c>
      <c r="Z107" s="44">
        <f t="shared" si="6"/>
        <v>100</v>
      </c>
      <c r="AA107" s="44">
        <f t="shared" si="6"/>
        <v>100</v>
      </c>
      <c r="AB107"/>
      <c r="AC107" s="44">
        <f t="shared" si="6"/>
        <v>100</v>
      </c>
      <c r="AD107" s="44">
        <f t="shared" si="6"/>
        <v>100</v>
      </c>
      <c r="AE107" s="44">
        <f t="shared" si="6"/>
        <v>100</v>
      </c>
      <c r="AF107" s="44">
        <f t="shared" si="6"/>
        <v>100</v>
      </c>
      <c r="AG107" s="44">
        <f t="shared" si="6"/>
        <v>100</v>
      </c>
      <c r="AH107" s="44">
        <f t="shared" si="6"/>
        <v>100</v>
      </c>
      <c r="AI107" s="44">
        <f t="shared" si="6"/>
        <v>100</v>
      </c>
      <c r="AJ107"/>
      <c r="AK107" s="44">
        <f t="shared" si="6"/>
        <v>100</v>
      </c>
      <c r="AL107" s="44">
        <f t="shared" si="6"/>
        <v>100</v>
      </c>
      <c r="AM107" s="44">
        <f t="shared" si="6"/>
        <v>100</v>
      </c>
      <c r="AN107" s="44">
        <f t="shared" si="6"/>
        <v>100</v>
      </c>
      <c r="AO107"/>
      <c r="AP107" s="44">
        <f t="shared" si="6"/>
        <v>100</v>
      </c>
      <c r="AQ107"/>
      <c r="AR107"/>
      <c r="AS107" s="44">
        <f t="shared" si="6"/>
        <v>100</v>
      </c>
    </row>
    <row r="108" spans="1:45" x14ac:dyDescent="0.25">
      <c r="A108" s="23" t="s">
        <v>389</v>
      </c>
      <c r="B108" s="3" t="s">
        <v>473</v>
      </c>
      <c r="C108" s="3" t="s">
        <v>483</v>
      </c>
      <c r="D108" s="3" t="s">
        <v>521</v>
      </c>
      <c r="E108" s="24" t="s">
        <v>390</v>
      </c>
      <c r="F108" s="24" t="s">
        <v>106</v>
      </c>
      <c r="G108" s="44">
        <v>1589759.9999999998</v>
      </c>
      <c r="I108" s="58"/>
      <c r="J108" s="44">
        <f t="shared" ref="J108:AS108" si="7">150/0.1</f>
        <v>1500</v>
      </c>
      <c r="L108" s="44">
        <f t="shared" si="7"/>
        <v>1500</v>
      </c>
      <c r="M108" s="44">
        <f t="shared" si="7"/>
        <v>1500</v>
      </c>
      <c r="N108" s="44">
        <f t="shared" si="7"/>
        <v>1500</v>
      </c>
      <c r="Q108" s="44">
        <f t="shared" si="7"/>
        <v>1500</v>
      </c>
      <c r="R108" s="44">
        <f t="shared" si="7"/>
        <v>1500</v>
      </c>
      <c r="S108" s="44">
        <f t="shared" si="7"/>
        <v>1500</v>
      </c>
      <c r="T108" s="44">
        <f t="shared" si="7"/>
        <v>1500</v>
      </c>
      <c r="U108" s="44">
        <f t="shared" si="7"/>
        <v>1500</v>
      </c>
      <c r="V108" s="44">
        <f t="shared" si="7"/>
        <v>1500</v>
      </c>
      <c r="W108" s="44">
        <f t="shared" si="7"/>
        <v>1500</v>
      </c>
      <c r="X108" s="44">
        <f t="shared" si="7"/>
        <v>1500</v>
      </c>
      <c r="Y108" s="44">
        <f t="shared" si="7"/>
        <v>1500</v>
      </c>
      <c r="Z108" s="44">
        <f t="shared" si="7"/>
        <v>1500</v>
      </c>
      <c r="AA108" s="44">
        <f t="shared" si="7"/>
        <v>1500</v>
      </c>
      <c r="AB108"/>
      <c r="AC108" s="44">
        <f t="shared" si="7"/>
        <v>1500</v>
      </c>
      <c r="AD108" s="44">
        <f t="shared" si="7"/>
        <v>1500</v>
      </c>
      <c r="AE108" s="44">
        <f t="shared" si="7"/>
        <v>1500</v>
      </c>
      <c r="AF108" s="44">
        <f t="shared" si="7"/>
        <v>1500</v>
      </c>
      <c r="AG108" s="44">
        <f t="shared" si="7"/>
        <v>1500</v>
      </c>
      <c r="AH108" s="44">
        <f t="shared" si="7"/>
        <v>1500</v>
      </c>
      <c r="AI108" s="44">
        <f t="shared" si="7"/>
        <v>1500</v>
      </c>
      <c r="AJ108"/>
      <c r="AK108" s="44">
        <f t="shared" si="7"/>
        <v>1500</v>
      </c>
      <c r="AL108" s="44">
        <f t="shared" si="7"/>
        <v>1500</v>
      </c>
      <c r="AM108" s="44">
        <f t="shared" si="7"/>
        <v>1500</v>
      </c>
      <c r="AN108" s="44">
        <f t="shared" si="7"/>
        <v>1500</v>
      </c>
      <c r="AO108"/>
      <c r="AP108" s="44">
        <f t="shared" si="7"/>
        <v>1500</v>
      </c>
      <c r="AQ108"/>
      <c r="AR108"/>
      <c r="AS108" s="44">
        <f t="shared" si="7"/>
        <v>1500</v>
      </c>
    </row>
    <row r="109" spans="1:45" x14ac:dyDescent="0.25">
      <c r="A109" s="23" t="s">
        <v>391</v>
      </c>
      <c r="B109" s="3" t="s">
        <v>473</v>
      </c>
      <c r="C109" s="3" t="s">
        <v>483</v>
      </c>
      <c r="D109" s="3" t="s">
        <v>521</v>
      </c>
      <c r="E109" s="24" t="s">
        <v>392</v>
      </c>
      <c r="F109" s="24" t="s">
        <v>106</v>
      </c>
      <c r="G109" s="44">
        <v>6171428.5714285718</v>
      </c>
      <c r="I109" s="58"/>
      <c r="J109" s="44">
        <f t="shared" ref="J109:AS109" si="8">20/0.1</f>
        <v>200</v>
      </c>
      <c r="L109" s="44">
        <f t="shared" si="8"/>
        <v>200</v>
      </c>
      <c r="M109" s="44">
        <f t="shared" si="8"/>
        <v>200</v>
      </c>
      <c r="N109" s="44">
        <f t="shared" si="8"/>
        <v>200</v>
      </c>
      <c r="Q109" s="44">
        <f t="shared" si="8"/>
        <v>200</v>
      </c>
      <c r="R109" s="44">
        <f t="shared" si="8"/>
        <v>200</v>
      </c>
      <c r="S109" s="44">
        <f t="shared" si="8"/>
        <v>200</v>
      </c>
      <c r="T109" s="44">
        <f t="shared" si="8"/>
        <v>200</v>
      </c>
      <c r="U109" s="44">
        <f t="shared" si="8"/>
        <v>200</v>
      </c>
      <c r="V109" s="44">
        <f t="shared" si="8"/>
        <v>200</v>
      </c>
      <c r="W109" s="44">
        <f t="shared" si="8"/>
        <v>200</v>
      </c>
      <c r="X109" s="44">
        <f t="shared" si="8"/>
        <v>200</v>
      </c>
      <c r="Y109" s="44">
        <f t="shared" si="8"/>
        <v>200</v>
      </c>
      <c r="Z109" s="44">
        <f t="shared" si="8"/>
        <v>200</v>
      </c>
      <c r="AA109" s="44">
        <f t="shared" si="8"/>
        <v>200</v>
      </c>
      <c r="AB109"/>
      <c r="AC109" s="44">
        <f t="shared" si="8"/>
        <v>200</v>
      </c>
      <c r="AD109" s="44">
        <f t="shared" si="8"/>
        <v>200</v>
      </c>
      <c r="AE109" s="44">
        <f t="shared" si="8"/>
        <v>200</v>
      </c>
      <c r="AF109" s="44">
        <f t="shared" si="8"/>
        <v>200</v>
      </c>
      <c r="AG109" s="44">
        <f t="shared" si="8"/>
        <v>200</v>
      </c>
      <c r="AH109" s="44">
        <f t="shared" si="8"/>
        <v>200</v>
      </c>
      <c r="AI109" s="44">
        <f t="shared" si="8"/>
        <v>200</v>
      </c>
      <c r="AJ109"/>
      <c r="AK109" s="44">
        <f t="shared" si="8"/>
        <v>200</v>
      </c>
      <c r="AL109" s="44">
        <f t="shared" si="8"/>
        <v>200</v>
      </c>
      <c r="AM109" s="44">
        <f t="shared" si="8"/>
        <v>200</v>
      </c>
      <c r="AN109" s="44">
        <f t="shared" si="8"/>
        <v>200</v>
      </c>
      <c r="AO109"/>
      <c r="AP109" s="44">
        <f t="shared" si="8"/>
        <v>200</v>
      </c>
      <c r="AQ109"/>
      <c r="AR109"/>
      <c r="AS109" s="44">
        <f t="shared" si="8"/>
        <v>200</v>
      </c>
    </row>
    <row r="110" spans="1:45" x14ac:dyDescent="0.25">
      <c r="A110" s="23" t="s">
        <v>393</v>
      </c>
      <c r="B110" s="3" t="s">
        <v>473</v>
      </c>
      <c r="C110" s="3" t="s">
        <v>483</v>
      </c>
      <c r="D110" s="3" t="s">
        <v>521</v>
      </c>
      <c r="E110" s="24" t="s">
        <v>394</v>
      </c>
      <c r="F110" s="24" t="s">
        <v>106</v>
      </c>
      <c r="G110" s="44">
        <v>6171428.5714285718</v>
      </c>
      <c r="I110" s="58"/>
      <c r="J110" s="44">
        <f t="shared" ref="J110:AS110" si="9">400/0.1</f>
        <v>4000</v>
      </c>
      <c r="L110" s="44">
        <f t="shared" si="9"/>
        <v>4000</v>
      </c>
      <c r="M110" s="44">
        <f t="shared" si="9"/>
        <v>4000</v>
      </c>
      <c r="N110" s="44">
        <f t="shared" si="9"/>
        <v>4000</v>
      </c>
      <c r="Q110" s="44">
        <f t="shared" si="9"/>
        <v>4000</v>
      </c>
      <c r="R110" s="44">
        <f t="shared" si="9"/>
        <v>4000</v>
      </c>
      <c r="S110" s="44">
        <f t="shared" si="9"/>
        <v>4000</v>
      </c>
      <c r="T110" s="44">
        <f t="shared" si="9"/>
        <v>4000</v>
      </c>
      <c r="U110" s="44">
        <f t="shared" si="9"/>
        <v>4000</v>
      </c>
      <c r="V110" s="44">
        <f t="shared" si="9"/>
        <v>4000</v>
      </c>
      <c r="W110" s="44">
        <f t="shared" si="9"/>
        <v>4000</v>
      </c>
      <c r="X110" s="44">
        <f t="shared" si="9"/>
        <v>4000</v>
      </c>
      <c r="Y110" s="44">
        <f t="shared" si="9"/>
        <v>4000</v>
      </c>
      <c r="Z110" s="44">
        <f t="shared" si="9"/>
        <v>4000</v>
      </c>
      <c r="AA110" s="44">
        <f t="shared" si="9"/>
        <v>4000</v>
      </c>
      <c r="AB110"/>
      <c r="AC110" s="44">
        <f t="shared" si="9"/>
        <v>4000</v>
      </c>
      <c r="AD110" s="44">
        <f t="shared" si="9"/>
        <v>4000</v>
      </c>
      <c r="AE110" s="44">
        <f t="shared" si="9"/>
        <v>4000</v>
      </c>
      <c r="AF110" s="44">
        <f t="shared" si="9"/>
        <v>4000</v>
      </c>
      <c r="AG110" s="44">
        <f t="shared" si="9"/>
        <v>4000</v>
      </c>
      <c r="AH110" s="44">
        <f t="shared" si="9"/>
        <v>4000</v>
      </c>
      <c r="AI110" s="44">
        <f t="shared" si="9"/>
        <v>4000</v>
      </c>
      <c r="AJ110"/>
      <c r="AK110" s="44">
        <f t="shared" si="9"/>
        <v>4000</v>
      </c>
      <c r="AL110" s="44">
        <f t="shared" si="9"/>
        <v>4000</v>
      </c>
      <c r="AM110" s="44">
        <f t="shared" si="9"/>
        <v>4000</v>
      </c>
      <c r="AN110" s="44">
        <f t="shared" si="9"/>
        <v>4000</v>
      </c>
      <c r="AO110"/>
      <c r="AP110" s="44">
        <f t="shared" si="9"/>
        <v>4000</v>
      </c>
      <c r="AQ110"/>
      <c r="AR110"/>
      <c r="AS110" s="44">
        <f t="shared" si="9"/>
        <v>4000</v>
      </c>
    </row>
    <row r="111" spans="1:45" x14ac:dyDescent="0.25">
      <c r="A111" s="23" t="s">
        <v>421</v>
      </c>
      <c r="B111" s="3" t="s">
        <v>473</v>
      </c>
      <c r="C111" s="3" t="s">
        <v>483</v>
      </c>
      <c r="D111" s="3" t="s">
        <v>521</v>
      </c>
      <c r="E111" s="24" t="s">
        <v>422</v>
      </c>
      <c r="F111" s="24" t="s">
        <v>433</v>
      </c>
      <c r="G111" s="44">
        <v>100</v>
      </c>
      <c r="I111" s="58"/>
      <c r="J111" s="44">
        <v>100</v>
      </c>
      <c r="L111" s="44">
        <v>100</v>
      </c>
      <c r="M111" s="44">
        <v>100</v>
      </c>
      <c r="N111" s="44">
        <v>100</v>
      </c>
      <c r="Q111" s="44">
        <v>100</v>
      </c>
      <c r="R111" s="44">
        <v>100</v>
      </c>
      <c r="S111" s="44">
        <v>100</v>
      </c>
      <c r="T111" s="44">
        <v>100</v>
      </c>
      <c r="U111" s="44">
        <v>100</v>
      </c>
      <c r="V111" s="44">
        <v>100</v>
      </c>
      <c r="W111" s="44">
        <v>100</v>
      </c>
      <c r="X111" s="44">
        <v>100</v>
      </c>
      <c r="Y111" s="44">
        <v>100</v>
      </c>
      <c r="Z111" s="44">
        <v>100</v>
      </c>
      <c r="AA111" s="44">
        <v>100</v>
      </c>
      <c r="AB111"/>
      <c r="AC111" s="44">
        <v>100</v>
      </c>
      <c r="AD111" s="44">
        <v>100</v>
      </c>
      <c r="AE111" s="44">
        <v>100</v>
      </c>
      <c r="AF111" s="44">
        <v>100</v>
      </c>
      <c r="AG111" s="44">
        <v>100</v>
      </c>
      <c r="AH111" s="44">
        <v>100</v>
      </c>
      <c r="AI111" s="44">
        <v>100</v>
      </c>
      <c r="AJ111"/>
      <c r="AK111" s="44">
        <v>100</v>
      </c>
      <c r="AL111" s="44">
        <v>100</v>
      </c>
      <c r="AM111" s="44">
        <v>100</v>
      </c>
      <c r="AN111" s="44">
        <v>100</v>
      </c>
      <c r="AO111"/>
      <c r="AP111" s="44">
        <v>100</v>
      </c>
      <c r="AQ111"/>
      <c r="AR111"/>
      <c r="AS111" s="44">
        <v>100</v>
      </c>
    </row>
    <row r="112" spans="1:45" ht="14.45" customHeight="1" x14ac:dyDescent="0.25">
      <c r="A112" s="23" t="s">
        <v>423</v>
      </c>
      <c r="B112" s="3" t="s">
        <v>473</v>
      </c>
      <c r="C112" s="3" t="s">
        <v>483</v>
      </c>
      <c r="D112" s="3" t="s">
        <v>521</v>
      </c>
      <c r="E112" s="24" t="s">
        <v>424</v>
      </c>
      <c r="F112" s="24" t="s">
        <v>434</v>
      </c>
      <c r="G112" s="44">
        <v>280800</v>
      </c>
      <c r="I112" s="58"/>
      <c r="J112" s="44">
        <v>280800</v>
      </c>
      <c r="L112" s="44">
        <v>280800</v>
      </c>
      <c r="M112" s="44">
        <v>280800</v>
      </c>
      <c r="N112" s="44">
        <v>280800</v>
      </c>
      <c r="Q112" s="44">
        <v>280800</v>
      </c>
      <c r="R112" s="44">
        <v>280800</v>
      </c>
      <c r="S112" s="44">
        <v>280800</v>
      </c>
      <c r="T112" s="44">
        <v>280800</v>
      </c>
      <c r="U112" s="44">
        <v>280800</v>
      </c>
      <c r="V112" s="44">
        <v>280800</v>
      </c>
      <c r="W112" s="44">
        <v>280800</v>
      </c>
      <c r="X112" s="44">
        <v>280800</v>
      </c>
      <c r="Y112" s="44">
        <v>280800</v>
      </c>
      <c r="Z112" s="44">
        <v>280800</v>
      </c>
      <c r="AA112" s="44">
        <v>280800</v>
      </c>
      <c r="AB112"/>
      <c r="AC112" s="44">
        <v>280800</v>
      </c>
      <c r="AD112" s="44">
        <v>280800</v>
      </c>
      <c r="AE112" s="44">
        <v>280800</v>
      </c>
      <c r="AF112" s="44">
        <v>280800</v>
      </c>
      <c r="AG112" s="44">
        <v>280800</v>
      </c>
      <c r="AH112" s="44">
        <v>280800</v>
      </c>
      <c r="AI112" s="44">
        <v>280800</v>
      </c>
      <c r="AJ112"/>
      <c r="AK112" s="44">
        <v>280800</v>
      </c>
      <c r="AL112" s="44">
        <v>280800</v>
      </c>
      <c r="AM112" s="44">
        <v>280800</v>
      </c>
      <c r="AN112" s="44">
        <v>280800</v>
      </c>
      <c r="AO112"/>
      <c r="AP112" s="44">
        <v>280800</v>
      </c>
      <c r="AQ112"/>
      <c r="AR112"/>
      <c r="AS112" s="44">
        <v>280800</v>
      </c>
    </row>
    <row r="113" spans="1:45" x14ac:dyDescent="0.25">
      <c r="A113" s="23" t="s">
        <v>425</v>
      </c>
      <c r="B113" s="3" t="s">
        <v>473</v>
      </c>
      <c r="C113" s="3" t="s">
        <v>483</v>
      </c>
      <c r="D113" s="3" t="s">
        <v>521</v>
      </c>
      <c r="E113" s="24" t="s">
        <v>426</v>
      </c>
      <c r="F113" s="24" t="s">
        <v>435</v>
      </c>
      <c r="G113" s="44">
        <v>1.2847222222222224E-5</v>
      </c>
      <c r="I113" s="58"/>
      <c r="J113" s="44">
        <f t="shared" ref="J113:AS113" si="10">1.11 / 10</f>
        <v>0.11100000000000002</v>
      </c>
      <c r="L113" s="44">
        <f t="shared" si="10"/>
        <v>0.11100000000000002</v>
      </c>
      <c r="M113" s="44">
        <f t="shared" si="10"/>
        <v>0.11100000000000002</v>
      </c>
      <c r="N113" s="44">
        <f t="shared" si="10"/>
        <v>0.11100000000000002</v>
      </c>
      <c r="Q113" s="44">
        <f t="shared" si="10"/>
        <v>0.11100000000000002</v>
      </c>
      <c r="R113" s="44">
        <f t="shared" si="10"/>
        <v>0.11100000000000002</v>
      </c>
      <c r="S113" s="44">
        <f t="shared" si="10"/>
        <v>0.11100000000000002</v>
      </c>
      <c r="T113" s="44">
        <f t="shared" si="10"/>
        <v>0.11100000000000002</v>
      </c>
      <c r="U113" s="44">
        <f t="shared" si="10"/>
        <v>0.11100000000000002</v>
      </c>
      <c r="V113" s="44">
        <f t="shared" si="10"/>
        <v>0.11100000000000002</v>
      </c>
      <c r="W113" s="44">
        <f t="shared" si="10"/>
        <v>0.11100000000000002</v>
      </c>
      <c r="X113" s="44">
        <f t="shared" si="10"/>
        <v>0.11100000000000002</v>
      </c>
      <c r="Y113" s="44">
        <f t="shared" si="10"/>
        <v>0.11100000000000002</v>
      </c>
      <c r="Z113" s="44">
        <f t="shared" si="10"/>
        <v>0.11100000000000002</v>
      </c>
      <c r="AA113" s="44">
        <f t="shared" si="10"/>
        <v>0.11100000000000002</v>
      </c>
      <c r="AB113"/>
      <c r="AC113" s="44">
        <f t="shared" si="10"/>
        <v>0.11100000000000002</v>
      </c>
      <c r="AD113" s="44">
        <f t="shared" si="10"/>
        <v>0.11100000000000002</v>
      </c>
      <c r="AE113" s="44">
        <f t="shared" si="10"/>
        <v>0.11100000000000002</v>
      </c>
      <c r="AF113" s="44">
        <f t="shared" si="10"/>
        <v>0.11100000000000002</v>
      </c>
      <c r="AG113" s="44">
        <f t="shared" si="10"/>
        <v>0.11100000000000002</v>
      </c>
      <c r="AH113" s="44">
        <f t="shared" si="10"/>
        <v>0.11100000000000002</v>
      </c>
      <c r="AI113" s="44">
        <f t="shared" si="10"/>
        <v>0.11100000000000002</v>
      </c>
      <c r="AJ113"/>
      <c r="AK113" s="44">
        <f t="shared" si="10"/>
        <v>0.11100000000000002</v>
      </c>
      <c r="AL113" s="44">
        <f t="shared" si="10"/>
        <v>0.11100000000000002</v>
      </c>
      <c r="AM113" s="44">
        <f t="shared" si="10"/>
        <v>0.11100000000000002</v>
      </c>
      <c r="AN113" s="44">
        <f t="shared" si="10"/>
        <v>0.11100000000000002</v>
      </c>
      <c r="AO113"/>
      <c r="AP113" s="44">
        <f t="shared" si="10"/>
        <v>0.11100000000000002</v>
      </c>
      <c r="AQ113"/>
      <c r="AR113"/>
      <c r="AS113" s="44">
        <f t="shared" si="10"/>
        <v>0.11100000000000002</v>
      </c>
    </row>
    <row r="114" spans="1:45" x14ac:dyDescent="0.25">
      <c r="A114" s="23" t="s">
        <v>427</v>
      </c>
      <c r="B114" s="3" t="s">
        <v>473</v>
      </c>
      <c r="C114" s="3" t="s">
        <v>483</v>
      </c>
      <c r="D114" s="3" t="s">
        <v>521</v>
      </c>
      <c r="E114" s="24" t="s">
        <v>428</v>
      </c>
      <c r="F114" s="24" t="s">
        <v>433</v>
      </c>
      <c r="G114" s="44">
        <v>100</v>
      </c>
      <c r="I114" s="58"/>
      <c r="J114" s="44">
        <v>100</v>
      </c>
      <c r="L114" s="44">
        <v>100</v>
      </c>
      <c r="M114" s="44">
        <v>100</v>
      </c>
      <c r="N114" s="44">
        <v>100</v>
      </c>
      <c r="Q114" s="44">
        <v>100</v>
      </c>
      <c r="R114" s="44">
        <v>100</v>
      </c>
      <c r="S114" s="44">
        <v>100</v>
      </c>
      <c r="T114" s="44">
        <v>100</v>
      </c>
      <c r="U114" s="44">
        <v>100</v>
      </c>
      <c r="V114" s="44">
        <v>100</v>
      </c>
      <c r="W114" s="44">
        <v>100</v>
      </c>
      <c r="X114" s="44">
        <v>100</v>
      </c>
      <c r="Y114" s="44">
        <v>100</v>
      </c>
      <c r="Z114" s="44">
        <v>100</v>
      </c>
      <c r="AA114" s="44">
        <v>100</v>
      </c>
      <c r="AB114"/>
      <c r="AC114" s="44">
        <v>100</v>
      </c>
      <c r="AD114" s="44">
        <v>100</v>
      </c>
      <c r="AE114" s="44">
        <v>100</v>
      </c>
      <c r="AF114" s="44">
        <v>100</v>
      </c>
      <c r="AG114" s="44">
        <v>100</v>
      </c>
      <c r="AH114" s="44">
        <v>100</v>
      </c>
      <c r="AI114" s="44">
        <v>100</v>
      </c>
      <c r="AJ114"/>
      <c r="AK114" s="44">
        <v>100</v>
      </c>
      <c r="AL114" s="44">
        <v>100</v>
      </c>
      <c r="AM114" s="44">
        <v>100</v>
      </c>
      <c r="AN114" s="44">
        <v>100</v>
      </c>
      <c r="AO114"/>
      <c r="AP114" s="44">
        <v>100</v>
      </c>
      <c r="AQ114"/>
      <c r="AR114"/>
      <c r="AS114" s="44">
        <v>100</v>
      </c>
    </row>
    <row r="115" spans="1:45" ht="14.45" customHeight="1" x14ac:dyDescent="0.25">
      <c r="A115" s="23" t="s">
        <v>429</v>
      </c>
      <c r="B115" s="3" t="s">
        <v>473</v>
      </c>
      <c r="C115" s="3" t="s">
        <v>483</v>
      </c>
      <c r="D115" s="3" t="s">
        <v>521</v>
      </c>
      <c r="E115" s="24" t="s">
        <v>430</v>
      </c>
      <c r="F115" s="24" t="s">
        <v>434</v>
      </c>
      <c r="G115" s="44">
        <v>459648</v>
      </c>
      <c r="I115" s="58"/>
      <c r="J115" s="44">
        <v>459648</v>
      </c>
      <c r="L115" s="44">
        <v>459648</v>
      </c>
      <c r="M115" s="44">
        <v>459648</v>
      </c>
      <c r="N115" s="44">
        <v>459648</v>
      </c>
      <c r="Q115" s="44">
        <v>459648</v>
      </c>
      <c r="R115" s="44">
        <v>459648</v>
      </c>
      <c r="S115" s="44">
        <v>459648</v>
      </c>
      <c r="T115" s="44">
        <v>459648</v>
      </c>
      <c r="U115" s="44">
        <v>459648</v>
      </c>
      <c r="V115" s="44">
        <v>459648</v>
      </c>
      <c r="W115" s="44">
        <v>459648</v>
      </c>
      <c r="X115" s="44">
        <v>459648</v>
      </c>
      <c r="Y115" s="44">
        <v>459648</v>
      </c>
      <c r="Z115" s="44">
        <v>459648</v>
      </c>
      <c r="AA115" s="44">
        <v>459648</v>
      </c>
      <c r="AB115"/>
      <c r="AC115" s="44">
        <v>459648</v>
      </c>
      <c r="AD115" s="44">
        <v>459648</v>
      </c>
      <c r="AE115" s="44">
        <v>459648</v>
      </c>
      <c r="AF115" s="44">
        <v>459648</v>
      </c>
      <c r="AG115" s="44">
        <v>459648</v>
      </c>
      <c r="AH115" s="44">
        <v>459648</v>
      </c>
      <c r="AI115" s="44">
        <v>459648</v>
      </c>
      <c r="AJ115"/>
      <c r="AK115" s="44">
        <v>459648</v>
      </c>
      <c r="AL115" s="44">
        <v>459648</v>
      </c>
      <c r="AM115" s="44">
        <v>459648</v>
      </c>
      <c r="AN115" s="44">
        <v>459648</v>
      </c>
      <c r="AO115"/>
      <c r="AP115" s="44">
        <v>459648</v>
      </c>
      <c r="AQ115"/>
      <c r="AR115"/>
      <c r="AS115" s="44">
        <v>459648</v>
      </c>
    </row>
    <row r="116" spans="1:45" x14ac:dyDescent="0.25">
      <c r="A116" s="23" t="s">
        <v>431</v>
      </c>
      <c r="B116" s="3" t="s">
        <v>473</v>
      </c>
      <c r="C116" s="3" t="s">
        <v>483</v>
      </c>
      <c r="D116" s="3" t="s">
        <v>521</v>
      </c>
      <c r="E116" s="24" t="s">
        <v>432</v>
      </c>
      <c r="F116" s="24" t="s">
        <v>435</v>
      </c>
      <c r="G116" s="44">
        <v>1.2847222222222224E-5</v>
      </c>
      <c r="I116" s="58"/>
      <c r="J116" s="44">
        <f t="shared" ref="J116:AS116" si="11">1.11/8</f>
        <v>0.13875000000000001</v>
      </c>
      <c r="L116" s="44">
        <f t="shared" si="11"/>
        <v>0.13875000000000001</v>
      </c>
      <c r="M116" s="44">
        <f t="shared" si="11"/>
        <v>0.13875000000000001</v>
      </c>
      <c r="N116" s="44">
        <f t="shared" si="11"/>
        <v>0.13875000000000001</v>
      </c>
      <c r="Q116" s="44">
        <f t="shared" si="11"/>
        <v>0.13875000000000001</v>
      </c>
      <c r="R116" s="44">
        <f t="shared" si="11"/>
        <v>0.13875000000000001</v>
      </c>
      <c r="S116" s="44">
        <f t="shared" si="11"/>
        <v>0.13875000000000001</v>
      </c>
      <c r="T116" s="44">
        <f t="shared" si="11"/>
        <v>0.13875000000000001</v>
      </c>
      <c r="U116" s="44">
        <f t="shared" si="11"/>
        <v>0.13875000000000001</v>
      </c>
      <c r="V116" s="44">
        <f t="shared" si="11"/>
        <v>0.13875000000000001</v>
      </c>
      <c r="W116" s="44">
        <f t="shared" si="11"/>
        <v>0.13875000000000001</v>
      </c>
      <c r="X116" s="44">
        <f t="shared" si="11"/>
        <v>0.13875000000000001</v>
      </c>
      <c r="Y116" s="44">
        <f t="shared" si="11"/>
        <v>0.13875000000000001</v>
      </c>
      <c r="Z116" s="44">
        <f t="shared" si="11"/>
        <v>0.13875000000000001</v>
      </c>
      <c r="AA116" s="44">
        <f t="shared" si="11"/>
        <v>0.13875000000000001</v>
      </c>
      <c r="AB116"/>
      <c r="AC116" s="44">
        <f t="shared" si="11"/>
        <v>0.13875000000000001</v>
      </c>
      <c r="AD116" s="44">
        <f t="shared" si="11"/>
        <v>0.13875000000000001</v>
      </c>
      <c r="AE116" s="44">
        <f t="shared" si="11"/>
        <v>0.13875000000000001</v>
      </c>
      <c r="AF116" s="44">
        <f t="shared" si="11"/>
        <v>0.13875000000000001</v>
      </c>
      <c r="AG116" s="44">
        <f t="shared" si="11"/>
        <v>0.13875000000000001</v>
      </c>
      <c r="AH116" s="44">
        <f t="shared" si="11"/>
        <v>0.13875000000000001</v>
      </c>
      <c r="AI116" s="44">
        <f t="shared" si="11"/>
        <v>0.13875000000000001</v>
      </c>
      <c r="AJ116"/>
      <c r="AK116" s="44">
        <f t="shared" si="11"/>
        <v>0.13875000000000001</v>
      </c>
      <c r="AL116" s="44">
        <f t="shared" si="11"/>
        <v>0.13875000000000001</v>
      </c>
      <c r="AM116" s="44">
        <f t="shared" si="11"/>
        <v>0.13875000000000001</v>
      </c>
      <c r="AN116" s="44">
        <f t="shared" si="11"/>
        <v>0.13875000000000001</v>
      </c>
      <c r="AO116"/>
      <c r="AP116" s="44">
        <f t="shared" si="11"/>
        <v>0.13875000000000001</v>
      </c>
      <c r="AQ116"/>
      <c r="AR116"/>
      <c r="AS116" s="44">
        <f t="shared" si="11"/>
        <v>0.13875000000000001</v>
      </c>
    </row>
    <row r="117" spans="1:45" x14ac:dyDescent="0.25">
      <c r="A117" s="23" t="s">
        <v>395</v>
      </c>
      <c r="B117" s="3" t="s">
        <v>473</v>
      </c>
      <c r="C117" s="3" t="s">
        <v>483</v>
      </c>
      <c r="D117" s="3" t="s">
        <v>521</v>
      </c>
      <c r="E117" s="24" t="s">
        <v>396</v>
      </c>
      <c r="F117" s="24" t="s">
        <v>106</v>
      </c>
      <c r="G117" s="44">
        <v>21600</v>
      </c>
      <c r="I117" s="58"/>
      <c r="J117" s="44">
        <v>21600</v>
      </c>
      <c r="L117" s="44">
        <v>21600</v>
      </c>
      <c r="M117" s="44">
        <v>21600</v>
      </c>
      <c r="N117" s="44">
        <v>21600</v>
      </c>
      <c r="Q117" s="44">
        <v>21600</v>
      </c>
      <c r="R117" s="44">
        <v>21600</v>
      </c>
      <c r="S117" s="44">
        <v>21600</v>
      </c>
      <c r="T117" s="44">
        <v>21600</v>
      </c>
      <c r="U117" s="44">
        <v>21600</v>
      </c>
      <c r="V117" s="44">
        <v>21600</v>
      </c>
      <c r="W117" s="44">
        <v>21600</v>
      </c>
      <c r="X117" s="44">
        <v>21600</v>
      </c>
      <c r="Y117" s="44">
        <v>21600</v>
      </c>
      <c r="Z117" s="44">
        <v>21600</v>
      </c>
      <c r="AA117" s="44">
        <v>21600</v>
      </c>
      <c r="AB117"/>
      <c r="AC117" s="44">
        <v>21600</v>
      </c>
      <c r="AD117" s="44">
        <v>21600</v>
      </c>
      <c r="AE117" s="44">
        <v>21600</v>
      </c>
      <c r="AF117" s="44">
        <v>21600</v>
      </c>
      <c r="AG117" s="44">
        <v>21600</v>
      </c>
      <c r="AH117" s="44">
        <v>21600</v>
      </c>
      <c r="AI117" s="44">
        <v>21600</v>
      </c>
      <c r="AJ117"/>
      <c r="AK117" s="44">
        <v>21600</v>
      </c>
      <c r="AL117" s="44">
        <v>21600</v>
      </c>
      <c r="AM117" s="44">
        <v>21600</v>
      </c>
      <c r="AN117" s="44">
        <v>21600</v>
      </c>
      <c r="AO117"/>
      <c r="AP117" s="44">
        <v>21600</v>
      </c>
      <c r="AQ117"/>
      <c r="AR117"/>
      <c r="AS117" s="44">
        <v>21600</v>
      </c>
    </row>
    <row r="118" spans="1:45" x14ac:dyDescent="0.25">
      <c r="A118" s="23" t="s">
        <v>397</v>
      </c>
      <c r="B118" s="3" t="s">
        <v>473</v>
      </c>
      <c r="C118" s="3" t="s">
        <v>483</v>
      </c>
      <c r="D118" s="3" t="s">
        <v>521</v>
      </c>
      <c r="E118" s="24" t="s">
        <v>398</v>
      </c>
      <c r="F118" s="24" t="s">
        <v>106</v>
      </c>
      <c r="G118" s="44">
        <v>172800</v>
      </c>
      <c r="I118" s="58"/>
      <c r="J118" s="44">
        <v>43200</v>
      </c>
      <c r="L118" s="44">
        <v>43200</v>
      </c>
      <c r="M118" s="44">
        <v>43200</v>
      </c>
      <c r="N118" s="44">
        <v>43200</v>
      </c>
      <c r="Q118" s="44">
        <v>43200</v>
      </c>
      <c r="R118" s="44">
        <v>43200</v>
      </c>
      <c r="S118" s="44">
        <v>43200</v>
      </c>
      <c r="T118" s="44">
        <v>43200</v>
      </c>
      <c r="U118" s="44">
        <v>43200</v>
      </c>
      <c r="V118" s="44">
        <v>43200</v>
      </c>
      <c r="W118" s="44">
        <v>43200</v>
      </c>
      <c r="X118" s="44">
        <v>43200</v>
      </c>
      <c r="Y118" s="44">
        <v>43200</v>
      </c>
      <c r="Z118" s="44">
        <v>43200</v>
      </c>
      <c r="AA118" s="44">
        <v>43200</v>
      </c>
      <c r="AB118"/>
      <c r="AC118" s="44">
        <v>43200</v>
      </c>
      <c r="AD118" s="44">
        <v>43200</v>
      </c>
      <c r="AE118" s="44">
        <v>43200</v>
      </c>
      <c r="AF118" s="44">
        <v>43200</v>
      </c>
      <c r="AG118" s="44">
        <v>43200</v>
      </c>
      <c r="AH118" s="44">
        <v>43200</v>
      </c>
      <c r="AI118" s="44">
        <v>43200</v>
      </c>
      <c r="AJ118"/>
      <c r="AK118" s="44">
        <v>43200</v>
      </c>
      <c r="AL118" s="44">
        <v>43200</v>
      </c>
      <c r="AM118" s="44">
        <v>43200</v>
      </c>
      <c r="AN118" s="44">
        <v>43200</v>
      </c>
      <c r="AO118"/>
      <c r="AP118" s="44">
        <v>43200</v>
      </c>
      <c r="AQ118"/>
      <c r="AR118"/>
      <c r="AS118" s="44">
        <v>43200</v>
      </c>
    </row>
    <row r="119" spans="1:45" x14ac:dyDescent="0.25">
      <c r="A119" s="13" t="s">
        <v>61</v>
      </c>
      <c r="B119" s="3" t="s">
        <v>473</v>
      </c>
      <c r="C119" s="3" t="s">
        <v>483</v>
      </c>
      <c r="D119" s="3" t="s">
        <v>521</v>
      </c>
      <c r="E119" s="14" t="s">
        <v>172</v>
      </c>
      <c r="F119" s="14" t="s">
        <v>111</v>
      </c>
      <c r="G119" s="44">
        <v>0.8</v>
      </c>
      <c r="I119" s="58"/>
      <c r="J119" s="44">
        <v>0.8</v>
      </c>
      <c r="L119" s="44">
        <v>0.8</v>
      </c>
      <c r="M119" s="44">
        <v>0.8</v>
      </c>
      <c r="N119" s="44">
        <v>0.8</v>
      </c>
      <c r="Q119" s="44">
        <v>0.8</v>
      </c>
      <c r="R119" s="44">
        <v>0.8</v>
      </c>
      <c r="S119" s="44">
        <v>0.8</v>
      </c>
      <c r="T119" s="44">
        <v>0.8</v>
      </c>
      <c r="U119" s="44">
        <v>0.8</v>
      </c>
      <c r="V119" s="44">
        <v>0.8</v>
      </c>
      <c r="W119" s="44">
        <v>0.8</v>
      </c>
      <c r="X119" s="44">
        <v>0.8</v>
      </c>
      <c r="Y119" s="44">
        <v>0.8</v>
      </c>
      <c r="Z119" s="44">
        <v>0.8</v>
      </c>
      <c r="AA119" s="44">
        <v>0.8</v>
      </c>
      <c r="AB119"/>
      <c r="AC119" s="44">
        <v>0.8</v>
      </c>
      <c r="AD119" s="44">
        <v>0.8</v>
      </c>
      <c r="AE119" s="44">
        <v>0.8</v>
      </c>
      <c r="AF119" s="44">
        <v>0.8</v>
      </c>
      <c r="AG119" s="44">
        <v>0.8</v>
      </c>
      <c r="AH119" s="44">
        <v>0.8</v>
      </c>
      <c r="AI119" s="44">
        <v>0.8</v>
      </c>
      <c r="AJ119"/>
      <c r="AK119" s="44">
        <v>0.8</v>
      </c>
      <c r="AL119" s="44">
        <v>0.8</v>
      </c>
      <c r="AM119" s="44">
        <v>0.8</v>
      </c>
      <c r="AN119" s="44">
        <v>0.8</v>
      </c>
      <c r="AO119"/>
      <c r="AP119" s="44">
        <v>0.8</v>
      </c>
      <c r="AQ119"/>
      <c r="AR119"/>
      <c r="AS119" s="44">
        <v>0.8</v>
      </c>
    </row>
    <row r="120" spans="1:45" x14ac:dyDescent="0.25">
      <c r="A120" s="13" t="s">
        <v>62</v>
      </c>
      <c r="B120" s="3" t="s">
        <v>473</v>
      </c>
      <c r="C120" s="3" t="s">
        <v>483</v>
      </c>
      <c r="D120" s="3" t="s">
        <v>521</v>
      </c>
      <c r="E120" s="14" t="s">
        <v>173</v>
      </c>
      <c r="F120" s="14" t="s">
        <v>198</v>
      </c>
      <c r="G120" s="44">
        <v>2.0833333333333335E-4</v>
      </c>
      <c r="I120" s="58">
        <f>1250 * 0.000001 / 6</f>
        <v>2.0833333333333335E-4</v>
      </c>
      <c r="J120" s="44">
        <f>0.000208333333333333 / 2</f>
        <v>1.041666666666665E-4</v>
      </c>
      <c r="K120" s="1" t="s">
        <v>600</v>
      </c>
      <c r="L120" s="44">
        <v>2.0833333333333335E-4</v>
      </c>
      <c r="M120" s="44">
        <v>2.0833333333333335E-4</v>
      </c>
      <c r="N120" s="44">
        <v>2.0833333333333335E-4</v>
      </c>
      <c r="Q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U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Y120" s="44">
        <v>2.0833333333333335E-4</v>
      </c>
      <c r="Z120" s="44">
        <v>2.0833333333333335E-4</v>
      </c>
      <c r="AA120" s="44">
        <v>2.0833333333333335E-4</v>
      </c>
      <c r="AB120"/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/>
      <c r="AK120" s="44">
        <v>2.0833333333333335E-4</v>
      </c>
      <c r="AL120" s="44">
        <v>2.0833333333333335E-4</v>
      </c>
      <c r="AM120" s="44">
        <v>2.0833333333333335E-4</v>
      </c>
      <c r="AN120" s="44">
        <v>2.0833333333333335E-4</v>
      </c>
      <c r="AO120"/>
      <c r="AP120" s="44">
        <v>2.0833333333333335E-4</v>
      </c>
      <c r="AQ120"/>
      <c r="AR120"/>
      <c r="AS120" s="44">
        <v>2.0833333333333335E-4</v>
      </c>
    </row>
    <row r="121" spans="1:45" x14ac:dyDescent="0.25">
      <c r="A121" s="13" t="s">
        <v>63</v>
      </c>
      <c r="B121" s="3" t="s">
        <v>473</v>
      </c>
      <c r="C121" s="3" t="s">
        <v>483</v>
      </c>
      <c r="D121" s="3" t="s">
        <v>521</v>
      </c>
      <c r="E121" s="14" t="s">
        <v>174</v>
      </c>
      <c r="F121" s="14" t="s">
        <v>110</v>
      </c>
      <c r="G121" s="44">
        <v>5.7899999999999998E-7</v>
      </c>
      <c r="I121" s="58"/>
      <c r="J121" s="44">
        <v>5.7899999999999998E-7</v>
      </c>
      <c r="L121" s="44">
        <v>5.7899999999999998E-7</v>
      </c>
      <c r="M121" s="44">
        <v>5.7899999999999998E-7</v>
      </c>
      <c r="N121" s="44">
        <v>5.7899999999999998E-7</v>
      </c>
      <c r="Q121" s="44">
        <v>5.7899999999999998E-7</v>
      </c>
      <c r="R121" s="44">
        <v>5.7899999999999998E-7</v>
      </c>
      <c r="S121" s="44">
        <v>5.7899999999999998E-7</v>
      </c>
      <c r="T121" s="44">
        <v>5.7899999999999998E-7</v>
      </c>
      <c r="U121" s="44">
        <v>5.7899999999999998E-7</v>
      </c>
      <c r="V121" s="44">
        <v>5.7899999999999998E-7</v>
      </c>
      <c r="W121" s="44">
        <v>5.7899999999999998E-7</v>
      </c>
      <c r="X121" s="44">
        <v>5.7899999999999998E-7</v>
      </c>
      <c r="Y121" s="44">
        <v>5.7899999999999998E-7</v>
      </c>
      <c r="Z121" s="44">
        <v>5.7899999999999998E-7</v>
      </c>
      <c r="AA121" s="44">
        <v>5.7899999999999998E-7</v>
      </c>
      <c r="AB121"/>
      <c r="AC121" s="44">
        <v>5.7899999999999998E-7</v>
      </c>
      <c r="AD121" s="44">
        <v>5.7899999999999998E-7</v>
      </c>
      <c r="AE121" s="44">
        <v>5.7899999999999998E-7</v>
      </c>
      <c r="AF121" s="44">
        <v>5.7899999999999998E-7</v>
      </c>
      <c r="AG121" s="44">
        <v>5.7899999999999998E-7</v>
      </c>
      <c r="AH121" s="44">
        <v>5.7899999999999998E-7</v>
      </c>
      <c r="AI121" s="44">
        <v>5.7899999999999998E-7</v>
      </c>
      <c r="AJ121"/>
      <c r="AK121" s="44">
        <v>5.7899999999999998E-7</v>
      </c>
      <c r="AL121" s="44">
        <v>5.7899999999999998E-7</v>
      </c>
      <c r="AM121" s="44">
        <v>5.7899999999999998E-7</v>
      </c>
      <c r="AN121" s="44">
        <v>5.7899999999999998E-7</v>
      </c>
      <c r="AO121"/>
      <c r="AP121" s="44">
        <v>5.7899999999999998E-7</v>
      </c>
      <c r="AQ121"/>
      <c r="AR121"/>
      <c r="AS121" s="44">
        <v>5.7899999999999998E-7</v>
      </c>
    </row>
    <row r="122" spans="1:45" x14ac:dyDescent="0.25">
      <c r="A122" s="13" t="s">
        <v>64</v>
      </c>
      <c r="B122" s="3" t="s">
        <v>473</v>
      </c>
      <c r="C122" s="3" t="s">
        <v>483</v>
      </c>
      <c r="D122" s="3" t="s">
        <v>521</v>
      </c>
      <c r="E122" s="14" t="s">
        <v>175</v>
      </c>
      <c r="F122" s="14" t="s">
        <v>198</v>
      </c>
      <c r="G122" s="44">
        <v>2.0833333333333335E-4</v>
      </c>
      <c r="I122" s="58"/>
      <c r="J122" s="44">
        <v>2.0833333333333335E-4</v>
      </c>
      <c r="L122" s="44">
        <v>2.0833333333333335E-4</v>
      </c>
      <c r="M122" s="44">
        <v>2.0833333333333335E-4</v>
      </c>
      <c r="N122" s="44">
        <v>2.0833333333333335E-4</v>
      </c>
      <c r="Q122" s="44">
        <v>2.0833333333333335E-4</v>
      </c>
      <c r="R122" s="44">
        <v>2.0833333333333335E-4</v>
      </c>
      <c r="S122" s="44">
        <v>2.0833333333333335E-4</v>
      </c>
      <c r="T122" s="44">
        <v>2.0833333333333335E-4</v>
      </c>
      <c r="U122" s="44">
        <v>2.0833333333333335E-4</v>
      </c>
      <c r="V122" s="44">
        <v>2.0833333333333335E-4</v>
      </c>
      <c r="W122" s="44">
        <v>2.0833333333333335E-4</v>
      </c>
      <c r="X122" s="44">
        <v>2.0833333333333335E-4</v>
      </c>
      <c r="Y122" s="44">
        <v>2.0833333333333335E-4</v>
      </c>
      <c r="Z122" s="44">
        <v>2.0833333333333335E-4</v>
      </c>
      <c r="AA122" s="44">
        <v>2.0833333333333335E-4</v>
      </c>
      <c r="AB122"/>
      <c r="AC122" s="44">
        <v>2.0833333333333335E-4</v>
      </c>
      <c r="AD122" s="44">
        <v>2.0833333333333335E-4</v>
      </c>
      <c r="AE122" s="44">
        <v>2.0833333333333335E-4</v>
      </c>
      <c r="AF122" s="44">
        <v>2.0833333333333335E-4</v>
      </c>
      <c r="AG122" s="44">
        <v>2.0833333333333335E-4</v>
      </c>
      <c r="AH122" s="44">
        <v>2.0833333333333335E-4</v>
      </c>
      <c r="AI122" s="44">
        <v>2.0833333333333335E-4</v>
      </c>
      <c r="AJ122"/>
      <c r="AK122" s="44">
        <v>2.0833333333333335E-4</v>
      </c>
      <c r="AL122" s="44">
        <v>2.0833333333333335E-4</v>
      </c>
      <c r="AM122" s="44">
        <v>2.0833333333333335E-4</v>
      </c>
      <c r="AN122" s="44">
        <v>2.0833333333333335E-4</v>
      </c>
      <c r="AO122"/>
      <c r="AP122" s="44">
        <v>2.0833333333333335E-4</v>
      </c>
      <c r="AQ122"/>
      <c r="AR122"/>
      <c r="AS122" s="44">
        <v>2.0833333333333335E-4</v>
      </c>
    </row>
    <row r="123" spans="1:45" x14ac:dyDescent="0.25">
      <c r="A123" s="13" t="s">
        <v>452</v>
      </c>
      <c r="B123" s="3" t="s">
        <v>473</v>
      </c>
      <c r="C123" s="3" t="s">
        <v>483</v>
      </c>
      <c r="D123" s="3" t="s">
        <v>521</v>
      </c>
      <c r="E123" s="14" t="s">
        <v>453</v>
      </c>
      <c r="F123" s="14" t="s">
        <v>198</v>
      </c>
      <c r="G123" s="44">
        <v>1.0000000000000001E-5</v>
      </c>
      <c r="I123" s="58"/>
      <c r="J123" s="44">
        <v>0</v>
      </c>
      <c r="L123" s="44">
        <v>0</v>
      </c>
      <c r="M123" s="44">
        <v>0</v>
      </c>
      <c r="N123" s="44">
        <v>0</v>
      </c>
      <c r="Q123" s="44">
        <v>0</v>
      </c>
      <c r="R123" s="44">
        <v>0</v>
      </c>
      <c r="S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/>
      <c r="AC123" s="44">
        <v>0</v>
      </c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/>
      <c r="AK123" s="44">
        <v>0</v>
      </c>
      <c r="AL123" s="44">
        <v>0</v>
      </c>
      <c r="AM123" s="44">
        <v>0</v>
      </c>
      <c r="AN123" s="44">
        <v>0</v>
      </c>
      <c r="AO123"/>
      <c r="AP123" s="44">
        <v>0</v>
      </c>
      <c r="AQ123"/>
      <c r="AR123"/>
      <c r="AS123" s="44">
        <v>0</v>
      </c>
    </row>
    <row r="124" spans="1:45" x14ac:dyDescent="0.25">
      <c r="A124" s="13" t="s">
        <v>454</v>
      </c>
      <c r="B124" s="3" t="s">
        <v>473</v>
      </c>
      <c r="C124" s="3" t="s">
        <v>483</v>
      </c>
      <c r="D124" s="3" t="s">
        <v>521</v>
      </c>
      <c r="E124" s="14" t="s">
        <v>455</v>
      </c>
      <c r="F124" s="14" t="s">
        <v>198</v>
      </c>
      <c r="G124" s="44">
        <v>1.0000000000000001E-5</v>
      </c>
      <c r="I124" s="58"/>
      <c r="J124" s="44">
        <v>0</v>
      </c>
      <c r="L124" s="44">
        <v>0</v>
      </c>
      <c r="M124" s="44">
        <v>0</v>
      </c>
      <c r="N124" s="44">
        <v>0</v>
      </c>
      <c r="Q124" s="44">
        <v>0</v>
      </c>
      <c r="R124" s="44">
        <v>0</v>
      </c>
      <c r="S124" s="44">
        <v>0</v>
      </c>
      <c r="T124" s="44">
        <v>0</v>
      </c>
      <c r="U124" s="44">
        <v>0</v>
      </c>
      <c r="V124" s="44">
        <v>0</v>
      </c>
      <c r="W124" s="44">
        <v>0</v>
      </c>
      <c r="X124" s="44">
        <v>0</v>
      </c>
      <c r="Y124" s="44">
        <v>0</v>
      </c>
      <c r="Z124" s="44">
        <v>0</v>
      </c>
      <c r="AA124" s="44">
        <v>0</v>
      </c>
      <c r="AB124"/>
      <c r="AC124" s="44">
        <v>0</v>
      </c>
      <c r="AD124" s="44">
        <v>0</v>
      </c>
      <c r="AE124" s="44">
        <v>0</v>
      </c>
      <c r="AF124" s="44">
        <v>0</v>
      </c>
      <c r="AG124" s="44">
        <v>0</v>
      </c>
      <c r="AH124" s="44">
        <v>0</v>
      </c>
      <c r="AI124" s="44">
        <v>0</v>
      </c>
      <c r="AJ124"/>
      <c r="AK124" s="44">
        <v>0</v>
      </c>
      <c r="AL124" s="44">
        <v>0</v>
      </c>
      <c r="AM124" s="44">
        <v>0</v>
      </c>
      <c r="AN124" s="44">
        <v>0</v>
      </c>
      <c r="AO124"/>
      <c r="AP124" s="44">
        <v>0</v>
      </c>
      <c r="AQ124"/>
      <c r="AR124"/>
      <c r="AS124" s="44">
        <v>0</v>
      </c>
    </row>
    <row r="125" spans="1:45" x14ac:dyDescent="0.25">
      <c r="A125" s="38" t="s">
        <v>444</v>
      </c>
      <c r="B125" s="3" t="s">
        <v>473</v>
      </c>
      <c r="C125" s="3" t="s">
        <v>483</v>
      </c>
      <c r="D125" s="3" t="s">
        <v>521</v>
      </c>
      <c r="E125" s="39" t="s">
        <v>178</v>
      </c>
      <c r="F125" s="39" t="s">
        <v>179</v>
      </c>
      <c r="G125" s="44">
        <v>1.9999999999999999E-7</v>
      </c>
      <c r="I125" s="58"/>
      <c r="J125" s="44">
        <v>0</v>
      </c>
      <c r="L125" s="44">
        <v>5.9999999999999997E-7</v>
      </c>
      <c r="M125" s="44">
        <v>5.9999999999999997E-7</v>
      </c>
      <c r="N125" s="44">
        <v>5.9999999999999997E-7</v>
      </c>
      <c r="Q125" s="44">
        <v>5.9999999999999997E-7</v>
      </c>
      <c r="R125" s="44">
        <v>5.9999999999999997E-7</v>
      </c>
      <c r="S125" s="44">
        <v>5.9999999999999997E-7</v>
      </c>
      <c r="T125" s="44">
        <v>5.9999999999999997E-7</v>
      </c>
      <c r="U125" s="44">
        <v>5.9999999999999997E-7</v>
      </c>
      <c r="V125" s="44">
        <v>5.9999999999999997E-7</v>
      </c>
      <c r="W125" s="44">
        <v>5.9999999999999997E-7</v>
      </c>
      <c r="X125" s="44">
        <v>5.9999999999999997E-7</v>
      </c>
      <c r="Y125" s="44">
        <v>5.9999999999999997E-7</v>
      </c>
      <c r="Z125" s="44">
        <v>5.9999999999999997E-7</v>
      </c>
      <c r="AA125" s="44">
        <v>5.9999999999999997E-7</v>
      </c>
      <c r="AB125"/>
      <c r="AC125" s="44">
        <v>5.9999999999999997E-7</v>
      </c>
      <c r="AD125" s="44">
        <v>5.9999999999999997E-7</v>
      </c>
      <c r="AE125" s="44">
        <v>5.9999999999999997E-7</v>
      </c>
      <c r="AF125" s="44">
        <v>5.9999999999999997E-7</v>
      </c>
      <c r="AG125" s="44">
        <v>5.9999999999999997E-7</v>
      </c>
      <c r="AH125" s="44">
        <v>5.9999999999999997E-7</v>
      </c>
      <c r="AI125" s="44">
        <v>5.9999999999999997E-7</v>
      </c>
      <c r="AJ125"/>
      <c r="AK125" s="44">
        <v>5.9999999999999997E-7</v>
      </c>
      <c r="AL125" s="44">
        <v>5.9999999999999997E-7</v>
      </c>
      <c r="AM125" s="44">
        <v>5.9999999999999997E-7</v>
      </c>
      <c r="AN125" s="44">
        <v>5.9999999999999997E-7</v>
      </c>
      <c r="AO125"/>
      <c r="AP125" s="44">
        <v>5.9999999999999997E-7</v>
      </c>
      <c r="AQ125"/>
      <c r="AR125"/>
      <c r="AS125" s="44">
        <v>9.9999999999999995E-8</v>
      </c>
    </row>
    <row r="126" spans="1:45" x14ac:dyDescent="0.25">
      <c r="A126" s="38" t="s">
        <v>67</v>
      </c>
      <c r="B126" s="3" t="s">
        <v>473</v>
      </c>
      <c r="C126" s="3" t="s">
        <v>483</v>
      </c>
      <c r="D126" s="3" t="s">
        <v>521</v>
      </c>
      <c r="E126" s="39" t="s">
        <v>445</v>
      </c>
      <c r="F126" s="39" t="s">
        <v>446</v>
      </c>
      <c r="G126" s="44">
        <f>1000 * 0.000001 / 12</f>
        <v>8.3333333333333331E-5</v>
      </c>
      <c r="I126" s="58"/>
      <c r="J126" s="44">
        <f t="shared" ref="J126:AS126" si="12">1000 * 0.000001 / 12</f>
        <v>8.3333333333333331E-5</v>
      </c>
      <c r="L126" s="44">
        <f t="shared" si="12"/>
        <v>8.3333333333333331E-5</v>
      </c>
      <c r="M126" s="44">
        <f t="shared" si="12"/>
        <v>8.3333333333333331E-5</v>
      </c>
      <c r="N126" s="44">
        <f t="shared" si="12"/>
        <v>8.3333333333333331E-5</v>
      </c>
      <c r="Q126" s="44">
        <f t="shared" si="12"/>
        <v>8.3333333333333331E-5</v>
      </c>
      <c r="R126" s="44">
        <f t="shared" si="12"/>
        <v>8.3333333333333331E-5</v>
      </c>
      <c r="S126" s="44">
        <f t="shared" si="12"/>
        <v>8.3333333333333331E-5</v>
      </c>
      <c r="T126" s="44">
        <f t="shared" si="12"/>
        <v>8.3333333333333331E-5</v>
      </c>
      <c r="U126" s="44">
        <f t="shared" si="12"/>
        <v>8.3333333333333331E-5</v>
      </c>
      <c r="V126" s="44">
        <f t="shared" si="12"/>
        <v>8.3333333333333331E-5</v>
      </c>
      <c r="W126" s="44">
        <f t="shared" si="12"/>
        <v>8.3333333333333331E-5</v>
      </c>
      <c r="X126" s="44">
        <f t="shared" si="12"/>
        <v>8.3333333333333331E-5</v>
      </c>
      <c r="Y126" s="44">
        <f t="shared" si="12"/>
        <v>8.3333333333333331E-5</v>
      </c>
      <c r="Z126" s="44">
        <f t="shared" si="12"/>
        <v>8.3333333333333331E-5</v>
      </c>
      <c r="AA126" s="44">
        <f t="shared" si="12"/>
        <v>8.3333333333333331E-5</v>
      </c>
      <c r="AB126"/>
      <c r="AC126" s="44">
        <f t="shared" si="12"/>
        <v>8.3333333333333331E-5</v>
      </c>
      <c r="AD126" s="44">
        <f t="shared" si="12"/>
        <v>8.3333333333333331E-5</v>
      </c>
      <c r="AE126" s="44">
        <f t="shared" si="12"/>
        <v>8.3333333333333331E-5</v>
      </c>
      <c r="AF126" s="44">
        <f t="shared" si="12"/>
        <v>8.3333333333333331E-5</v>
      </c>
      <c r="AG126" s="44">
        <f t="shared" si="12"/>
        <v>8.3333333333333331E-5</v>
      </c>
      <c r="AH126" s="44">
        <f t="shared" si="12"/>
        <v>8.3333333333333331E-5</v>
      </c>
      <c r="AI126" s="44">
        <f t="shared" si="12"/>
        <v>8.3333333333333331E-5</v>
      </c>
      <c r="AJ126"/>
      <c r="AK126" s="44">
        <f t="shared" si="12"/>
        <v>8.3333333333333331E-5</v>
      </c>
      <c r="AL126" s="44">
        <f t="shared" si="12"/>
        <v>8.3333333333333331E-5</v>
      </c>
      <c r="AM126" s="44">
        <f t="shared" si="12"/>
        <v>8.3333333333333331E-5</v>
      </c>
      <c r="AN126" s="44">
        <f t="shared" si="12"/>
        <v>8.3333333333333331E-5</v>
      </c>
      <c r="AO126"/>
      <c r="AP126" s="44">
        <f t="shared" si="12"/>
        <v>8.3333333333333331E-5</v>
      </c>
      <c r="AQ126"/>
      <c r="AR126"/>
      <c r="AS126" s="44">
        <f t="shared" si="12"/>
        <v>8.3333333333333331E-5</v>
      </c>
    </row>
    <row r="127" spans="1:45" x14ac:dyDescent="0.25">
      <c r="A127" s="38" t="s">
        <v>448</v>
      </c>
      <c r="B127" s="3" t="s">
        <v>473</v>
      </c>
      <c r="C127" s="3" t="s">
        <v>483</v>
      </c>
      <c r="D127" s="3" t="s">
        <v>521</v>
      </c>
      <c r="E127" s="39" t="s">
        <v>449</v>
      </c>
      <c r="F127" s="39" t="s">
        <v>94</v>
      </c>
      <c r="G127" s="44" t="s">
        <v>87</v>
      </c>
      <c r="I127" s="58"/>
      <c r="J127" s="44" t="s">
        <v>86</v>
      </c>
      <c r="L127" s="44" t="s">
        <v>86</v>
      </c>
      <c r="M127" s="44" t="s">
        <v>86</v>
      </c>
      <c r="N127" s="44" t="s">
        <v>86</v>
      </c>
      <c r="Q127" s="44" t="s">
        <v>86</v>
      </c>
      <c r="R127" s="44" t="s">
        <v>86</v>
      </c>
      <c r="S127" s="44" t="s">
        <v>86</v>
      </c>
      <c r="T127" s="44" t="s">
        <v>86</v>
      </c>
      <c r="U127" s="44" t="s">
        <v>86</v>
      </c>
      <c r="V127" s="44" t="s">
        <v>86</v>
      </c>
      <c r="W127" s="44" t="s">
        <v>86</v>
      </c>
      <c r="X127" s="44" t="s">
        <v>86</v>
      </c>
      <c r="Y127" s="44" t="s">
        <v>86</v>
      </c>
      <c r="Z127" s="44" t="s">
        <v>86</v>
      </c>
      <c r="AA127" s="44" t="s">
        <v>86</v>
      </c>
      <c r="AB127"/>
      <c r="AC127" s="44" t="s">
        <v>86</v>
      </c>
      <c r="AD127" s="44" t="s">
        <v>86</v>
      </c>
      <c r="AE127" s="44" t="s">
        <v>86</v>
      </c>
      <c r="AF127" s="44" t="s">
        <v>86</v>
      </c>
      <c r="AG127" s="44" t="s">
        <v>86</v>
      </c>
      <c r="AH127" s="44" t="s">
        <v>86</v>
      </c>
      <c r="AI127" s="44" t="s">
        <v>86</v>
      </c>
      <c r="AJ127"/>
      <c r="AK127" s="44" t="s">
        <v>86</v>
      </c>
      <c r="AL127" s="44" t="s">
        <v>86</v>
      </c>
      <c r="AM127" s="44" t="s">
        <v>86</v>
      </c>
      <c r="AN127" s="44" t="s">
        <v>86</v>
      </c>
      <c r="AO127"/>
      <c r="AP127" s="44" t="s">
        <v>86</v>
      </c>
      <c r="AQ127"/>
      <c r="AR127"/>
      <c r="AS127" s="44" t="s">
        <v>86</v>
      </c>
    </row>
    <row r="128" spans="1:45" x14ac:dyDescent="0.25">
      <c r="A128" s="21" t="s">
        <v>66</v>
      </c>
      <c r="B128" s="3" t="s">
        <v>473</v>
      </c>
      <c r="C128" s="3" t="s">
        <v>483</v>
      </c>
      <c r="D128" s="3" t="s">
        <v>521</v>
      </c>
      <c r="E128" s="22" t="s">
        <v>177</v>
      </c>
      <c r="F128" s="22" t="s">
        <v>199</v>
      </c>
      <c r="G128" s="44">
        <v>5.0000000000000001E-4</v>
      </c>
      <c r="I128" s="58"/>
      <c r="J128" s="44">
        <v>5.0000000000000001E-4</v>
      </c>
      <c r="L128" s="44">
        <v>5.0000000000000001E-4</v>
      </c>
      <c r="M128" s="44">
        <v>5.0000000000000001E-4</v>
      </c>
      <c r="N128" s="44">
        <v>5.0000000000000001E-4</v>
      </c>
      <c r="Q128" s="44">
        <v>5.0000000000000001E-4</v>
      </c>
      <c r="R128" s="44">
        <v>5.0000000000000001E-4</v>
      </c>
      <c r="S128" s="44">
        <v>5.0000000000000001E-4</v>
      </c>
      <c r="T128" s="44">
        <v>5.0000000000000001E-4</v>
      </c>
      <c r="U128" s="44">
        <v>5.0000000000000001E-4</v>
      </c>
      <c r="V128" s="44">
        <v>5.0000000000000001E-4</v>
      </c>
      <c r="W128" s="44">
        <v>5.0000000000000001E-4</v>
      </c>
      <c r="X128" s="44">
        <v>5.0000000000000001E-4</v>
      </c>
      <c r="Y128" s="44">
        <v>5.0000000000000001E-4</v>
      </c>
      <c r="Z128" s="44">
        <v>5.0000000000000001E-4</v>
      </c>
      <c r="AA128" s="44">
        <v>5.0000000000000001E-4</v>
      </c>
      <c r="AB128"/>
      <c r="AC128" s="44">
        <v>5.0000000000000001E-4</v>
      </c>
      <c r="AD128" s="44">
        <v>5.0000000000000001E-4</v>
      </c>
      <c r="AE128" s="44">
        <v>5.0000000000000001E-4</v>
      </c>
      <c r="AF128" s="44">
        <v>5.0000000000000001E-4</v>
      </c>
      <c r="AG128" s="44">
        <v>5.0000000000000001E-4</v>
      </c>
      <c r="AH128" s="44">
        <v>5.0000000000000001E-4</v>
      </c>
      <c r="AI128" s="44">
        <v>5.0000000000000001E-4</v>
      </c>
      <c r="AJ128"/>
      <c r="AK128" s="44">
        <v>5.0000000000000001E-4</v>
      </c>
      <c r="AL128" s="44">
        <v>5.0000000000000001E-4</v>
      </c>
      <c r="AM128" s="44">
        <v>5.0000000000000001E-4</v>
      </c>
      <c r="AN128" s="44">
        <v>5.0000000000000001E-4</v>
      </c>
      <c r="AO128"/>
      <c r="AP128" s="44">
        <v>5.0000000000000001E-4</v>
      </c>
      <c r="AQ128"/>
      <c r="AR128"/>
      <c r="AS128" s="44">
        <v>5.0000000000000001E-4</v>
      </c>
    </row>
    <row r="129" spans="1:45" x14ac:dyDescent="0.25">
      <c r="A129" s="21" t="s">
        <v>441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1" t="s">
        <v>601</v>
      </c>
      <c r="L129" s="44">
        <v>4.9999999999999999E-13</v>
      </c>
      <c r="M129" s="44">
        <v>4.9999999999999999E-13</v>
      </c>
      <c r="N129" s="44">
        <v>4.9999999999999999E-13</v>
      </c>
      <c r="Q129" s="44">
        <v>4.9999999999999999E-13</v>
      </c>
      <c r="R129" s="44">
        <v>4.9999999999999999E-13</v>
      </c>
      <c r="S129" s="44">
        <v>4.9999999999999999E-13</v>
      </c>
      <c r="T129" s="44">
        <v>4.9999999999999999E-13</v>
      </c>
      <c r="U129" s="44">
        <v>4.9999999999999999E-13</v>
      </c>
      <c r="V129" s="44">
        <v>4.9999999999999999E-13</v>
      </c>
      <c r="W129" s="44">
        <v>4.9999999999999999E-13</v>
      </c>
      <c r="X129" s="44">
        <v>4.9999999999999999E-13</v>
      </c>
      <c r="Y129" s="44">
        <v>4.9999999999999999E-13</v>
      </c>
      <c r="Z129" s="44">
        <v>4.9999999999999999E-13</v>
      </c>
      <c r="AA129" s="44">
        <v>4.9999999999999999E-13</v>
      </c>
      <c r="AB129"/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 s="44">
        <v>4.9999999999999999E-13</v>
      </c>
      <c r="AH129" s="44">
        <v>4.9999999999999999E-13</v>
      </c>
      <c r="AI129" s="44">
        <v>4.9999999999999999E-13</v>
      </c>
      <c r="AJ129"/>
      <c r="AK129" s="44">
        <v>4.9999999999999999E-13</v>
      </c>
      <c r="AL129" s="44">
        <v>4.9999999999999999E-13</v>
      </c>
      <c r="AM129" s="44">
        <v>4.9999999999999999E-13</v>
      </c>
      <c r="AN129" s="44">
        <v>4.9999999999999999E-13</v>
      </c>
      <c r="AO129"/>
      <c r="AP129" s="44">
        <v>4.9999999999999999E-13</v>
      </c>
      <c r="AQ129"/>
      <c r="AR129"/>
      <c r="AS129" s="44">
        <v>4.9999999999999999E-13</v>
      </c>
    </row>
    <row r="130" spans="1:45" x14ac:dyDescent="0.2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L130" s="44">
        <v>10</v>
      </c>
      <c r="M130" s="44">
        <v>10</v>
      </c>
      <c r="N130" s="44">
        <v>10</v>
      </c>
      <c r="Q130" s="44">
        <v>10</v>
      </c>
      <c r="R130" s="44">
        <v>10</v>
      </c>
      <c r="S130" s="44">
        <v>10</v>
      </c>
      <c r="T130" s="44">
        <v>10</v>
      </c>
      <c r="U130" s="44">
        <v>10</v>
      </c>
      <c r="V130" s="44">
        <v>10</v>
      </c>
      <c r="W130" s="44">
        <v>10</v>
      </c>
      <c r="X130" s="44">
        <v>10</v>
      </c>
      <c r="Y130" s="44">
        <v>10</v>
      </c>
      <c r="Z130" s="44">
        <v>10</v>
      </c>
      <c r="AA130" s="44">
        <v>10</v>
      </c>
      <c r="AB130"/>
      <c r="AC130" s="44">
        <v>10</v>
      </c>
      <c r="AD130" s="44">
        <v>10</v>
      </c>
      <c r="AE130" s="44">
        <v>10</v>
      </c>
      <c r="AF130" s="44">
        <v>10</v>
      </c>
      <c r="AG130" s="44">
        <v>10</v>
      </c>
      <c r="AH130" s="44">
        <v>10</v>
      </c>
      <c r="AI130" s="44">
        <v>10</v>
      </c>
      <c r="AJ130"/>
      <c r="AK130" s="44">
        <v>10</v>
      </c>
      <c r="AL130" s="44">
        <v>10</v>
      </c>
      <c r="AM130" s="44">
        <v>10</v>
      </c>
      <c r="AN130" s="44">
        <v>10</v>
      </c>
      <c r="AO130"/>
      <c r="AP130" s="44">
        <v>10</v>
      </c>
      <c r="AQ130"/>
      <c r="AR130"/>
      <c r="AS130" s="44">
        <v>10</v>
      </c>
    </row>
    <row r="131" spans="1:45" x14ac:dyDescent="0.2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L131" s="44">
        <v>-0.04</v>
      </c>
      <c r="M131" s="44">
        <v>-0.04</v>
      </c>
      <c r="N131" s="44">
        <v>-0.04</v>
      </c>
      <c r="Q131" s="44">
        <v>-0.04</v>
      </c>
      <c r="R131" s="44">
        <v>-0.04</v>
      </c>
      <c r="S131" s="44">
        <v>-0.04</v>
      </c>
      <c r="T131" s="44">
        <v>-0.04</v>
      </c>
      <c r="U131" s="44">
        <v>-0.04</v>
      </c>
      <c r="V131" s="44">
        <v>-0.04</v>
      </c>
      <c r="W131" s="44">
        <v>-0.04</v>
      </c>
      <c r="X131" s="44">
        <v>-0.04</v>
      </c>
      <c r="Y131" s="44">
        <v>-0.04</v>
      </c>
      <c r="Z131" s="44">
        <v>-0.04</v>
      </c>
      <c r="AA131" s="44">
        <v>-0.04</v>
      </c>
      <c r="AB131"/>
      <c r="AC131" s="44">
        <v>-0.04</v>
      </c>
      <c r="AD131" s="44">
        <v>-0.04</v>
      </c>
      <c r="AE131" s="44">
        <v>-0.04</v>
      </c>
      <c r="AF131" s="44">
        <v>-0.04</v>
      </c>
      <c r="AG131" s="44">
        <v>-0.04</v>
      </c>
      <c r="AH131" s="44">
        <v>-0.04</v>
      </c>
      <c r="AI131" s="44">
        <v>-0.04</v>
      </c>
      <c r="AJ131"/>
      <c r="AK131" s="44">
        <v>-0.04</v>
      </c>
      <c r="AL131" s="44">
        <v>-0.04</v>
      </c>
      <c r="AM131" s="44">
        <v>-0.04</v>
      </c>
      <c r="AN131" s="44">
        <v>-0.04</v>
      </c>
      <c r="AO131"/>
      <c r="AP131" s="44">
        <v>-0.04</v>
      </c>
      <c r="AQ131"/>
      <c r="AR131"/>
      <c r="AS131" s="44">
        <v>-0.04</v>
      </c>
    </row>
    <row r="132" spans="1:45" x14ac:dyDescent="0.2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L132" s="44">
        <v>2.9</v>
      </c>
      <c r="M132" s="44">
        <v>2.9</v>
      </c>
      <c r="N132" s="44">
        <v>2.9</v>
      </c>
      <c r="Q132" s="44">
        <v>2.9</v>
      </c>
      <c r="R132" s="44">
        <v>2.9</v>
      </c>
      <c r="S132" s="44">
        <v>2.9</v>
      </c>
      <c r="T132" s="44">
        <v>2.9</v>
      </c>
      <c r="U132" s="44">
        <v>2.9</v>
      </c>
      <c r="V132" s="44">
        <v>2.9</v>
      </c>
      <c r="W132" s="44">
        <v>2.9</v>
      </c>
      <c r="X132" s="44">
        <v>2.9</v>
      </c>
      <c r="Y132" s="44">
        <v>2.9</v>
      </c>
      <c r="Z132" s="44">
        <v>2.9</v>
      </c>
      <c r="AA132" s="44">
        <v>2.9</v>
      </c>
      <c r="AB132"/>
      <c r="AC132" s="44">
        <v>2.9</v>
      </c>
      <c r="AD132" s="44">
        <v>2.9</v>
      </c>
      <c r="AE132" s="44">
        <v>2.9</v>
      </c>
      <c r="AF132" s="44">
        <v>2.9</v>
      </c>
      <c r="AG132" s="44">
        <v>2.9</v>
      </c>
      <c r="AH132" s="44">
        <v>2.9</v>
      </c>
      <c r="AI132" s="44">
        <v>2.9</v>
      </c>
      <c r="AJ132"/>
      <c r="AK132" s="44">
        <v>2.9</v>
      </c>
      <c r="AL132" s="44">
        <v>2.9</v>
      </c>
      <c r="AM132" s="44">
        <v>2.9</v>
      </c>
      <c r="AN132" s="44">
        <v>2.9</v>
      </c>
      <c r="AO132"/>
      <c r="AP132" s="44">
        <v>2.9</v>
      </c>
      <c r="AQ132"/>
      <c r="AR132"/>
      <c r="AS132" s="44">
        <v>2.9</v>
      </c>
    </row>
    <row r="133" spans="1:45" x14ac:dyDescent="0.2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L133" s="44">
        <v>1</v>
      </c>
      <c r="M133" s="44">
        <v>1</v>
      </c>
      <c r="N133" s="44">
        <v>1</v>
      </c>
      <c r="Q133" s="44">
        <v>1</v>
      </c>
      <c r="R133" s="44">
        <v>1</v>
      </c>
      <c r="S133" s="44">
        <v>1</v>
      </c>
      <c r="T133" s="44">
        <v>1</v>
      </c>
      <c r="U133" s="44">
        <v>1</v>
      </c>
      <c r="V133" s="44">
        <v>1</v>
      </c>
      <c r="W133" s="44">
        <v>1</v>
      </c>
      <c r="X133" s="44">
        <v>1</v>
      </c>
      <c r="Y133" s="44">
        <v>1</v>
      </c>
      <c r="Z133" s="44">
        <v>1</v>
      </c>
      <c r="AA133" s="44">
        <v>1</v>
      </c>
      <c r="AB133"/>
      <c r="AC133" s="44">
        <v>1</v>
      </c>
      <c r="AD133" s="44">
        <v>1</v>
      </c>
      <c r="AE133" s="44">
        <v>1</v>
      </c>
      <c r="AF133" s="44">
        <v>1</v>
      </c>
      <c r="AG133" s="44">
        <v>1</v>
      </c>
      <c r="AH133" s="44">
        <v>1</v>
      </c>
      <c r="AI133" s="44">
        <v>1</v>
      </c>
      <c r="AJ133"/>
      <c r="AK133" s="44">
        <v>1</v>
      </c>
      <c r="AL133" s="44">
        <v>1</v>
      </c>
      <c r="AM133" s="44">
        <v>1</v>
      </c>
      <c r="AN133" s="44">
        <v>1</v>
      </c>
      <c r="AO133"/>
      <c r="AP133" s="44">
        <v>1</v>
      </c>
      <c r="AQ133"/>
      <c r="AR133"/>
      <c r="AS133" s="44">
        <v>1</v>
      </c>
    </row>
    <row r="134" spans="1:45" x14ac:dyDescent="0.2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L134" s="44">
        <v>1.9999999999999999E-7</v>
      </c>
      <c r="M134" s="44">
        <v>1.9999999999999999E-7</v>
      </c>
      <c r="N134" s="44">
        <v>1.9999999999999999E-7</v>
      </c>
      <c r="Q134" s="44">
        <v>1.9999999999999999E-7</v>
      </c>
      <c r="R134" s="44">
        <v>1.9999999999999999E-7</v>
      </c>
      <c r="S134" s="44">
        <v>1.9999999999999999E-7</v>
      </c>
      <c r="T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/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/>
      <c r="AK134" s="44">
        <v>1.9999999999999999E-7</v>
      </c>
      <c r="AL134" s="44">
        <v>1.9999999999999999E-7</v>
      </c>
      <c r="AM134" s="44">
        <v>1.9999999999999999E-7</v>
      </c>
      <c r="AN134" s="44">
        <v>1.9999999999999999E-7</v>
      </c>
      <c r="AO134"/>
      <c r="AP134" s="44">
        <v>1.9999999999999999E-7</v>
      </c>
      <c r="AQ134"/>
      <c r="AR134"/>
      <c r="AS134" s="44">
        <v>1.9999999999999999E-7</v>
      </c>
    </row>
    <row r="135" spans="1:45" x14ac:dyDescent="0.2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L135" s="44">
        <v>1.9999999999999999E-7</v>
      </c>
      <c r="M135" s="44">
        <v>1.9999999999999999E-7</v>
      </c>
      <c r="N135" s="44">
        <v>1.9999999999999999E-7</v>
      </c>
      <c r="Q135" s="44">
        <v>1.9999999999999999E-7</v>
      </c>
      <c r="R135" s="44">
        <v>1.9999999999999999E-7</v>
      </c>
      <c r="S135" s="44">
        <v>1.9999999999999999E-7</v>
      </c>
      <c r="T135" s="44">
        <v>1.9999999999999999E-7</v>
      </c>
      <c r="U135" s="44">
        <v>1.9999999999999999E-7</v>
      </c>
      <c r="V135" s="44">
        <v>1.9999999999999999E-7</v>
      </c>
      <c r="W135" s="44">
        <v>1.9999999999999999E-7</v>
      </c>
      <c r="X135" s="44">
        <v>1.9999999999999999E-7</v>
      </c>
      <c r="Y135" s="44">
        <v>1.9999999999999999E-7</v>
      </c>
      <c r="Z135" s="44">
        <v>1.9999999999999999E-7</v>
      </c>
      <c r="AA135" s="44">
        <v>1.9999999999999999E-7</v>
      </c>
      <c r="AB135"/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 s="44">
        <v>1.9999999999999999E-7</v>
      </c>
      <c r="AH135" s="44">
        <v>1.9999999999999999E-7</v>
      </c>
      <c r="AI135" s="44">
        <v>1.9999999999999999E-7</v>
      </c>
      <c r="AJ135"/>
      <c r="AK135" s="44">
        <v>1.9999999999999999E-7</v>
      </c>
      <c r="AL135" s="44">
        <v>1.9999999999999999E-7</v>
      </c>
      <c r="AM135" s="44">
        <v>1.9999999999999999E-7</v>
      </c>
      <c r="AN135" s="44">
        <v>1.9999999999999999E-7</v>
      </c>
      <c r="AO135"/>
      <c r="AP135" s="44">
        <v>1.9999999999999999E-7</v>
      </c>
      <c r="AQ135"/>
      <c r="AR135"/>
      <c r="AS135" s="44">
        <v>1.9999999999999999E-7</v>
      </c>
    </row>
    <row r="136" spans="1:45" x14ac:dyDescent="0.2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L136" s="44">
        <v>10</v>
      </c>
      <c r="M136" s="44">
        <v>10</v>
      </c>
      <c r="N136" s="44">
        <v>10</v>
      </c>
      <c r="Q136" s="44">
        <v>10</v>
      </c>
      <c r="R136" s="44">
        <v>10</v>
      </c>
      <c r="S136" s="44">
        <v>10</v>
      </c>
      <c r="T136" s="44">
        <v>10</v>
      </c>
      <c r="U136" s="44">
        <v>10</v>
      </c>
      <c r="V136" s="44">
        <v>10</v>
      </c>
      <c r="W136" s="44">
        <v>10</v>
      </c>
      <c r="X136" s="44">
        <v>10</v>
      </c>
      <c r="Y136" s="44">
        <v>10</v>
      </c>
      <c r="Z136" s="44">
        <v>10</v>
      </c>
      <c r="AA136" s="44">
        <v>10</v>
      </c>
      <c r="AB136"/>
      <c r="AC136" s="44">
        <v>10</v>
      </c>
      <c r="AD136" s="44">
        <v>10</v>
      </c>
      <c r="AE136" s="44">
        <v>10</v>
      </c>
      <c r="AF136" s="44">
        <v>10</v>
      </c>
      <c r="AG136" s="44">
        <v>10</v>
      </c>
      <c r="AH136" s="44">
        <v>10</v>
      </c>
      <c r="AI136" s="44">
        <v>10</v>
      </c>
      <c r="AJ136"/>
      <c r="AK136" s="44">
        <v>10</v>
      </c>
      <c r="AL136" s="44">
        <v>10</v>
      </c>
      <c r="AM136" s="44">
        <v>10</v>
      </c>
      <c r="AN136" s="44">
        <v>10</v>
      </c>
      <c r="AO136"/>
      <c r="AP136" s="44">
        <v>10</v>
      </c>
      <c r="AQ136"/>
      <c r="AR136"/>
      <c r="AS136" s="44">
        <v>10</v>
      </c>
    </row>
    <row r="137" spans="1:45" x14ac:dyDescent="0.2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L137" s="44">
        <v>-0.04</v>
      </c>
      <c r="M137" s="44">
        <v>-0.04</v>
      </c>
      <c r="N137" s="44">
        <v>-0.04</v>
      </c>
      <c r="Q137" s="44">
        <v>-0.04</v>
      </c>
      <c r="R137" s="44">
        <v>-0.04</v>
      </c>
      <c r="S137" s="44">
        <v>-0.04</v>
      </c>
      <c r="T137" s="44">
        <v>-0.04</v>
      </c>
      <c r="U137" s="44">
        <v>-0.04</v>
      </c>
      <c r="V137" s="44">
        <v>-0.04</v>
      </c>
      <c r="W137" s="44">
        <v>-0.04</v>
      </c>
      <c r="X137" s="44">
        <v>-0.04</v>
      </c>
      <c r="Y137" s="44">
        <v>-0.04</v>
      </c>
      <c r="Z137" s="44">
        <v>-0.04</v>
      </c>
      <c r="AA137" s="44">
        <v>-0.04</v>
      </c>
      <c r="AB137"/>
      <c r="AC137" s="44">
        <v>-0.04</v>
      </c>
      <c r="AD137" s="44">
        <v>-0.04</v>
      </c>
      <c r="AE137" s="44">
        <v>-0.04</v>
      </c>
      <c r="AF137" s="44">
        <v>-0.04</v>
      </c>
      <c r="AG137" s="44">
        <v>-0.04</v>
      </c>
      <c r="AH137" s="44">
        <v>-0.04</v>
      </c>
      <c r="AI137" s="44">
        <v>-0.04</v>
      </c>
      <c r="AJ137"/>
      <c r="AK137" s="44">
        <v>-0.04</v>
      </c>
      <c r="AL137" s="44">
        <v>-0.04</v>
      </c>
      <c r="AM137" s="44">
        <v>-0.04</v>
      </c>
      <c r="AN137" s="44">
        <v>-0.04</v>
      </c>
      <c r="AO137"/>
      <c r="AP137" s="44">
        <v>-0.04</v>
      </c>
      <c r="AQ137"/>
      <c r="AR137"/>
      <c r="AS137" s="44">
        <v>-0.04</v>
      </c>
    </row>
    <row r="138" spans="1:45" x14ac:dyDescent="0.2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L138" s="44">
        <v>2.9</v>
      </c>
      <c r="M138" s="44">
        <v>2.9</v>
      </c>
      <c r="N138" s="44">
        <v>2.9</v>
      </c>
      <c r="Q138" s="44">
        <v>2.9</v>
      </c>
      <c r="R138" s="44">
        <v>2.9</v>
      </c>
      <c r="S138" s="44">
        <v>2.9</v>
      </c>
      <c r="T138" s="44">
        <v>2.9</v>
      </c>
      <c r="U138" s="44">
        <v>2.9</v>
      </c>
      <c r="V138" s="44">
        <v>2.9</v>
      </c>
      <c r="W138" s="44">
        <v>2.9</v>
      </c>
      <c r="X138" s="44">
        <v>2.9</v>
      </c>
      <c r="Y138" s="44">
        <v>2.9</v>
      </c>
      <c r="Z138" s="44">
        <v>2.9</v>
      </c>
      <c r="AA138" s="44">
        <v>2.9</v>
      </c>
      <c r="AB138"/>
      <c r="AC138" s="44">
        <v>2.9</v>
      </c>
      <c r="AD138" s="44">
        <v>2.9</v>
      </c>
      <c r="AE138" s="44">
        <v>2.9</v>
      </c>
      <c r="AF138" s="44">
        <v>2.9</v>
      </c>
      <c r="AG138" s="44">
        <v>2.9</v>
      </c>
      <c r="AH138" s="44">
        <v>2.9</v>
      </c>
      <c r="AI138" s="44">
        <v>2.9</v>
      </c>
      <c r="AJ138"/>
      <c r="AK138" s="44">
        <v>2.9</v>
      </c>
      <c r="AL138" s="44">
        <v>2.9</v>
      </c>
      <c r="AM138" s="44">
        <v>2.9</v>
      </c>
      <c r="AN138" s="44">
        <v>2.9</v>
      </c>
      <c r="AO138"/>
      <c r="AP138" s="44">
        <v>2.9</v>
      </c>
      <c r="AQ138"/>
      <c r="AR138"/>
      <c r="AS138" s="44">
        <v>2.9</v>
      </c>
    </row>
    <row r="139" spans="1:45" x14ac:dyDescent="0.2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L139" s="44">
        <v>1</v>
      </c>
      <c r="M139" s="44">
        <v>1</v>
      </c>
      <c r="N139" s="44">
        <v>1</v>
      </c>
      <c r="Q139" s="44">
        <v>1</v>
      </c>
      <c r="R139" s="44">
        <v>1</v>
      </c>
      <c r="S139" s="44">
        <v>1</v>
      </c>
      <c r="T139" s="44">
        <v>1</v>
      </c>
      <c r="U139" s="44">
        <v>1</v>
      </c>
      <c r="V139" s="44">
        <v>1</v>
      </c>
      <c r="W139" s="44">
        <v>1</v>
      </c>
      <c r="X139" s="44">
        <v>1</v>
      </c>
      <c r="Y139" s="44">
        <v>1</v>
      </c>
      <c r="Z139" s="44">
        <v>1</v>
      </c>
      <c r="AA139" s="44">
        <v>1</v>
      </c>
      <c r="AB139"/>
      <c r="AC139" s="44">
        <v>1</v>
      </c>
      <c r="AD139" s="44">
        <v>1</v>
      </c>
      <c r="AE139" s="44">
        <v>1</v>
      </c>
      <c r="AF139" s="44">
        <v>1</v>
      </c>
      <c r="AG139" s="44">
        <v>1</v>
      </c>
      <c r="AH139" s="44">
        <v>1</v>
      </c>
      <c r="AI139" s="44">
        <v>1</v>
      </c>
      <c r="AJ139"/>
      <c r="AK139" s="44">
        <v>1</v>
      </c>
      <c r="AL139" s="44">
        <v>1</v>
      </c>
      <c r="AM139" s="44">
        <v>1</v>
      </c>
      <c r="AN139" s="44">
        <v>1</v>
      </c>
      <c r="AO139"/>
      <c r="AP139" s="44">
        <v>1</v>
      </c>
      <c r="AQ139"/>
      <c r="AR139"/>
      <c r="AS139" s="44">
        <v>1</v>
      </c>
    </row>
    <row r="140" spans="1:45" x14ac:dyDescent="0.2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L140" s="44">
        <v>0</v>
      </c>
      <c r="M140" s="44">
        <v>0</v>
      </c>
      <c r="N140" s="44">
        <v>0</v>
      </c>
      <c r="Q140" s="44">
        <v>0</v>
      </c>
      <c r="R140" s="44">
        <v>0</v>
      </c>
      <c r="S140" s="44">
        <v>0</v>
      </c>
      <c r="T140" s="44">
        <v>0</v>
      </c>
      <c r="U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/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/>
      <c r="AK140" s="44">
        <v>0</v>
      </c>
      <c r="AL140" s="44">
        <v>0</v>
      </c>
      <c r="AM140" s="44">
        <v>0</v>
      </c>
      <c r="AN140" s="44">
        <v>0</v>
      </c>
      <c r="AO140"/>
      <c r="AP140" s="44">
        <v>0</v>
      </c>
      <c r="AQ140"/>
      <c r="AR140"/>
      <c r="AS140" s="44">
        <v>0</v>
      </c>
    </row>
    <row r="141" spans="1:45" x14ac:dyDescent="0.2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L141" s="44">
        <v>5.0000000000000004E-6</v>
      </c>
      <c r="M141" s="44">
        <v>5.0000000000000004E-6</v>
      </c>
      <c r="N141" s="44">
        <v>5.0000000000000004E-6</v>
      </c>
      <c r="Q141" s="44">
        <v>5.0000000000000004E-6</v>
      </c>
      <c r="R141" s="44">
        <v>5.0000000000000004E-6</v>
      </c>
      <c r="S141" s="44">
        <v>5.0000000000000004E-6</v>
      </c>
      <c r="T141" s="44">
        <v>5.0000000000000004E-6</v>
      </c>
      <c r="U141" s="44">
        <v>5.0000000000000004E-6</v>
      </c>
      <c r="V141" s="44">
        <v>5.0000000000000004E-6</v>
      </c>
      <c r="W141" s="44">
        <v>5.0000000000000004E-6</v>
      </c>
      <c r="X141" s="44">
        <v>5.0000000000000004E-6</v>
      </c>
      <c r="Y141" s="44">
        <v>5.0000000000000004E-6</v>
      </c>
      <c r="Z141" s="44">
        <v>5.0000000000000004E-6</v>
      </c>
      <c r="AA141" s="44">
        <v>5.0000000000000004E-6</v>
      </c>
      <c r="AB141"/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 s="44">
        <v>5.0000000000000004E-6</v>
      </c>
      <c r="AH141" s="44">
        <v>5.0000000000000004E-6</v>
      </c>
      <c r="AI141" s="44">
        <v>5.0000000000000004E-6</v>
      </c>
      <c r="AJ141"/>
      <c r="AK141" s="44">
        <v>5.0000000000000004E-6</v>
      </c>
      <c r="AL141" s="44">
        <v>5.0000000000000004E-6</v>
      </c>
      <c r="AM141" s="44">
        <v>5.0000000000000004E-6</v>
      </c>
      <c r="AN141" s="44">
        <v>5.0000000000000004E-6</v>
      </c>
      <c r="AO141"/>
      <c r="AP141" s="44">
        <v>5.0000000000000004E-6</v>
      </c>
      <c r="AQ141"/>
      <c r="AR141"/>
      <c r="AS141" s="44">
        <v>5.0000000000000004E-6</v>
      </c>
    </row>
    <row r="142" spans="1:45" x14ac:dyDescent="0.2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L142" s="44">
        <v>0</v>
      </c>
      <c r="M142" s="44">
        <v>0</v>
      </c>
      <c r="N142" s="44">
        <v>0</v>
      </c>
      <c r="Q142" s="44">
        <v>0</v>
      </c>
      <c r="R142" s="44">
        <v>0</v>
      </c>
      <c r="S142" s="44">
        <v>0</v>
      </c>
      <c r="T142" s="44">
        <v>0</v>
      </c>
      <c r="U142" s="44">
        <v>0</v>
      </c>
      <c r="V142" s="44">
        <v>0</v>
      </c>
      <c r="W142" s="44">
        <v>0</v>
      </c>
      <c r="X142" s="44">
        <v>0</v>
      </c>
      <c r="Y142" s="44">
        <v>0</v>
      </c>
      <c r="Z142" s="44">
        <v>0</v>
      </c>
      <c r="AA142" s="44">
        <v>0</v>
      </c>
      <c r="AB142"/>
      <c r="AC142" s="44">
        <v>0</v>
      </c>
      <c r="AD142" s="44">
        <v>0</v>
      </c>
      <c r="AE142" s="44">
        <v>0</v>
      </c>
      <c r="AF142" s="44">
        <v>0</v>
      </c>
      <c r="AG142" s="44">
        <v>0</v>
      </c>
      <c r="AH142" s="44">
        <v>0</v>
      </c>
      <c r="AI142" s="44">
        <v>0</v>
      </c>
      <c r="AJ142"/>
      <c r="AK142" s="44">
        <v>0</v>
      </c>
      <c r="AL142" s="44">
        <v>0</v>
      </c>
      <c r="AM142" s="44">
        <v>0</v>
      </c>
      <c r="AN142" s="44">
        <v>0</v>
      </c>
      <c r="AO142"/>
      <c r="AP142" s="44">
        <v>0</v>
      </c>
      <c r="AQ142"/>
      <c r="AR142"/>
      <c r="AS142" s="44">
        <v>0</v>
      </c>
    </row>
    <row r="143" spans="1:45" x14ac:dyDescent="0.2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L143" s="44">
        <v>2E-3</v>
      </c>
      <c r="M143" s="44">
        <v>2E-3</v>
      </c>
      <c r="N143" s="44">
        <v>2E-3</v>
      </c>
      <c r="Q143" s="44">
        <v>2E-3</v>
      </c>
      <c r="R143" s="44">
        <v>2E-3</v>
      </c>
      <c r="S143" s="44">
        <v>2E-3</v>
      </c>
      <c r="T143" s="44">
        <v>2E-3</v>
      </c>
      <c r="U143" s="44">
        <v>2E-3</v>
      </c>
      <c r="V143" s="44">
        <v>2E-3</v>
      </c>
      <c r="W143" s="44">
        <v>2E-3</v>
      </c>
      <c r="X143" s="44">
        <v>2E-3</v>
      </c>
      <c r="Y143" s="44">
        <v>2E-3</v>
      </c>
      <c r="Z143" s="44">
        <v>2E-3</v>
      </c>
      <c r="AA143" s="44">
        <v>2E-3</v>
      </c>
      <c r="AB143"/>
      <c r="AC143" s="44">
        <v>2E-3</v>
      </c>
      <c r="AD143" s="44">
        <v>2E-3</v>
      </c>
      <c r="AE143" s="44">
        <v>2E-3</v>
      </c>
      <c r="AF143" s="44">
        <v>2E-3</v>
      </c>
      <c r="AG143" s="44">
        <v>2E-3</v>
      </c>
      <c r="AH143" s="44">
        <v>2E-3</v>
      </c>
      <c r="AI143" s="44">
        <v>2E-3</v>
      </c>
      <c r="AJ143"/>
      <c r="AK143" s="44">
        <v>2E-3</v>
      </c>
      <c r="AL143" s="44">
        <v>2E-3</v>
      </c>
      <c r="AM143" s="44">
        <v>2E-3</v>
      </c>
      <c r="AN143" s="44">
        <v>2E-3</v>
      </c>
      <c r="AO143"/>
      <c r="AP143" s="44">
        <v>2E-3</v>
      </c>
      <c r="AQ143"/>
      <c r="AR143"/>
      <c r="AS143" s="44">
        <v>2E-3</v>
      </c>
    </row>
    <row r="144" spans="1:45" x14ac:dyDescent="0.2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L144" s="44">
        <v>3.9999999999999998E-6</v>
      </c>
      <c r="M144" s="44">
        <v>3.9999999999999998E-6</v>
      </c>
      <c r="N144" s="44">
        <v>3.9999999999999998E-6</v>
      </c>
      <c r="Q144" s="44">
        <v>3.9999999999999998E-6</v>
      </c>
      <c r="R144" s="44">
        <v>3.9999999999999998E-6</v>
      </c>
      <c r="S144" s="44">
        <v>3.9999999999999998E-6</v>
      </c>
      <c r="T144" s="44">
        <v>3.9999999999999998E-6</v>
      </c>
      <c r="U144" s="44">
        <v>3.9999999999999998E-6</v>
      </c>
      <c r="V144" s="44">
        <v>3.9999999999999998E-6</v>
      </c>
      <c r="W144" s="44">
        <v>3.9999999999999998E-6</v>
      </c>
      <c r="X144" s="44">
        <v>3.9999999999999998E-6</v>
      </c>
      <c r="Y144" s="44">
        <v>3.9999999999999998E-6</v>
      </c>
      <c r="Z144" s="44">
        <v>3.9999999999999998E-6</v>
      </c>
      <c r="AA144" s="44">
        <v>3.9999999999999998E-6</v>
      </c>
      <c r="AB144"/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 s="44">
        <v>3.9999999999999998E-6</v>
      </c>
      <c r="AH144" s="44">
        <v>3.9999999999999998E-6</v>
      </c>
      <c r="AI144" s="44">
        <v>3.9999999999999998E-6</v>
      </c>
      <c r="AJ144"/>
      <c r="AK144" s="44">
        <v>3.9999999999999998E-6</v>
      </c>
      <c r="AL144" s="44">
        <v>3.9999999999999998E-6</v>
      </c>
      <c r="AM144" s="44">
        <v>3.9999999999999998E-6</v>
      </c>
      <c r="AN144" s="44">
        <v>3.9999999999999998E-6</v>
      </c>
      <c r="AO144"/>
      <c r="AP144" s="44">
        <v>3.9999999999999998E-6</v>
      </c>
      <c r="AQ144"/>
      <c r="AR144"/>
      <c r="AS144" s="44">
        <v>3.9999999999999998E-6</v>
      </c>
    </row>
    <row r="145" spans="1:45" x14ac:dyDescent="0.2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L145" s="44">
        <v>3.7699999999999999E-10</v>
      </c>
      <c r="M145" s="44">
        <v>3.7699999999999999E-10</v>
      </c>
      <c r="N145" s="44">
        <v>3.7699999999999999E-10</v>
      </c>
      <c r="Q145" s="44">
        <v>3.7699999999999999E-10</v>
      </c>
      <c r="R145" s="44">
        <v>3.7699999999999999E-10</v>
      </c>
      <c r="S145" s="44">
        <v>3.7699999999999999E-10</v>
      </c>
      <c r="T145" s="44">
        <v>3.7699999999999999E-10</v>
      </c>
      <c r="U145" s="44">
        <v>3.7699999999999999E-10</v>
      </c>
      <c r="V145" s="44">
        <v>3.7699999999999999E-10</v>
      </c>
      <c r="W145" s="44">
        <v>3.7699999999999999E-10</v>
      </c>
      <c r="X145" s="44">
        <v>3.7699999999999999E-10</v>
      </c>
      <c r="Y145" s="44">
        <v>3.7699999999999999E-10</v>
      </c>
      <c r="Z145" s="44">
        <v>3.7699999999999999E-10</v>
      </c>
      <c r="AA145" s="44">
        <v>3.7699999999999999E-10</v>
      </c>
      <c r="AB145"/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 s="44">
        <v>3.7699999999999999E-10</v>
      </c>
      <c r="AH145" s="44">
        <v>3.7699999999999999E-10</v>
      </c>
      <c r="AI145" s="44">
        <v>3.7699999999999999E-10</v>
      </c>
      <c r="AJ145"/>
      <c r="AK145" s="44">
        <v>3.7699999999999999E-10</v>
      </c>
      <c r="AL145" s="44">
        <v>3.7699999999999999E-10</v>
      </c>
      <c r="AM145" s="44">
        <v>3.7699999999999999E-10</v>
      </c>
      <c r="AN145" s="44">
        <v>3.7699999999999999E-10</v>
      </c>
      <c r="AO145"/>
      <c r="AP145" s="44">
        <v>3.7699999999999999E-10</v>
      </c>
      <c r="AQ145"/>
      <c r="AR145"/>
      <c r="AS145" s="44">
        <v>3.7699999999999999E-10</v>
      </c>
    </row>
    <row r="146" spans="1:45" x14ac:dyDescent="0.2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L146" s="44">
        <v>20</v>
      </c>
      <c r="M146" s="44">
        <v>20</v>
      </c>
      <c r="N146" s="44">
        <v>20</v>
      </c>
      <c r="Q146" s="44">
        <v>20</v>
      </c>
      <c r="R146" s="44">
        <v>20</v>
      </c>
      <c r="S146" s="44">
        <v>20</v>
      </c>
      <c r="T146" s="44">
        <v>20</v>
      </c>
      <c r="U146" s="44">
        <v>20</v>
      </c>
      <c r="V146" s="44">
        <v>20</v>
      </c>
      <c r="W146" s="44">
        <v>20</v>
      </c>
      <c r="X146" s="44">
        <v>20</v>
      </c>
      <c r="Y146" s="44">
        <v>20</v>
      </c>
      <c r="Z146" s="44">
        <v>20</v>
      </c>
      <c r="AA146" s="44">
        <v>20</v>
      </c>
      <c r="AB146"/>
      <c r="AC146" s="44">
        <v>20</v>
      </c>
      <c r="AD146" s="44">
        <v>20</v>
      </c>
      <c r="AE146" s="44">
        <v>20</v>
      </c>
      <c r="AF146" s="44">
        <v>20</v>
      </c>
      <c r="AG146" s="44">
        <v>20</v>
      </c>
      <c r="AH146" s="44">
        <v>20</v>
      </c>
      <c r="AI146" s="44">
        <v>20</v>
      </c>
      <c r="AJ146"/>
      <c r="AK146" s="44">
        <v>20</v>
      </c>
      <c r="AL146" s="44">
        <v>20</v>
      </c>
      <c r="AM146" s="44">
        <v>20</v>
      </c>
      <c r="AN146" s="44">
        <v>20</v>
      </c>
      <c r="AO146"/>
      <c r="AP146" s="44">
        <v>20</v>
      </c>
      <c r="AQ146"/>
      <c r="AR146"/>
      <c r="AS146" s="44">
        <v>20</v>
      </c>
    </row>
    <row r="147" spans="1:45" x14ac:dyDescent="0.2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L147" s="44">
        <v>-0.06</v>
      </c>
      <c r="M147" s="44">
        <v>-0.06</v>
      </c>
      <c r="N147" s="44">
        <v>-0.06</v>
      </c>
      <c r="Q147" s="44">
        <v>-0.06</v>
      </c>
      <c r="R147" s="44">
        <v>-0.06</v>
      </c>
      <c r="S147" s="44">
        <v>-0.06</v>
      </c>
      <c r="T147" s="44">
        <v>-0.06</v>
      </c>
      <c r="U147" s="44">
        <v>-0.06</v>
      </c>
      <c r="V147" s="44">
        <v>-0.06</v>
      </c>
      <c r="W147" s="44">
        <v>-0.06</v>
      </c>
      <c r="X147" s="44">
        <v>-0.06</v>
      </c>
      <c r="Y147" s="44">
        <v>-0.06</v>
      </c>
      <c r="Z147" s="44">
        <v>-0.06</v>
      </c>
      <c r="AA147" s="44">
        <v>-0.06</v>
      </c>
      <c r="AB147"/>
      <c r="AC147" s="44">
        <v>-0.06</v>
      </c>
      <c r="AD147" s="44">
        <v>-0.06</v>
      </c>
      <c r="AE147" s="44">
        <v>-0.06</v>
      </c>
      <c r="AF147" s="44">
        <v>-0.06</v>
      </c>
      <c r="AG147" s="44">
        <v>-0.06</v>
      </c>
      <c r="AH147" s="44">
        <v>-0.06</v>
      </c>
      <c r="AI147" s="44">
        <v>-0.06</v>
      </c>
      <c r="AJ147"/>
      <c r="AK147" s="44">
        <v>-0.06</v>
      </c>
      <c r="AL147" s="44">
        <v>-0.06</v>
      </c>
      <c r="AM147" s="44">
        <v>-0.06</v>
      </c>
      <c r="AN147" s="44">
        <v>-0.06</v>
      </c>
      <c r="AO147"/>
      <c r="AP147" s="44">
        <v>-0.06</v>
      </c>
      <c r="AQ147"/>
      <c r="AR147"/>
      <c r="AS147" s="44">
        <v>-0.06</v>
      </c>
    </row>
    <row r="148" spans="1:45" x14ac:dyDescent="0.2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L148" s="44">
        <v>0.89100000000000001</v>
      </c>
      <c r="M148" s="44">
        <v>0.89100000000000001</v>
      </c>
      <c r="N148" s="44">
        <v>0.89100000000000001</v>
      </c>
      <c r="Q148" s="44">
        <v>0.89100000000000001</v>
      </c>
      <c r="R148" s="44">
        <v>0.89100000000000001</v>
      </c>
      <c r="S148" s="44">
        <v>0.89100000000000001</v>
      </c>
      <c r="T148" s="44">
        <v>0.89100000000000001</v>
      </c>
      <c r="U148" s="44">
        <v>0.89100000000000001</v>
      </c>
      <c r="V148" s="44">
        <v>0.89100000000000001</v>
      </c>
      <c r="W148" s="44">
        <v>0.89100000000000001</v>
      </c>
      <c r="X148" s="44">
        <v>0.89100000000000001</v>
      </c>
      <c r="Y148" s="44">
        <v>0.89100000000000001</v>
      </c>
      <c r="Z148" s="44">
        <v>0.89100000000000001</v>
      </c>
      <c r="AA148" s="44">
        <v>0.89100000000000001</v>
      </c>
      <c r="AB148"/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 s="44">
        <v>0.89100000000000001</v>
      </c>
      <c r="AH148" s="44">
        <v>0.89100000000000001</v>
      </c>
      <c r="AI148" s="44">
        <v>0.89100000000000001</v>
      </c>
      <c r="AJ148"/>
      <c r="AK148" s="44">
        <v>0.89100000000000001</v>
      </c>
      <c r="AL148" s="44">
        <v>0.89100000000000001</v>
      </c>
      <c r="AM148" s="44">
        <v>0.89100000000000001</v>
      </c>
      <c r="AN148" s="44">
        <v>0.89100000000000001</v>
      </c>
      <c r="AO148"/>
      <c r="AP148" s="44">
        <v>0.89100000000000001</v>
      </c>
      <c r="AQ148"/>
      <c r="AR148"/>
      <c r="AS148" s="44">
        <v>0.89100000000000001</v>
      </c>
    </row>
    <row r="149" spans="1:45" x14ac:dyDescent="0.2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L149" s="44">
        <v>1</v>
      </c>
      <c r="M149" s="44">
        <v>1</v>
      </c>
      <c r="N149" s="44">
        <v>1</v>
      </c>
      <c r="Q149" s="44">
        <v>1</v>
      </c>
      <c r="R149" s="44">
        <v>1</v>
      </c>
      <c r="S149" s="44">
        <v>1</v>
      </c>
      <c r="T149" s="44">
        <v>1</v>
      </c>
      <c r="U149" s="44">
        <v>1</v>
      </c>
      <c r="V149" s="44">
        <v>1</v>
      </c>
      <c r="W149" s="44">
        <v>1</v>
      </c>
      <c r="X149" s="44">
        <v>1</v>
      </c>
      <c r="Y149" s="44">
        <v>1</v>
      </c>
      <c r="Z149" s="44">
        <v>1</v>
      </c>
      <c r="AA149" s="44">
        <v>1</v>
      </c>
      <c r="AB149"/>
      <c r="AC149" s="44">
        <v>1</v>
      </c>
      <c r="AD149" s="44">
        <v>1</v>
      </c>
      <c r="AE149" s="44">
        <v>1</v>
      </c>
      <c r="AF149" s="44">
        <v>1</v>
      </c>
      <c r="AG149" s="44">
        <v>1</v>
      </c>
      <c r="AH149" s="44">
        <v>1</v>
      </c>
      <c r="AI149" s="44">
        <v>1</v>
      </c>
      <c r="AJ149"/>
      <c r="AK149" s="44">
        <v>1</v>
      </c>
      <c r="AL149" s="44">
        <v>1</v>
      </c>
      <c r="AM149" s="44">
        <v>1</v>
      </c>
      <c r="AN149" s="44">
        <v>1</v>
      </c>
      <c r="AO149"/>
      <c r="AP149" s="44">
        <v>1</v>
      </c>
      <c r="AQ149"/>
      <c r="AR149"/>
      <c r="AS149" s="44">
        <v>1</v>
      </c>
    </row>
    <row r="150" spans="1:45" x14ac:dyDescent="0.2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L150" s="44">
        <v>4.0000000000000003E-5</v>
      </c>
      <c r="M150" s="44">
        <v>4.0000000000000003E-5</v>
      </c>
      <c r="N150" s="44">
        <v>4.0000000000000003E-5</v>
      </c>
      <c r="Q150" s="44">
        <v>4.0000000000000003E-5</v>
      </c>
      <c r="R150" s="44">
        <v>4.0000000000000003E-5</v>
      </c>
      <c r="S150" s="44">
        <v>4.0000000000000003E-5</v>
      </c>
      <c r="T150" s="44">
        <v>4.0000000000000003E-5</v>
      </c>
      <c r="U150" s="44">
        <v>4.0000000000000003E-5</v>
      </c>
      <c r="V150" s="44">
        <v>4.0000000000000003E-5</v>
      </c>
      <c r="W150" s="44">
        <v>4.0000000000000003E-5</v>
      </c>
      <c r="X150" s="44">
        <v>4.0000000000000003E-5</v>
      </c>
      <c r="Y150" s="44">
        <v>4.0000000000000003E-5</v>
      </c>
      <c r="Z150" s="44">
        <v>4.0000000000000003E-5</v>
      </c>
      <c r="AA150" s="44">
        <v>4.0000000000000003E-5</v>
      </c>
      <c r="AB150"/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 s="44">
        <v>4.0000000000000003E-5</v>
      </c>
      <c r="AH150" s="44">
        <v>4.0000000000000003E-5</v>
      </c>
      <c r="AI150" s="44">
        <v>4.0000000000000003E-5</v>
      </c>
      <c r="AJ150"/>
      <c r="AK150" s="44">
        <v>4.0000000000000003E-5</v>
      </c>
      <c r="AL150" s="44">
        <v>4.0000000000000003E-5</v>
      </c>
      <c r="AM150" s="44">
        <v>4.0000000000000003E-5</v>
      </c>
      <c r="AN150" s="44">
        <v>4.0000000000000003E-5</v>
      </c>
      <c r="AO150"/>
      <c r="AP150" s="44">
        <v>4.0000000000000003E-5</v>
      </c>
      <c r="AQ150"/>
      <c r="AR150"/>
      <c r="AS150" s="44">
        <v>4.0000000000000003E-5</v>
      </c>
    </row>
    <row r="151" spans="1:45" x14ac:dyDescent="0.2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L151" s="44">
        <v>5.8333333333333335E-9</v>
      </c>
      <c r="M151" s="44">
        <v>5.8333333333333335E-9</v>
      </c>
      <c r="N151" s="44">
        <v>5.8333333333333335E-9</v>
      </c>
      <c r="Q151" s="44">
        <v>5.8333333333333335E-9</v>
      </c>
      <c r="R151" s="44">
        <v>5.8333333333333335E-9</v>
      </c>
      <c r="S151" s="44">
        <v>5.8333333333333335E-9</v>
      </c>
      <c r="T151" s="44">
        <v>5.8333333333333335E-9</v>
      </c>
      <c r="U151" s="44">
        <v>5.8333333333333335E-9</v>
      </c>
      <c r="V151" s="44">
        <v>5.8333333333333335E-9</v>
      </c>
      <c r="W151" s="44">
        <v>5.8333333333333335E-9</v>
      </c>
      <c r="X151" s="44">
        <v>5.8333333333333335E-9</v>
      </c>
      <c r="Y151" s="44">
        <v>5.8333333333333335E-9</v>
      </c>
      <c r="Z151" s="44">
        <v>5.8333333333333335E-9</v>
      </c>
      <c r="AA151" s="44">
        <v>5.8333333333333335E-9</v>
      </c>
      <c r="AB151"/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 s="44">
        <v>5.8333333333333335E-9</v>
      </c>
      <c r="AH151" s="44">
        <v>5.8333333333333335E-9</v>
      </c>
      <c r="AI151" s="44">
        <v>5.8333333333333335E-9</v>
      </c>
      <c r="AJ151"/>
      <c r="AK151" s="44">
        <v>5.8333333333333335E-9</v>
      </c>
      <c r="AL151" s="44">
        <v>5.8333333333333335E-9</v>
      </c>
      <c r="AM151" s="44">
        <v>5.8333333333333335E-9</v>
      </c>
      <c r="AN151" s="44">
        <v>5.8333333333333335E-9</v>
      </c>
      <c r="AO151"/>
      <c r="AP151" s="44">
        <v>5.8333333333333335E-9</v>
      </c>
      <c r="AQ151"/>
      <c r="AR151"/>
      <c r="AS151" s="44">
        <v>5.8333333333333335E-9</v>
      </c>
    </row>
    <row r="152" spans="1:45" x14ac:dyDescent="0.2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L152" s="44">
        <v>20</v>
      </c>
      <c r="M152" s="44">
        <v>20</v>
      </c>
      <c r="N152" s="44">
        <v>20</v>
      </c>
      <c r="Q152" s="44">
        <v>20</v>
      </c>
      <c r="R152" s="44">
        <v>20</v>
      </c>
      <c r="S152" s="44">
        <v>20</v>
      </c>
      <c r="T152" s="44">
        <v>20</v>
      </c>
      <c r="U152" s="44">
        <v>20</v>
      </c>
      <c r="V152" s="44">
        <v>20</v>
      </c>
      <c r="W152" s="44">
        <v>20</v>
      </c>
      <c r="X152" s="44">
        <v>20</v>
      </c>
      <c r="Y152" s="44">
        <v>20</v>
      </c>
      <c r="Z152" s="44">
        <v>20</v>
      </c>
      <c r="AA152" s="44">
        <v>20</v>
      </c>
      <c r="AB152"/>
      <c r="AC152" s="44">
        <v>20</v>
      </c>
      <c r="AD152" s="44">
        <v>20</v>
      </c>
      <c r="AE152" s="44">
        <v>20</v>
      </c>
      <c r="AF152" s="44">
        <v>20</v>
      </c>
      <c r="AG152" s="44">
        <v>20</v>
      </c>
      <c r="AH152" s="44">
        <v>20</v>
      </c>
      <c r="AI152" s="44">
        <v>20</v>
      </c>
      <c r="AJ152"/>
      <c r="AK152" s="44">
        <v>20</v>
      </c>
      <c r="AL152" s="44">
        <v>20</v>
      </c>
      <c r="AM152" s="44">
        <v>20</v>
      </c>
      <c r="AN152" s="44">
        <v>20</v>
      </c>
      <c r="AO152"/>
      <c r="AP152" s="44">
        <v>20</v>
      </c>
      <c r="AQ152"/>
      <c r="AR152"/>
      <c r="AS152" s="44">
        <v>20</v>
      </c>
    </row>
    <row r="153" spans="1:45" x14ac:dyDescent="0.2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L153" s="44">
        <v>-0.06</v>
      </c>
      <c r="M153" s="44">
        <v>-0.06</v>
      </c>
      <c r="N153" s="44">
        <v>-0.06</v>
      </c>
      <c r="Q153" s="44">
        <v>-0.06</v>
      </c>
      <c r="R153" s="44">
        <v>-0.06</v>
      </c>
      <c r="S153" s="44">
        <v>-0.06</v>
      </c>
      <c r="T153" s="44">
        <v>-0.06</v>
      </c>
      <c r="U153" s="44">
        <v>-0.06</v>
      </c>
      <c r="V153" s="44">
        <v>-0.06</v>
      </c>
      <c r="W153" s="44">
        <v>-0.06</v>
      </c>
      <c r="X153" s="44">
        <v>-0.06</v>
      </c>
      <c r="Y153" s="44">
        <v>-0.06</v>
      </c>
      <c r="Z153" s="44">
        <v>-0.06</v>
      </c>
      <c r="AA153" s="44">
        <v>-0.06</v>
      </c>
      <c r="AB153"/>
      <c r="AC153" s="44">
        <v>-0.06</v>
      </c>
      <c r="AD153" s="44">
        <v>-0.06</v>
      </c>
      <c r="AE153" s="44">
        <v>-0.06</v>
      </c>
      <c r="AF153" s="44">
        <v>-0.06</v>
      </c>
      <c r="AG153" s="44">
        <v>-0.06</v>
      </c>
      <c r="AH153" s="44">
        <v>-0.06</v>
      </c>
      <c r="AI153" s="44">
        <v>-0.06</v>
      </c>
      <c r="AJ153"/>
      <c r="AK153" s="44">
        <v>-0.06</v>
      </c>
      <c r="AL153" s="44">
        <v>-0.06</v>
      </c>
      <c r="AM153" s="44">
        <v>-0.06</v>
      </c>
      <c r="AN153" s="44">
        <v>-0.06</v>
      </c>
      <c r="AO153"/>
      <c r="AP153" s="44">
        <v>-0.06</v>
      </c>
      <c r="AQ153"/>
      <c r="AR153"/>
      <c r="AS153" s="44">
        <v>-0.06</v>
      </c>
    </row>
    <row r="154" spans="1:45" x14ac:dyDescent="0.2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L154" s="44">
        <v>0.89100000000000001</v>
      </c>
      <c r="M154" s="44">
        <v>0.89100000000000001</v>
      </c>
      <c r="N154" s="44">
        <v>0.89100000000000001</v>
      </c>
      <c r="Q154" s="44">
        <v>0.89100000000000001</v>
      </c>
      <c r="R154" s="44">
        <v>0.89100000000000001</v>
      </c>
      <c r="S154" s="44">
        <v>0.89100000000000001</v>
      </c>
      <c r="T154" s="44">
        <v>0.89100000000000001</v>
      </c>
      <c r="U154" s="44">
        <v>0.89100000000000001</v>
      </c>
      <c r="V154" s="44">
        <v>0.89100000000000001</v>
      </c>
      <c r="W154" s="44">
        <v>0.89100000000000001</v>
      </c>
      <c r="X154" s="44">
        <v>0.89100000000000001</v>
      </c>
      <c r="Y154" s="44">
        <v>0.89100000000000001</v>
      </c>
      <c r="Z154" s="44">
        <v>0.89100000000000001</v>
      </c>
      <c r="AA154" s="44">
        <v>0.89100000000000001</v>
      </c>
      <c r="AB154"/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 s="44">
        <v>0.89100000000000001</v>
      </c>
      <c r="AH154" s="44">
        <v>0.89100000000000001</v>
      </c>
      <c r="AI154" s="44">
        <v>0.89100000000000001</v>
      </c>
      <c r="AJ154"/>
      <c r="AK154" s="44">
        <v>0.89100000000000001</v>
      </c>
      <c r="AL154" s="44">
        <v>0.89100000000000001</v>
      </c>
      <c r="AM154" s="44">
        <v>0.89100000000000001</v>
      </c>
      <c r="AN154" s="44">
        <v>0.89100000000000001</v>
      </c>
      <c r="AO154"/>
      <c r="AP154" s="44">
        <v>0.89100000000000001</v>
      </c>
      <c r="AQ154"/>
      <c r="AR154"/>
      <c r="AS154" s="44">
        <v>0.89100000000000001</v>
      </c>
    </row>
    <row r="155" spans="1:45" x14ac:dyDescent="0.2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L155" s="44">
        <v>1</v>
      </c>
      <c r="M155" s="44">
        <v>1</v>
      </c>
      <c r="N155" s="44">
        <v>1</v>
      </c>
      <c r="Q155" s="44">
        <v>1</v>
      </c>
      <c r="R155" s="44">
        <v>1</v>
      </c>
      <c r="S155" s="44">
        <v>1</v>
      </c>
      <c r="T155" s="44">
        <v>1</v>
      </c>
      <c r="U155" s="44">
        <v>1</v>
      </c>
      <c r="V155" s="44">
        <v>1</v>
      </c>
      <c r="W155" s="44">
        <v>1</v>
      </c>
      <c r="X155" s="44">
        <v>1</v>
      </c>
      <c r="Y155" s="44">
        <v>1</v>
      </c>
      <c r="Z155" s="44">
        <v>1</v>
      </c>
      <c r="AA155" s="44">
        <v>1</v>
      </c>
      <c r="AB155"/>
      <c r="AC155" s="44">
        <v>1</v>
      </c>
      <c r="AD155" s="44">
        <v>1</v>
      </c>
      <c r="AE155" s="44">
        <v>1</v>
      </c>
      <c r="AF155" s="44">
        <v>1</v>
      </c>
      <c r="AG155" s="44">
        <v>1</v>
      </c>
      <c r="AH155" s="44">
        <v>1</v>
      </c>
      <c r="AI155" s="44">
        <v>1</v>
      </c>
      <c r="AJ155"/>
      <c r="AK155" s="44">
        <v>1</v>
      </c>
      <c r="AL155" s="44">
        <v>1</v>
      </c>
      <c r="AM155" s="44">
        <v>1</v>
      </c>
      <c r="AN155" s="44">
        <v>1</v>
      </c>
      <c r="AO155"/>
      <c r="AP155" s="44">
        <v>1</v>
      </c>
      <c r="AQ155"/>
      <c r="AR155"/>
      <c r="AS155" s="44">
        <v>1</v>
      </c>
    </row>
    <row r="156" spans="1:45" x14ac:dyDescent="0.2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L156" s="44">
        <v>4.0000000000000003E-5</v>
      </c>
      <c r="M156" s="44">
        <v>4.0000000000000003E-5</v>
      </c>
      <c r="N156" s="44">
        <v>4.0000000000000003E-5</v>
      </c>
      <c r="Q156" s="44">
        <v>4.0000000000000003E-5</v>
      </c>
      <c r="R156" s="44">
        <v>4.0000000000000003E-5</v>
      </c>
      <c r="S156" s="44">
        <v>4.0000000000000003E-5</v>
      </c>
      <c r="T156" s="44">
        <v>4.0000000000000003E-5</v>
      </c>
      <c r="U156" s="44">
        <v>4.0000000000000003E-5</v>
      </c>
      <c r="V156" s="44">
        <v>4.0000000000000003E-5</v>
      </c>
      <c r="W156" s="44">
        <v>4.0000000000000003E-5</v>
      </c>
      <c r="X156" s="44">
        <v>4.0000000000000003E-5</v>
      </c>
      <c r="Y156" s="44">
        <v>4.0000000000000003E-5</v>
      </c>
      <c r="Z156" s="44">
        <v>4.0000000000000003E-5</v>
      </c>
      <c r="AA156" s="44">
        <v>4.0000000000000003E-5</v>
      </c>
      <c r="AB156"/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 s="44">
        <v>4.0000000000000003E-5</v>
      </c>
      <c r="AH156" s="44">
        <v>4.0000000000000003E-5</v>
      </c>
      <c r="AI156" s="44">
        <v>4.0000000000000003E-5</v>
      </c>
      <c r="AJ156"/>
      <c r="AK156" s="44">
        <v>4.0000000000000003E-5</v>
      </c>
      <c r="AL156" s="44">
        <v>4.0000000000000003E-5</v>
      </c>
      <c r="AM156" s="44">
        <v>4.0000000000000003E-5</v>
      </c>
      <c r="AN156" s="44">
        <v>4.0000000000000003E-5</v>
      </c>
      <c r="AO156"/>
      <c r="AP156" s="44">
        <v>4.0000000000000003E-5</v>
      </c>
      <c r="AQ156"/>
      <c r="AR156"/>
      <c r="AS156" s="44">
        <v>4.0000000000000003E-5</v>
      </c>
    </row>
    <row r="157" spans="1:45" x14ac:dyDescent="0.2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L157" s="44">
        <v>4.0000000000000001E-8</v>
      </c>
      <c r="M157" s="44">
        <v>4.0000000000000001E-8</v>
      </c>
      <c r="N157" s="44">
        <v>4.0000000000000001E-8</v>
      </c>
      <c r="Q157" s="44">
        <v>4.0000000000000001E-8</v>
      </c>
      <c r="R157" s="44">
        <v>4.0000000000000001E-8</v>
      </c>
      <c r="S157" s="44">
        <v>4.0000000000000001E-8</v>
      </c>
      <c r="T157" s="44">
        <v>4.0000000000000001E-8</v>
      </c>
      <c r="U157" s="44">
        <v>4.0000000000000001E-8</v>
      </c>
      <c r="V157" s="44">
        <v>4.0000000000000001E-8</v>
      </c>
      <c r="W157" s="44">
        <v>4.0000000000000001E-8</v>
      </c>
      <c r="X157" s="44">
        <v>4.0000000000000001E-8</v>
      </c>
      <c r="Y157" s="44">
        <v>4.0000000000000001E-8</v>
      </c>
      <c r="Z157" s="44">
        <v>4.0000000000000001E-8</v>
      </c>
      <c r="AA157" s="44">
        <v>4.0000000000000001E-8</v>
      </c>
      <c r="AB157"/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 s="44">
        <v>4.0000000000000001E-8</v>
      </c>
      <c r="AH157" s="44">
        <v>4.0000000000000001E-8</v>
      </c>
      <c r="AI157" s="44">
        <v>4.0000000000000001E-8</v>
      </c>
      <c r="AJ157"/>
      <c r="AK157" s="44">
        <v>4.0000000000000001E-8</v>
      </c>
      <c r="AL157" s="44">
        <v>4.0000000000000001E-8</v>
      </c>
      <c r="AM157" s="44">
        <v>4.0000000000000001E-8</v>
      </c>
      <c r="AN157" s="44">
        <v>4.0000000000000001E-8</v>
      </c>
      <c r="AO157"/>
      <c r="AP157" s="44">
        <v>4.0000000000000001E-8</v>
      </c>
      <c r="AQ157"/>
      <c r="AR157"/>
      <c r="AS157" s="44">
        <v>4.0000000000000001E-8</v>
      </c>
    </row>
    <row r="158" spans="1:45" x14ac:dyDescent="0.2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L158" s="44">
        <v>20</v>
      </c>
      <c r="M158" s="44">
        <v>20</v>
      </c>
      <c r="N158" s="44">
        <v>20</v>
      </c>
      <c r="Q158" s="44">
        <v>20</v>
      </c>
      <c r="R158" s="44">
        <v>20</v>
      </c>
      <c r="S158" s="44">
        <v>20</v>
      </c>
      <c r="T158" s="44">
        <v>20</v>
      </c>
      <c r="U158" s="44">
        <v>20</v>
      </c>
      <c r="V158" s="44">
        <v>20</v>
      </c>
      <c r="W158" s="44">
        <v>20</v>
      </c>
      <c r="X158" s="44">
        <v>20</v>
      </c>
      <c r="Y158" s="44">
        <v>20</v>
      </c>
      <c r="Z158" s="44">
        <v>20</v>
      </c>
      <c r="AA158" s="44">
        <v>20</v>
      </c>
      <c r="AB158"/>
      <c r="AC158" s="44">
        <v>20</v>
      </c>
      <c r="AD158" s="44">
        <v>20</v>
      </c>
      <c r="AE158" s="44">
        <v>20</v>
      </c>
      <c r="AF158" s="44">
        <v>20</v>
      </c>
      <c r="AG158" s="44">
        <v>20</v>
      </c>
      <c r="AH158" s="44">
        <v>20</v>
      </c>
      <c r="AI158" s="44">
        <v>20</v>
      </c>
      <c r="AJ158"/>
      <c r="AK158" s="44">
        <v>20</v>
      </c>
      <c r="AL158" s="44">
        <v>20</v>
      </c>
      <c r="AM158" s="44">
        <v>20</v>
      </c>
      <c r="AN158" s="44">
        <v>20</v>
      </c>
      <c r="AO158"/>
      <c r="AP158" s="44">
        <v>20</v>
      </c>
      <c r="AQ158"/>
      <c r="AR158"/>
      <c r="AS158" s="44">
        <v>20</v>
      </c>
    </row>
    <row r="159" spans="1:45" x14ac:dyDescent="0.2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L159" s="44">
        <v>-4.4200000000000003E-2</v>
      </c>
      <c r="M159" s="44">
        <v>-4.4200000000000003E-2</v>
      </c>
      <c r="N159" s="44">
        <v>-4.4200000000000003E-2</v>
      </c>
      <c r="Q159" s="44">
        <v>-4.4200000000000003E-2</v>
      </c>
      <c r="R159" s="44">
        <v>-4.4200000000000003E-2</v>
      </c>
      <c r="S159" s="44">
        <v>-4.4200000000000003E-2</v>
      </c>
      <c r="T159" s="44">
        <v>-4.4200000000000003E-2</v>
      </c>
      <c r="U159" s="44">
        <v>-4.4200000000000003E-2</v>
      </c>
      <c r="V159" s="44">
        <v>-4.4200000000000003E-2</v>
      </c>
      <c r="W159" s="44">
        <v>-4.4200000000000003E-2</v>
      </c>
      <c r="X159" s="44">
        <v>-4.4200000000000003E-2</v>
      </c>
      <c r="Y159" s="44">
        <v>-4.4200000000000003E-2</v>
      </c>
      <c r="Z159" s="44">
        <v>-4.4200000000000003E-2</v>
      </c>
      <c r="AA159" s="44">
        <v>-4.4200000000000003E-2</v>
      </c>
      <c r="AB159"/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 s="44">
        <v>-4.4200000000000003E-2</v>
      </c>
      <c r="AH159" s="44">
        <v>-4.4200000000000003E-2</v>
      </c>
      <c r="AI159" s="44">
        <v>-4.4200000000000003E-2</v>
      </c>
      <c r="AJ159"/>
      <c r="AK159" s="44">
        <v>-4.4200000000000003E-2</v>
      </c>
      <c r="AL159" s="44">
        <v>-4.4200000000000003E-2</v>
      </c>
      <c r="AM159" s="44">
        <v>-4.4200000000000003E-2</v>
      </c>
      <c r="AN159" s="44">
        <v>-4.4200000000000003E-2</v>
      </c>
      <c r="AO159"/>
      <c r="AP159" s="44">
        <v>-4.4200000000000003E-2</v>
      </c>
      <c r="AQ159"/>
      <c r="AR159"/>
      <c r="AS159" s="44">
        <v>-4.4200000000000003E-2</v>
      </c>
    </row>
    <row r="160" spans="1:45" x14ac:dyDescent="0.2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L160" s="44">
        <v>1.55</v>
      </c>
      <c r="M160" s="44">
        <v>1.55</v>
      </c>
      <c r="N160" s="44">
        <v>1.55</v>
      </c>
      <c r="Q160" s="44">
        <v>1.55</v>
      </c>
      <c r="R160" s="44">
        <v>1.55</v>
      </c>
      <c r="S160" s="44">
        <v>1.55</v>
      </c>
      <c r="T160" s="44">
        <v>1.55</v>
      </c>
      <c r="U160" s="44">
        <v>1.55</v>
      </c>
      <c r="V160" s="44">
        <v>1.55</v>
      </c>
      <c r="W160" s="44">
        <v>1.55</v>
      </c>
      <c r="X160" s="44">
        <v>1.55</v>
      </c>
      <c r="Y160" s="44">
        <v>1.55</v>
      </c>
      <c r="Z160" s="44">
        <v>1.55</v>
      </c>
      <c r="AA160" s="44">
        <v>1.55</v>
      </c>
      <c r="AB160"/>
      <c r="AC160" s="44">
        <v>1.55</v>
      </c>
      <c r="AD160" s="44">
        <v>1.55</v>
      </c>
      <c r="AE160" s="44">
        <v>1.55</v>
      </c>
      <c r="AF160" s="44">
        <v>1.55</v>
      </c>
      <c r="AG160" s="44">
        <v>1.55</v>
      </c>
      <c r="AH160" s="44">
        <v>1.55</v>
      </c>
      <c r="AI160" s="44">
        <v>1.55</v>
      </c>
      <c r="AJ160"/>
      <c r="AK160" s="44">
        <v>1.55</v>
      </c>
      <c r="AL160" s="44">
        <v>1.55</v>
      </c>
      <c r="AM160" s="44">
        <v>1.55</v>
      </c>
      <c r="AN160" s="44">
        <v>1.55</v>
      </c>
      <c r="AO160"/>
      <c r="AP160" s="44">
        <v>1.55</v>
      </c>
      <c r="AQ160"/>
      <c r="AR160"/>
      <c r="AS160" s="44">
        <v>1.55</v>
      </c>
    </row>
    <row r="161" spans="1:45" x14ac:dyDescent="0.2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L161" s="44">
        <v>1</v>
      </c>
      <c r="M161" s="44">
        <v>1</v>
      </c>
      <c r="N161" s="44">
        <v>1</v>
      </c>
      <c r="Q161" s="44">
        <v>1</v>
      </c>
      <c r="R161" s="44">
        <v>1</v>
      </c>
      <c r="S161" s="44">
        <v>1</v>
      </c>
      <c r="T161" s="44">
        <v>1</v>
      </c>
      <c r="U161" s="44">
        <v>1</v>
      </c>
      <c r="V161" s="44">
        <v>1</v>
      </c>
      <c r="W161" s="44">
        <v>1</v>
      </c>
      <c r="X161" s="44">
        <v>1</v>
      </c>
      <c r="Y161" s="44">
        <v>1</v>
      </c>
      <c r="Z161" s="44">
        <v>1</v>
      </c>
      <c r="AA161" s="44">
        <v>1</v>
      </c>
      <c r="AB161"/>
      <c r="AC161" s="44">
        <v>1</v>
      </c>
      <c r="AD161" s="44">
        <v>1</v>
      </c>
      <c r="AE161" s="44">
        <v>1</v>
      </c>
      <c r="AF161" s="44">
        <v>1</v>
      </c>
      <c r="AG161" s="44">
        <v>1</v>
      </c>
      <c r="AH161" s="44">
        <v>1</v>
      </c>
      <c r="AI161" s="44">
        <v>1</v>
      </c>
      <c r="AJ161"/>
      <c r="AK161" s="44">
        <v>1</v>
      </c>
      <c r="AL161" s="44">
        <v>1</v>
      </c>
      <c r="AM161" s="44">
        <v>1</v>
      </c>
      <c r="AN161" s="44">
        <v>1</v>
      </c>
      <c r="AO161"/>
      <c r="AP161" s="44">
        <v>1</v>
      </c>
      <c r="AQ161"/>
      <c r="AR161"/>
      <c r="AS161" s="44">
        <v>1</v>
      </c>
    </row>
    <row r="162" spans="1:45" x14ac:dyDescent="0.2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L162" s="44">
        <v>2.7799999999999998E-4</v>
      </c>
      <c r="M162" s="44">
        <v>2.7799999999999998E-4</v>
      </c>
      <c r="N162" s="44">
        <v>2.7799999999999998E-4</v>
      </c>
      <c r="Q162" s="44">
        <v>2.7799999999999998E-4</v>
      </c>
      <c r="R162" s="44">
        <v>2.7799999999999998E-4</v>
      </c>
      <c r="S162" s="44">
        <v>2.7799999999999998E-4</v>
      </c>
      <c r="T162" s="44">
        <v>2.7799999999999998E-4</v>
      </c>
      <c r="U162" s="44">
        <v>2.7799999999999998E-4</v>
      </c>
      <c r="V162" s="44">
        <v>2.7799999999999998E-4</v>
      </c>
      <c r="W162" s="44">
        <v>2.7799999999999998E-4</v>
      </c>
      <c r="X162" s="44">
        <v>2.7799999999999998E-4</v>
      </c>
      <c r="Y162" s="44">
        <v>2.7799999999999998E-4</v>
      </c>
      <c r="Z162" s="44">
        <v>2.7799999999999998E-4</v>
      </c>
      <c r="AA162" s="44">
        <v>2.7799999999999998E-4</v>
      </c>
      <c r="AB162"/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 s="44">
        <v>2.7799999999999998E-4</v>
      </c>
      <c r="AH162" s="44">
        <v>2.7799999999999998E-4</v>
      </c>
      <c r="AI162" s="44">
        <v>2.7799999999999998E-4</v>
      </c>
      <c r="AJ162"/>
      <c r="AK162" s="44">
        <v>2.7799999999999998E-4</v>
      </c>
      <c r="AL162" s="44">
        <v>2.7799999999999998E-4</v>
      </c>
      <c r="AM162" s="44">
        <v>2.7799999999999998E-4</v>
      </c>
      <c r="AN162" s="44">
        <v>2.7799999999999998E-4</v>
      </c>
      <c r="AO162"/>
      <c r="AP162" s="44">
        <v>2.7799999999999998E-4</v>
      </c>
      <c r="AQ162"/>
      <c r="AR162"/>
      <c r="AS162" s="44">
        <v>2.7799999999999998E-4</v>
      </c>
    </row>
    <row r="163" spans="1:45" x14ac:dyDescent="0.2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L163" s="44">
        <v>2.4999999999999998E-12</v>
      </c>
      <c r="M163" s="44">
        <v>2.4999999999999998E-12</v>
      </c>
      <c r="N163" s="44">
        <v>2.4999999999999998E-12</v>
      </c>
      <c r="Q163" s="44">
        <v>2.4999999999999998E-12</v>
      </c>
      <c r="R163" s="44">
        <v>2.4999999999999998E-12</v>
      </c>
      <c r="S163" s="44">
        <v>2.4999999999999998E-12</v>
      </c>
      <c r="T163" s="44">
        <v>2.4999999999999998E-12</v>
      </c>
      <c r="U163" s="44">
        <v>2.4999999999999998E-12</v>
      </c>
      <c r="V163" s="44">
        <v>2.4999999999999998E-12</v>
      </c>
      <c r="W163" s="44">
        <v>2.4999999999999998E-12</v>
      </c>
      <c r="X163" s="44">
        <v>2.4999999999999998E-12</v>
      </c>
      <c r="Y163" s="44">
        <v>2.4999999999999998E-12</v>
      </c>
      <c r="Z163" s="44">
        <v>2.4999999999999998E-12</v>
      </c>
      <c r="AA163" s="44">
        <v>2.4999999999999998E-12</v>
      </c>
      <c r="AB163"/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 s="44">
        <v>2.4999999999999998E-12</v>
      </c>
      <c r="AH163" s="44">
        <v>2.4999999999999998E-12</v>
      </c>
      <c r="AI163" s="44">
        <v>2.4999999999999998E-12</v>
      </c>
      <c r="AJ163"/>
      <c r="AK163" s="44">
        <v>2.4999999999999998E-12</v>
      </c>
      <c r="AL163" s="44">
        <v>2.4999999999999998E-12</v>
      </c>
      <c r="AM163" s="44">
        <v>2.4999999999999998E-12</v>
      </c>
      <c r="AN163" s="44">
        <v>2.4999999999999998E-12</v>
      </c>
      <c r="AO163"/>
      <c r="AP163" s="44">
        <v>2.4999999999999998E-12</v>
      </c>
      <c r="AQ163"/>
      <c r="AR163"/>
      <c r="AS163" s="44">
        <v>2.4999999999999998E-12</v>
      </c>
    </row>
    <row r="164" spans="1:45" x14ac:dyDescent="0.2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L164" s="44">
        <v>20</v>
      </c>
      <c r="M164" s="44">
        <v>20</v>
      </c>
      <c r="N164" s="44">
        <v>20</v>
      </c>
      <c r="Q164" s="44">
        <v>20</v>
      </c>
      <c r="R164" s="44">
        <v>20</v>
      </c>
      <c r="S164" s="44">
        <v>20</v>
      </c>
      <c r="T164" s="44">
        <v>20</v>
      </c>
      <c r="U164" s="44">
        <v>20</v>
      </c>
      <c r="V164" s="44">
        <v>20</v>
      </c>
      <c r="W164" s="44">
        <v>20</v>
      </c>
      <c r="X164" s="44">
        <v>20</v>
      </c>
      <c r="Y164" s="44">
        <v>20</v>
      </c>
      <c r="Z164" s="44">
        <v>20</v>
      </c>
      <c r="AA164" s="44">
        <v>20</v>
      </c>
      <c r="AB164"/>
      <c r="AC164" s="44">
        <v>20</v>
      </c>
      <c r="AD164" s="44">
        <v>20</v>
      </c>
      <c r="AE164" s="44">
        <v>20</v>
      </c>
      <c r="AF164" s="44">
        <v>20</v>
      </c>
      <c r="AG164" s="44">
        <v>20</v>
      </c>
      <c r="AH164" s="44">
        <v>20</v>
      </c>
      <c r="AI164" s="44">
        <v>20</v>
      </c>
      <c r="AJ164"/>
      <c r="AK164" s="44">
        <v>20</v>
      </c>
      <c r="AL164" s="44">
        <v>20</v>
      </c>
      <c r="AM164" s="44">
        <v>20</v>
      </c>
      <c r="AN164" s="44">
        <v>20</v>
      </c>
      <c r="AO164"/>
      <c r="AP164" s="44">
        <v>20</v>
      </c>
      <c r="AQ164"/>
      <c r="AR164"/>
      <c r="AS164" s="44">
        <v>20</v>
      </c>
    </row>
    <row r="165" spans="1:45" x14ac:dyDescent="0.2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L165" s="44">
        <v>0</v>
      </c>
      <c r="M165" s="44">
        <v>0</v>
      </c>
      <c r="N165" s="44">
        <v>0</v>
      </c>
      <c r="Q165" s="44">
        <v>0</v>
      </c>
      <c r="R165" s="44">
        <v>0</v>
      </c>
      <c r="S165" s="44">
        <v>0</v>
      </c>
      <c r="T165" s="44">
        <v>0</v>
      </c>
      <c r="U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/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/>
      <c r="AK165" s="44">
        <v>0</v>
      </c>
      <c r="AL165" s="44">
        <v>0</v>
      </c>
      <c r="AM165" s="44">
        <v>0</v>
      </c>
      <c r="AN165" s="44">
        <v>0</v>
      </c>
      <c r="AO165"/>
      <c r="AP165" s="44">
        <v>0</v>
      </c>
      <c r="AQ165"/>
      <c r="AR165"/>
      <c r="AS165" s="44">
        <v>0</v>
      </c>
    </row>
    <row r="166" spans="1:45" x14ac:dyDescent="0.2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L166" s="44">
        <v>1</v>
      </c>
      <c r="M166" s="44">
        <v>1</v>
      </c>
      <c r="N166" s="44">
        <v>1</v>
      </c>
      <c r="Q166" s="44">
        <v>1</v>
      </c>
      <c r="R166" s="44">
        <v>1</v>
      </c>
      <c r="S166" s="44">
        <v>1</v>
      </c>
      <c r="T166" s="44">
        <v>1</v>
      </c>
      <c r="U166" s="44">
        <v>1</v>
      </c>
      <c r="V166" s="44">
        <v>1</v>
      </c>
      <c r="W166" s="44">
        <v>1</v>
      </c>
      <c r="X166" s="44">
        <v>1</v>
      </c>
      <c r="Y166" s="44">
        <v>1</v>
      </c>
      <c r="Z166" s="44">
        <v>1</v>
      </c>
      <c r="AA166" s="44">
        <v>1</v>
      </c>
      <c r="AB166"/>
      <c r="AC166" s="44">
        <v>1</v>
      </c>
      <c r="AD166" s="44">
        <v>1</v>
      </c>
      <c r="AE166" s="44">
        <v>1</v>
      </c>
      <c r="AF166" s="44">
        <v>1</v>
      </c>
      <c r="AG166" s="44">
        <v>1</v>
      </c>
      <c r="AH166" s="44">
        <v>1</v>
      </c>
      <c r="AI166" s="44">
        <v>1</v>
      </c>
      <c r="AJ166"/>
      <c r="AK166" s="44">
        <v>1</v>
      </c>
      <c r="AL166" s="44">
        <v>1</v>
      </c>
      <c r="AM166" s="44">
        <v>1</v>
      </c>
      <c r="AN166" s="44">
        <v>1</v>
      </c>
      <c r="AO166"/>
      <c r="AP166" s="44">
        <v>1</v>
      </c>
      <c r="AQ166"/>
      <c r="AR166"/>
      <c r="AS166" s="44">
        <v>1</v>
      </c>
    </row>
    <row r="167" spans="1:45" x14ac:dyDescent="0.2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L167" s="44">
        <v>0</v>
      </c>
      <c r="M167" s="44">
        <v>0</v>
      </c>
      <c r="N167" s="44">
        <v>0</v>
      </c>
      <c r="Q167" s="44">
        <v>0</v>
      </c>
      <c r="R167" s="44">
        <v>0</v>
      </c>
      <c r="S167" s="44">
        <v>0</v>
      </c>
      <c r="T167" s="44">
        <v>0</v>
      </c>
      <c r="U167" s="44">
        <v>0</v>
      </c>
      <c r="V167" s="44">
        <v>0</v>
      </c>
      <c r="W167" s="44">
        <v>0</v>
      </c>
      <c r="X167" s="44">
        <v>0</v>
      </c>
      <c r="Y167" s="44">
        <v>0</v>
      </c>
      <c r="Z167" s="44">
        <v>0</v>
      </c>
      <c r="AA167" s="44">
        <v>0</v>
      </c>
      <c r="AB167"/>
      <c r="AC167" s="44">
        <v>0</v>
      </c>
      <c r="AD167" s="44">
        <v>0</v>
      </c>
      <c r="AE167" s="44">
        <v>0</v>
      </c>
      <c r="AF167" s="44">
        <v>0</v>
      </c>
      <c r="AG167" s="44">
        <v>0</v>
      </c>
      <c r="AH167" s="44">
        <v>0</v>
      </c>
      <c r="AI167" s="44">
        <v>0</v>
      </c>
      <c r="AJ167"/>
      <c r="AK167" s="44">
        <v>0</v>
      </c>
      <c r="AL167" s="44">
        <v>0</v>
      </c>
      <c r="AM167" s="44">
        <v>0</v>
      </c>
      <c r="AN167" s="44">
        <v>0</v>
      </c>
      <c r="AO167"/>
      <c r="AP167" s="44">
        <v>0</v>
      </c>
      <c r="AQ167"/>
      <c r="AR167"/>
      <c r="AS167" s="44">
        <v>0</v>
      </c>
    </row>
    <row r="168" spans="1:45" x14ac:dyDescent="0.2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L168" s="44">
        <v>0.4</v>
      </c>
      <c r="M168" s="44">
        <v>0.4</v>
      </c>
      <c r="N168" s="44">
        <v>0.4</v>
      </c>
      <c r="Q168" s="44">
        <v>0.4</v>
      </c>
      <c r="R168" s="44">
        <v>0.4</v>
      </c>
      <c r="S168" s="44">
        <v>0.4</v>
      </c>
      <c r="T168" s="44">
        <v>0.4</v>
      </c>
      <c r="U168" s="44">
        <v>0.4</v>
      </c>
      <c r="V168" s="44">
        <v>0.4</v>
      </c>
      <c r="W168" s="44">
        <v>0.4</v>
      </c>
      <c r="X168" s="44">
        <v>0.4</v>
      </c>
      <c r="Y168" s="44">
        <v>0.4</v>
      </c>
      <c r="Z168" s="44">
        <v>0.4</v>
      </c>
      <c r="AA168" s="44">
        <v>0.4</v>
      </c>
      <c r="AB168"/>
      <c r="AC168" s="44">
        <v>0.4</v>
      </c>
      <c r="AD168" s="44">
        <v>0.4</v>
      </c>
      <c r="AE168" s="44">
        <v>0.4</v>
      </c>
      <c r="AF168" s="44">
        <v>0.4</v>
      </c>
      <c r="AG168" s="44">
        <v>0.4</v>
      </c>
      <c r="AH168" s="44">
        <v>0.4</v>
      </c>
      <c r="AI168" s="44">
        <v>0.4</v>
      </c>
      <c r="AJ168"/>
      <c r="AK168" s="44">
        <v>0.4</v>
      </c>
      <c r="AL168" s="44">
        <v>0.4</v>
      </c>
      <c r="AM168" s="44">
        <v>0.4</v>
      </c>
      <c r="AN168" s="44">
        <v>0.4</v>
      </c>
      <c r="AO168"/>
      <c r="AP168" s="44">
        <v>0.4</v>
      </c>
      <c r="AQ168"/>
      <c r="AR168"/>
      <c r="AS168" s="44">
        <v>0.4</v>
      </c>
    </row>
    <row r="169" spans="1:45" x14ac:dyDescent="0.2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L169" s="44">
        <v>2.0000000000000001E-9</v>
      </c>
      <c r="M169" s="44">
        <v>2.0000000000000001E-9</v>
      </c>
      <c r="N169" s="44">
        <v>2.0000000000000001E-9</v>
      </c>
      <c r="Q169" s="44">
        <v>2.0000000000000001E-9</v>
      </c>
      <c r="R169" s="44">
        <v>2.0000000000000001E-9</v>
      </c>
      <c r="S169" s="44">
        <v>2.0000000000000001E-9</v>
      </c>
      <c r="T169" s="44">
        <v>2.0000000000000001E-9</v>
      </c>
      <c r="U169" s="44">
        <v>2.0000000000000001E-9</v>
      </c>
      <c r="V169" s="44">
        <v>2.0000000000000001E-9</v>
      </c>
      <c r="W169" s="44">
        <v>2.0000000000000001E-9</v>
      </c>
      <c r="X169" s="44">
        <v>2.0000000000000001E-9</v>
      </c>
      <c r="Y169" s="44">
        <v>2.0000000000000001E-9</v>
      </c>
      <c r="Z169" s="44">
        <v>2.0000000000000001E-9</v>
      </c>
      <c r="AA169" s="44">
        <v>2.0000000000000001E-9</v>
      </c>
      <c r="AB169"/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 s="44">
        <v>2.0000000000000001E-9</v>
      </c>
      <c r="AH169" s="44">
        <v>2.0000000000000001E-9</v>
      </c>
      <c r="AI169" s="44">
        <v>2.0000000000000001E-9</v>
      </c>
      <c r="AJ169"/>
      <c r="AK169" s="44">
        <v>2.0000000000000001E-9</v>
      </c>
      <c r="AL169" s="44">
        <v>2.0000000000000001E-9</v>
      </c>
      <c r="AM169" s="44">
        <v>2.0000000000000001E-9</v>
      </c>
      <c r="AN169" s="44">
        <v>2.0000000000000001E-9</v>
      </c>
      <c r="AO169"/>
      <c r="AP169" s="44">
        <v>2.0000000000000001E-9</v>
      </c>
      <c r="AQ169"/>
      <c r="AR169"/>
      <c r="AS169" s="44">
        <v>2.0000000000000001E-9</v>
      </c>
    </row>
    <row r="170" spans="1:45" x14ac:dyDescent="0.2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L170" s="44">
        <v>25</v>
      </c>
      <c r="M170" s="44">
        <v>25</v>
      </c>
      <c r="N170" s="44">
        <v>25</v>
      </c>
      <c r="Q170" s="44">
        <v>25</v>
      </c>
      <c r="R170" s="44">
        <v>25</v>
      </c>
      <c r="S170" s="44">
        <v>25</v>
      </c>
      <c r="T170" s="44">
        <v>25</v>
      </c>
      <c r="U170" s="44">
        <v>25</v>
      </c>
      <c r="V170" s="44">
        <v>25</v>
      </c>
      <c r="W170" s="44">
        <v>25</v>
      </c>
      <c r="X170" s="44">
        <v>25</v>
      </c>
      <c r="Y170" s="44">
        <v>25</v>
      </c>
      <c r="Z170" s="44">
        <v>25</v>
      </c>
      <c r="AA170" s="44">
        <v>25</v>
      </c>
      <c r="AB170"/>
      <c r="AC170" s="44">
        <v>25</v>
      </c>
      <c r="AD170" s="44">
        <v>25</v>
      </c>
      <c r="AE170" s="44">
        <v>25</v>
      </c>
      <c r="AF170" s="44">
        <v>25</v>
      </c>
      <c r="AG170" s="44">
        <v>25</v>
      </c>
      <c r="AH170" s="44">
        <v>25</v>
      </c>
      <c r="AI170" s="44">
        <v>25</v>
      </c>
      <c r="AJ170"/>
      <c r="AK170" s="44">
        <v>25</v>
      </c>
      <c r="AL170" s="44">
        <v>25</v>
      </c>
      <c r="AM170" s="44">
        <v>25</v>
      </c>
      <c r="AN170" s="44">
        <v>25</v>
      </c>
      <c r="AO170"/>
      <c r="AP170" s="44">
        <v>25</v>
      </c>
      <c r="AQ170"/>
      <c r="AR170"/>
      <c r="AS170" s="44">
        <v>25</v>
      </c>
    </row>
    <row r="171" spans="1:45" x14ac:dyDescent="0.2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L171" s="44">
        <v>0</v>
      </c>
      <c r="M171" s="44">
        <v>0</v>
      </c>
      <c r="N171" s="44">
        <v>0</v>
      </c>
      <c r="Q171" s="44">
        <v>0</v>
      </c>
      <c r="R171" s="44">
        <v>0</v>
      </c>
      <c r="S171" s="44">
        <v>0</v>
      </c>
      <c r="T171" s="44">
        <v>0</v>
      </c>
      <c r="U171" s="44">
        <v>0</v>
      </c>
      <c r="V171" s="44">
        <v>0</v>
      </c>
      <c r="W171" s="44">
        <v>0</v>
      </c>
      <c r="X171" s="44">
        <v>0</v>
      </c>
      <c r="Y171" s="44">
        <v>0</v>
      </c>
      <c r="Z171" s="44">
        <v>0</v>
      </c>
      <c r="AA171" s="44">
        <v>0</v>
      </c>
      <c r="AB171"/>
      <c r="AC171" s="44">
        <v>0</v>
      </c>
      <c r="AD171" s="44">
        <v>0</v>
      </c>
      <c r="AE171" s="44">
        <v>0</v>
      </c>
      <c r="AF171" s="44">
        <v>0</v>
      </c>
      <c r="AG171" s="44">
        <v>0</v>
      </c>
      <c r="AH171" s="44">
        <v>0</v>
      </c>
      <c r="AI171" s="44">
        <v>0</v>
      </c>
      <c r="AJ171"/>
      <c r="AK171" s="44">
        <v>0</v>
      </c>
      <c r="AL171" s="44">
        <v>0</v>
      </c>
      <c r="AM171" s="44">
        <v>0</v>
      </c>
      <c r="AN171" s="44">
        <v>0</v>
      </c>
      <c r="AO171"/>
      <c r="AP171" s="44">
        <v>0</v>
      </c>
      <c r="AQ171"/>
      <c r="AR171"/>
      <c r="AS171" s="44">
        <v>0</v>
      </c>
    </row>
    <row r="172" spans="1:45" x14ac:dyDescent="0.2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L172" s="44">
        <v>3.98</v>
      </c>
      <c r="M172" s="44">
        <v>3.98</v>
      </c>
      <c r="N172" s="44">
        <v>3.98</v>
      </c>
      <c r="Q172" s="44">
        <v>3.98</v>
      </c>
      <c r="R172" s="44">
        <v>3.98</v>
      </c>
      <c r="S172" s="44">
        <v>3.98</v>
      </c>
      <c r="T172" s="44">
        <v>3.98</v>
      </c>
      <c r="U172" s="44">
        <v>3.98</v>
      </c>
      <c r="V172" s="44">
        <v>3.98</v>
      </c>
      <c r="W172" s="44">
        <v>3.98</v>
      </c>
      <c r="X172" s="44">
        <v>3.98</v>
      </c>
      <c r="Y172" s="44">
        <v>3.98</v>
      </c>
      <c r="Z172" s="44">
        <v>3.98</v>
      </c>
      <c r="AA172" s="44">
        <v>3.98</v>
      </c>
      <c r="AB172"/>
      <c r="AC172" s="44">
        <v>3.98</v>
      </c>
      <c r="AD172" s="44">
        <v>3.98</v>
      </c>
      <c r="AE172" s="44">
        <v>3.98</v>
      </c>
      <c r="AF172" s="44">
        <v>3.98</v>
      </c>
      <c r="AG172" s="44">
        <v>3.98</v>
      </c>
      <c r="AH172" s="44">
        <v>3.98</v>
      </c>
      <c r="AI172" s="44">
        <v>3.98</v>
      </c>
      <c r="AJ172"/>
      <c r="AK172" s="44">
        <v>3.98</v>
      </c>
      <c r="AL172" s="44">
        <v>3.98</v>
      </c>
      <c r="AM172" s="44">
        <v>3.98</v>
      </c>
      <c r="AN172" s="44">
        <v>3.98</v>
      </c>
      <c r="AO172"/>
      <c r="AP172" s="44">
        <v>3.98</v>
      </c>
      <c r="AQ172"/>
      <c r="AR172"/>
      <c r="AS172" s="44">
        <v>3.98</v>
      </c>
    </row>
    <row r="173" spans="1:45" x14ac:dyDescent="0.2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L173" s="44">
        <v>1</v>
      </c>
      <c r="M173" s="44">
        <v>1</v>
      </c>
      <c r="N173" s="44">
        <v>1</v>
      </c>
      <c r="Q173" s="44">
        <v>1</v>
      </c>
      <c r="R173" s="44">
        <v>1</v>
      </c>
      <c r="S173" s="44">
        <v>1</v>
      </c>
      <c r="T173" s="44">
        <v>1</v>
      </c>
      <c r="U173" s="44">
        <v>1</v>
      </c>
      <c r="V173" s="44">
        <v>1</v>
      </c>
      <c r="W173" s="44">
        <v>1</v>
      </c>
      <c r="X173" s="44">
        <v>1</v>
      </c>
      <c r="Y173" s="44">
        <v>1</v>
      </c>
      <c r="Z173" s="44">
        <v>1</v>
      </c>
      <c r="AA173" s="44">
        <v>1</v>
      </c>
      <c r="AB173"/>
      <c r="AC173" s="44">
        <v>1</v>
      </c>
      <c r="AD173" s="44">
        <v>1</v>
      </c>
      <c r="AE173" s="44">
        <v>1</v>
      </c>
      <c r="AF173" s="44">
        <v>1</v>
      </c>
      <c r="AG173" s="44">
        <v>1</v>
      </c>
      <c r="AH173" s="44">
        <v>1</v>
      </c>
      <c r="AI173" s="44">
        <v>1</v>
      </c>
      <c r="AJ173"/>
      <c r="AK173" s="44">
        <v>1</v>
      </c>
      <c r="AL173" s="44">
        <v>1</v>
      </c>
      <c r="AM173" s="44">
        <v>1</v>
      </c>
      <c r="AN173" s="44">
        <v>1</v>
      </c>
      <c r="AO173"/>
      <c r="AP173" s="44">
        <v>1</v>
      </c>
      <c r="AQ173"/>
      <c r="AR173"/>
      <c r="AS173" s="44">
        <v>1</v>
      </c>
    </row>
    <row r="174" spans="1:45" x14ac:dyDescent="0.2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L174" s="44">
        <v>1.6666666666666666E-4</v>
      </c>
      <c r="M174" s="44">
        <v>1.6666666666666666E-4</v>
      </c>
      <c r="N174" s="44">
        <v>1.6666666666666666E-4</v>
      </c>
      <c r="Q174" s="44">
        <v>1.6666666666666666E-4</v>
      </c>
      <c r="R174" s="44">
        <v>1.6666666666666666E-4</v>
      </c>
      <c r="S174" s="44">
        <v>1.6666666666666666E-4</v>
      </c>
      <c r="T174" s="44">
        <v>1.6666666666666666E-4</v>
      </c>
      <c r="U174" s="44">
        <v>1.6666666666666666E-4</v>
      </c>
      <c r="V174" s="44">
        <v>1.6666666666666666E-4</v>
      </c>
      <c r="W174" s="44">
        <v>1.6666666666666666E-4</v>
      </c>
      <c r="X174" s="44">
        <v>1.6666666666666666E-4</v>
      </c>
      <c r="Y174" s="44">
        <v>1.6666666666666666E-4</v>
      </c>
      <c r="Z174" s="44">
        <v>1.6666666666666666E-4</v>
      </c>
      <c r="AA174" s="44">
        <v>1.6666666666666666E-4</v>
      </c>
      <c r="AB174"/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 s="44">
        <v>1.6666666666666666E-4</v>
      </c>
      <c r="AH174" s="44">
        <v>1.6666666666666666E-4</v>
      </c>
      <c r="AI174" s="44">
        <v>1.6666666666666666E-4</v>
      </c>
      <c r="AJ174"/>
      <c r="AK174" s="44">
        <v>1.6666666666666666E-4</v>
      </c>
      <c r="AL174" s="44">
        <v>1.6666666666666666E-4</v>
      </c>
      <c r="AM174" s="44">
        <v>1.6666666666666666E-4</v>
      </c>
      <c r="AN174" s="44">
        <v>1.6666666666666666E-4</v>
      </c>
      <c r="AO174"/>
      <c r="AP174" s="44">
        <v>1.6666666666666666E-4</v>
      </c>
      <c r="AQ174"/>
      <c r="AR174"/>
      <c r="AS174" s="44">
        <v>1.6666666666666666E-4</v>
      </c>
    </row>
    <row r="175" spans="1:45" x14ac:dyDescent="0.2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L175" s="44">
        <v>1E-8</v>
      </c>
      <c r="M175" s="44">
        <v>1E-8</v>
      </c>
      <c r="N175" s="44">
        <v>1E-8</v>
      </c>
      <c r="Q175" s="44">
        <v>1E-8</v>
      </c>
      <c r="R175" s="44">
        <v>1E-8</v>
      </c>
      <c r="S175" s="44">
        <v>1E-8</v>
      </c>
      <c r="T175" s="44">
        <v>1E-8</v>
      </c>
      <c r="U175" s="44">
        <v>1E-8</v>
      </c>
      <c r="V175" s="44">
        <v>1E-8</v>
      </c>
      <c r="W175" s="44">
        <v>1E-8</v>
      </c>
      <c r="X175" s="44">
        <v>1E-8</v>
      </c>
      <c r="Y175" s="44">
        <v>1E-8</v>
      </c>
      <c r="Z175" s="44">
        <v>1E-8</v>
      </c>
      <c r="AA175" s="44">
        <v>1E-8</v>
      </c>
      <c r="AB175"/>
      <c r="AC175" s="44">
        <v>1E-8</v>
      </c>
      <c r="AD175" s="44">
        <v>1E-8</v>
      </c>
      <c r="AE175" s="44">
        <v>1E-8</v>
      </c>
      <c r="AF175" s="44">
        <v>1E-8</v>
      </c>
      <c r="AG175" s="44">
        <v>1E-8</v>
      </c>
      <c r="AH175" s="44">
        <v>1E-8</v>
      </c>
      <c r="AI175" s="44">
        <v>1E-8</v>
      </c>
      <c r="AJ175"/>
      <c r="AK175" s="44">
        <v>1E-8</v>
      </c>
      <c r="AL175" s="44">
        <v>1E-8</v>
      </c>
      <c r="AM175" s="44">
        <v>1E-8</v>
      </c>
      <c r="AN175" s="44">
        <v>1E-8</v>
      </c>
      <c r="AO175"/>
      <c r="AP175" s="44">
        <v>1E-8</v>
      </c>
      <c r="AQ175"/>
      <c r="AR175"/>
      <c r="AS175" s="44">
        <v>1E-8</v>
      </c>
    </row>
    <row r="176" spans="1:45" x14ac:dyDescent="0.2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L176" s="44">
        <v>20</v>
      </c>
      <c r="M176" s="44">
        <v>20</v>
      </c>
      <c r="N176" s="44">
        <v>20</v>
      </c>
      <c r="Q176" s="44">
        <v>20</v>
      </c>
      <c r="R176" s="44">
        <v>20</v>
      </c>
      <c r="S176" s="44">
        <v>20</v>
      </c>
      <c r="T176" s="44">
        <v>20</v>
      </c>
      <c r="U176" s="44">
        <v>20</v>
      </c>
      <c r="V176" s="44">
        <v>20</v>
      </c>
      <c r="W176" s="44">
        <v>20</v>
      </c>
      <c r="X176" s="44">
        <v>20</v>
      </c>
      <c r="Y176" s="44">
        <v>20</v>
      </c>
      <c r="Z176" s="44">
        <v>20</v>
      </c>
      <c r="AA176" s="44">
        <v>20</v>
      </c>
      <c r="AB176"/>
      <c r="AC176" s="44">
        <v>20</v>
      </c>
      <c r="AD176" s="44">
        <v>20</v>
      </c>
      <c r="AE176" s="44">
        <v>20</v>
      </c>
      <c r="AF176" s="44">
        <v>20</v>
      </c>
      <c r="AG176" s="44">
        <v>20</v>
      </c>
      <c r="AH176" s="44">
        <v>20</v>
      </c>
      <c r="AI176" s="44">
        <v>20</v>
      </c>
      <c r="AJ176"/>
      <c r="AK176" s="44">
        <v>20</v>
      </c>
      <c r="AL176" s="44">
        <v>20</v>
      </c>
      <c r="AM176" s="44">
        <v>20</v>
      </c>
      <c r="AN176" s="44">
        <v>20</v>
      </c>
      <c r="AO176"/>
      <c r="AP176" s="44">
        <v>20</v>
      </c>
      <c r="AQ176"/>
      <c r="AR176"/>
      <c r="AS176" s="44">
        <v>20</v>
      </c>
    </row>
    <row r="177" spans="1:45" x14ac:dyDescent="0.2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L177" s="44">
        <v>0</v>
      </c>
      <c r="M177" s="44">
        <v>0</v>
      </c>
      <c r="N177" s="44">
        <v>0</v>
      </c>
      <c r="Q177" s="44">
        <v>0</v>
      </c>
      <c r="R177" s="44">
        <v>0</v>
      </c>
      <c r="S177" s="44">
        <v>0</v>
      </c>
      <c r="T177" s="44">
        <v>0</v>
      </c>
      <c r="U177" s="44">
        <v>0</v>
      </c>
      <c r="V177" s="44">
        <v>0</v>
      </c>
      <c r="W177" s="44">
        <v>0</v>
      </c>
      <c r="X177" s="44">
        <v>0</v>
      </c>
      <c r="Y177" s="44">
        <v>0</v>
      </c>
      <c r="Z177" s="44">
        <v>0</v>
      </c>
      <c r="AA177" s="44">
        <v>0</v>
      </c>
      <c r="AB177"/>
      <c r="AC177" s="44">
        <v>0</v>
      </c>
      <c r="AD177" s="44">
        <v>0</v>
      </c>
      <c r="AE177" s="44">
        <v>0</v>
      </c>
      <c r="AF177" s="44">
        <v>0</v>
      </c>
      <c r="AG177" s="44">
        <v>0</v>
      </c>
      <c r="AH177" s="44">
        <v>0</v>
      </c>
      <c r="AI177" s="44">
        <v>0</v>
      </c>
      <c r="AJ177"/>
      <c r="AK177" s="44">
        <v>0</v>
      </c>
      <c r="AL177" s="44">
        <v>0</v>
      </c>
      <c r="AM177" s="44">
        <v>0</v>
      </c>
      <c r="AN177" s="44">
        <v>0</v>
      </c>
      <c r="AO177"/>
      <c r="AP177" s="44">
        <v>0</v>
      </c>
      <c r="AQ177"/>
      <c r="AR177"/>
      <c r="AS177" s="44">
        <v>0</v>
      </c>
    </row>
    <row r="178" spans="1:45" x14ac:dyDescent="0.2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L178" s="44">
        <v>2</v>
      </c>
      <c r="M178" s="44">
        <v>2</v>
      </c>
      <c r="N178" s="44">
        <v>2</v>
      </c>
      <c r="Q178" s="44">
        <v>2</v>
      </c>
      <c r="R178" s="44">
        <v>2</v>
      </c>
      <c r="S178" s="44">
        <v>2</v>
      </c>
      <c r="T178" s="44">
        <v>2</v>
      </c>
      <c r="U178" s="44">
        <v>2</v>
      </c>
      <c r="V178" s="44">
        <v>2</v>
      </c>
      <c r="W178" s="44">
        <v>2</v>
      </c>
      <c r="X178" s="44">
        <v>2</v>
      </c>
      <c r="Y178" s="44">
        <v>2</v>
      </c>
      <c r="Z178" s="44">
        <v>2</v>
      </c>
      <c r="AA178" s="44">
        <v>2</v>
      </c>
      <c r="AB178"/>
      <c r="AC178" s="44">
        <v>2</v>
      </c>
      <c r="AD178" s="44">
        <v>2</v>
      </c>
      <c r="AE178" s="44">
        <v>2</v>
      </c>
      <c r="AF178" s="44">
        <v>2</v>
      </c>
      <c r="AG178" s="44">
        <v>2</v>
      </c>
      <c r="AH178" s="44">
        <v>2</v>
      </c>
      <c r="AI178" s="44">
        <v>2</v>
      </c>
      <c r="AJ178"/>
      <c r="AK178" s="44">
        <v>2</v>
      </c>
      <c r="AL178" s="44">
        <v>2</v>
      </c>
      <c r="AM178" s="44">
        <v>2</v>
      </c>
      <c r="AN178" s="44">
        <v>2</v>
      </c>
      <c r="AO178"/>
      <c r="AP178" s="44">
        <v>2</v>
      </c>
      <c r="AQ178"/>
      <c r="AR178"/>
      <c r="AS178" s="44">
        <v>2</v>
      </c>
    </row>
    <row r="179" spans="1:45" x14ac:dyDescent="0.2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L179" s="44">
        <v>1</v>
      </c>
      <c r="M179" s="44">
        <v>1</v>
      </c>
      <c r="N179" s="44">
        <v>1</v>
      </c>
      <c r="Q179" s="44">
        <v>1</v>
      </c>
      <c r="R179" s="44">
        <v>1</v>
      </c>
      <c r="S179" s="44">
        <v>1</v>
      </c>
      <c r="T179" s="44">
        <v>1</v>
      </c>
      <c r="U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/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/>
      <c r="AK179" s="44">
        <v>1</v>
      </c>
      <c r="AL179" s="44">
        <v>1</v>
      </c>
      <c r="AM179" s="44">
        <v>1</v>
      </c>
      <c r="AN179" s="44">
        <v>1</v>
      </c>
      <c r="AO179"/>
      <c r="AP179" s="44">
        <v>1</v>
      </c>
      <c r="AQ179"/>
      <c r="AR179"/>
      <c r="AS179" s="44">
        <v>1</v>
      </c>
    </row>
    <row r="180" spans="1:45" x14ac:dyDescent="0.2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L180" s="44">
        <v>8.3333333333333331E-5</v>
      </c>
      <c r="M180" s="44">
        <v>8.3333333333333331E-5</v>
      </c>
      <c r="N180" s="44">
        <v>8.3333333333333331E-5</v>
      </c>
      <c r="Q180" s="44">
        <v>8.3333333333333331E-5</v>
      </c>
      <c r="R180" s="44">
        <v>8.3333333333333331E-5</v>
      </c>
      <c r="S180" s="44">
        <v>8.3333333333333331E-5</v>
      </c>
      <c r="T180" s="44">
        <v>8.3333333333333331E-5</v>
      </c>
      <c r="U180" s="44">
        <v>8.3333333333333331E-5</v>
      </c>
      <c r="V180" s="44">
        <v>8.3333333333333331E-5</v>
      </c>
      <c r="W180" s="44">
        <v>8.3333333333333331E-5</v>
      </c>
      <c r="X180" s="44">
        <v>8.3333333333333331E-5</v>
      </c>
      <c r="Y180" s="44">
        <v>8.3333333333333331E-5</v>
      </c>
      <c r="Z180" s="44">
        <v>8.3333333333333331E-5</v>
      </c>
      <c r="AA180" s="44">
        <v>8.3333333333333331E-5</v>
      </c>
      <c r="AB180"/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 s="44">
        <v>8.3333333333333331E-5</v>
      </c>
      <c r="AH180" s="44">
        <v>8.3333333333333331E-5</v>
      </c>
      <c r="AI180" s="44">
        <v>8.3333333333333331E-5</v>
      </c>
      <c r="AJ180"/>
      <c r="AK180" s="44">
        <v>8.3333333333333331E-5</v>
      </c>
      <c r="AL180" s="44">
        <v>8.3333333333333331E-5</v>
      </c>
      <c r="AM180" s="44">
        <v>8.3333333333333331E-5</v>
      </c>
      <c r="AN180" s="44">
        <v>8.3333333333333331E-5</v>
      </c>
      <c r="AO180"/>
      <c r="AP180" s="44">
        <v>8.3333333333333331E-5</v>
      </c>
      <c r="AQ180"/>
      <c r="AR180"/>
      <c r="AS180" s="44">
        <v>8.3333333333333331E-5</v>
      </c>
    </row>
    <row r="181" spans="1:45" x14ac:dyDescent="0.2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L181" s="44">
        <v>1</v>
      </c>
      <c r="M181" s="44">
        <v>1</v>
      </c>
      <c r="N181" s="44">
        <v>1</v>
      </c>
      <c r="Q181" s="44">
        <v>1</v>
      </c>
      <c r="R181" s="44">
        <v>1</v>
      </c>
      <c r="S181" s="44">
        <v>1</v>
      </c>
      <c r="T181" s="44">
        <v>1</v>
      </c>
      <c r="U181" s="44">
        <v>1</v>
      </c>
      <c r="V181" s="44">
        <v>1</v>
      </c>
      <c r="W181" s="44">
        <v>1</v>
      </c>
      <c r="X181" s="44">
        <v>1</v>
      </c>
      <c r="Y181" s="44">
        <v>1</v>
      </c>
      <c r="Z181" s="44">
        <v>1</v>
      </c>
      <c r="AA181" s="44">
        <v>1</v>
      </c>
      <c r="AB181"/>
      <c r="AC181" s="44">
        <v>1</v>
      </c>
      <c r="AD181" s="44">
        <v>1</v>
      </c>
      <c r="AE181" s="44">
        <v>1</v>
      </c>
      <c r="AF181" s="44">
        <v>1</v>
      </c>
      <c r="AG181" s="44">
        <v>1</v>
      </c>
      <c r="AH181" s="44">
        <v>1</v>
      </c>
      <c r="AI181" s="44">
        <v>1</v>
      </c>
      <c r="AJ181"/>
      <c r="AK181" s="44">
        <v>1</v>
      </c>
      <c r="AL181" s="44">
        <v>1</v>
      </c>
      <c r="AM181" s="44">
        <v>1</v>
      </c>
      <c r="AN181" s="44">
        <v>1</v>
      </c>
      <c r="AO181"/>
      <c r="AP181" s="44">
        <v>1</v>
      </c>
      <c r="AQ181"/>
      <c r="AR181"/>
      <c r="AS181" s="44">
        <v>1</v>
      </c>
    </row>
    <row r="182" spans="1:45" x14ac:dyDescent="0.2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L182" s="44">
        <v>2.3533050791148899E-8</v>
      </c>
      <c r="M182" s="44">
        <v>2.3533050791148899E-8</v>
      </c>
      <c r="N182" s="44">
        <v>2.3533050791148899E-8</v>
      </c>
      <c r="Q182" s="44">
        <v>2.3533050791148899E-8</v>
      </c>
      <c r="R182" s="44">
        <v>2.3533050791148899E-8</v>
      </c>
      <c r="S182" s="44">
        <v>2.3533050791148899E-8</v>
      </c>
      <c r="T182" s="44">
        <v>2.3533050791148899E-8</v>
      </c>
      <c r="U182" s="44">
        <v>2.3533050791148899E-8</v>
      </c>
      <c r="V182" s="44">
        <v>2.3533050791148899E-8</v>
      </c>
      <c r="W182" s="44">
        <v>2.3533050791148899E-8</v>
      </c>
      <c r="X182" s="44">
        <v>2.3533050791148899E-8</v>
      </c>
      <c r="Y182" s="44">
        <v>2.3533050791148899E-8</v>
      </c>
      <c r="Z182" s="44">
        <v>2.3533050791148899E-8</v>
      </c>
      <c r="AA182" s="44">
        <v>2.3533050791148899E-8</v>
      </c>
      <c r="AB182"/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 s="44">
        <v>2.3533050791148899E-8</v>
      </c>
      <c r="AH182" s="44">
        <v>2.3533050791148899E-8</v>
      </c>
      <c r="AI182" s="44">
        <v>2.3533050791148899E-8</v>
      </c>
      <c r="AJ182"/>
      <c r="AK182" s="44">
        <v>2.3533050791148899E-8</v>
      </c>
      <c r="AL182" s="44">
        <v>2.3533050791148899E-8</v>
      </c>
      <c r="AM182" s="44">
        <v>2.3533050791148899E-8</v>
      </c>
      <c r="AN182" s="44">
        <v>2.3533050791148899E-8</v>
      </c>
      <c r="AO182"/>
      <c r="AP182" s="44">
        <v>2.3533050791148899E-8</v>
      </c>
      <c r="AQ182"/>
      <c r="AR182"/>
      <c r="AS182" s="44">
        <v>2.3533050791148899E-8</v>
      </c>
    </row>
    <row r="183" spans="1:45" x14ac:dyDescent="0.2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L183" s="44">
        <v>20</v>
      </c>
      <c r="M183" s="44">
        <v>20</v>
      </c>
      <c r="N183" s="44">
        <v>20</v>
      </c>
      <c r="Q183" s="44">
        <v>20</v>
      </c>
      <c r="R183" s="44">
        <v>20</v>
      </c>
      <c r="S183" s="44">
        <v>20</v>
      </c>
      <c r="T183" s="44">
        <v>20</v>
      </c>
      <c r="U183" s="44">
        <v>20</v>
      </c>
      <c r="V183" s="44">
        <v>20</v>
      </c>
      <c r="W183" s="44">
        <v>20</v>
      </c>
      <c r="X183" s="44">
        <v>20</v>
      </c>
      <c r="Y183" s="44">
        <v>20</v>
      </c>
      <c r="Z183" s="44">
        <v>20</v>
      </c>
      <c r="AA183" s="44">
        <v>20</v>
      </c>
      <c r="AB183"/>
      <c r="AC183" s="44">
        <v>20</v>
      </c>
      <c r="AD183" s="44">
        <v>20</v>
      </c>
      <c r="AE183" s="44">
        <v>20</v>
      </c>
      <c r="AF183" s="44">
        <v>20</v>
      </c>
      <c r="AG183" s="44">
        <v>20</v>
      </c>
      <c r="AH183" s="44">
        <v>20</v>
      </c>
      <c r="AI183" s="44">
        <v>20</v>
      </c>
      <c r="AJ183"/>
      <c r="AK183" s="44">
        <v>20</v>
      </c>
      <c r="AL183" s="44">
        <v>20</v>
      </c>
      <c r="AM183" s="44">
        <v>20</v>
      </c>
      <c r="AN183" s="44">
        <v>20</v>
      </c>
      <c r="AO183"/>
      <c r="AP183" s="44">
        <v>20</v>
      </c>
      <c r="AQ183"/>
      <c r="AR183"/>
      <c r="AS183" s="44">
        <v>20</v>
      </c>
    </row>
    <row r="184" spans="1:45" x14ac:dyDescent="0.2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L184" s="44">
        <v>-0.187</v>
      </c>
      <c r="M184" s="44">
        <v>-0.187</v>
      </c>
      <c r="N184" s="44">
        <v>-0.187</v>
      </c>
      <c r="Q184" s="44">
        <v>-0.187</v>
      </c>
      <c r="R184" s="44">
        <v>-0.187</v>
      </c>
      <c r="S184" s="44">
        <v>-0.187</v>
      </c>
      <c r="T184" s="44">
        <v>-0.187</v>
      </c>
      <c r="U184" s="44">
        <v>-0.187</v>
      </c>
      <c r="V184" s="44">
        <v>-0.187</v>
      </c>
      <c r="W184" s="44">
        <v>-0.187</v>
      </c>
      <c r="X184" s="44">
        <v>-0.187</v>
      </c>
      <c r="Y184" s="44">
        <v>-0.187</v>
      </c>
      <c r="Z184" s="44">
        <v>-0.187</v>
      </c>
      <c r="AA184" s="44">
        <v>-0.187</v>
      </c>
      <c r="AB184"/>
      <c r="AC184" s="44">
        <v>-0.187</v>
      </c>
      <c r="AD184" s="44">
        <v>-0.187</v>
      </c>
      <c r="AE184" s="44">
        <v>-0.187</v>
      </c>
      <c r="AF184" s="44">
        <v>-0.187</v>
      </c>
      <c r="AG184" s="44">
        <v>-0.187</v>
      </c>
      <c r="AH184" s="44">
        <v>-0.187</v>
      </c>
      <c r="AI184" s="44">
        <v>-0.187</v>
      </c>
      <c r="AJ184"/>
      <c r="AK184" s="44">
        <v>-0.187</v>
      </c>
      <c r="AL184" s="44">
        <v>-0.187</v>
      </c>
      <c r="AM184" s="44">
        <v>-0.187</v>
      </c>
      <c r="AN184" s="44">
        <v>-0.187</v>
      </c>
      <c r="AO184"/>
      <c r="AP184" s="44">
        <v>-0.187</v>
      </c>
      <c r="AQ184"/>
      <c r="AR184"/>
      <c r="AS184" s="44">
        <v>-0.187</v>
      </c>
    </row>
    <row r="185" spans="1:45" x14ac:dyDescent="0.2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L185" s="44">
        <v>2.48</v>
      </c>
      <c r="M185" s="44">
        <v>2.48</v>
      </c>
      <c r="N185" s="44">
        <v>2.48</v>
      </c>
      <c r="Q185" s="44">
        <v>2.48</v>
      </c>
      <c r="R185" s="44">
        <v>2.48</v>
      </c>
      <c r="S185" s="44">
        <v>2.48</v>
      </c>
      <c r="T185" s="44">
        <v>2.48</v>
      </c>
      <c r="U185" s="44">
        <v>2.48</v>
      </c>
      <c r="V185" s="44">
        <v>2.48</v>
      </c>
      <c r="W185" s="44">
        <v>2.48</v>
      </c>
      <c r="X185" s="44">
        <v>2.48</v>
      </c>
      <c r="Y185" s="44">
        <v>2.48</v>
      </c>
      <c r="Z185" s="44">
        <v>2.48</v>
      </c>
      <c r="AA185" s="44">
        <v>2.48</v>
      </c>
      <c r="AB185"/>
      <c r="AC185" s="44">
        <v>2.48</v>
      </c>
      <c r="AD185" s="44">
        <v>2.48</v>
      </c>
      <c r="AE185" s="44">
        <v>2.48</v>
      </c>
      <c r="AF185" s="44">
        <v>2.48</v>
      </c>
      <c r="AG185" s="44">
        <v>2.48</v>
      </c>
      <c r="AH185" s="44">
        <v>2.48</v>
      </c>
      <c r="AI185" s="44">
        <v>2.48</v>
      </c>
      <c r="AJ185"/>
      <c r="AK185" s="44">
        <v>2.48</v>
      </c>
      <c r="AL185" s="44">
        <v>2.48</v>
      </c>
      <c r="AM185" s="44">
        <v>2.48</v>
      </c>
      <c r="AN185" s="44">
        <v>2.48</v>
      </c>
      <c r="AO185"/>
      <c r="AP185" s="44">
        <v>2.48</v>
      </c>
      <c r="AQ185"/>
      <c r="AR185"/>
      <c r="AS185" s="44">
        <v>2.48</v>
      </c>
    </row>
    <row r="186" spans="1:45" x14ac:dyDescent="0.2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L186" s="44">
        <v>1</v>
      </c>
      <c r="M186" s="44">
        <v>1</v>
      </c>
      <c r="N186" s="44">
        <v>1</v>
      </c>
      <c r="Q186" s="44">
        <v>1</v>
      </c>
      <c r="R186" s="44">
        <v>1</v>
      </c>
      <c r="S186" s="44">
        <v>1</v>
      </c>
      <c r="T186" s="44">
        <v>1</v>
      </c>
      <c r="U186" s="44">
        <v>1</v>
      </c>
      <c r="V186" s="44">
        <v>1</v>
      </c>
      <c r="W186" s="44">
        <v>1</v>
      </c>
      <c r="X186" s="44">
        <v>1</v>
      </c>
      <c r="Y186" s="44">
        <v>1</v>
      </c>
      <c r="Z186" s="44">
        <v>1</v>
      </c>
      <c r="AA186" s="44">
        <v>1</v>
      </c>
      <c r="AB186"/>
      <c r="AC186" s="44">
        <v>1</v>
      </c>
      <c r="AD186" s="44">
        <v>1</v>
      </c>
      <c r="AE186" s="44">
        <v>1</v>
      </c>
      <c r="AF186" s="44">
        <v>1</v>
      </c>
      <c r="AG186" s="44">
        <v>1</v>
      </c>
      <c r="AH186" s="44">
        <v>1</v>
      </c>
      <c r="AI186" s="44">
        <v>1</v>
      </c>
      <c r="AJ186"/>
      <c r="AK186" s="44">
        <v>1</v>
      </c>
      <c r="AL186" s="44">
        <v>1</v>
      </c>
      <c r="AM186" s="44">
        <v>1</v>
      </c>
      <c r="AN186" s="44">
        <v>1</v>
      </c>
      <c r="AO186"/>
      <c r="AP186" s="44">
        <v>1</v>
      </c>
      <c r="AQ186"/>
      <c r="AR186"/>
      <c r="AS186" s="44">
        <v>1</v>
      </c>
    </row>
    <row r="187" spans="1:45" x14ac:dyDescent="0.2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L187" s="44">
        <v>6.1060227588121015E-4</v>
      </c>
      <c r="M187" s="44">
        <v>6.1060227588121015E-4</v>
      </c>
      <c r="N187" s="44">
        <v>6.1060227588121015E-4</v>
      </c>
      <c r="Q187" s="44">
        <v>6.1060227588121015E-4</v>
      </c>
      <c r="R187" s="44">
        <v>6.1060227588121015E-4</v>
      </c>
      <c r="S187" s="44">
        <v>6.1060227588121015E-4</v>
      </c>
      <c r="T187" s="44">
        <v>6.1060227588121015E-4</v>
      </c>
      <c r="U187" s="44">
        <v>6.1060227588121015E-4</v>
      </c>
      <c r="V187" s="44">
        <v>6.1060227588121015E-4</v>
      </c>
      <c r="W187" s="44">
        <v>6.1060227588121015E-4</v>
      </c>
      <c r="X187" s="44">
        <v>6.1060227588121015E-4</v>
      </c>
      <c r="Y187" s="44">
        <v>6.1060227588121015E-4</v>
      </c>
      <c r="Z187" s="44">
        <v>6.1060227588121015E-4</v>
      </c>
      <c r="AA187" s="44">
        <v>6.1060227588121015E-4</v>
      </c>
      <c r="AB187"/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 s="44">
        <v>6.1060227588121015E-4</v>
      </c>
      <c r="AH187" s="44">
        <v>6.1060227588121015E-4</v>
      </c>
      <c r="AI187" s="44">
        <v>6.1060227588121015E-4</v>
      </c>
      <c r="AJ187"/>
      <c r="AK187" s="44">
        <v>6.1060227588121015E-4</v>
      </c>
      <c r="AL187" s="44">
        <v>6.1060227588121015E-4</v>
      </c>
      <c r="AM187" s="44">
        <v>6.1060227588121015E-4</v>
      </c>
      <c r="AN187" s="44">
        <v>6.1060227588121015E-4</v>
      </c>
      <c r="AO187"/>
      <c r="AP187" s="44">
        <v>6.1060227588121015E-4</v>
      </c>
      <c r="AQ187"/>
      <c r="AR187"/>
      <c r="AS187" s="44">
        <v>6.1060227588121015E-4</v>
      </c>
    </row>
    <row r="188" spans="1:45" x14ac:dyDescent="0.2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L188" s="44">
        <v>3.9999999999999998E-7</v>
      </c>
      <c r="M188" s="44">
        <v>3.9999999999999998E-7</v>
      </c>
      <c r="N188" s="44">
        <v>3.9999999999999998E-7</v>
      </c>
      <c r="Q188" s="44">
        <v>3.9999999999999998E-7</v>
      </c>
      <c r="R188" s="44">
        <v>3.9999999999999998E-7</v>
      </c>
      <c r="S188" s="44">
        <v>3.9999999999999998E-7</v>
      </c>
      <c r="T188" s="44">
        <v>3.9999999999999998E-7</v>
      </c>
      <c r="U188" s="44">
        <v>3.9999999999999998E-7</v>
      </c>
      <c r="V188" s="44">
        <v>3.9999999999999998E-7</v>
      </c>
      <c r="W188" s="44">
        <v>3.9999999999999998E-7</v>
      </c>
      <c r="X188" s="44">
        <v>3.9999999999999998E-7</v>
      </c>
      <c r="Y188" s="44">
        <v>3.9999999999999998E-7</v>
      </c>
      <c r="Z188" s="44">
        <v>3.9999999999999998E-7</v>
      </c>
      <c r="AA188" s="44">
        <v>3.9999999999999998E-7</v>
      </c>
      <c r="AB188"/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 s="44">
        <v>3.9999999999999998E-7</v>
      </c>
      <c r="AH188" s="44">
        <v>3.9999999999999998E-7</v>
      </c>
      <c r="AI188" s="44">
        <v>3.9999999999999998E-7</v>
      </c>
      <c r="AJ188"/>
      <c r="AK188" s="44">
        <v>3.9999999999999998E-7</v>
      </c>
      <c r="AL188" s="44">
        <v>3.9999999999999998E-7</v>
      </c>
      <c r="AM188" s="44">
        <v>3.9999999999999998E-7</v>
      </c>
      <c r="AN188" s="44">
        <v>3.9999999999999998E-7</v>
      </c>
      <c r="AO188"/>
      <c r="AP188" s="44">
        <v>3.9999999999999998E-7</v>
      </c>
      <c r="AQ188"/>
      <c r="AR188"/>
      <c r="AS188" s="44">
        <v>3.9999999999999998E-7</v>
      </c>
    </row>
    <row r="189" spans="1:45" x14ac:dyDescent="0.2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L189" s="44">
        <v>25</v>
      </c>
      <c r="M189" s="44">
        <v>25</v>
      </c>
      <c r="N189" s="44">
        <v>25</v>
      </c>
      <c r="Q189" s="44">
        <v>25</v>
      </c>
      <c r="R189" s="44">
        <v>25</v>
      </c>
      <c r="S189" s="44">
        <v>25</v>
      </c>
      <c r="T189" s="44">
        <v>25</v>
      </c>
      <c r="U189" s="44">
        <v>25</v>
      </c>
      <c r="V189" s="44">
        <v>25</v>
      </c>
      <c r="W189" s="44">
        <v>25</v>
      </c>
      <c r="X189" s="44">
        <v>25</v>
      </c>
      <c r="Y189" s="44">
        <v>25</v>
      </c>
      <c r="Z189" s="44">
        <v>25</v>
      </c>
      <c r="AA189" s="44">
        <v>25</v>
      </c>
      <c r="AB189"/>
      <c r="AC189" s="44">
        <v>25</v>
      </c>
      <c r="AD189" s="44">
        <v>25</v>
      </c>
      <c r="AE189" s="44">
        <v>25</v>
      </c>
      <c r="AF189" s="44">
        <v>25</v>
      </c>
      <c r="AG189" s="44">
        <v>25</v>
      </c>
      <c r="AH189" s="44">
        <v>25</v>
      </c>
      <c r="AI189" s="44">
        <v>25</v>
      </c>
      <c r="AJ189"/>
      <c r="AK189" s="44">
        <v>25</v>
      </c>
      <c r="AL189" s="44">
        <v>25</v>
      </c>
      <c r="AM189" s="44">
        <v>25</v>
      </c>
      <c r="AN189" s="44">
        <v>25</v>
      </c>
      <c r="AO189"/>
      <c r="AP189" s="44">
        <v>25</v>
      </c>
      <c r="AQ189"/>
      <c r="AR189"/>
      <c r="AS189" s="44">
        <v>25</v>
      </c>
    </row>
    <row r="190" spans="1:45" x14ac:dyDescent="0.2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L190" s="44">
        <v>0</v>
      </c>
      <c r="M190" s="44">
        <v>0</v>
      </c>
      <c r="N190" s="44">
        <v>0</v>
      </c>
      <c r="Q190" s="44">
        <v>0</v>
      </c>
      <c r="R190" s="44">
        <v>0</v>
      </c>
      <c r="S190" s="44">
        <v>0</v>
      </c>
      <c r="T190" s="44">
        <v>0</v>
      </c>
      <c r="U190" s="44">
        <v>0</v>
      </c>
      <c r="V190" s="44">
        <v>0</v>
      </c>
      <c r="W190" s="44">
        <v>0</v>
      </c>
      <c r="X190" s="44">
        <v>0</v>
      </c>
      <c r="Y190" s="44">
        <v>0</v>
      </c>
      <c r="Z190" s="44">
        <v>0</v>
      </c>
      <c r="AA190" s="44">
        <v>0</v>
      </c>
      <c r="AB190"/>
      <c r="AC190" s="44">
        <v>0</v>
      </c>
      <c r="AD190" s="44">
        <v>0</v>
      </c>
      <c r="AE190" s="44">
        <v>0</v>
      </c>
      <c r="AF190" s="44">
        <v>0</v>
      </c>
      <c r="AG190" s="44">
        <v>0</v>
      </c>
      <c r="AH190" s="44">
        <v>0</v>
      </c>
      <c r="AI190" s="44">
        <v>0</v>
      </c>
      <c r="AJ190"/>
      <c r="AK190" s="44">
        <v>0</v>
      </c>
      <c r="AL190" s="44">
        <v>0</v>
      </c>
      <c r="AM190" s="44">
        <v>0</v>
      </c>
      <c r="AN190" s="44">
        <v>0</v>
      </c>
      <c r="AO190"/>
      <c r="AP190" s="44">
        <v>0</v>
      </c>
      <c r="AQ190"/>
      <c r="AR190"/>
      <c r="AS190" s="44">
        <v>0</v>
      </c>
    </row>
    <row r="191" spans="1:45" x14ac:dyDescent="0.2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L191" s="44">
        <v>3.98</v>
      </c>
      <c r="M191" s="44">
        <v>3.98</v>
      </c>
      <c r="N191" s="44">
        <v>3.98</v>
      </c>
      <c r="Q191" s="44">
        <v>3.98</v>
      </c>
      <c r="R191" s="44">
        <v>3.98</v>
      </c>
      <c r="S191" s="44">
        <v>3.98</v>
      </c>
      <c r="T191" s="44">
        <v>3.98</v>
      </c>
      <c r="U191" s="44">
        <v>3.98</v>
      </c>
      <c r="V191" s="44">
        <v>3.98</v>
      </c>
      <c r="W191" s="44">
        <v>3.98</v>
      </c>
      <c r="X191" s="44">
        <v>3.98</v>
      </c>
      <c r="Y191" s="44">
        <v>3.98</v>
      </c>
      <c r="Z191" s="44">
        <v>3.98</v>
      </c>
      <c r="AA191" s="44">
        <v>3.98</v>
      </c>
      <c r="AB191"/>
      <c r="AC191" s="44">
        <v>3.98</v>
      </c>
      <c r="AD191" s="44">
        <v>3.98</v>
      </c>
      <c r="AE191" s="44">
        <v>3.98</v>
      </c>
      <c r="AF191" s="44">
        <v>3.98</v>
      </c>
      <c r="AG191" s="44">
        <v>3.98</v>
      </c>
      <c r="AH191" s="44">
        <v>3.98</v>
      </c>
      <c r="AI191" s="44">
        <v>3.98</v>
      </c>
      <c r="AJ191"/>
      <c r="AK191" s="44">
        <v>3.98</v>
      </c>
      <c r="AL191" s="44">
        <v>3.98</v>
      </c>
      <c r="AM191" s="44">
        <v>3.98</v>
      </c>
      <c r="AN191" s="44">
        <v>3.98</v>
      </c>
      <c r="AO191"/>
      <c r="AP191" s="44">
        <v>3.98</v>
      </c>
      <c r="AQ191"/>
      <c r="AR191"/>
      <c r="AS191" s="44">
        <v>3.98</v>
      </c>
    </row>
    <row r="192" spans="1:45" x14ac:dyDescent="0.2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L192" s="44">
        <v>1</v>
      </c>
      <c r="M192" s="44">
        <v>1</v>
      </c>
      <c r="N192" s="44">
        <v>1</v>
      </c>
      <c r="Q192" s="44">
        <v>1</v>
      </c>
      <c r="R192" s="44">
        <v>1</v>
      </c>
      <c r="S192" s="44">
        <v>1</v>
      </c>
      <c r="T192" s="44">
        <v>1</v>
      </c>
      <c r="U192" s="44">
        <v>1</v>
      </c>
      <c r="V192" s="44">
        <v>1</v>
      </c>
      <c r="W192" s="44">
        <v>1</v>
      </c>
      <c r="X192" s="44">
        <v>1</v>
      </c>
      <c r="Y192" s="44">
        <v>1</v>
      </c>
      <c r="Z192" s="44">
        <v>1</v>
      </c>
      <c r="AA192" s="44">
        <v>1</v>
      </c>
      <c r="AB192"/>
      <c r="AC192" s="44">
        <v>1</v>
      </c>
      <c r="AD192" s="44">
        <v>1</v>
      </c>
      <c r="AE192" s="44">
        <v>1</v>
      </c>
      <c r="AF192" s="44">
        <v>1</v>
      </c>
      <c r="AG192" s="44">
        <v>1</v>
      </c>
      <c r="AH192" s="44">
        <v>1</v>
      </c>
      <c r="AI192" s="44">
        <v>1</v>
      </c>
      <c r="AJ192"/>
      <c r="AK192" s="44">
        <v>1</v>
      </c>
      <c r="AL192" s="44">
        <v>1</v>
      </c>
      <c r="AM192" s="44">
        <v>1</v>
      </c>
      <c r="AN192" s="44">
        <v>1</v>
      </c>
      <c r="AO192"/>
      <c r="AP192" s="44">
        <v>1</v>
      </c>
      <c r="AQ192"/>
      <c r="AR192"/>
      <c r="AS192" s="44">
        <v>1</v>
      </c>
    </row>
    <row r="193" spans="1:53" x14ac:dyDescent="0.2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L193" s="44">
        <v>8.3333333333333331E-5</v>
      </c>
      <c r="M193" s="44">
        <v>8.3333333333333331E-5</v>
      </c>
      <c r="N193" s="44">
        <v>8.3333333333333331E-5</v>
      </c>
      <c r="Q193" s="44">
        <v>8.3333333333333331E-5</v>
      </c>
      <c r="R193" s="44">
        <v>8.3333333333333331E-5</v>
      </c>
      <c r="S193" s="44">
        <v>8.3333333333333331E-5</v>
      </c>
      <c r="T193" s="44">
        <v>8.3333333333333331E-5</v>
      </c>
      <c r="U193" s="44">
        <v>8.3333333333333331E-5</v>
      </c>
      <c r="V193" s="44">
        <v>8.3333333333333331E-5</v>
      </c>
      <c r="W193" s="44">
        <v>8.3333333333333331E-5</v>
      </c>
      <c r="X193" s="44">
        <v>8.3333333333333331E-5</v>
      </c>
      <c r="Y193" s="44">
        <v>8.3333333333333331E-5</v>
      </c>
      <c r="Z193" s="44">
        <v>8.3333333333333331E-5</v>
      </c>
      <c r="AA193" s="44">
        <v>8.3333333333333331E-5</v>
      </c>
      <c r="AB193"/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 s="44">
        <v>8.3333333333333331E-5</v>
      </c>
      <c r="AH193" s="44">
        <v>8.3333333333333331E-5</v>
      </c>
      <c r="AI193" s="44">
        <v>8.3333333333333331E-5</v>
      </c>
      <c r="AJ193"/>
      <c r="AK193" s="44">
        <v>8.3333333333333331E-5</v>
      </c>
      <c r="AL193" s="44">
        <v>8.3333333333333331E-5</v>
      </c>
      <c r="AM193" s="44">
        <v>8.3333333333333331E-5</v>
      </c>
      <c r="AN193" s="44">
        <v>8.3333333333333331E-5</v>
      </c>
      <c r="AO193"/>
      <c r="AP193" s="44">
        <v>8.3333333333333331E-5</v>
      </c>
      <c r="AQ193"/>
      <c r="AR193"/>
      <c r="AS193" s="44">
        <v>8.3333333333333331E-5</v>
      </c>
    </row>
    <row r="194" spans="1:53" x14ac:dyDescent="0.2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L194" s="44">
        <v>3.9999999999999998E-7</v>
      </c>
      <c r="M194" s="44">
        <v>3.9999999999999998E-7</v>
      </c>
      <c r="N194" s="44">
        <v>3.9999999999999998E-7</v>
      </c>
      <c r="Q194" s="44">
        <v>3.9999999999999998E-7</v>
      </c>
      <c r="R194" s="44">
        <v>3.9999999999999998E-7</v>
      </c>
      <c r="S194" s="44">
        <v>3.9999999999999998E-7</v>
      </c>
      <c r="T194" s="44">
        <v>3.9999999999999998E-7</v>
      </c>
      <c r="U194" s="44">
        <v>3.9999999999999998E-7</v>
      </c>
      <c r="V194" s="44">
        <v>3.9999999999999998E-7</v>
      </c>
      <c r="W194" s="44">
        <v>3.9999999999999998E-7</v>
      </c>
      <c r="X194" s="44">
        <v>3.9999999999999998E-7</v>
      </c>
      <c r="Y194" s="44">
        <v>3.9999999999999998E-7</v>
      </c>
      <c r="Z194" s="44">
        <v>3.9999999999999998E-7</v>
      </c>
      <c r="AA194" s="44">
        <v>3.9999999999999998E-7</v>
      </c>
      <c r="AB194"/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 s="44">
        <v>3.9999999999999998E-7</v>
      </c>
      <c r="AH194" s="44">
        <v>3.9999999999999998E-7</v>
      </c>
      <c r="AI194" s="44">
        <v>3.9999999999999998E-7</v>
      </c>
      <c r="AJ194"/>
      <c r="AK194" s="44">
        <v>3.9999999999999998E-7</v>
      </c>
      <c r="AL194" s="44">
        <v>3.9999999999999998E-7</v>
      </c>
      <c r="AM194" s="44">
        <v>3.9999999999999998E-7</v>
      </c>
      <c r="AN194" s="44">
        <v>3.9999999999999998E-7</v>
      </c>
      <c r="AO194"/>
      <c r="AP194" s="44">
        <v>3.9999999999999998E-7</v>
      </c>
      <c r="AQ194"/>
      <c r="AR194"/>
      <c r="AS194" s="44">
        <v>3.9999999999999998E-7</v>
      </c>
    </row>
    <row r="195" spans="1:53" x14ac:dyDescent="0.2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L195" s="44">
        <v>25</v>
      </c>
      <c r="M195" s="44">
        <v>25</v>
      </c>
      <c r="N195" s="44">
        <v>25</v>
      </c>
      <c r="Q195" s="44">
        <v>25</v>
      </c>
      <c r="R195" s="44">
        <v>25</v>
      </c>
      <c r="S195" s="44">
        <v>25</v>
      </c>
      <c r="T195" s="44">
        <v>25</v>
      </c>
      <c r="U195" s="44">
        <v>25</v>
      </c>
      <c r="V195" s="44">
        <v>25</v>
      </c>
      <c r="W195" s="44">
        <v>25</v>
      </c>
      <c r="X195" s="44">
        <v>25</v>
      </c>
      <c r="Y195" s="44">
        <v>25</v>
      </c>
      <c r="Z195" s="44">
        <v>25</v>
      </c>
      <c r="AA195" s="44">
        <v>25</v>
      </c>
      <c r="AB195"/>
      <c r="AC195" s="44">
        <v>25</v>
      </c>
      <c r="AD195" s="44">
        <v>25</v>
      </c>
      <c r="AE195" s="44">
        <v>25</v>
      </c>
      <c r="AF195" s="44">
        <v>25</v>
      </c>
      <c r="AG195" s="44">
        <v>25</v>
      </c>
      <c r="AH195" s="44">
        <v>25</v>
      </c>
      <c r="AI195" s="44">
        <v>25</v>
      </c>
      <c r="AJ195"/>
      <c r="AK195" s="44">
        <v>25</v>
      </c>
      <c r="AL195" s="44">
        <v>25</v>
      </c>
      <c r="AM195" s="44">
        <v>25</v>
      </c>
      <c r="AN195" s="44">
        <v>25</v>
      </c>
      <c r="AO195"/>
      <c r="AP195" s="44">
        <v>25</v>
      </c>
      <c r="AQ195"/>
      <c r="AR195"/>
      <c r="AS195" s="44">
        <v>25</v>
      </c>
    </row>
    <row r="196" spans="1:53" x14ac:dyDescent="0.2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L196" s="44">
        <v>0</v>
      </c>
      <c r="M196" s="44">
        <v>0</v>
      </c>
      <c r="N196" s="44">
        <v>0</v>
      </c>
      <c r="Q196" s="44">
        <v>0</v>
      </c>
      <c r="R196" s="44">
        <v>0</v>
      </c>
      <c r="S196" s="44">
        <v>0</v>
      </c>
      <c r="T196" s="44">
        <v>0</v>
      </c>
      <c r="U196" s="44">
        <v>0</v>
      </c>
      <c r="V196" s="44">
        <v>0</v>
      </c>
      <c r="W196" s="44">
        <v>0</v>
      </c>
      <c r="X196" s="44">
        <v>0</v>
      </c>
      <c r="Y196" s="44">
        <v>0</v>
      </c>
      <c r="Z196" s="44">
        <v>0</v>
      </c>
      <c r="AA196" s="44">
        <v>0</v>
      </c>
      <c r="AB196"/>
      <c r="AC196" s="44">
        <v>0</v>
      </c>
      <c r="AD196" s="44">
        <v>0</v>
      </c>
      <c r="AE196" s="44">
        <v>0</v>
      </c>
      <c r="AF196" s="44">
        <v>0</v>
      </c>
      <c r="AG196" s="44">
        <v>0</v>
      </c>
      <c r="AH196" s="44">
        <v>0</v>
      </c>
      <c r="AI196" s="44">
        <v>0</v>
      </c>
      <c r="AJ196"/>
      <c r="AK196" s="44">
        <v>0</v>
      </c>
      <c r="AL196" s="44">
        <v>0</v>
      </c>
      <c r="AM196" s="44">
        <v>0</v>
      </c>
      <c r="AN196" s="44">
        <v>0</v>
      </c>
      <c r="AO196"/>
      <c r="AP196" s="44">
        <v>0</v>
      </c>
      <c r="AQ196"/>
      <c r="AR196"/>
      <c r="AS196" s="44">
        <v>0</v>
      </c>
    </row>
    <row r="197" spans="1:53" x14ac:dyDescent="0.2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L197" s="44">
        <v>3.98</v>
      </c>
      <c r="M197" s="44">
        <v>3.98</v>
      </c>
      <c r="N197" s="44">
        <v>3.98</v>
      </c>
      <c r="Q197" s="44">
        <v>3.98</v>
      </c>
      <c r="R197" s="44">
        <v>3.98</v>
      </c>
      <c r="S197" s="44">
        <v>3.98</v>
      </c>
      <c r="T197" s="44">
        <v>3.98</v>
      </c>
      <c r="U197" s="44">
        <v>3.98</v>
      </c>
      <c r="V197" s="44">
        <v>3.98</v>
      </c>
      <c r="W197" s="44">
        <v>3.98</v>
      </c>
      <c r="X197" s="44">
        <v>3.98</v>
      </c>
      <c r="Y197" s="44">
        <v>3.98</v>
      </c>
      <c r="Z197" s="44">
        <v>3.98</v>
      </c>
      <c r="AA197" s="44">
        <v>3.98</v>
      </c>
      <c r="AB197"/>
      <c r="AC197" s="44">
        <v>3.98</v>
      </c>
      <c r="AD197" s="44">
        <v>3.98</v>
      </c>
      <c r="AE197" s="44">
        <v>3.98</v>
      </c>
      <c r="AF197" s="44">
        <v>3.98</v>
      </c>
      <c r="AG197" s="44">
        <v>3.98</v>
      </c>
      <c r="AH197" s="44">
        <v>3.98</v>
      </c>
      <c r="AI197" s="44">
        <v>3.98</v>
      </c>
      <c r="AJ197"/>
      <c r="AK197" s="44">
        <v>3.98</v>
      </c>
      <c r="AL197" s="44">
        <v>3.98</v>
      </c>
      <c r="AM197" s="44">
        <v>3.98</v>
      </c>
      <c r="AN197" s="44">
        <v>3.98</v>
      </c>
      <c r="AO197"/>
      <c r="AP197" s="44">
        <v>3.98</v>
      </c>
      <c r="AQ197"/>
      <c r="AR197"/>
      <c r="AS197" s="44">
        <v>3.98</v>
      </c>
    </row>
    <row r="198" spans="1:53" x14ac:dyDescent="0.2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L198" s="44">
        <v>1</v>
      </c>
      <c r="M198" s="44">
        <v>1</v>
      </c>
      <c r="N198" s="44">
        <v>1</v>
      </c>
      <c r="Q198" s="44">
        <v>1</v>
      </c>
      <c r="R198" s="44">
        <v>1</v>
      </c>
      <c r="S198" s="44">
        <v>1</v>
      </c>
      <c r="T198" s="44">
        <v>1</v>
      </c>
      <c r="U198" s="44">
        <v>1</v>
      </c>
      <c r="V198" s="44">
        <v>1</v>
      </c>
      <c r="W198" s="44">
        <v>1</v>
      </c>
      <c r="X198" s="44">
        <v>1</v>
      </c>
      <c r="Y198" s="44">
        <v>1</v>
      </c>
      <c r="Z198" s="44">
        <v>1</v>
      </c>
      <c r="AA198" s="44">
        <v>1</v>
      </c>
      <c r="AB198"/>
      <c r="AC198" s="44">
        <v>1</v>
      </c>
      <c r="AD198" s="44">
        <v>1</v>
      </c>
      <c r="AE198" s="44">
        <v>1</v>
      </c>
      <c r="AF198" s="44">
        <v>1</v>
      </c>
      <c r="AG198" s="44">
        <v>1</v>
      </c>
      <c r="AH198" s="44">
        <v>1</v>
      </c>
      <c r="AI198" s="44">
        <v>1</v>
      </c>
      <c r="AJ198"/>
      <c r="AK198" s="44">
        <v>1</v>
      </c>
      <c r="AL198" s="44">
        <v>1</v>
      </c>
      <c r="AM198" s="44">
        <v>1</v>
      </c>
      <c r="AN198" s="44">
        <v>1</v>
      </c>
      <c r="AO198"/>
      <c r="AP198" s="44">
        <v>1</v>
      </c>
      <c r="AQ198"/>
      <c r="AR198"/>
      <c r="AS198" s="44">
        <v>1</v>
      </c>
    </row>
    <row r="199" spans="1:53" x14ac:dyDescent="0.2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L199" s="44">
        <v>8.3333333333333331E-5</v>
      </c>
      <c r="M199" s="44">
        <v>8.3333333333333331E-5</v>
      </c>
      <c r="N199" s="44">
        <v>8.3333333333333331E-5</v>
      </c>
      <c r="Q199" s="44">
        <v>8.3333333333333331E-5</v>
      </c>
      <c r="R199" s="44">
        <v>8.3333333333333331E-5</v>
      </c>
      <c r="S199" s="44">
        <v>8.3333333333333331E-5</v>
      </c>
      <c r="T199" s="44">
        <v>8.3333333333333331E-5</v>
      </c>
      <c r="U199" s="44">
        <v>8.3333333333333331E-5</v>
      </c>
      <c r="V199" s="44">
        <v>8.3333333333333331E-5</v>
      </c>
      <c r="W199" s="44">
        <v>8.3333333333333331E-5</v>
      </c>
      <c r="X199" s="44">
        <v>8.3333333333333331E-5</v>
      </c>
      <c r="Y199" s="44">
        <v>8.3333333333333331E-5</v>
      </c>
      <c r="Z199" s="44">
        <v>8.3333333333333331E-5</v>
      </c>
      <c r="AA199" s="44">
        <v>8.3333333333333331E-5</v>
      </c>
      <c r="AB199"/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 s="44">
        <v>8.3333333333333331E-5</v>
      </c>
      <c r="AH199" s="44">
        <v>8.3333333333333331E-5</v>
      </c>
      <c r="AI199" s="44">
        <v>8.3333333333333331E-5</v>
      </c>
      <c r="AJ199"/>
      <c r="AK199" s="44">
        <v>8.3333333333333331E-5</v>
      </c>
      <c r="AL199" s="44">
        <v>8.3333333333333331E-5</v>
      </c>
      <c r="AM199" s="44">
        <v>8.3333333333333331E-5</v>
      </c>
      <c r="AN199" s="44">
        <v>8.3333333333333331E-5</v>
      </c>
      <c r="AO199"/>
      <c r="AP199" s="44">
        <v>8.3333333333333331E-5</v>
      </c>
      <c r="AQ199"/>
      <c r="AR199"/>
      <c r="AS199" s="44">
        <v>8.3333333333333331E-5</v>
      </c>
    </row>
    <row r="200" spans="1:53" x14ac:dyDescent="0.2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L200" s="44">
        <v>1.9999999999999999E-7</v>
      </c>
      <c r="M200" s="44">
        <v>1.9999999999999999E-7</v>
      </c>
      <c r="N200" s="44">
        <v>1.9999999999999999E-7</v>
      </c>
      <c r="Q200" s="44">
        <v>1.9999999999999999E-7</v>
      </c>
      <c r="R200" s="44">
        <v>1.9999999999999999E-7</v>
      </c>
      <c r="S200" s="44">
        <v>1.9999999999999999E-7</v>
      </c>
      <c r="T200" s="44">
        <v>1.9999999999999999E-7</v>
      </c>
      <c r="U200" s="44">
        <v>1.9999999999999999E-7</v>
      </c>
      <c r="V200" s="44">
        <v>1.9999999999999999E-7</v>
      </c>
      <c r="W200" s="44">
        <v>1.9999999999999999E-7</v>
      </c>
      <c r="X200" s="44">
        <v>1.9999999999999999E-7</v>
      </c>
      <c r="Y200" s="44">
        <v>1.9999999999999999E-7</v>
      </c>
      <c r="Z200" s="44">
        <v>1.9999999999999999E-7</v>
      </c>
      <c r="AA200" s="44">
        <v>1.9999999999999999E-7</v>
      </c>
      <c r="AB200"/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 s="44">
        <v>1.9999999999999999E-7</v>
      </c>
      <c r="AH200" s="44">
        <v>1.9999999999999999E-7</v>
      </c>
      <c r="AI200" s="44">
        <v>1.9999999999999999E-7</v>
      </c>
      <c r="AJ200"/>
      <c r="AK200" s="44">
        <v>1.9999999999999999E-7</v>
      </c>
      <c r="AL200" s="44">
        <v>1.9999999999999999E-7</v>
      </c>
      <c r="AM200" s="44">
        <v>1.9999999999999999E-7</v>
      </c>
      <c r="AN200" s="44">
        <v>1.9999999999999999E-7</v>
      </c>
      <c r="AO200"/>
      <c r="AP200" s="44">
        <v>1.9999999999999999E-7</v>
      </c>
      <c r="AQ200"/>
      <c r="AR200"/>
      <c r="AS200" s="44">
        <v>1.9999999999999999E-7</v>
      </c>
    </row>
    <row r="201" spans="1:53" x14ac:dyDescent="0.2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L201" s="44">
        <v>25</v>
      </c>
      <c r="M201" s="44">
        <v>25</v>
      </c>
      <c r="N201" s="44">
        <v>25</v>
      </c>
      <c r="Q201" s="44">
        <v>25</v>
      </c>
      <c r="R201" s="44">
        <v>25</v>
      </c>
      <c r="S201" s="44">
        <v>25</v>
      </c>
      <c r="T201" s="44">
        <v>25</v>
      </c>
      <c r="U201" s="44">
        <v>25</v>
      </c>
      <c r="V201" s="44">
        <v>25</v>
      </c>
      <c r="W201" s="44">
        <v>25</v>
      </c>
      <c r="X201" s="44">
        <v>25</v>
      </c>
      <c r="Y201" s="44">
        <v>25</v>
      </c>
      <c r="Z201" s="44">
        <v>25</v>
      </c>
      <c r="AA201" s="44">
        <v>25</v>
      </c>
      <c r="AB201"/>
      <c r="AC201" s="44">
        <v>25</v>
      </c>
      <c r="AD201" s="44">
        <v>25</v>
      </c>
      <c r="AE201" s="44">
        <v>25</v>
      </c>
      <c r="AF201" s="44">
        <v>25</v>
      </c>
      <c r="AG201" s="44">
        <v>25</v>
      </c>
      <c r="AH201" s="44">
        <v>25</v>
      </c>
      <c r="AI201" s="44">
        <v>25</v>
      </c>
      <c r="AJ201"/>
      <c r="AK201" s="44">
        <v>25</v>
      </c>
      <c r="AL201" s="44">
        <v>25</v>
      </c>
      <c r="AM201" s="44">
        <v>25</v>
      </c>
      <c r="AN201" s="44">
        <v>25</v>
      </c>
      <c r="AO201"/>
      <c r="AP201" s="44">
        <v>25</v>
      </c>
      <c r="AQ201"/>
      <c r="AR201"/>
      <c r="AS201" s="44">
        <v>25</v>
      </c>
    </row>
    <row r="202" spans="1:53" x14ac:dyDescent="0.2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L202" s="44">
        <v>0</v>
      </c>
      <c r="M202" s="44">
        <v>0</v>
      </c>
      <c r="N202" s="44">
        <v>0</v>
      </c>
      <c r="Q202" s="44">
        <v>0</v>
      </c>
      <c r="R202" s="44">
        <v>0</v>
      </c>
      <c r="S202" s="44">
        <v>0</v>
      </c>
      <c r="T202" s="44">
        <v>0</v>
      </c>
      <c r="U202" s="44">
        <v>0</v>
      </c>
      <c r="V202" s="44">
        <v>0</v>
      </c>
      <c r="W202" s="44">
        <v>0</v>
      </c>
      <c r="X202" s="44">
        <v>0</v>
      </c>
      <c r="Y202" s="44">
        <v>0</v>
      </c>
      <c r="Z202" s="44">
        <v>0</v>
      </c>
      <c r="AA202" s="44">
        <v>0</v>
      </c>
      <c r="AB202"/>
      <c r="AC202" s="44">
        <v>0</v>
      </c>
      <c r="AD202" s="44">
        <v>0</v>
      </c>
      <c r="AE202" s="44">
        <v>0</v>
      </c>
      <c r="AF202" s="44">
        <v>0</v>
      </c>
      <c r="AG202" s="44">
        <v>0</v>
      </c>
      <c r="AH202" s="44">
        <v>0</v>
      </c>
      <c r="AI202" s="44">
        <v>0</v>
      </c>
      <c r="AJ202"/>
      <c r="AK202" s="44">
        <v>0</v>
      </c>
      <c r="AL202" s="44">
        <v>0</v>
      </c>
      <c r="AM202" s="44">
        <v>0</v>
      </c>
      <c r="AN202" s="44">
        <v>0</v>
      </c>
      <c r="AO202"/>
      <c r="AP202" s="44">
        <v>0</v>
      </c>
      <c r="AQ202"/>
      <c r="AR202"/>
      <c r="AS202" s="44">
        <v>0</v>
      </c>
    </row>
    <row r="203" spans="1:53" x14ac:dyDescent="0.2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L203" s="44">
        <v>3.98</v>
      </c>
      <c r="M203" s="44">
        <v>3.98</v>
      </c>
      <c r="N203" s="44">
        <v>3.98</v>
      </c>
      <c r="Q203" s="44">
        <v>3.98</v>
      </c>
      <c r="R203" s="44">
        <v>3.98</v>
      </c>
      <c r="S203" s="44">
        <v>3.98</v>
      </c>
      <c r="T203" s="44">
        <v>3.98</v>
      </c>
      <c r="U203" s="44">
        <v>3.98</v>
      </c>
      <c r="V203" s="44">
        <v>3.98</v>
      </c>
      <c r="W203" s="44">
        <v>3.98</v>
      </c>
      <c r="X203" s="44">
        <v>3.98</v>
      </c>
      <c r="Y203" s="44">
        <v>3.98</v>
      </c>
      <c r="Z203" s="44">
        <v>3.98</v>
      </c>
      <c r="AA203" s="44">
        <v>3.98</v>
      </c>
      <c r="AB203"/>
      <c r="AC203" s="44">
        <v>3.98</v>
      </c>
      <c r="AD203" s="44">
        <v>3.98</v>
      </c>
      <c r="AE203" s="44">
        <v>3.98</v>
      </c>
      <c r="AF203" s="44">
        <v>3.98</v>
      </c>
      <c r="AG203" s="44">
        <v>3.98</v>
      </c>
      <c r="AH203" s="44">
        <v>3.98</v>
      </c>
      <c r="AI203" s="44">
        <v>3.98</v>
      </c>
      <c r="AJ203"/>
      <c r="AK203" s="44">
        <v>3.98</v>
      </c>
      <c r="AL203" s="44">
        <v>3.98</v>
      </c>
      <c r="AM203" s="44">
        <v>3.98</v>
      </c>
      <c r="AN203" s="44">
        <v>3.98</v>
      </c>
      <c r="AO203"/>
      <c r="AP203" s="44">
        <v>3.98</v>
      </c>
      <c r="AQ203"/>
      <c r="AR203"/>
      <c r="AS203" s="44">
        <v>3.98</v>
      </c>
    </row>
    <row r="204" spans="1:53" x14ac:dyDescent="0.2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L204" s="44">
        <v>1</v>
      </c>
      <c r="M204" s="44">
        <v>1</v>
      </c>
      <c r="N204" s="44">
        <v>1</v>
      </c>
      <c r="Q204" s="44">
        <v>1</v>
      </c>
      <c r="R204" s="44">
        <v>1</v>
      </c>
      <c r="S204" s="44">
        <v>1</v>
      </c>
      <c r="T204" s="44">
        <v>1</v>
      </c>
      <c r="U204" s="44">
        <v>1</v>
      </c>
      <c r="V204" s="44">
        <v>1</v>
      </c>
      <c r="W204" s="44">
        <v>1</v>
      </c>
      <c r="X204" s="44">
        <v>1</v>
      </c>
      <c r="Y204" s="44">
        <v>1</v>
      </c>
      <c r="Z204" s="44">
        <v>1</v>
      </c>
      <c r="AA204" s="44">
        <v>1</v>
      </c>
      <c r="AB204"/>
      <c r="AC204" s="44">
        <v>1</v>
      </c>
      <c r="AD204" s="44">
        <v>1</v>
      </c>
      <c r="AE204" s="44">
        <v>1</v>
      </c>
      <c r="AF204" s="44">
        <v>1</v>
      </c>
      <c r="AG204" s="44">
        <v>1</v>
      </c>
      <c r="AH204" s="44">
        <v>1</v>
      </c>
      <c r="AI204" s="44">
        <v>1</v>
      </c>
      <c r="AJ204"/>
      <c r="AK204" s="44">
        <v>1</v>
      </c>
      <c r="AL204" s="44">
        <v>1</v>
      </c>
      <c r="AM204" s="44">
        <v>1</v>
      </c>
      <c r="AN204" s="44">
        <v>1</v>
      </c>
      <c r="AO204"/>
      <c r="AP204" s="44">
        <v>1</v>
      </c>
      <c r="AQ204"/>
      <c r="AR204"/>
      <c r="AS204" s="44">
        <v>1</v>
      </c>
    </row>
    <row r="205" spans="1:53" x14ac:dyDescent="0.2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L205" s="44">
        <v>8.3333333333333331E-5</v>
      </c>
      <c r="M205" s="44">
        <v>8.3333333333333331E-5</v>
      </c>
      <c r="N205" s="44">
        <v>8.3333333333333331E-5</v>
      </c>
      <c r="Q205" s="44">
        <v>8.3333333333333331E-5</v>
      </c>
      <c r="R205" s="44">
        <v>8.3333333333333331E-5</v>
      </c>
      <c r="S205" s="44">
        <v>8.3333333333333331E-5</v>
      </c>
      <c r="T205" s="44">
        <v>8.3333333333333331E-5</v>
      </c>
      <c r="U205" s="44">
        <v>8.3333333333333331E-5</v>
      </c>
      <c r="V205" s="44">
        <v>8.3333333333333331E-5</v>
      </c>
      <c r="W205" s="44">
        <v>8.3333333333333331E-5</v>
      </c>
      <c r="X205" s="44">
        <v>8.3333333333333331E-5</v>
      </c>
      <c r="Y205" s="44">
        <v>8.3333333333333331E-5</v>
      </c>
      <c r="Z205" s="44">
        <v>8.3333333333333331E-5</v>
      </c>
      <c r="AA205" s="44">
        <v>8.3333333333333331E-5</v>
      </c>
      <c r="AB205"/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 s="44">
        <v>8.3333333333333331E-5</v>
      </c>
      <c r="AH205" s="44">
        <v>8.3333333333333331E-5</v>
      </c>
      <c r="AI205" s="44">
        <v>8.3333333333333331E-5</v>
      </c>
      <c r="AJ205"/>
      <c r="AK205" s="44">
        <v>8.3333333333333331E-5</v>
      </c>
      <c r="AL205" s="44">
        <v>8.3333333333333331E-5</v>
      </c>
      <c r="AM205" s="44">
        <v>8.3333333333333331E-5</v>
      </c>
      <c r="AN205" s="44">
        <v>8.3333333333333331E-5</v>
      </c>
      <c r="AO205"/>
      <c r="AP205" s="44">
        <v>8.3333333333333331E-5</v>
      </c>
      <c r="AQ205"/>
      <c r="AR205"/>
      <c r="AS205" s="44">
        <v>8.3333333333333331E-5</v>
      </c>
    </row>
    <row r="206" spans="1:53" x14ac:dyDescent="0.2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L206" s="44" t="s">
        <v>89</v>
      </c>
      <c r="M206" s="44" t="s">
        <v>89</v>
      </c>
      <c r="N206" s="44" t="s">
        <v>89</v>
      </c>
      <c r="Q206" s="44" t="s">
        <v>89</v>
      </c>
      <c r="R206" s="44" t="s">
        <v>89</v>
      </c>
      <c r="S206" s="44" t="s">
        <v>89</v>
      </c>
      <c r="T206" s="44" t="s">
        <v>89</v>
      </c>
      <c r="U206" s="44" t="s">
        <v>89</v>
      </c>
      <c r="V206" s="44" t="s">
        <v>89</v>
      </c>
      <c r="W206" s="44" t="s">
        <v>89</v>
      </c>
      <c r="X206" s="44" t="s">
        <v>89</v>
      </c>
      <c r="Y206" s="44" t="s">
        <v>89</v>
      </c>
      <c r="Z206" s="44" t="s">
        <v>89</v>
      </c>
      <c r="AA206" s="44" t="s">
        <v>89</v>
      </c>
      <c r="AB206"/>
      <c r="AC206" s="44" t="s">
        <v>89</v>
      </c>
      <c r="AD206" s="44" t="s">
        <v>89</v>
      </c>
      <c r="AE206" s="44" t="s">
        <v>89</v>
      </c>
      <c r="AF206" s="44" t="s">
        <v>89</v>
      </c>
      <c r="AG206" s="44" t="s">
        <v>89</v>
      </c>
      <c r="AH206" s="44" t="s">
        <v>89</v>
      </c>
      <c r="AI206" s="44" t="s">
        <v>89</v>
      </c>
      <c r="AJ206"/>
      <c r="AK206" s="44" t="s">
        <v>89</v>
      </c>
      <c r="AL206" s="44" t="s">
        <v>89</v>
      </c>
      <c r="AM206" s="44" t="s">
        <v>89</v>
      </c>
      <c r="AN206" s="44" t="s">
        <v>89</v>
      </c>
      <c r="AO206"/>
      <c r="AP206" s="44" t="s">
        <v>89</v>
      </c>
      <c r="AQ206"/>
      <c r="AR206"/>
      <c r="AS206" s="44" t="s">
        <v>89</v>
      </c>
    </row>
    <row r="207" spans="1:53" x14ac:dyDescent="0.2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L207" s="44">
        <f t="shared" ref="L207:AS207" si="13">0.00002</f>
        <v>2.0000000000000002E-5</v>
      </c>
      <c r="M207" s="44">
        <f t="shared" si="13"/>
        <v>2.0000000000000002E-5</v>
      </c>
      <c r="N207" s="44">
        <f t="shared" si="13"/>
        <v>2.0000000000000002E-5</v>
      </c>
      <c r="Q207" s="44">
        <f t="shared" si="13"/>
        <v>2.0000000000000002E-5</v>
      </c>
      <c r="R207" s="44">
        <f t="shared" si="13"/>
        <v>2.0000000000000002E-5</v>
      </c>
      <c r="S207" s="44">
        <f t="shared" si="13"/>
        <v>2.0000000000000002E-5</v>
      </c>
      <c r="T207" s="44">
        <f t="shared" si="13"/>
        <v>2.0000000000000002E-5</v>
      </c>
      <c r="U207" s="44">
        <f t="shared" si="13"/>
        <v>2.0000000000000002E-5</v>
      </c>
      <c r="V207" s="44">
        <f t="shared" si="13"/>
        <v>2.0000000000000002E-5</v>
      </c>
      <c r="W207" s="44">
        <f t="shared" si="13"/>
        <v>2.0000000000000002E-5</v>
      </c>
      <c r="X207" s="44">
        <f t="shared" si="13"/>
        <v>2.0000000000000002E-5</v>
      </c>
      <c r="Y207" s="44">
        <f t="shared" si="13"/>
        <v>2.0000000000000002E-5</v>
      </c>
      <c r="Z207" s="44">
        <f t="shared" si="13"/>
        <v>2.0000000000000002E-5</v>
      </c>
      <c r="AA207" s="44">
        <f t="shared" si="13"/>
        <v>2.0000000000000002E-5</v>
      </c>
      <c r="AB207"/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 s="44">
        <f t="shared" si="13"/>
        <v>2.0000000000000002E-5</v>
      </c>
      <c r="AH207" s="44">
        <f t="shared" si="13"/>
        <v>2.0000000000000002E-5</v>
      </c>
      <c r="AI207" s="44">
        <f t="shared" si="13"/>
        <v>2.0000000000000002E-5</v>
      </c>
      <c r="AJ207"/>
      <c r="AK207" s="44">
        <f t="shared" si="13"/>
        <v>2.0000000000000002E-5</v>
      </c>
      <c r="AL207" s="44">
        <f t="shared" si="13"/>
        <v>2.0000000000000002E-5</v>
      </c>
      <c r="AM207" s="44">
        <f t="shared" si="13"/>
        <v>2.0000000000000002E-5</v>
      </c>
      <c r="AN207" s="44">
        <f t="shared" si="13"/>
        <v>2.0000000000000002E-5</v>
      </c>
      <c r="AO207"/>
      <c r="AP207" s="44">
        <f t="shared" si="13"/>
        <v>2.0000000000000002E-5</v>
      </c>
      <c r="AQ207"/>
      <c r="AR207"/>
      <c r="AS207" s="44">
        <f t="shared" si="13"/>
        <v>2.0000000000000002E-5</v>
      </c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L208" s="44">
        <v>0.3</v>
      </c>
      <c r="M208" s="44">
        <v>0.3</v>
      </c>
      <c r="N208" s="44">
        <v>0.3</v>
      </c>
      <c r="Q208" s="44">
        <v>0.3</v>
      </c>
      <c r="R208" s="44">
        <v>0.3</v>
      </c>
      <c r="S208" s="44">
        <v>0.3</v>
      </c>
      <c r="T208" s="44">
        <v>0.3</v>
      </c>
      <c r="U208" s="44">
        <v>0.3</v>
      </c>
      <c r="V208" s="44">
        <v>0.3</v>
      </c>
      <c r="W208" s="44">
        <v>0.3</v>
      </c>
      <c r="X208" s="44">
        <v>0.3</v>
      </c>
      <c r="Y208" s="44">
        <v>0.3</v>
      </c>
      <c r="Z208" s="44">
        <v>0.3</v>
      </c>
      <c r="AA208" s="44">
        <v>0.3</v>
      </c>
      <c r="AB208"/>
      <c r="AC208" s="44">
        <v>0.3</v>
      </c>
      <c r="AD208" s="44">
        <v>0.3</v>
      </c>
      <c r="AE208" s="44">
        <v>0.3</v>
      </c>
      <c r="AF208" s="44">
        <v>0.3</v>
      </c>
      <c r="AG208" s="44">
        <v>0.15</v>
      </c>
      <c r="AH208" s="44">
        <v>0.15</v>
      </c>
      <c r="AI208" s="44">
        <v>0.15</v>
      </c>
      <c r="AJ208"/>
      <c r="AK208" s="44">
        <v>0.15</v>
      </c>
      <c r="AL208" s="44">
        <v>0.15</v>
      </c>
      <c r="AM208" s="44">
        <v>0.15</v>
      </c>
      <c r="AN208" s="44">
        <v>0.15</v>
      </c>
      <c r="AO208"/>
      <c r="AP208" s="44">
        <v>0.15</v>
      </c>
      <c r="AQ208"/>
      <c r="AR208"/>
      <c r="AS208" s="44">
        <v>0.3</v>
      </c>
      <c r="AT208" s="51"/>
      <c r="AU208" s="51"/>
      <c r="AV208" s="51"/>
      <c r="AW208" s="51"/>
      <c r="AX208" s="51"/>
      <c r="AY208" s="51"/>
      <c r="AZ208" s="51"/>
      <c r="BA208" s="51"/>
    </row>
    <row r="209" spans="1:53" x14ac:dyDescent="0.2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AS209" si="14">0.00002 / 14</f>
        <v>1.4285714285714286E-6</v>
      </c>
      <c r="I209" s="58"/>
      <c r="J209" s="44">
        <f t="shared" si="14"/>
        <v>1.4285714285714286E-6</v>
      </c>
      <c r="L209" s="44">
        <f t="shared" si="14"/>
        <v>1.4285714285714286E-6</v>
      </c>
      <c r="M209" s="44">
        <v>2E-3</v>
      </c>
      <c r="N209" s="44">
        <f t="shared" si="14"/>
        <v>1.4285714285714286E-6</v>
      </c>
      <c r="Q209" s="44">
        <f t="shared" si="14"/>
        <v>1.4285714285714286E-6</v>
      </c>
      <c r="R209" s="44">
        <f t="shared" si="14"/>
        <v>1.4285714285714286E-6</v>
      </c>
      <c r="S209" s="44">
        <f t="shared" si="14"/>
        <v>1.4285714285714286E-6</v>
      </c>
      <c r="T209" s="44">
        <f t="shared" si="14"/>
        <v>1.4285714285714286E-6</v>
      </c>
      <c r="U209" s="44">
        <f t="shared" si="14"/>
        <v>1.4285714285714286E-6</v>
      </c>
      <c r="V209" s="44">
        <f t="shared" si="14"/>
        <v>1.4285714285714286E-6</v>
      </c>
      <c r="W209" s="44">
        <f t="shared" si="14"/>
        <v>1.4285714285714286E-6</v>
      </c>
      <c r="X209" s="44">
        <f t="shared" si="14"/>
        <v>1.4285714285714286E-6</v>
      </c>
      <c r="Y209" s="44">
        <f t="shared" si="14"/>
        <v>1.4285714285714286E-6</v>
      </c>
      <c r="Z209" s="44">
        <f t="shared" si="14"/>
        <v>1.4285714285714286E-6</v>
      </c>
      <c r="AA209" s="44">
        <f t="shared" si="14"/>
        <v>1.4285714285714286E-6</v>
      </c>
      <c r="AB209"/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 s="44">
        <f t="shared" si="14"/>
        <v>1.4285714285714286E-6</v>
      </c>
      <c r="AH209" s="44">
        <f t="shared" si="14"/>
        <v>1.4285714285714286E-6</v>
      </c>
      <c r="AI209" s="44">
        <f t="shared" si="14"/>
        <v>1.4285714285714286E-6</v>
      </c>
      <c r="AJ209"/>
      <c r="AK209" s="44">
        <f t="shared" si="14"/>
        <v>1.4285714285714286E-6</v>
      </c>
      <c r="AL209" s="44">
        <f t="shared" si="14"/>
        <v>1.4285714285714286E-6</v>
      </c>
      <c r="AM209" s="44">
        <f t="shared" si="14"/>
        <v>1.4285714285714286E-6</v>
      </c>
      <c r="AN209" s="44">
        <f t="shared" si="14"/>
        <v>1.4285714285714286E-6</v>
      </c>
      <c r="AO209"/>
      <c r="AP209" s="44">
        <v>2E-3</v>
      </c>
      <c r="AQ209"/>
      <c r="AR209"/>
      <c r="AS209" s="44">
        <f t="shared" si="14"/>
        <v>1.4285714285714286E-6</v>
      </c>
      <c r="AT209" s="37"/>
      <c r="AU209" s="37"/>
      <c r="AV209" s="37"/>
      <c r="AW209" s="37"/>
      <c r="AX209" s="37"/>
      <c r="AY209" s="37"/>
      <c r="AZ209" s="37"/>
      <c r="BA209" s="37"/>
    </row>
    <row r="210" spans="1:53" x14ac:dyDescent="0.2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L210" s="44" t="s">
        <v>485</v>
      </c>
      <c r="M210" s="44">
        <v>0.1</v>
      </c>
      <c r="N210" s="44" t="s">
        <v>485</v>
      </c>
      <c r="Q210" s="44" t="s">
        <v>485</v>
      </c>
      <c r="R210" s="44" t="s">
        <v>485</v>
      </c>
      <c r="S210" s="44" t="s">
        <v>485</v>
      </c>
      <c r="T210" s="44" t="s">
        <v>485</v>
      </c>
      <c r="U210" s="44" t="s">
        <v>485</v>
      </c>
      <c r="V210" s="44" t="s">
        <v>485</v>
      </c>
      <c r="W210" s="44" t="s">
        <v>485</v>
      </c>
      <c r="X210" s="44" t="s">
        <v>485</v>
      </c>
      <c r="Y210" s="44" t="s">
        <v>485</v>
      </c>
      <c r="Z210" s="44" t="s">
        <v>485</v>
      </c>
      <c r="AA210" s="44" t="s">
        <v>485</v>
      </c>
      <c r="AB210"/>
      <c r="AC210" s="44" t="s">
        <v>485</v>
      </c>
      <c r="AD210" s="44" t="s">
        <v>485</v>
      </c>
      <c r="AE210" s="44" t="s">
        <v>485</v>
      </c>
      <c r="AF210" s="44" t="s">
        <v>485</v>
      </c>
      <c r="AG210" s="44" t="s">
        <v>485</v>
      </c>
      <c r="AH210" s="44" t="s">
        <v>485</v>
      </c>
      <c r="AI210" s="44" t="s">
        <v>485</v>
      </c>
      <c r="AJ210"/>
      <c r="AK210" s="44" t="s">
        <v>485</v>
      </c>
      <c r="AL210" s="44" t="s">
        <v>485</v>
      </c>
      <c r="AM210" s="44" t="s">
        <v>485</v>
      </c>
      <c r="AN210" s="44" t="s">
        <v>485</v>
      </c>
      <c r="AO210"/>
      <c r="AP210" s="44">
        <v>0.1</v>
      </c>
      <c r="AQ210"/>
      <c r="AR210"/>
      <c r="AS210" s="44" t="s">
        <v>485</v>
      </c>
      <c r="AT210" s="37"/>
      <c r="AU210" s="37"/>
      <c r="AV210" s="37"/>
      <c r="AW210" s="37"/>
      <c r="AX210" s="37"/>
      <c r="AY210" s="37"/>
      <c r="AZ210" s="37"/>
      <c r="BA210" s="37"/>
    </row>
    <row r="211" spans="1:53" x14ac:dyDescent="0.2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L211" s="44">
        <v>0</v>
      </c>
      <c r="M211" s="44">
        <v>0.04</v>
      </c>
      <c r="N211" s="44">
        <v>0</v>
      </c>
      <c r="Q211" s="44">
        <v>0</v>
      </c>
      <c r="R211" s="44">
        <v>0</v>
      </c>
      <c r="S211" s="44">
        <v>0</v>
      </c>
      <c r="T211" s="44">
        <v>0</v>
      </c>
      <c r="U211" s="44">
        <v>0</v>
      </c>
      <c r="V211" s="44">
        <v>0</v>
      </c>
      <c r="W211" s="44">
        <v>0</v>
      </c>
      <c r="X211" s="44">
        <v>0</v>
      </c>
      <c r="Y211" s="44">
        <v>0</v>
      </c>
      <c r="Z211" s="44">
        <v>0</v>
      </c>
      <c r="AA211" s="44">
        <v>0</v>
      </c>
      <c r="AB211"/>
      <c r="AC211" s="44">
        <v>0</v>
      </c>
      <c r="AD211" s="44">
        <v>0</v>
      </c>
      <c r="AE211" s="44">
        <v>0</v>
      </c>
      <c r="AF211" s="44">
        <v>0</v>
      </c>
      <c r="AG211" s="44">
        <v>0</v>
      </c>
      <c r="AH211" s="44">
        <v>0</v>
      </c>
      <c r="AI211" s="44">
        <v>0</v>
      </c>
      <c r="AJ211"/>
      <c r="AK211" s="44">
        <v>0</v>
      </c>
      <c r="AL211" s="44">
        <v>0</v>
      </c>
      <c r="AM211" s="44">
        <v>0</v>
      </c>
      <c r="AN211" s="44">
        <v>0</v>
      </c>
      <c r="AO211"/>
      <c r="AP211" s="44">
        <v>0.04</v>
      </c>
      <c r="AQ211"/>
      <c r="AR211"/>
      <c r="AS211" s="44">
        <v>0</v>
      </c>
      <c r="AT211" s="37"/>
      <c r="AU211" s="37"/>
      <c r="AV211" s="37"/>
      <c r="AW211" s="37"/>
      <c r="AX211" s="37"/>
      <c r="AY211" s="37"/>
      <c r="AZ211" s="37"/>
      <c r="BA211" s="37"/>
    </row>
    <row r="212" spans="1:53" x14ac:dyDescent="0.2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L212" s="44">
        <v>1E-3</v>
      </c>
      <c r="M212" s="44">
        <v>1E-3</v>
      </c>
      <c r="N212" s="44">
        <v>1E-3</v>
      </c>
      <c r="Q212" s="44">
        <v>1E-3</v>
      </c>
      <c r="R212" s="44">
        <v>1E-3</v>
      </c>
      <c r="S212" s="44">
        <v>1E-3</v>
      </c>
      <c r="T212" s="44">
        <v>1E-3</v>
      </c>
      <c r="U212" s="44">
        <v>1E-3</v>
      </c>
      <c r="V212" s="44">
        <v>1E-3</v>
      </c>
      <c r="W212" s="44">
        <v>1E-3</v>
      </c>
      <c r="X212" s="44">
        <v>1E-3</v>
      </c>
      <c r="Y212" s="44">
        <v>1E-3</v>
      </c>
      <c r="Z212" s="44">
        <v>1E-3</v>
      </c>
      <c r="AA212" s="44">
        <v>1E-3</v>
      </c>
      <c r="AB212"/>
      <c r="AC212" s="44">
        <v>1E-3</v>
      </c>
      <c r="AD212" s="44">
        <v>1E-3</v>
      </c>
      <c r="AE212" s="44">
        <v>1E-3</v>
      </c>
      <c r="AF212" s="44">
        <v>1E-3</v>
      </c>
      <c r="AG212" s="44">
        <v>1E-3</v>
      </c>
      <c r="AH212" s="44">
        <v>1E-3</v>
      </c>
      <c r="AI212" s="44">
        <v>1E-3</v>
      </c>
      <c r="AJ212"/>
      <c r="AK212" s="44">
        <v>1E-3</v>
      </c>
      <c r="AL212" s="44">
        <v>1E-3</v>
      </c>
      <c r="AM212" s="44">
        <v>1E-3</v>
      </c>
      <c r="AN212" s="44">
        <v>1E-3</v>
      </c>
      <c r="AO212"/>
      <c r="AP212" s="44">
        <v>1E-3</v>
      </c>
      <c r="AQ212"/>
      <c r="AR212"/>
      <c r="AS212" s="44">
        <v>1E-3</v>
      </c>
      <c r="AT212" s="37"/>
      <c r="AU212" s="37"/>
      <c r="AV212" s="37"/>
      <c r="AW212" s="37"/>
      <c r="AX212" s="37"/>
      <c r="AY212" s="37"/>
      <c r="AZ212" s="37"/>
      <c r="BA212" s="37"/>
    </row>
    <row r="213" spans="1:53" x14ac:dyDescent="0.2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AS213" si="15">1250*0.000001/5</f>
        <v>2.5000000000000001E-4</v>
      </c>
      <c r="L213" s="44">
        <f t="shared" si="15"/>
        <v>2.5000000000000001E-4</v>
      </c>
      <c r="M213" s="44">
        <f t="shared" si="15"/>
        <v>2.5000000000000001E-4</v>
      </c>
      <c r="N213" s="44">
        <f t="shared" si="15"/>
        <v>2.5000000000000001E-4</v>
      </c>
      <c r="Q213" s="44">
        <f t="shared" si="15"/>
        <v>2.5000000000000001E-4</v>
      </c>
      <c r="R213" s="44">
        <f t="shared" si="15"/>
        <v>2.5000000000000001E-4</v>
      </c>
      <c r="S213" s="44">
        <f t="shared" si="15"/>
        <v>2.5000000000000001E-4</v>
      </c>
      <c r="T213" s="44">
        <f t="shared" si="15"/>
        <v>2.5000000000000001E-4</v>
      </c>
      <c r="U213" s="44">
        <f t="shared" si="15"/>
        <v>2.5000000000000001E-4</v>
      </c>
      <c r="V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Y213" s="44">
        <f t="shared" si="15"/>
        <v>2.5000000000000001E-4</v>
      </c>
      <c r="Z213" s="44">
        <f t="shared" si="15"/>
        <v>2.5000000000000001E-4</v>
      </c>
      <c r="AA213" s="44">
        <f t="shared" si="15"/>
        <v>2.5000000000000001E-4</v>
      </c>
      <c r="AB213"/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 s="44">
        <f t="shared" si="15"/>
        <v>2.5000000000000001E-4</v>
      </c>
      <c r="AH213" s="44">
        <f t="shared" si="15"/>
        <v>2.5000000000000001E-4</v>
      </c>
      <c r="AI213" s="44">
        <f t="shared" si="15"/>
        <v>2.5000000000000001E-4</v>
      </c>
      <c r="AJ213"/>
      <c r="AK213" s="44">
        <f t="shared" si="15"/>
        <v>2.5000000000000001E-4</v>
      </c>
      <c r="AL213" s="44">
        <f t="shared" si="15"/>
        <v>2.5000000000000001E-4</v>
      </c>
      <c r="AM213" s="44">
        <f t="shared" si="15"/>
        <v>2.5000000000000001E-4</v>
      </c>
      <c r="AN213" s="44">
        <f t="shared" si="15"/>
        <v>2.5000000000000001E-4</v>
      </c>
      <c r="AO213"/>
      <c r="AP213" s="44">
        <f t="shared" si="15"/>
        <v>2.5000000000000001E-4</v>
      </c>
      <c r="AQ213"/>
      <c r="AR213"/>
      <c r="AS213" s="44">
        <f t="shared" si="15"/>
        <v>2.5000000000000001E-4</v>
      </c>
      <c r="AT213" s="51"/>
      <c r="AU213" s="51"/>
      <c r="AV213" s="51"/>
      <c r="AW213" s="51"/>
      <c r="AX213" s="51"/>
      <c r="AY213" s="51"/>
      <c r="AZ213" s="51"/>
      <c r="BA213" s="51"/>
    </row>
    <row r="214" spans="1:53" x14ac:dyDescent="0.2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L214" s="44">
        <v>2.0000000000000001E-4</v>
      </c>
      <c r="M214" s="44">
        <v>2.0000000000000001E-4</v>
      </c>
      <c r="N214" s="44">
        <v>2.0000000000000001E-4</v>
      </c>
      <c r="O214" s="1">
        <f>44.4365413894298/21.9053373</f>
        <v>2.0285714290019081</v>
      </c>
      <c r="Q214" s="44">
        <v>2.0000000000000001E-4</v>
      </c>
      <c r="R214" s="44">
        <v>2.0000000000000001E-4</v>
      </c>
      <c r="S214" s="44">
        <v>2.0000000000000001E-4</v>
      </c>
      <c r="T214" s="44">
        <v>2.0000000000000001E-4</v>
      </c>
      <c r="U214" s="44">
        <v>2.0000000000000001E-4</v>
      </c>
      <c r="V214" s="44">
        <v>2.0000000000000001E-4</v>
      </c>
      <c r="W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/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 s="44">
        <v>2.0000000000000001E-4</v>
      </c>
      <c r="AH214" s="44">
        <v>2.0000000000000001E-4</v>
      </c>
      <c r="AI214" s="44">
        <v>2.0000000000000001E-4</v>
      </c>
      <c r="AJ214"/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/>
      <c r="AP214" s="44">
        <v>2.0000000000000001E-4</v>
      </c>
      <c r="AQ214"/>
      <c r="AR214"/>
      <c r="AS214" s="44">
        <v>2.0000000000000001E-4</v>
      </c>
      <c r="AT214" s="51"/>
      <c r="AU214" s="51"/>
      <c r="AV214" s="51"/>
      <c r="AW214" s="51"/>
      <c r="AX214" s="51"/>
      <c r="AY214" s="51"/>
      <c r="AZ214" s="51"/>
      <c r="BA214" s="51"/>
    </row>
    <row r="215" spans="1:53" x14ac:dyDescent="0.2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>0.0000000000025/100/10</f>
        <v>2.4999999999999996E-15</v>
      </c>
      <c r="K215" s="1" t="s">
        <v>605</v>
      </c>
      <c r="L215" s="44">
        <v>2.4999999999999999E-13</v>
      </c>
      <c r="M215" s="44">
        <v>2.4999999999999999E-13</v>
      </c>
      <c r="N215" s="44">
        <v>2.4999999999999999E-13</v>
      </c>
      <c r="Q215" s="44">
        <v>2.4999999999999999E-13</v>
      </c>
      <c r="R215" s="44">
        <v>2.4999999999999999E-13</v>
      </c>
      <c r="S215" s="44">
        <v>2.4999999999999999E-13</v>
      </c>
      <c r="T215" s="44">
        <v>2.4999999999999999E-13</v>
      </c>
      <c r="U215" s="44">
        <v>2.4999999999999999E-13</v>
      </c>
      <c r="V215" s="44">
        <v>2.4999999999999999E-13</v>
      </c>
      <c r="W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/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 s="44">
        <v>2.4999999999999999E-13</v>
      </c>
      <c r="AH215" s="44">
        <v>2.4999999999999999E-13</v>
      </c>
      <c r="AI215" s="44">
        <v>2.4999999999999999E-13</v>
      </c>
      <c r="AJ215"/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/>
      <c r="AP215" s="44">
        <v>2.4999999999999999E-13</v>
      </c>
      <c r="AQ215"/>
      <c r="AR215"/>
      <c r="AS215" s="44">
        <v>2.4999999999999999E-13</v>
      </c>
      <c r="AT215" s="51"/>
      <c r="AU215" s="51"/>
      <c r="AV215" s="51"/>
      <c r="AW215" s="51"/>
      <c r="AX215" s="51"/>
      <c r="AY215" s="51"/>
      <c r="AZ215" s="51"/>
      <c r="BA215" s="51"/>
    </row>
    <row r="216" spans="1:53" x14ac:dyDescent="0.25">
      <c r="A216" s="2" t="s">
        <v>505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0.00000000005*2 / 10 / 2</f>
        <v>5.0000000000000005E-12</v>
      </c>
      <c r="L216" s="44">
        <f t="shared" ref="L216:AP216" si="16">0.00000012*100</f>
        <v>1.1999999999999999E-5</v>
      </c>
      <c r="M216" s="44">
        <f t="shared" si="16"/>
        <v>1.1999999999999999E-5</v>
      </c>
      <c r="N216" s="44">
        <f t="shared" si="16"/>
        <v>1.1999999999999999E-5</v>
      </c>
      <c r="Q216" s="44">
        <f t="shared" si="16"/>
        <v>1.1999999999999999E-5</v>
      </c>
      <c r="R216" s="44">
        <f t="shared" si="16"/>
        <v>1.1999999999999999E-5</v>
      </c>
      <c r="S216" s="44">
        <f t="shared" si="16"/>
        <v>1.1999999999999999E-5</v>
      </c>
      <c r="T216" s="44">
        <f t="shared" si="16"/>
        <v>1.1999999999999999E-5</v>
      </c>
      <c r="U216" s="44">
        <f t="shared" si="16"/>
        <v>1.1999999999999999E-5</v>
      </c>
      <c r="V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/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 s="44">
        <f t="shared" si="16"/>
        <v>1.1999999999999999E-5</v>
      </c>
      <c r="AG216" s="44">
        <f t="shared" si="16"/>
        <v>1.1999999999999999E-5</v>
      </c>
      <c r="AH216" s="44">
        <f t="shared" si="16"/>
        <v>1.1999999999999999E-5</v>
      </c>
      <c r="AI216" s="44">
        <f t="shared" si="16"/>
        <v>1.1999999999999999E-5</v>
      </c>
      <c r="AJ216"/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 s="44">
        <f t="shared" si="16"/>
        <v>1.1999999999999999E-5</v>
      </c>
      <c r="AO216"/>
      <c r="AP216" s="44">
        <f t="shared" si="16"/>
        <v>1.1999999999999999E-5</v>
      </c>
      <c r="AQ216"/>
      <c r="AR216"/>
      <c r="AS216" s="44">
        <f>0.00000012*100</f>
        <v>1.1999999999999999E-5</v>
      </c>
      <c r="AT216" s="51"/>
      <c r="AU216" s="51"/>
      <c r="AV216" s="51"/>
      <c r="AW216" s="51"/>
      <c r="AX216" s="51"/>
      <c r="AY216" s="51"/>
      <c r="AZ216" s="51"/>
      <c r="BA216" s="51"/>
    </row>
    <row r="217" spans="1:53" x14ac:dyDescent="0.25">
      <c r="A217" s="2" t="s">
        <v>573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511</v>
      </c>
      <c r="G217" s="44"/>
      <c r="I217" s="58"/>
      <c r="J217" s="44">
        <f>0</f>
        <v>0</v>
      </c>
      <c r="L217" s="44"/>
      <c r="M217" s="44"/>
      <c r="N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/>
      <c r="AC217" s="44"/>
      <c r="AD217" s="44"/>
      <c r="AE217" s="44"/>
      <c r="AF217" s="44"/>
      <c r="AG217" s="44"/>
      <c r="AH217" s="44"/>
      <c r="AI217" s="44"/>
      <c r="AJ217"/>
      <c r="AK217" s="44"/>
      <c r="AL217" s="44"/>
      <c r="AM217" s="44"/>
      <c r="AN217" s="44"/>
      <c r="AO217"/>
      <c r="AP217" s="44"/>
      <c r="AQ217"/>
      <c r="AR217"/>
      <c r="AS217" s="44"/>
      <c r="AT217" s="51"/>
      <c r="AU217" s="51"/>
      <c r="AV217" s="51"/>
      <c r="AW217" s="51"/>
      <c r="AX217" s="51"/>
      <c r="AY217" s="51"/>
      <c r="AZ217" s="51"/>
      <c r="BA217" s="51"/>
    </row>
    <row r="218" spans="1:53" x14ac:dyDescent="0.25">
      <c r="A218" s="2" t="s">
        <v>574</v>
      </c>
      <c r="B218" s="3" t="s">
        <v>473</v>
      </c>
      <c r="C218" s="3" t="s">
        <v>483</v>
      </c>
      <c r="D218" s="3" t="s">
        <v>521</v>
      </c>
      <c r="E218" s="50" t="s">
        <v>577</v>
      </c>
      <c r="F218" s="50" t="s">
        <v>487</v>
      </c>
      <c r="G218" s="44"/>
      <c r="I218" s="58"/>
      <c r="J218" s="44">
        <f>100</f>
        <v>100</v>
      </c>
      <c r="L218" s="44"/>
      <c r="M218" s="44"/>
      <c r="N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/>
      <c r="AC218" s="44"/>
      <c r="AD218" s="44"/>
      <c r="AE218" s="44"/>
      <c r="AF218" s="44"/>
      <c r="AG218" s="44"/>
      <c r="AH218" s="44"/>
      <c r="AI218" s="44"/>
      <c r="AJ218"/>
      <c r="AK218" s="44"/>
      <c r="AL218" s="44"/>
      <c r="AM218" s="44"/>
      <c r="AN218" s="44"/>
      <c r="AO218"/>
      <c r="AP218" s="44"/>
      <c r="AQ218"/>
      <c r="AR218"/>
      <c r="AS218" s="44"/>
      <c r="AT218" s="51"/>
      <c r="AU218" s="51"/>
      <c r="AV218" s="51"/>
      <c r="AW218" s="51"/>
      <c r="AX218" s="51"/>
      <c r="AY218" s="51"/>
      <c r="AZ218" s="51"/>
      <c r="BA218" s="51"/>
    </row>
    <row r="219" spans="1:53" x14ac:dyDescent="0.25">
      <c r="A219" s="2" t="s">
        <v>591</v>
      </c>
      <c r="B219" s="3" t="s">
        <v>473</v>
      </c>
      <c r="C219" s="3" t="s">
        <v>483</v>
      </c>
      <c r="D219" s="3" t="s">
        <v>521</v>
      </c>
      <c r="E219" s="50" t="s">
        <v>507</v>
      </c>
      <c r="F219" s="50" t="s">
        <v>508</v>
      </c>
      <c r="G219" s="44">
        <v>9.9999999999999995E-8</v>
      </c>
      <c r="I219" s="44">
        <f>0.000001 / 10000 / 4 / 10</f>
        <v>2.4999999999999998E-12</v>
      </c>
      <c r="J219" s="44">
        <f>0.000001 / 10000 *2 * 3</f>
        <v>6E-10</v>
      </c>
      <c r="K219" s="1" t="s">
        <v>596</v>
      </c>
      <c r="L219" s="44">
        <v>9.9999999999999995E-7</v>
      </c>
      <c r="M219" s="44">
        <v>9.9999999999999995E-7</v>
      </c>
      <c r="N219" s="44">
        <v>9.9999999999999995E-7</v>
      </c>
      <c r="Q219" s="44">
        <v>9.9999999999999995E-7</v>
      </c>
      <c r="R219" s="44">
        <v>9.9999999999999995E-7</v>
      </c>
      <c r="S219" s="44">
        <v>9.9999999999999995E-7</v>
      </c>
      <c r="T219" s="44">
        <v>9.9999999999999995E-7</v>
      </c>
      <c r="U219" s="44">
        <v>9.9999999999999995E-7</v>
      </c>
      <c r="V219" s="44">
        <v>9.9999999999999995E-7</v>
      </c>
      <c r="W219" s="44">
        <v>9.9999999999999995E-7</v>
      </c>
      <c r="X219" s="44">
        <v>9.9999999999999995E-7</v>
      </c>
      <c r="Y219" s="44">
        <v>9.9999999999999995E-7</v>
      </c>
      <c r="Z219" s="44">
        <v>9.9999999999999995E-7</v>
      </c>
      <c r="AA219" s="44">
        <v>9.9999999999999995E-7</v>
      </c>
      <c r="AB219"/>
      <c r="AC219" s="44">
        <v>9.9999999999999995E-7</v>
      </c>
      <c r="AD219" s="44">
        <v>9.9999999999999995E-7</v>
      </c>
      <c r="AE219" s="44">
        <v>9.9999999999999995E-7</v>
      </c>
      <c r="AF219" s="44">
        <v>9.9999999999999995E-7</v>
      </c>
      <c r="AG219" s="44">
        <v>9.9999999999999995E-7</v>
      </c>
      <c r="AH219" s="44">
        <v>9.9999999999999995E-7</v>
      </c>
      <c r="AI219" s="44">
        <v>9.9999999999999995E-7</v>
      </c>
      <c r="AJ219"/>
      <c r="AK219" s="44">
        <v>9.9999999999999995E-7</v>
      </c>
      <c r="AL219" s="44">
        <v>9.9999999999999995E-7</v>
      </c>
      <c r="AM219" s="44">
        <v>9.9999999999999995E-7</v>
      </c>
      <c r="AN219" s="44">
        <v>9.9999999999999995E-7</v>
      </c>
      <c r="AO219"/>
      <c r="AP219" s="44">
        <v>9.9999999999999995E-7</v>
      </c>
      <c r="AQ219"/>
      <c r="AR219"/>
      <c r="AS219" s="44">
        <v>9.9999999999999995E-7</v>
      </c>
      <c r="AT219" s="51"/>
      <c r="AU219" s="51"/>
      <c r="AV219" s="51"/>
      <c r="AW219" s="51"/>
      <c r="AX219" s="51"/>
      <c r="AY219" s="51"/>
      <c r="AZ219" s="51"/>
      <c r="BA219" s="51"/>
    </row>
    <row r="220" spans="1:53" x14ac:dyDescent="0.25">
      <c r="A220" s="2" t="s">
        <v>592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/ 4 / 10</f>
        <v>2.4999999999999998E-12</v>
      </c>
      <c r="K220" s="1" t="s">
        <v>593</v>
      </c>
      <c r="L220" s="44">
        <v>9.9999999999999995E-7</v>
      </c>
      <c r="M220" s="44">
        <v>9.9999999999999995E-7</v>
      </c>
      <c r="N220" s="44">
        <v>9.9999999999999995E-7</v>
      </c>
      <c r="Q220" s="44">
        <v>9.9999999999999995E-7</v>
      </c>
      <c r="R220" s="44">
        <v>9.9999999999999995E-7</v>
      </c>
      <c r="S220" s="44">
        <v>9.9999999999999995E-7</v>
      </c>
      <c r="T220" s="44">
        <v>9.9999999999999995E-7</v>
      </c>
      <c r="U220" s="44">
        <v>9.9999999999999995E-7</v>
      </c>
      <c r="V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/>
      <c r="AC220" s="44">
        <v>9.9999999999999995E-7</v>
      </c>
      <c r="AD220" s="44">
        <v>9.9999999999999995E-7</v>
      </c>
      <c r="AE220" s="44">
        <v>9.9999999999999995E-7</v>
      </c>
      <c r="AF220" s="44">
        <v>9.9999999999999995E-7</v>
      </c>
      <c r="AG220" s="44">
        <v>9.9999999999999995E-7</v>
      </c>
      <c r="AH220" s="44">
        <v>9.9999999999999995E-7</v>
      </c>
      <c r="AI220" s="44">
        <v>9.9999999999999995E-7</v>
      </c>
      <c r="AJ220"/>
      <c r="AK220" s="44">
        <v>9.9999999999999995E-7</v>
      </c>
      <c r="AL220" s="44">
        <v>9.9999999999999995E-7</v>
      </c>
      <c r="AM220" s="44">
        <v>9.9999999999999995E-7</v>
      </c>
      <c r="AN220" s="44">
        <v>9.9999999999999995E-7</v>
      </c>
      <c r="AO220"/>
      <c r="AP220" s="44">
        <v>9.9999999999999995E-7</v>
      </c>
      <c r="AQ220"/>
      <c r="AR220"/>
      <c r="AS220" s="44">
        <v>9.9999999999999995E-7</v>
      </c>
      <c r="AT220" s="51"/>
      <c r="AU220" s="51"/>
      <c r="AV220" s="51"/>
      <c r="AW220" s="51"/>
      <c r="AX220" s="51"/>
      <c r="AY220" s="51"/>
      <c r="AZ220" s="51"/>
      <c r="BA220" s="51"/>
    </row>
    <row r="221" spans="1:53" x14ac:dyDescent="0.25">
      <c r="A221" s="2" t="s">
        <v>509</v>
      </c>
      <c r="B221" s="3" t="s">
        <v>473</v>
      </c>
      <c r="C221" s="3" t="s">
        <v>483</v>
      </c>
      <c r="D221" s="3" t="s">
        <v>521</v>
      </c>
      <c r="E221" s="50" t="s">
        <v>510</v>
      </c>
      <c r="F221" s="50" t="s">
        <v>511</v>
      </c>
      <c r="G221" s="44">
        <f>2*0.00001</f>
        <v>2.0000000000000002E-5</v>
      </c>
      <c r="I221" s="44">
        <f>0.00001</f>
        <v>1.0000000000000001E-5</v>
      </c>
      <c r="J221" s="44">
        <f>0.00001 / 10/2/4</f>
        <v>1.2500000000000002E-7</v>
      </c>
      <c r="K221" s="1" t="s">
        <v>597</v>
      </c>
      <c r="L221" s="44">
        <v>2E-8</v>
      </c>
      <c r="M221" s="44">
        <v>2E-8</v>
      </c>
      <c r="N221" s="44">
        <v>2E-8</v>
      </c>
      <c r="Q221" s="44">
        <v>5.0000000000000002E-5</v>
      </c>
      <c r="R221" s="44">
        <v>5.0000000000000002E-5</v>
      </c>
      <c r="S221" s="44">
        <v>5.0000000000000002E-5</v>
      </c>
      <c r="T221" s="44">
        <v>5.0000000000000002E-5</v>
      </c>
      <c r="U221" s="44">
        <v>2.0000000000000002E-5</v>
      </c>
      <c r="V221" s="44">
        <v>1.0000000000000001E-5</v>
      </c>
      <c r="W221" s="44">
        <v>5.0000000000000004E-6</v>
      </c>
      <c r="X221" s="44">
        <v>1.9999999999999999E-6</v>
      </c>
      <c r="Y221" s="44">
        <v>9.9999999999999995E-7</v>
      </c>
      <c r="Z221" s="44">
        <v>4.9999999999999998E-7</v>
      </c>
      <c r="AA221" s="44">
        <v>1.9999999999999999E-7</v>
      </c>
      <c r="AB221"/>
      <c r="AC221" s="44">
        <v>2.0000000000000002E-5</v>
      </c>
      <c r="AD221" s="44">
        <v>1.0000000000000001E-5</v>
      </c>
      <c r="AE221" s="44">
        <v>5.0000000000000004E-6</v>
      </c>
      <c r="AF221" s="44">
        <v>1.9999999999999999E-6</v>
      </c>
      <c r="AG221" s="44">
        <v>9.9999999999999995E-7</v>
      </c>
      <c r="AH221" s="44">
        <v>4.9999999999999998E-7</v>
      </c>
      <c r="AI221" s="44">
        <v>1.9999999999999999E-7</v>
      </c>
      <c r="AJ221"/>
      <c r="AK221" s="44">
        <v>2E-8</v>
      </c>
      <c r="AL221" s="44">
        <v>2E-8</v>
      </c>
      <c r="AM221" s="44">
        <v>2.0000000000000001E-9</v>
      </c>
      <c r="AN221" s="44">
        <v>2.0000000000000001E-9</v>
      </c>
      <c r="AO221"/>
      <c r="AP221" s="44">
        <v>9.9999999999999995E-7</v>
      </c>
      <c r="AQ221"/>
      <c r="AR221"/>
      <c r="AS221" s="44">
        <v>5.0000000000000002E-5</v>
      </c>
      <c r="AT221" s="51"/>
      <c r="AU221" s="51"/>
      <c r="AV221" s="51"/>
      <c r="AW221" s="51"/>
      <c r="AX221" s="51"/>
      <c r="AY221" s="51"/>
      <c r="AZ221" s="51"/>
      <c r="BA221" s="51"/>
    </row>
    <row r="222" spans="1:53" x14ac:dyDescent="0.25">
      <c r="A222" s="2" t="s">
        <v>571</v>
      </c>
      <c r="B222" s="3" t="s">
        <v>473</v>
      </c>
      <c r="C222" s="3" t="s">
        <v>483</v>
      </c>
      <c r="D222" s="3" t="s">
        <v>521</v>
      </c>
      <c r="E222" s="50" t="s">
        <v>572</v>
      </c>
      <c r="F222" s="50" t="s">
        <v>511</v>
      </c>
      <c r="G222" s="44"/>
      <c r="I222" s="44">
        <f xml:space="preserve"> 0.001 * 10</f>
        <v>0.01</v>
      </c>
      <c r="J222" s="44">
        <f xml:space="preserve"> 0.001 / 10</f>
        <v>1E-4</v>
      </c>
      <c r="K222" s="1" t="s">
        <v>594</v>
      </c>
      <c r="L222" s="44"/>
      <c r="M222" s="44"/>
      <c r="N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/>
      <c r="AC222" s="44"/>
      <c r="AD222" s="44"/>
      <c r="AE222" s="44"/>
      <c r="AF222" s="44"/>
      <c r="AG222" s="44"/>
      <c r="AH222" s="44"/>
      <c r="AI222" s="44"/>
      <c r="AJ222"/>
      <c r="AK222" s="44"/>
      <c r="AL222" s="44"/>
      <c r="AM222" s="44"/>
      <c r="AN222" s="44"/>
      <c r="AO222"/>
      <c r="AP222" s="44"/>
      <c r="AQ222"/>
      <c r="AR222"/>
      <c r="AS222" s="44"/>
      <c r="AT222" s="51"/>
      <c r="AU222" s="51"/>
      <c r="AV222" s="51"/>
      <c r="AW222" s="51"/>
      <c r="AX222" s="51"/>
      <c r="AY222" s="51"/>
      <c r="AZ222" s="51"/>
      <c r="BA222" s="51"/>
    </row>
    <row r="223" spans="1:53" x14ac:dyDescent="0.25">
      <c r="A223" s="2" t="s">
        <v>575</v>
      </c>
      <c r="B223" s="3" t="s">
        <v>473</v>
      </c>
      <c r="C223" s="3" t="s">
        <v>483</v>
      </c>
      <c r="D223" s="3" t="s">
        <v>521</v>
      </c>
      <c r="E223" s="50" t="s">
        <v>576</v>
      </c>
      <c r="F223" s="50" t="s">
        <v>511</v>
      </c>
      <c r="G223" s="56">
        <v>1.0000000000000001E-5</v>
      </c>
      <c r="I223" s="44">
        <f>0.00001 /10/4/2</f>
        <v>1.2500000000000002E-7</v>
      </c>
      <c r="J223" s="44">
        <f>0.00001 /5 /2/4</f>
        <v>2.5000000000000004E-7</v>
      </c>
      <c r="K223" s="1" t="s">
        <v>598</v>
      </c>
      <c r="L223" s="44"/>
      <c r="M223" s="44"/>
      <c r="N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/>
      <c r="AC223" s="44"/>
      <c r="AD223" s="44"/>
      <c r="AE223" s="44"/>
      <c r="AF223" s="44"/>
      <c r="AG223" s="44"/>
      <c r="AH223" s="44"/>
      <c r="AI223" s="44"/>
      <c r="AJ223"/>
      <c r="AK223" s="44"/>
      <c r="AL223" s="44"/>
      <c r="AM223" s="44"/>
      <c r="AN223" s="44"/>
      <c r="AO223"/>
      <c r="AP223" s="44"/>
      <c r="AQ223"/>
      <c r="AR223"/>
      <c r="AS223" s="44"/>
      <c r="AT223" s="51"/>
      <c r="AU223" s="51"/>
      <c r="AV223" s="51"/>
      <c r="AW223" s="51"/>
      <c r="AX223" s="51"/>
      <c r="AY223" s="51"/>
      <c r="AZ223" s="51"/>
      <c r="BA223" s="51"/>
    </row>
    <row r="224" spans="1:53" ht="14.25" customHeight="1" x14ac:dyDescent="0.25">
      <c r="A224" s="53" t="s">
        <v>517</v>
      </c>
      <c r="B224" s="3" t="s">
        <v>473</v>
      </c>
      <c r="C224" s="3" t="s">
        <v>518</v>
      </c>
      <c r="D224" s="3" t="s">
        <v>521</v>
      </c>
      <c r="E224" s="50" t="s">
        <v>519</v>
      </c>
      <c r="F224" s="50" t="s">
        <v>520</v>
      </c>
      <c r="G224" s="44">
        <v>9.9999999999999995E-8</v>
      </c>
      <c r="I224" s="58"/>
      <c r="J224" s="44">
        <f>0.0000001</f>
        <v>9.9999999999999995E-8</v>
      </c>
      <c r="L224" s="44">
        <v>5.0000000000000003E-10</v>
      </c>
      <c r="M224" s="44">
        <v>5.0000000000000003E-10</v>
      </c>
      <c r="N224" s="44">
        <v>9.9999999999999995E-8</v>
      </c>
      <c r="Q224" s="44">
        <v>4.9999999999999998E-8</v>
      </c>
      <c r="R224" s="44">
        <v>2E-8</v>
      </c>
      <c r="S224" s="44">
        <v>1E-8</v>
      </c>
      <c r="T224" s="44">
        <v>1.0000000000000001E-9</v>
      </c>
      <c r="U224" s="44">
        <v>1E-8</v>
      </c>
      <c r="V224" s="44">
        <v>1E-8</v>
      </c>
      <c r="W224" s="44">
        <v>1E-8</v>
      </c>
      <c r="X224" s="44">
        <v>1E-8</v>
      </c>
      <c r="Y224" s="44">
        <v>1E-8</v>
      </c>
      <c r="Z224" s="44">
        <v>1E-8</v>
      </c>
      <c r="AA224" s="44">
        <v>1E-8</v>
      </c>
      <c r="AB224"/>
      <c r="AC224" s="44">
        <v>1.0000000000000001E-9</v>
      </c>
      <c r="AD224" s="44">
        <v>1.0000000000000001E-9</v>
      </c>
      <c r="AE224" s="44">
        <v>1.0000000000000001E-9</v>
      </c>
      <c r="AF224" s="44">
        <v>1.0000000000000001E-9</v>
      </c>
      <c r="AG224" s="44">
        <v>1.0000000000000001E-9</v>
      </c>
      <c r="AH224" s="44">
        <v>1.0000000000000001E-9</v>
      </c>
      <c r="AI224" s="44">
        <v>1.0000000000000001E-9</v>
      </c>
      <c r="AJ224"/>
      <c r="AK224" s="44">
        <v>1E-8</v>
      </c>
      <c r="AL224" s="44">
        <v>1.0000000000000001E-9</v>
      </c>
      <c r="AM224" s="44">
        <v>1E-8</v>
      </c>
      <c r="AN224" s="44">
        <v>1.0000000000000001E-9</v>
      </c>
      <c r="AO224"/>
      <c r="AP224" s="44">
        <v>1.0000000000000001E-9</v>
      </c>
      <c r="AQ224"/>
      <c r="AR224"/>
      <c r="AS224" s="44">
        <v>9.9999999999999995E-8</v>
      </c>
    </row>
    <row r="225" spans="1:68" x14ac:dyDescent="0.25">
      <c r="A225" s="2" t="s">
        <v>523</v>
      </c>
      <c r="B225" s="3" t="s">
        <v>473</v>
      </c>
      <c r="C225" s="3" t="s">
        <v>483</v>
      </c>
      <c r="D225" s="3" t="s">
        <v>521</v>
      </c>
      <c r="E225" s="50" t="s">
        <v>524</v>
      </c>
      <c r="F225" s="50" t="s">
        <v>487</v>
      </c>
      <c r="G225" s="44">
        <v>0.2</v>
      </c>
      <c r="I225" s="58"/>
      <c r="J225" s="44">
        <v>0.2</v>
      </c>
      <c r="L225" s="44">
        <v>0.2</v>
      </c>
      <c r="M225" s="44">
        <v>0.2</v>
      </c>
      <c r="N225" s="44">
        <v>0.2</v>
      </c>
      <c r="Q225" s="44">
        <v>0.2</v>
      </c>
      <c r="R225" s="44">
        <v>0.2</v>
      </c>
      <c r="S225" s="44">
        <v>0.2</v>
      </c>
      <c r="T225" s="44">
        <v>0.2</v>
      </c>
      <c r="U225" s="44">
        <v>0.2</v>
      </c>
      <c r="V225" s="44">
        <v>0.2</v>
      </c>
      <c r="W225" s="44">
        <v>0.2</v>
      </c>
      <c r="X225" s="44">
        <v>0.2</v>
      </c>
      <c r="Y225" s="44">
        <v>0.2</v>
      </c>
      <c r="Z225" s="44">
        <v>0.2</v>
      </c>
      <c r="AA225" s="44">
        <v>0.2</v>
      </c>
      <c r="AB225"/>
      <c r="AC225" s="44">
        <v>0.2</v>
      </c>
      <c r="AD225" s="44">
        <v>0.2</v>
      </c>
      <c r="AE225" s="44">
        <v>0.2</v>
      </c>
      <c r="AF225" s="44">
        <v>0.2</v>
      </c>
      <c r="AG225" s="44">
        <v>0.2</v>
      </c>
      <c r="AH225" s="44">
        <v>0.2</v>
      </c>
      <c r="AI225" s="44">
        <v>0.2</v>
      </c>
      <c r="AJ225"/>
      <c r="AK225" s="44">
        <v>0.2</v>
      </c>
      <c r="AL225" s="44">
        <v>0.2</v>
      </c>
      <c r="AM225" s="44">
        <v>0.2</v>
      </c>
      <c r="AN225" s="44">
        <v>0.2</v>
      </c>
      <c r="AO225"/>
      <c r="AP225" s="44">
        <v>0.2</v>
      </c>
      <c r="AQ225"/>
      <c r="AR225"/>
      <c r="AS225" s="44">
        <v>0.2</v>
      </c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</row>
    <row r="226" spans="1:68" x14ac:dyDescent="0.25">
      <c r="A226" s="2" t="s">
        <v>525</v>
      </c>
      <c r="B226" s="3" t="s">
        <v>473</v>
      </c>
      <c r="C226" s="3" t="s">
        <v>580</v>
      </c>
      <c r="D226" s="3" t="s">
        <v>581</v>
      </c>
      <c r="E226" s="50" t="s">
        <v>526</v>
      </c>
      <c r="F226" s="50" t="s">
        <v>491</v>
      </c>
      <c r="G226" s="44" t="s">
        <v>485</v>
      </c>
      <c r="I226" s="58"/>
      <c r="J226" s="44" t="s">
        <v>485</v>
      </c>
      <c r="L226" s="44" t="s">
        <v>485</v>
      </c>
      <c r="M226" s="44" t="s">
        <v>485</v>
      </c>
      <c r="N226" s="44" t="s">
        <v>485</v>
      </c>
      <c r="Q226" s="44" t="s">
        <v>485</v>
      </c>
      <c r="R226" s="44" t="s">
        <v>485</v>
      </c>
      <c r="S226" s="44" t="s">
        <v>485</v>
      </c>
      <c r="T226" s="44" t="s">
        <v>485</v>
      </c>
      <c r="U226" s="44" t="s">
        <v>485</v>
      </c>
      <c r="V226" s="44" t="s">
        <v>485</v>
      </c>
      <c r="W226" s="44" t="s">
        <v>485</v>
      </c>
      <c r="X226" s="44" t="s">
        <v>485</v>
      </c>
      <c r="Y226" s="44" t="s">
        <v>485</v>
      </c>
      <c r="Z226" s="44" t="s">
        <v>485</v>
      </c>
      <c r="AA226" s="44" t="s">
        <v>485</v>
      </c>
      <c r="AB226"/>
      <c r="AC226" s="44" t="s">
        <v>485</v>
      </c>
      <c r="AD226" s="44" t="s">
        <v>485</v>
      </c>
      <c r="AE226" s="44" t="s">
        <v>485</v>
      </c>
      <c r="AF226" s="44" t="s">
        <v>485</v>
      </c>
      <c r="AG226" s="44" t="s">
        <v>485</v>
      </c>
      <c r="AH226" s="44" t="s">
        <v>485</v>
      </c>
      <c r="AI226" s="44" t="s">
        <v>485</v>
      </c>
      <c r="AJ226"/>
      <c r="AK226" s="44" t="s">
        <v>485</v>
      </c>
      <c r="AL226" s="44" t="s">
        <v>485</v>
      </c>
      <c r="AM226" s="44" t="s">
        <v>485</v>
      </c>
      <c r="AN226" s="44" t="s">
        <v>485</v>
      </c>
      <c r="AO226"/>
      <c r="AP226" s="44" t="s">
        <v>485</v>
      </c>
      <c r="AQ226"/>
      <c r="AR226"/>
      <c r="AS226" s="44" t="s">
        <v>485</v>
      </c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</row>
    <row r="227" spans="1:68" x14ac:dyDescent="0.25">
      <c r="A227" s="2" t="s">
        <v>527</v>
      </c>
      <c r="B227" s="3" t="s">
        <v>473</v>
      </c>
      <c r="C227" s="3" t="s">
        <v>580</v>
      </c>
      <c r="D227" s="3" t="s">
        <v>581</v>
      </c>
      <c r="E227" s="50" t="s">
        <v>528</v>
      </c>
      <c r="F227" s="50" t="s">
        <v>491</v>
      </c>
      <c r="G227" s="44">
        <f t="shared" ref="G227:AS227" si="17">2*0.1</f>
        <v>0.2</v>
      </c>
      <c r="I227" s="58"/>
      <c r="J227" s="44">
        <f t="shared" si="17"/>
        <v>0.2</v>
      </c>
      <c r="L227" s="44">
        <f t="shared" si="17"/>
        <v>0.2</v>
      </c>
      <c r="M227" s="44">
        <f t="shared" si="17"/>
        <v>0.2</v>
      </c>
      <c r="N227" s="44">
        <f t="shared" si="17"/>
        <v>0.2</v>
      </c>
      <c r="Q227" s="44">
        <f t="shared" si="17"/>
        <v>0.2</v>
      </c>
      <c r="R227" s="44">
        <f t="shared" si="17"/>
        <v>0.2</v>
      </c>
      <c r="S227" s="44">
        <f t="shared" si="17"/>
        <v>0.2</v>
      </c>
      <c r="T227" s="44">
        <f t="shared" si="17"/>
        <v>0.2</v>
      </c>
      <c r="U227" s="44">
        <f t="shared" si="17"/>
        <v>0.2</v>
      </c>
      <c r="V227" s="44">
        <f t="shared" si="17"/>
        <v>0.2</v>
      </c>
      <c r="W227" s="44">
        <f t="shared" si="17"/>
        <v>0.2</v>
      </c>
      <c r="X227" s="44">
        <f t="shared" si="17"/>
        <v>0.2</v>
      </c>
      <c r="Y227" s="44">
        <f t="shared" si="17"/>
        <v>0.2</v>
      </c>
      <c r="Z227" s="44">
        <f t="shared" si="17"/>
        <v>0.2</v>
      </c>
      <c r="AA227" s="44">
        <f t="shared" si="17"/>
        <v>0.2</v>
      </c>
      <c r="AB227"/>
      <c r="AC227" s="44">
        <f t="shared" si="17"/>
        <v>0.2</v>
      </c>
      <c r="AD227" s="44">
        <f t="shared" si="17"/>
        <v>0.2</v>
      </c>
      <c r="AE227" s="44">
        <f t="shared" si="17"/>
        <v>0.2</v>
      </c>
      <c r="AF227" s="44">
        <f t="shared" si="17"/>
        <v>0.2</v>
      </c>
      <c r="AG227" s="44">
        <f t="shared" si="17"/>
        <v>0.2</v>
      </c>
      <c r="AH227" s="44">
        <f t="shared" si="17"/>
        <v>0.2</v>
      </c>
      <c r="AI227" s="44">
        <f t="shared" si="17"/>
        <v>0.2</v>
      </c>
      <c r="AJ227"/>
      <c r="AK227" s="44">
        <f t="shared" si="17"/>
        <v>0.2</v>
      </c>
      <c r="AL227" s="44">
        <f t="shared" si="17"/>
        <v>0.2</v>
      </c>
      <c r="AM227" s="44">
        <f t="shared" si="17"/>
        <v>0.2</v>
      </c>
      <c r="AN227" s="44">
        <f t="shared" si="17"/>
        <v>0.2</v>
      </c>
      <c r="AO227"/>
      <c r="AP227" s="44">
        <f t="shared" si="17"/>
        <v>0.2</v>
      </c>
      <c r="AQ227"/>
      <c r="AR227"/>
      <c r="AS227" s="44">
        <f t="shared" si="17"/>
        <v>0.2</v>
      </c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</row>
    <row r="228" spans="1:68" x14ac:dyDescent="0.25">
      <c r="A228" s="2" t="s">
        <v>529</v>
      </c>
      <c r="B228" s="3" t="s">
        <v>473</v>
      </c>
      <c r="C228" s="3" t="s">
        <v>580</v>
      </c>
      <c r="D228" s="3" t="s">
        <v>581</v>
      </c>
      <c r="E228" s="50" t="s">
        <v>530</v>
      </c>
      <c r="F228" s="50" t="s">
        <v>491</v>
      </c>
      <c r="G228" s="44">
        <v>1E-3</v>
      </c>
      <c r="I228" s="58"/>
      <c r="J228" s="44">
        <v>1E-3</v>
      </c>
      <c r="L228" s="44">
        <v>1E-3</v>
      </c>
      <c r="M228" s="44">
        <v>1E-3</v>
      </c>
      <c r="N228" s="44">
        <v>1E-3</v>
      </c>
      <c r="Q228" s="44">
        <v>1E-3</v>
      </c>
      <c r="R228" s="44">
        <v>1E-3</v>
      </c>
      <c r="S228" s="44">
        <v>1E-3</v>
      </c>
      <c r="T228" s="44">
        <v>1E-3</v>
      </c>
      <c r="U228" s="44">
        <v>1E-3</v>
      </c>
      <c r="V228" s="44">
        <v>1E-3</v>
      </c>
      <c r="W228" s="44">
        <v>1E-3</v>
      </c>
      <c r="X228" s="44">
        <v>1E-3</v>
      </c>
      <c r="Y228" s="44">
        <v>1E-3</v>
      </c>
      <c r="Z228" s="44">
        <v>1E-3</v>
      </c>
      <c r="AA228" s="44">
        <v>1E-3</v>
      </c>
      <c r="AB228"/>
      <c r="AC228" s="44">
        <v>1E-3</v>
      </c>
      <c r="AD228" s="44">
        <v>1E-3</v>
      </c>
      <c r="AE228" s="44">
        <v>1E-3</v>
      </c>
      <c r="AF228" s="44">
        <v>1E-3</v>
      </c>
      <c r="AG228" s="44">
        <v>1E-3</v>
      </c>
      <c r="AH228" s="44">
        <v>1E-3</v>
      </c>
      <c r="AI228" s="44">
        <v>1E-3</v>
      </c>
      <c r="AJ228"/>
      <c r="AK228" s="44">
        <v>1E-3</v>
      </c>
      <c r="AL228" s="44">
        <v>1E-3</v>
      </c>
      <c r="AM228" s="44">
        <v>1E-3</v>
      </c>
      <c r="AN228" s="44">
        <v>1E-3</v>
      </c>
      <c r="AO228"/>
      <c r="AP228" s="44">
        <v>1E-3</v>
      </c>
      <c r="AQ228"/>
      <c r="AR228"/>
      <c r="AS228" s="44">
        <v>1E-3</v>
      </c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</row>
    <row r="229" spans="1:68" x14ac:dyDescent="0.25">
      <c r="A229" s="2" t="s">
        <v>531</v>
      </c>
      <c r="B229" s="3" t="s">
        <v>473</v>
      </c>
      <c r="C229" s="3" t="s">
        <v>483</v>
      </c>
      <c r="D229" s="3" t="s">
        <v>521</v>
      </c>
      <c r="E229" s="50" t="s">
        <v>532</v>
      </c>
      <c r="F229" s="50" t="s">
        <v>561</v>
      </c>
      <c r="G229" s="44">
        <v>1.0000000000000001E-5</v>
      </c>
      <c r="I229" s="58"/>
      <c r="J229" s="44">
        <f>0.00001 / 2</f>
        <v>5.0000000000000004E-6</v>
      </c>
      <c r="L229" s="44">
        <v>1.0000000000000001E-5</v>
      </c>
      <c r="M229" s="44">
        <v>1.0000000000000001E-5</v>
      </c>
      <c r="N229" s="44">
        <v>1.0000000000000001E-5</v>
      </c>
      <c r="Q229" s="44">
        <v>1.0000000000000001E-5</v>
      </c>
      <c r="R229" s="44">
        <v>1.0000000000000001E-5</v>
      </c>
      <c r="S229" s="44">
        <v>1.0000000000000001E-5</v>
      </c>
      <c r="T229" s="44">
        <v>1.0000000000000001E-5</v>
      </c>
      <c r="U229" s="44">
        <v>1.0000000000000001E-5</v>
      </c>
      <c r="V229" s="44">
        <v>1.0000000000000001E-5</v>
      </c>
      <c r="W229" s="44">
        <v>1.0000000000000001E-5</v>
      </c>
      <c r="X229" s="44">
        <v>1.0000000000000001E-5</v>
      </c>
      <c r="Y229" s="44">
        <v>1.0000000000000001E-5</v>
      </c>
      <c r="Z229" s="44">
        <v>1.0000000000000001E-5</v>
      </c>
      <c r="AA229" s="44">
        <v>1.0000000000000001E-5</v>
      </c>
      <c r="AB229"/>
      <c r="AC229" s="44">
        <v>1.0000000000000001E-5</v>
      </c>
      <c r="AD229" s="44">
        <v>1.0000000000000001E-5</v>
      </c>
      <c r="AE229" s="44">
        <v>1.0000000000000001E-5</v>
      </c>
      <c r="AF229" s="44">
        <v>1.0000000000000001E-5</v>
      </c>
      <c r="AG229" s="44">
        <v>1.0000000000000001E-5</v>
      </c>
      <c r="AH229" s="44">
        <v>1.0000000000000001E-5</v>
      </c>
      <c r="AI229" s="44">
        <v>1.0000000000000001E-5</v>
      </c>
      <c r="AJ229"/>
      <c r="AK229" s="44">
        <v>1.0000000000000001E-5</v>
      </c>
      <c r="AL229" s="44">
        <v>1.0000000000000001E-5</v>
      </c>
      <c r="AM229" s="44">
        <v>1.0000000000000001E-5</v>
      </c>
      <c r="AN229" s="44">
        <v>1.0000000000000001E-5</v>
      </c>
      <c r="AO229"/>
      <c r="AP229" s="44">
        <v>1.0000000000000001E-5</v>
      </c>
      <c r="AQ229"/>
      <c r="AR229"/>
      <c r="AS229" s="44">
        <v>1.0000000000000001E-5</v>
      </c>
      <c r="AT229" s="52"/>
      <c r="AU229" s="52"/>
      <c r="AV229" s="52"/>
      <c r="AW229" s="52"/>
      <c r="AX229" s="52"/>
      <c r="AY229" s="52"/>
      <c r="AZ229" s="52"/>
      <c r="BA229" s="52"/>
      <c r="BB229" s="52"/>
      <c r="BC229" s="52"/>
      <c r="BD229" s="52"/>
      <c r="BE229" s="1"/>
      <c r="BF229" s="52"/>
      <c r="BG229" s="52"/>
      <c r="BH229" s="52"/>
      <c r="BI229" s="52"/>
      <c r="BJ229" s="52"/>
      <c r="BK229" s="52"/>
      <c r="BL229" s="52"/>
      <c r="BM229" s="52"/>
      <c r="BN229" s="52"/>
      <c r="BO229" s="52"/>
      <c r="BP229" s="52"/>
    </row>
    <row r="230" spans="1:68" x14ac:dyDescent="0.25">
      <c r="A230" s="2" t="s">
        <v>578</v>
      </c>
      <c r="B230" s="3" t="s">
        <v>473</v>
      </c>
      <c r="C230" s="3" t="s">
        <v>483</v>
      </c>
      <c r="D230" s="3" t="s">
        <v>521</v>
      </c>
      <c r="E230" s="50" t="s">
        <v>579</v>
      </c>
      <c r="F230" s="50" t="s">
        <v>491</v>
      </c>
      <c r="G230" s="57">
        <v>1.0000000000000001E-5</v>
      </c>
      <c r="I230" s="58"/>
      <c r="J230" s="44">
        <f t="shared" ref="J230" si="18">0.000000005 / 5</f>
        <v>1.0000000000000001E-9</v>
      </c>
      <c r="L230" s="44"/>
      <c r="M230" s="44"/>
      <c r="N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/>
      <c r="AC230" s="44"/>
      <c r="AD230" s="44"/>
      <c r="AE230" s="44"/>
      <c r="AF230" s="44"/>
      <c r="AG230" s="44"/>
      <c r="AH230" s="44"/>
      <c r="AI230" s="44"/>
      <c r="AJ230"/>
      <c r="AK230" s="44"/>
      <c r="AL230" s="44"/>
      <c r="AM230" s="44"/>
      <c r="AN230" s="44"/>
      <c r="AO230"/>
      <c r="AP230" s="44"/>
      <c r="AQ230"/>
      <c r="AR230"/>
      <c r="AS230" s="44"/>
      <c r="AT230" s="52"/>
      <c r="AU230" s="52"/>
      <c r="AV230" s="52"/>
      <c r="AW230" s="52"/>
      <c r="AX230" s="52"/>
      <c r="AY230" s="52"/>
      <c r="AZ230" s="52"/>
      <c r="BA230" s="52"/>
      <c r="BB230" s="52"/>
      <c r="BC230" s="52"/>
      <c r="BD230" s="52"/>
      <c r="BE230" s="1"/>
      <c r="BF230" s="52"/>
      <c r="BG230" s="52"/>
      <c r="BH230" s="52"/>
      <c r="BI230" s="52"/>
      <c r="BJ230" s="52"/>
      <c r="BK230" s="52"/>
      <c r="BL230" s="52"/>
      <c r="BM230" s="52"/>
      <c r="BN230" s="52"/>
      <c r="BO230" s="52"/>
      <c r="BP230" s="52"/>
    </row>
    <row r="231" spans="1:68" x14ac:dyDescent="0.25">
      <c r="A231" s="2" t="s">
        <v>540</v>
      </c>
      <c r="B231" s="3" t="s">
        <v>473</v>
      </c>
      <c r="C231" s="3" t="s">
        <v>483</v>
      </c>
      <c r="D231" s="3" t="s">
        <v>521</v>
      </c>
      <c r="E231" s="30" t="s">
        <v>537</v>
      </c>
      <c r="F231" s="30" t="s">
        <v>536</v>
      </c>
      <c r="G231" s="44">
        <f t="shared" ref="G231:AS232" si="19">0.00002 / 14 / 5</f>
        <v>2.8571428571428575E-7</v>
      </c>
      <c r="I231" s="58"/>
      <c r="J231" s="44">
        <v>0</v>
      </c>
      <c r="L231" s="44">
        <f t="shared" si="19"/>
        <v>2.8571428571428575E-7</v>
      </c>
      <c r="M231" s="44">
        <f t="shared" si="19"/>
        <v>2.8571428571428575E-7</v>
      </c>
      <c r="N231" s="44">
        <f t="shared" si="19"/>
        <v>2.8571428571428575E-7</v>
      </c>
      <c r="Q231" s="44">
        <f t="shared" si="19"/>
        <v>2.8571428571428575E-7</v>
      </c>
      <c r="R231" s="44">
        <f t="shared" si="19"/>
        <v>2.8571428571428575E-7</v>
      </c>
      <c r="S231" s="44">
        <f t="shared" si="19"/>
        <v>2.8571428571428575E-7</v>
      </c>
      <c r="T231" s="44">
        <f t="shared" si="19"/>
        <v>2.8571428571428575E-7</v>
      </c>
      <c r="U231" s="44">
        <f t="shared" si="19"/>
        <v>2.8571428571428575E-7</v>
      </c>
      <c r="V231" s="44">
        <f t="shared" si="19"/>
        <v>2.8571428571428575E-7</v>
      </c>
      <c r="W231" s="44">
        <f t="shared" si="19"/>
        <v>2.8571428571428575E-7</v>
      </c>
      <c r="X231" s="44">
        <f t="shared" si="19"/>
        <v>2.8571428571428575E-7</v>
      </c>
      <c r="Y231" s="44">
        <f t="shared" si="19"/>
        <v>2.8571428571428575E-7</v>
      </c>
      <c r="Z231" s="44">
        <f t="shared" si="19"/>
        <v>2.8571428571428575E-7</v>
      </c>
      <c r="AA231" s="44">
        <f t="shared" si="19"/>
        <v>2.8571428571428575E-7</v>
      </c>
      <c r="AB231"/>
      <c r="AC231" s="44">
        <f t="shared" si="19"/>
        <v>2.8571428571428575E-7</v>
      </c>
      <c r="AD231" s="44">
        <f t="shared" si="19"/>
        <v>2.8571428571428575E-7</v>
      </c>
      <c r="AE231" s="44">
        <f t="shared" si="19"/>
        <v>2.8571428571428575E-7</v>
      </c>
      <c r="AF231" s="44">
        <f t="shared" si="19"/>
        <v>2.8571428571428575E-7</v>
      </c>
      <c r="AG231" s="44">
        <f t="shared" si="19"/>
        <v>2.8571428571428575E-7</v>
      </c>
      <c r="AH231" s="44">
        <f t="shared" si="19"/>
        <v>2.8571428571428575E-7</v>
      </c>
      <c r="AI231" s="44">
        <f t="shared" si="19"/>
        <v>2.8571428571428575E-7</v>
      </c>
      <c r="AJ231"/>
      <c r="AK231" s="44">
        <f t="shared" si="19"/>
        <v>2.8571428571428575E-7</v>
      </c>
      <c r="AL231" s="44">
        <f t="shared" si="19"/>
        <v>2.8571428571428575E-7</v>
      </c>
      <c r="AM231" s="44">
        <f t="shared" si="19"/>
        <v>2.8571428571428575E-7</v>
      </c>
      <c r="AN231" s="44">
        <f t="shared" si="19"/>
        <v>2.8571428571428575E-7</v>
      </c>
      <c r="AO231"/>
      <c r="AP231" s="44">
        <f t="shared" si="19"/>
        <v>2.8571428571428575E-7</v>
      </c>
      <c r="AQ231"/>
      <c r="AR231"/>
      <c r="AS231" s="44">
        <f t="shared" si="19"/>
        <v>2.8571428571428575E-7</v>
      </c>
      <c r="AT231" s="1"/>
      <c r="AU231" s="1"/>
      <c r="AV231" s="1"/>
      <c r="AW231" s="1"/>
      <c r="AX231" s="1"/>
      <c r="AY231" s="1"/>
      <c r="AZ231" s="1"/>
      <c r="BA231" s="1"/>
    </row>
    <row r="232" spans="1:68" x14ac:dyDescent="0.25">
      <c r="A232" s="2" t="s">
        <v>541</v>
      </c>
      <c r="B232" s="3" t="s">
        <v>473</v>
      </c>
      <c r="C232" s="3" t="s">
        <v>483</v>
      </c>
      <c r="D232" s="3" t="s">
        <v>521</v>
      </c>
      <c r="E232" s="30" t="s">
        <v>537</v>
      </c>
      <c r="F232" s="30" t="s">
        <v>536</v>
      </c>
      <c r="G232" s="44">
        <f t="shared" ref="G232:AP232" si="20">0.00002 / 14 / 5 /10</f>
        <v>2.8571428571428575E-8</v>
      </c>
      <c r="I232" s="58"/>
      <c r="J232" s="44">
        <v>0</v>
      </c>
      <c r="L232" s="44">
        <f t="shared" si="20"/>
        <v>2.8571428571428575E-8</v>
      </c>
      <c r="M232" s="44">
        <f t="shared" si="20"/>
        <v>2.8571428571428575E-8</v>
      </c>
      <c r="N232" s="44">
        <f t="shared" si="20"/>
        <v>2.8571428571428575E-8</v>
      </c>
      <c r="Q232" s="44">
        <f t="shared" si="20"/>
        <v>2.8571428571428575E-8</v>
      </c>
      <c r="R232" s="44">
        <f t="shared" si="20"/>
        <v>2.8571428571428575E-8</v>
      </c>
      <c r="S232" s="44">
        <f t="shared" si="20"/>
        <v>2.8571428571428575E-8</v>
      </c>
      <c r="T232" s="44">
        <f t="shared" si="20"/>
        <v>2.8571428571428575E-8</v>
      </c>
      <c r="U232" s="44">
        <f t="shared" si="20"/>
        <v>2.8571428571428575E-8</v>
      </c>
      <c r="V232" s="44">
        <f t="shared" si="20"/>
        <v>2.8571428571428575E-8</v>
      </c>
      <c r="W232" s="44">
        <f t="shared" si="20"/>
        <v>2.8571428571428575E-8</v>
      </c>
      <c r="X232" s="44">
        <f t="shared" si="20"/>
        <v>2.8571428571428575E-8</v>
      </c>
      <c r="Y232" s="44">
        <f t="shared" si="20"/>
        <v>2.8571428571428575E-8</v>
      </c>
      <c r="Z232" s="44">
        <f t="shared" si="20"/>
        <v>2.8571428571428575E-8</v>
      </c>
      <c r="AA232" s="44">
        <f t="shared" si="20"/>
        <v>2.8571428571428575E-8</v>
      </c>
      <c r="AB232"/>
      <c r="AC232" s="44">
        <f t="shared" si="20"/>
        <v>2.8571428571428575E-8</v>
      </c>
      <c r="AD232" s="44">
        <f t="shared" si="20"/>
        <v>2.8571428571428575E-8</v>
      </c>
      <c r="AE232" s="44">
        <f t="shared" si="20"/>
        <v>2.8571428571428575E-8</v>
      </c>
      <c r="AF232" s="44">
        <f t="shared" si="20"/>
        <v>2.8571428571428575E-8</v>
      </c>
      <c r="AG232" s="44">
        <f t="shared" si="20"/>
        <v>2.8571428571428575E-8</v>
      </c>
      <c r="AH232" s="44">
        <f t="shared" si="20"/>
        <v>2.8571428571428575E-8</v>
      </c>
      <c r="AI232" s="44">
        <f t="shared" si="20"/>
        <v>2.8571428571428575E-8</v>
      </c>
      <c r="AJ232"/>
      <c r="AK232" s="44">
        <f t="shared" si="20"/>
        <v>2.8571428571428575E-8</v>
      </c>
      <c r="AL232" s="44">
        <f t="shared" si="20"/>
        <v>2.8571428571428575E-8</v>
      </c>
      <c r="AM232" s="44">
        <f t="shared" si="20"/>
        <v>2.8571428571428575E-8</v>
      </c>
      <c r="AN232" s="44">
        <f t="shared" si="20"/>
        <v>2.8571428571428575E-8</v>
      </c>
      <c r="AO232"/>
      <c r="AP232" s="44">
        <f t="shared" si="20"/>
        <v>2.8571428571428575E-8</v>
      </c>
      <c r="AQ232"/>
      <c r="AR232"/>
      <c r="AS232" s="44">
        <f t="shared" si="19"/>
        <v>2.8571428571428575E-7</v>
      </c>
      <c r="AT232" s="1"/>
      <c r="AU232" s="1"/>
      <c r="AV232" s="1"/>
      <c r="AW232" s="1"/>
      <c r="AX232" s="1"/>
      <c r="AY232" s="1"/>
      <c r="AZ232" s="1"/>
      <c r="BA232" s="1"/>
    </row>
    <row r="233" spans="1:68" x14ac:dyDescent="0.25">
      <c r="A233" s="1" t="s">
        <v>583</v>
      </c>
      <c r="B233" s="3" t="s">
        <v>473</v>
      </c>
      <c r="C233" s="3" t="s">
        <v>483</v>
      </c>
      <c r="D233" s="3" t="s">
        <v>521</v>
      </c>
      <c r="E233" s="30" t="s">
        <v>584</v>
      </c>
      <c r="F233" s="30" t="s">
        <v>486</v>
      </c>
      <c r="G233" s="44">
        <v>-1</v>
      </c>
      <c r="I233" s="58"/>
      <c r="J233" s="44" t="s">
        <v>86</v>
      </c>
      <c r="L233" s="44">
        <v>-1</v>
      </c>
      <c r="M233" s="44">
        <v>-1</v>
      </c>
      <c r="N233" s="44">
        <v>-1</v>
      </c>
      <c r="Q233" s="44">
        <v>-1</v>
      </c>
      <c r="R233" s="44">
        <v>-1</v>
      </c>
      <c r="S233" s="44">
        <v>-1</v>
      </c>
      <c r="T233" s="44">
        <v>-1</v>
      </c>
      <c r="U233" s="44">
        <v>-1</v>
      </c>
      <c r="V233" s="44">
        <v>-1</v>
      </c>
      <c r="W233" s="44">
        <v>-1</v>
      </c>
      <c r="X233" s="44">
        <v>-1</v>
      </c>
      <c r="Y233" s="44">
        <v>-1</v>
      </c>
      <c r="Z233" s="44">
        <v>-1</v>
      </c>
      <c r="AA233" s="44">
        <v>-1</v>
      </c>
      <c r="AB233" s="44">
        <v>-1</v>
      </c>
      <c r="AC233" s="44">
        <v>-1</v>
      </c>
      <c r="AD233" s="44">
        <v>-1</v>
      </c>
      <c r="AE233" s="44">
        <v>-1</v>
      </c>
      <c r="AF233" s="44">
        <v>-1</v>
      </c>
      <c r="AG233" s="44">
        <v>-1</v>
      </c>
      <c r="AH233" s="44">
        <v>-1</v>
      </c>
      <c r="AI233" s="44">
        <v>-1</v>
      </c>
      <c r="AJ233" s="44">
        <v>-1</v>
      </c>
      <c r="AK233" s="44">
        <v>-1</v>
      </c>
      <c r="AL233" s="44">
        <v>-1</v>
      </c>
      <c r="AM233" s="44">
        <v>-1</v>
      </c>
      <c r="AN233" s="44">
        <v>-1</v>
      </c>
      <c r="AO233" s="44">
        <v>-1</v>
      </c>
      <c r="AP233" s="44">
        <v>-1</v>
      </c>
      <c r="AQ233" s="44">
        <v>-1</v>
      </c>
      <c r="AR233" s="44">
        <v>-1</v>
      </c>
      <c r="AS233" s="44">
        <v>-1</v>
      </c>
      <c r="AT233" s="1"/>
      <c r="AU233" s="1"/>
      <c r="AV233" s="1"/>
      <c r="AW233" s="1"/>
      <c r="AX233" s="1"/>
      <c r="AY233" s="1"/>
      <c r="AZ233" s="1"/>
      <c r="BA233" s="1"/>
    </row>
    <row r="234" spans="1:68" x14ac:dyDescent="0.25">
      <c r="A234" s="21" t="s">
        <v>588</v>
      </c>
      <c r="B234" s="3" t="s">
        <v>473</v>
      </c>
      <c r="C234" s="3" t="s">
        <v>483</v>
      </c>
      <c r="D234" s="3" t="s">
        <v>521</v>
      </c>
      <c r="E234" s="22" t="s">
        <v>589</v>
      </c>
      <c r="F234" s="22" t="s">
        <v>590</v>
      </c>
      <c r="G234" s="44">
        <v>1.0000000000000001E-9</v>
      </c>
      <c r="I234" s="58"/>
      <c r="J234" s="44">
        <f>J129* 6 * 12 / 0.44 * 0.015 / 14 / 1.4 /2/2/2</f>
        <v>5.8702458256029672E-17</v>
      </c>
      <c r="K234" s="1" t="s">
        <v>601</v>
      </c>
      <c r="L234" s="44">
        <v>4.9999999999999999E-13</v>
      </c>
      <c r="M234" s="44">
        <v>4.9999999999999999E-13</v>
      </c>
      <c r="N234" s="44">
        <v>4.9999999999999999E-13</v>
      </c>
      <c r="Q234" s="44">
        <v>4.9999999999999999E-13</v>
      </c>
      <c r="R234" s="44">
        <v>4.9999999999999999E-13</v>
      </c>
      <c r="S234" s="44">
        <v>4.9999999999999999E-13</v>
      </c>
      <c r="T234" s="44">
        <v>4.9999999999999999E-13</v>
      </c>
      <c r="U234" s="44">
        <v>4.9999999999999999E-13</v>
      </c>
      <c r="V234" s="44">
        <v>4.9999999999999999E-13</v>
      </c>
      <c r="W234" s="44">
        <v>4.9999999999999999E-13</v>
      </c>
      <c r="X234" s="44">
        <v>4.9999999999999999E-13</v>
      </c>
      <c r="Y234" s="44">
        <v>4.9999999999999999E-13</v>
      </c>
      <c r="Z234" s="44">
        <v>4.9999999999999999E-13</v>
      </c>
      <c r="AA234" s="44">
        <v>4.9999999999999999E-13</v>
      </c>
      <c r="AB234"/>
      <c r="AC234" s="44">
        <v>4.9999999999999999E-13</v>
      </c>
      <c r="AD234" s="44">
        <v>4.9999999999999999E-13</v>
      </c>
      <c r="AE234" s="44">
        <v>4.9999999999999999E-13</v>
      </c>
      <c r="AF234" s="44">
        <v>4.9999999999999999E-13</v>
      </c>
      <c r="AG234" s="44">
        <v>4.9999999999999999E-13</v>
      </c>
      <c r="AH234" s="44">
        <v>4.9999999999999999E-13</v>
      </c>
      <c r="AI234" s="44">
        <v>4.9999999999999999E-13</v>
      </c>
      <c r="AJ234"/>
      <c r="AK234" s="44">
        <v>4.9999999999999999E-13</v>
      </c>
      <c r="AL234" s="44">
        <v>4.9999999999999999E-13</v>
      </c>
      <c r="AM234" s="44">
        <v>4.9999999999999999E-13</v>
      </c>
      <c r="AN234" s="44">
        <v>4.9999999999999999E-13</v>
      </c>
      <c r="AO234"/>
      <c r="AP234" s="44">
        <v>4.9999999999999999E-13</v>
      </c>
      <c r="AQ234"/>
      <c r="AR234"/>
      <c r="AS234" s="44">
        <v>4.9999999999999999E-13</v>
      </c>
    </row>
  </sheetData>
  <phoneticPr fontId="19" type="noConversion"/>
  <conditionalFormatting sqref="G224"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8:J128"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J135">
    <cfRule type="colorScale" priority="4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J207">
    <cfRule type="colorScale" priority="46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J208">
    <cfRule type="colorScale" priority="4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J215">
    <cfRule type="colorScale" priority="46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J216">
    <cfRule type="colorScale" priority="4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J218">
    <cfRule type="colorScale" priority="4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J220">
    <cfRule type="colorScale" priority="4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J221">
    <cfRule type="colorScale" priority="4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J222">
    <cfRule type="colorScale" priority="4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J223">
    <cfRule type="colorScale" priority="4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9:J229">
    <cfRule type="colorScale" priority="4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J230">
    <cfRule type="colorScale" priority="4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24:N224 AS224 I224:J224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09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0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1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2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9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1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T2 AS2 G2 L2:N2 I2:J2"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T5 AS3:AS5 G3:G5 L3:N5 I3:J5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T6 AS6 G6 L6:N6 I6:J6"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:T7 AS7 G7 L7:N7 I7:J7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:T8 AS8 G8 L8:N8 I8:J8"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:T9 AS9 G9 L9:N9 I9:J9"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:T10 AS10 G10 L10:N10 I10:J10"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:T11 AS11 G11 L11:N11 I11:J11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:T12 AS12 G12 L12:N12 I12:J12"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:T13 AS13 G13 L13:N13 I13:J13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:T14 AS14 G14 L14:N14 I14:J14"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:T15 AS15 G15 L15:N15 I15:J15"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:T16 AS16 G16 L16:N16 I16:J16"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:T17 AS17 G17 L17:N17 I17:J17"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:T18 AS18 G18 L18:N18 I18:J18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:T19 AS19 G19 L19:N19 I19:J19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:T20 AS20 G20 L20:N20 I20:J20"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:T21 AS21 G21 L21:N21 I21:J21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2:T22 AS22 G22 L22:N22 I22:J22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3:T23 AS23 G23 L23:N23 I23:J23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6:T26 AS26 G26 L26:N26 I26:J26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7:T27 AS27 G27 L27:N27 I27:J27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8:T28 AS28 G28 L28:N28 I28:J28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9:T29 AS29 G29 L29:N29 I29:J29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0:T30 AS30 G30 L30:N30 I30:J30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1:T31 AS31 G31 L31:N31 I31:J31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2:T32 AS32 G32 L32:N32 I32:J32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3:T33 AS33 G33 L33:N33 I33:J33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4:T34 AS34 G34 L34:N34 I34:J34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5:T35 AS35 G35 L35:N35 I35:J35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6:T36 AS36 G36 L36:N36 I36:J36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7:T37 AS37 G37 L37:N37 I37:J37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8:T38 AS38 G38 L38:N38 I38:J38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9:T39 AS39 G39 L39:N39 I39:J39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0:T40 AS40 G40 L40:N40 I40:J40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1:T41 AS41 G41 L41:N41 I41:J41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2:T42 AS42 G42 L42:N42 I42:J42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3:T43 AS43 G43 L43:N43 I43:J43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4:T44 AS44 G44 L44:N44 I44:J44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5:T45 AS45 G45 L45:N45 I45:J45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6:T46 AS46 G46 L46:N46 I46:J46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7:T47 AS47 G47 L47:N47 I47:J47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8:T48 AS48 G48 L48:N48 I48:J48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9:T49 AS49 G49 L49:N49 I49:J49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0:T50 AS50 G50 L50:N50 I50:J50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1:T51 AS51 G51 L51:N51 I51:J51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2:T52 AS52 G52 L52:N52 I52:J52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3:T53 AS53 G53 L53:N53 I53:J53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4:T54 AS54 G54 L54:N54 I54:J54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5:T55 AS55 G55 L55:N55 I55:J55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6:T56 AS56 G56 L56:N56 I56:J56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7:T57 AS57 G57 L57:N57 I57:J57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8:T58 AS58 G58 L58:N58 I58:J58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9:T59 AS59 G59 L59:N59 I59:J59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0:T60 AS60 G60 L60:N60 I60:J60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1:T61 AS61 G61 L61:N61 I61:J61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2:T62 AS62 G62 L62:N62 I62:J62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3:T63 AS63 G63 L63:N63 I63:J63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4:T64 AS64 G64 L64:N64 I64:J64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5:T65 AS65 G65 L65:N65 I65:J65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6:T66 AS66 G66 L66:N66 I66:J66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7:T67 AS67 G67 L67:N67 I67:J67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8:T68 AS68 G68 L68:N68 I68:J68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9:T69 AS69 G69 L69:N69 I69:J69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0:T70 AS70 G70 L70:N70 I70:J70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1:T71 AS71 G71 L71:N71 I71:J71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2:T72 AS72 G72 L72:N72 I72:J72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3:T73 AS73 G73 L73:N73 I73:J73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4:T74 AS74 G74 L74:N74 I74:J74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5:T75 AS75 G75 L75:N75 I75:J75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6:T76 AS76 G76 L76:N76 I76:J76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7:T77 AS77 G77 L77:N77 I77:J77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8:T78 AS78 G78 L78:N78 I78:J78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9:T79 AS79 G79 L79:N79 I79:J79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0:T80 AS80 G80 L80:N80 I80:J80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1:T81 AS81 G81 L81:N81 I81:J81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2:T82 AS82 G82 L82:N82 I82:J82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3:T83 AS83 G83 L83:N83 I83:J83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4:T84 AS84 G84 L84:N84 I84:J84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5:T85 AS85 G85 L85:N85 I85:J85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6:T86 AS86 G86 L86:N86 I86:J86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7:T87 AS87 G87 L87:N87 I87:J87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8:T88 AS88 G88 L88:N88 I88:J88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9:T89 AS89 G89 L89:N89 I89:J89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0:T90 AS90 G90 L90:N90 I90:J90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1:T91 AS91 G91 L91:N91 I91:J91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2:T92 AS92 G92 L92:N92 I92:J92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3:T93 AS93 G93 L93:N93 I93:J93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4:T94 AS94 G94 L94:N94 I94:J94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5:T95 AS95 G95 L95:N95 I95:J95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6:T96 AS96 G96 L96:N96 I96:J96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7:T97 AS97 G97 L97:N97 I97:J97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8:T98 AS98 G98 L98:N98 I98:J98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9:T99 AS99 G99 L99:N99 I99:J99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0:T100 AS100 G100 L100:N100 I100:J100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1:T101 AS101 G101 L101:N101 I101:J101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2:T102 AS102 G102 L102:N102 I102:J102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3:T103 AS103 G103 L103:N103 I103:J103"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4:T104 AS104 G104 L104:N104 I104:J104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5:T105 AS105 G105 L105:N105 I105:J105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6:T106 AS106 G106 L106:N106 I106:J106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7:T107 AS107 G107 L107:N107 I107:J107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8:T108 AS108 G108 L108:N108 I108:J108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9:T109 AS109 G109 L109:N109 I109:J109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0:T110 AS110 G110 L110:N110 I110:J110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1:T111 AS111 G111 L111:N111 I111:J111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2:T112 AS112 G112 L112:N112 I112:J112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3:T113 AS113 G113 L113:N113 I113:J113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4:T114 AS114 G114 L114:N114 I114:J114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5:T115 AS115 G115 L115:N115 I115:J115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6:T116 AS116 G116 L116:N116 I116:J116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7:T117 AS117 G117 L117:N117 I117:J117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8:T118 AS118 G118 L118:N118 I118:J118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9:T119 AS119 G119 L119:N119 I119:J119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0:T120 AS120 G120 L120:N120 I120:J120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1:T121 AS121 G121 L121:N121 I121:J121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2:T122 AS122 G122 L122:N122 I122:J122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3:T123 AS123 G123 L123:N123 I123:J123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4:T124 AS124 G124 L124:N124 I124:J124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5:T125 AS125 G125 L125:N125 I125:J125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6:T126 AS126 G126 L126:N126 I126:J126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7:T127 AS127 G127 L127:N127 I127:J127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8:T128 AS128 G128 L128:N128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9:T129 AS129 G129 L129:N129 I129:J129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0:T130 AS130 G130 L130:N130 I130:J130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1:T131 AS131 G131 L131:N131 I131:J131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2:T132 AS132 G132 L132:N132 I132:J132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3:T133 AS133 G133 L133:N133 I133:J133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4:T134 AS134 G134 L134:N134 I134:J134"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5:T135 AS135 G135 L135:N135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6:T136 AS136 G136 L136:N136 I136:J136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7:T137 AS137 G137 L137:N137 I137:J137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8:T138 AS138 G138 L138:N138 I138:J138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9:T139 AS139 G139 L139:N139 I139:J139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0:T140 AS140 G140 L140:N140 I140:J140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1:T141 AS141 G141 L141:N141 I141:J141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2:T142 AS142 G142 L142:N142 I142:J142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3:T143 AS143 G143 L143:N143 I143:J143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4:T144 AS144 G144 L144:N144 I144:J144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5:T145 AS145 G145 L145:N145 I145:J145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6:T146 AS146 G146 L146:N146 I146:J146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7:T147 AS147 G147 L147:N147 I147:J147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8:T148 AS148 G148 L148:N148 I148:J148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9:T149 AS149 G149 L149:N149 I149:J149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0:T150 AS150 G150 L150:N150 I150:J150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1:T151 AS151 G151 L151:N151 I151:J151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2:T152 AS152 G152 L152:N152 I152:J152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3:T153 AS153 G153 L153:N153 I153:J153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4:T154 AS154 G154 L154:N154 I154:J154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5:T155 AS155 G155 L155:N155 I155:J155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6:T156 AS156 G156 L156:N156 I156:J156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7:T157 AS157 G157 L157:N157 I157:J157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8:T158 AS158 G158 L158:N158 I158:J158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9:T159 AS159 G159 L159:N159 I159:J159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0:T160 AS160 G160 L160:N160 I160:J160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1:T161 AS161 G161 L161:N161 I161:J161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2:T162 AS162 G162 L162:N162 I162:J162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3:T163 AS163 G163 L163:N163 I163:J163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4:T164 AS164 G164 L164:N164 I164:J164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5:T165 AS165 G165 L165:N165 I165:J165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6:T166 AS166 G166 L166:N166 I166:J166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7:T167 AS167 G167 L167:N167 I167:J167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8:T168 AS168 G168 L168:N168 I168:J168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9:T169 AS169 G169 L169:N169 I169:J169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0:T170 AS170 G170 L170:N170 I170:J170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1:T171 AS171 G171 L171:N171 I171:J171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2:T172 AS172 G172 L172:N172 I172:J172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3:T173 AS173 G173 L173:N173 I173:J173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4:T174 AS174 G174 L174:N174 I174:J174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5:T175 AS175 G175 L175:N175 I175:J175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6:T176 AS176 G176 L176:N176 I176:J176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7:T177 AS177 G177 L177:N177 I177:J177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8:T178 AS178 G178 L178:N178 I178:J178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9:T179 AS179 G179 L179:N179 I179:J179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0:T180 AS180 G180 L180:N180 I180:J180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1:T181 AS181 G181 L181:N181 I181:J181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2:T182 AS182 G182 L182:N182 I182:J182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3:T183 AS183 G183 L183:N183 I183:J183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4:T184 AS184 G184 L184:N184 I184:J184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5:T185 AS185 G185 L185:N185 I185:J185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6:T186 AS186 G186 L186:N186 I186:J186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7:T187 AS187 G187 L187:N187 I187:J187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8:T188 AS188 G188 L188:N188 I188:J188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9:T189 AS189 G189 L189:N189 I189:J189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0:T190 AS190 G190 L190:N190 I190:J190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1:T191 AS191 G191 L191:N191 I191:J191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2:T192 AS192 G192 L192:N192 I192:J192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3:T193 AS193 G193 L193:N193 I193:J193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4:T194 AS194 G194 L194:N194 I194:J194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5:T195 AS195 G195 L195:N195 I195:J195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6:T196 AS196 G196 L196:N196 I196:J196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7:T197 AS197 G197 L197:N197 I197:J197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8:T198 AS198 G198 L198:N198 I198:J198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9:T199 AS199 G199 L199:N199 I199:J199"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0:T200 AS200 G200 L200:N200 I200:J200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1:T201 AS201 G201 L201:N201 I201:J201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2:T202 AS202 G202 L202:N202 I202:J202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3:T203 AS203 G203 L203:N203 I203:J203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4:T204 AS204 G204 L204:N204 I204:J204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5:T205 AS205 G205 L205:N205 I205:J205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6:T206 AS206 G206 L206:N206 I206:J206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7:T207 AS207 G207 L207:N207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8:T208 AS208 G208 L208:N208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9:T209 AS209 G209 L209 I209:J209"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0:T210 AS210 G210 L210 I210:J210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1:T211 AS211 G211 L211 I211:J211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2:T212 AS212 G212 L212 I212:J212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3:T213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4:T214 AS214 G214 L214:N214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5:T215 AS215 G215 L215:N215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6:T218 AS216:AS218 G216:G218 L216:N218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9:T220 AS219:AS220 G219:G220 L219:N220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21:T223 AS221:AS223 G221:G222 L221:N223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24:T224"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34:T234 AS234 G234 L234:N234 I234:J2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4:U25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5:U230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1:U232"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AA2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:AA5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:AA6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:AA7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:AA8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:AA9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:AA10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:AA11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:AA12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:AA13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:AA14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:AA15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:AA16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:AA17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:AA18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:AA19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:AA20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:AA21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:AA22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:AA23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6:AA26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7:AA27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8:AA28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9:AA29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0:AA30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1:AA31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2:AA32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3:AA33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4:AA34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5:AA35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6:AA36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7:AA37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8:AA38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39:AA39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0:AA40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1:AA41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2:AA42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3:AA43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4:AA44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5:AA45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6:AA46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7:AA47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8:AA48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9:AA49"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0:AA50"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1:AA51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2:AA52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3:AA53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4:AA54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5:AA55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6:AA56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7:AA57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8:AA58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59:AA59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0:AA60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1:AA61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2:AA62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3:AA63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4:AA64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5:AA65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6:AA66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7:AA67"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8:AA68"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69:AA69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0:AA70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1:AA71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2:AA72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3:AA73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4:AA74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5:AA75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6:AA76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7:AA77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8:AA78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79:AA79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0:AA80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1:AA81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2:AA82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3:AA83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4:AA84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5:AA85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6:AA86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7:AA87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8:AA88"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89:AA89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0:AA90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1:AA91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2:AA92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3:AA93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4:AA94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5:AA95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6:AA96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7:AA97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8:AA98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99:AA99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0:AA100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1:AA101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2:AA102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3:AA103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4:AA104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5:AA105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6:AA106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7:AA107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8:AA108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09:AA109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0:AA110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1:AA111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2:AA112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3:AA113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4:AA114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5:AA115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6:AA116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7:AA117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8:AA118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19:AA119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0:AA120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1:AA121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2:AA122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3:AA123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4:AA124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5:AA125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6:AA126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7:AA127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8:AA128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29:AA129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0:AA130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1:AA131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2:AA132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3:AA133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4:AA134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5:AA135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6:AA136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7:AA137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8:AA138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39:AA139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0:AA140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1:AA141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2:AA142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3:AA143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4:AA144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5:AA145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6:AA146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7:AA147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8:AA148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49:AA149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0:AA150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1:AA151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2:AA152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3:AA153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4:AA154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5:AA155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6:AA156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7:AA157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8:AA158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59:AA159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0:AA160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1:AA161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2:AA162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3:AA163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4:AA164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5:AA165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6:AA166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7:AA167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8:AA168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69:AA169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0:AA170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1:AA171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2:AA172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3:AA173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4:AA174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5:AA175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6:AA176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7:AA177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8:AA178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79:AA179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0:AA180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1:AA181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2:AA182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3:AA183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4:AA184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5:AA185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6:AA186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7:AA187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8:AA188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89:AA189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0:AA190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1:AA191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2:AA192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3:AA193"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4:AA194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5:AA195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6:AA196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7:AA197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8:AA198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99:AA199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0:AA200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1:AA201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2:AA202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3:AA203"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4:AA204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5:AA205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6:AA206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7:AA207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8:AA208"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9:AA209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0:AA210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1:AA211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2:AA212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3:AA213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4:AA214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5:AA215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6:AA218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9:AA220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1:AA223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24:AA224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34:AA23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4:V25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5:V230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1:V232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4:W25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5:W230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1:W232"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4:X25"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5:X230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1:X232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4:Y25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5:Y230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1:Y232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4:Z25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5:Z230"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1:Z232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A25"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5:AA230"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1:AA232"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4:AC25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4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5:AC230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1:AC232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:AI2 AK2:AN2"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:AI5 AK3:AN5"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:AI6 AK6:AN6"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:AI7 AK7:AN7"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:AI8 AK8:AN8"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:AI9 AK9:AN9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:AI10 AK10:AN10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:AI11 AK11:AN11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:AI12 AK12:AN12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:AI13 AK13:AN13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:AI14 AK14:AN14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:AI15 AK15:AN15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:AI16 AK16:AN16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:AI17 AK17:AN17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:AI18 AK18:AN18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:AI19 AK19:AN19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:AI20 AK20:AN20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:AI21 AK21:AN21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:AI22 AK22:AN22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I23 AK23:AN23"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6:AI26 AK26:AN26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7:AI27 AK27:AN27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8:AI28 AK28:AN28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9:AI29 AK29:AN29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0:AI30 AK30:AN30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1:AI31 AK31:AN31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2:AI32 AK32:AN32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3:AI33 AK33:AN33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4:AI34 AK34:AN34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5:AI35 AK35:AN35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6:AI36 AK36:AN36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7:AI37 AK37:AN37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8:AI38 AK38:AN38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9:AI39 AK39:AN39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0:AI40 AK40:AN40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1:AI41 AK41:AN41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2:AI42 AK42:AN42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3:AI43 AK43:AN43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4:AI44 AK44:AN44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5:AI45 AK45:AN45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6:AI46 AK46:AN46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7:AI47 AK47:AN47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8:AI48 AK48:AN48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9:AI49 AK49:AN49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0:AI50 AK50:AN50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1:AI51 AK51:AN51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2:AI52 AK52:AN52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3:AI53 AK53:AN53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4:AI54 AK54:AN54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5:AI55 AK55:AN55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6:AI56 AK56:AN56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7:AI57 AK57:AN57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8:AI58 AK58:AN58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9:AI59 AK59:AN59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0:AI60 AK60:AN60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1:AI61 AK61:AN61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2:AI62 AK62:AN62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3:AI63 AK63:AN63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4:AI64 AK64:AN64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5:AI65 AK65:AN65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6:AI66 AK66:AN66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7:AI67 AK67:AN67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8:AI68 AK68:AN68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9:AI69 AK69:AN69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0:AI70 AK70:AN70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1:AI71 AK71:AN71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2:AI72 AK72:AN72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3:AI73 AK73:AN73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4:AI74 AK74:AN74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5:AI75 AK75:AN75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6:AI76 AK76:AN76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7:AI77 AK77:AN77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8:AI78 AK78:AN78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9:AI79 AK79:AN79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0:AI80 AK80:AN80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1:AI81 AK81:AN81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2:AI82 AK82:AN82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3:AI83 AK83:AN83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4:AI84 AK84:AN84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5:AI85 AK85:AN85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6:AI86 AK86:AN86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7:AI87 AK87:AN87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8:AI88 AK88:AN88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9:AI89 AK89:AN89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0:AI90 AK90:AN90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1:AI91 AK91:AN91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2:AI92 AK92:AN92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3:AI93 AK93:AN93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4:AI94 AK94:AN94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5:AI95 AK95:AN95"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6:AI96 AK96:AN96"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7:AI97 AK97:AN97"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8:AI98 AK98:AN98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9:AI99 AK99:AN99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0:AI100 AK100:AN100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1:AI101 AK101:AN101"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2:AI102 AK102:AN102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3:AI103 AK103:AN103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4:AI104 AK104:AN104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5:AI105 AK105:AN105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6:AI106 AK106:AN106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7:AI107 AK107:AN107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8:AI108 AK108:AN108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9:AI109 AK109:AN109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0:AI110 AK110:AN110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1:AI111 AK111:AN111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2:AI112 AK112:AN112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3:AI113 AK113:AN113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4:AI114 AK114:AN114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5:AI115 AK115:AN115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6:AI116 AK116:AN116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7:AI117 AK117:AN117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8:AI118 AK118:AN118"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9:AI119 AK119:AN119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0:AI120 AK120:AN120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1:AI121 AK121:AN121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2:AI122 AK122:AN122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3:AI123 AK123:AN123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4:AI124 AK124:AN124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5:AI125 AK125:AN125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6:AI126 AK126:AN126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7:AI127 AK127:AN127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8:AI128 AK128:AN128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9:AI129 AK129:AN129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0:AI130 AK130:AN130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1:AI131 AK131:AN131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2:AI132 AK132:AN132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3:AI133 AK133:AN133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4:AI134 AK134:AN134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5:AI135 AK135:AN135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6:AI136 AK136:AN136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7:AI137 AK137:AN137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8:AI138 AK138:AN138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9:AI139 AK139:AN139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0:AI140 AK140:AN140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1:AI141 AK141:AN14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2:AI142 AK142:AN142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3:AI143 AK143:AN143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4:AI144 AK144:AN144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5:AI145 AK145:AN145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6:AI146 AK146:AN146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7:AI147 AK147:AN147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8:AI148 AK148:AN148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9:AI149 AK149:AN149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0:AI150 AK150:AN150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1:AI151 AK151:AN151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2:AI152 AK152:AN152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3:AI153 AK153:AN153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4:AI154 AK154:AN154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5:AI155 AK155:AN15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6:AI156 AK156:AN156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7:AI157 AK157:AN157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8:AI158 AK158:AN158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9:AI159 AK159:AN159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0:AI160 AK160:AN160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1:AI161 AK161:AN161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2:AI162 AK162:AN162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3:AI163 AK163:AN163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4:AI164 AK164:AN164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5:AI165 AK165:AN165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6:AI166 AK166:AN166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7:AI167 AK167:AN167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8:AI168 AK168:AN168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9:AI169 AK169:AN169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0:AI170 AK170:AN170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1:AI171 AK171:AN171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2:AI172 AK172:AN17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3:AI173 AK173:AN173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4:AI174 AK174:AN174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5:AI175 AK175:AN17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6:AI176 AK176:AN176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7:AI177 AK177:AN177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8:AI178 AK178:AN178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9:AI179 AK179:AN179"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0:AI180 AK180:AN180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1:AI181 AK181:AN18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2:AI182 AK182:AN182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3:AI183 AK183:AN183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4:AI184 AK184:AN184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5:AI185 AK185:AN185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6:AI186 AK186:AN18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7:AI187 AK187:AN187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8:AI188 AK188:AN188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9:AI189 AK189:AN18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0:AI190 AK190:AN19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1:AI191 AK191:AN191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2:AI192 AK192:AN192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3:AI193 AK193:AN193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4:AI194 AK194:AN194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5:AI195 AK195:AN195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6:AI196 AK196:AN19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7:AI197 AK197:AN197"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8:AI198 AK198:AN198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9:AI199 AK199:AN199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0:AI200 AK200:AN200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1:AI201 AK201:AN20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2:AI202 AK202:AN202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3:AI203 AK203:AN203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4:AI204 AK204:AN204"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5:AI205 AK205:AN205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6:AI206 AK206:AN20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7:AI207 AK207:AN20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8:AI208 AK208:AN208"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9:AI209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0:AI210 AK210:AN210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1:AI211 AK211:AN211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2:AI212 AK212:AN212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3:AI213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4:AI214 AK214:AN214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5:AI215 AK215:AN215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6:AI218 AK216:AN218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9:AI220 AK219:AN220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1:AI223 AK221:AN223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4:AI224">
    <cfRule type="colorScale" priority="4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4:AI234 AK234:AN23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4:AD25"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4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5:AD230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1:AD232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E25"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4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5:AE230"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1:AE232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4:AF25"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4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5:AF230"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1:AF232"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4:AG25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4"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5:AG230"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1:AG232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4:AH25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4"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:AH230"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1:AH232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I25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:AI230"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1:AI232"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4:AN25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9:AN20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13:AN213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4:AN224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:AN230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1:AN232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:AP5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4:AP25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6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7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8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9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0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6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7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8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9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1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2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3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4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5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6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7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8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9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0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1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2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3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4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5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6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7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8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59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1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2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3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4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5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6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7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8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69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0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1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2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3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4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5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6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7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8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9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0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1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2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3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4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5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6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7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8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89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0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1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2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3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4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5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6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7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8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99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0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1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2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3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4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5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6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7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8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09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0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1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2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3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4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5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6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7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8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19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0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1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2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3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4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5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6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7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8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29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0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1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2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3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4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5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6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7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8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39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0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1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2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3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4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5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6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7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8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49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0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1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2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3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4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5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6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7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8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5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0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1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3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4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5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6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7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8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69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1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2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3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4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5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6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7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8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79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0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1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2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3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4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5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6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7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8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89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0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1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2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3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4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5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6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7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8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199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0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1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2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3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4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5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6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7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8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9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0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1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2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3"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4"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5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6:AP218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9:AP220"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:AP223"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4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5:AP230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1:AP232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4:AS25 Q24:T25 G24:G25 L24:N25 I24:J25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3 G213 L213:N213 I213:J214"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5:AS230 Q225:T230 G225:G229 L225:N230 I225:J228"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1:AS232 Q231:T232 I231:J232 G231:G233 L231:N233 Q233:AS233 I233"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2025-10-07T07:26:21Z</dcterms:modified>
</cp:coreProperties>
</file>