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TIGERA~1\AppData\Local\Temp\scp31752\home\torisuten\package\Wheat-BRIDGES\simulations\scene\inputs\"/>
    </mc:Choice>
  </mc:AlternateContent>
  <xr:revisionPtr revIDLastSave="0" documentId="13_ncr:1_{C7630A95-E4CA-43A5-98AF-D47D6A7D6AD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cenarios_as_columns" sheetId="2" r:id="rId1"/>
    <sheet name="Comparison_with_parameters.py" sheetId="4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26" i="2" l="1"/>
  <c r="T221" i="2"/>
  <c r="S221" i="2"/>
  <c r="R221" i="2"/>
  <c r="T228" i="2"/>
  <c r="T226" i="2"/>
  <c r="T224" i="2"/>
  <c r="T220" i="2"/>
  <c r="T219" i="2"/>
  <c r="T218" i="2"/>
  <c r="T217" i="2"/>
  <c r="T216" i="2"/>
  <c r="T215" i="2"/>
  <c r="T214" i="2"/>
  <c r="T213" i="2"/>
  <c r="T211" i="2"/>
  <c r="T207" i="2"/>
  <c r="T205" i="2"/>
  <c r="T126" i="2"/>
  <c r="T124" i="2"/>
  <c r="T114" i="2"/>
  <c r="T111" i="2"/>
  <c r="T108" i="2"/>
  <c r="T107" i="2"/>
  <c r="T106" i="2"/>
  <c r="T105" i="2"/>
  <c r="T104" i="2"/>
  <c r="T103" i="2"/>
  <c r="T102" i="2"/>
  <c r="T101" i="2"/>
  <c r="S228" i="2"/>
  <c r="S226" i="2"/>
  <c r="S224" i="2"/>
  <c r="S220" i="2"/>
  <c r="S219" i="2"/>
  <c r="S218" i="2"/>
  <c r="S217" i="2"/>
  <c r="S216" i="2"/>
  <c r="S215" i="2"/>
  <c r="S214" i="2"/>
  <c r="S213" i="2"/>
  <c r="S211" i="2"/>
  <c r="S207" i="2"/>
  <c r="S205" i="2"/>
  <c r="S126" i="2"/>
  <c r="S124" i="2"/>
  <c r="S114" i="2"/>
  <c r="S111" i="2"/>
  <c r="S108" i="2"/>
  <c r="S107" i="2"/>
  <c r="S106" i="2"/>
  <c r="S105" i="2"/>
  <c r="S104" i="2"/>
  <c r="S103" i="2"/>
  <c r="S102" i="2"/>
  <c r="S101" i="2"/>
  <c r="R219" i="2" l="1"/>
  <c r="R220" i="2"/>
  <c r="R218" i="2"/>
  <c r="R217" i="2"/>
  <c r="R216" i="2"/>
  <c r="R215" i="2"/>
  <c r="R213" i="2"/>
  <c r="R214" i="2"/>
  <c r="M214" i="2"/>
  <c r="R226" i="2"/>
  <c r="R205" i="2"/>
  <c r="V228" i="2" l="1"/>
  <c r="V227" i="2"/>
  <c r="V224" i="2"/>
  <c r="V214" i="2"/>
  <c r="V211" i="2"/>
  <c r="V207" i="2"/>
  <c r="V205" i="2"/>
  <c r="V124" i="2"/>
  <c r="V114" i="2"/>
  <c r="V111" i="2"/>
  <c r="V108" i="2"/>
  <c r="V107" i="2"/>
  <c r="V106" i="2"/>
  <c r="V105" i="2"/>
  <c r="V104" i="2"/>
  <c r="V103" i="2"/>
  <c r="V102" i="2"/>
  <c r="V101" i="2"/>
  <c r="X228" i="2"/>
  <c r="X227" i="2"/>
  <c r="X224" i="2"/>
  <c r="X214" i="2"/>
  <c r="X211" i="2"/>
  <c r="X207" i="2"/>
  <c r="X205" i="2"/>
  <c r="X124" i="2"/>
  <c r="X114" i="2"/>
  <c r="X111" i="2"/>
  <c r="X108" i="2"/>
  <c r="X107" i="2"/>
  <c r="X106" i="2"/>
  <c r="X105" i="2"/>
  <c r="X104" i="2"/>
  <c r="X103" i="2"/>
  <c r="X102" i="2"/>
  <c r="X101" i="2"/>
  <c r="W228" i="2"/>
  <c r="W227" i="2"/>
  <c r="W224" i="2"/>
  <c r="W214" i="2"/>
  <c r="W211" i="2"/>
  <c r="W205" i="2"/>
  <c r="W124" i="2"/>
  <c r="W114" i="2"/>
  <c r="W111" i="2"/>
  <c r="W108" i="2"/>
  <c r="W107" i="2"/>
  <c r="W106" i="2"/>
  <c r="W105" i="2"/>
  <c r="W104" i="2"/>
  <c r="W103" i="2"/>
  <c r="W102" i="2"/>
  <c r="W101" i="2"/>
  <c r="R228" i="2"/>
  <c r="R224" i="2"/>
  <c r="R211" i="2"/>
  <c r="R207" i="2"/>
  <c r="R124" i="2"/>
  <c r="R114" i="2"/>
  <c r="R111" i="2"/>
  <c r="R108" i="2"/>
  <c r="R107" i="2"/>
  <c r="R106" i="2"/>
  <c r="R105" i="2"/>
  <c r="R104" i="2"/>
  <c r="R103" i="2"/>
  <c r="R102" i="2"/>
  <c r="R101" i="2"/>
  <c r="P228" i="2"/>
  <c r="P227" i="2"/>
  <c r="P224" i="2"/>
  <c r="P214" i="2"/>
  <c r="P211" i="2"/>
  <c r="P207" i="2"/>
  <c r="P205" i="2"/>
  <c r="P124" i="2"/>
  <c r="P114" i="2"/>
  <c r="P111" i="2"/>
  <c r="P108" i="2"/>
  <c r="P107" i="2"/>
  <c r="P106" i="2"/>
  <c r="P105" i="2"/>
  <c r="P104" i="2"/>
  <c r="P103" i="2"/>
  <c r="P102" i="2"/>
  <c r="P101" i="2"/>
  <c r="N228" i="2"/>
  <c r="N227" i="2"/>
  <c r="N224" i="2"/>
  <c r="N214" i="2"/>
  <c r="N211" i="2"/>
  <c r="N207" i="2"/>
  <c r="N205" i="2"/>
  <c r="N124" i="2"/>
  <c r="N114" i="2"/>
  <c r="N111" i="2"/>
  <c r="N108" i="2"/>
  <c r="N107" i="2"/>
  <c r="N106" i="2"/>
  <c r="N105" i="2"/>
  <c r="N104" i="2"/>
  <c r="N103" i="2"/>
  <c r="N102" i="2"/>
  <c r="N101" i="2"/>
  <c r="O228" i="2"/>
  <c r="O227" i="2"/>
  <c r="O224" i="2"/>
  <c r="O214" i="2"/>
  <c r="O211" i="2"/>
  <c r="O207" i="2"/>
  <c r="O205" i="2"/>
  <c r="O124" i="2"/>
  <c r="O114" i="2"/>
  <c r="O111" i="2"/>
  <c r="O108" i="2"/>
  <c r="O107" i="2"/>
  <c r="O106" i="2"/>
  <c r="O105" i="2"/>
  <c r="O104" i="2"/>
  <c r="O103" i="2"/>
  <c r="O102" i="2"/>
  <c r="O101" i="2"/>
  <c r="M228" i="2"/>
  <c r="M227" i="2"/>
  <c r="M224" i="2"/>
  <c r="M211" i="2"/>
  <c r="M207" i="2"/>
  <c r="M205" i="2"/>
  <c r="M124" i="2"/>
  <c r="M114" i="2"/>
  <c r="M111" i="2"/>
  <c r="M108" i="2"/>
  <c r="M107" i="2"/>
  <c r="M106" i="2"/>
  <c r="M105" i="2"/>
  <c r="M104" i="2"/>
  <c r="M103" i="2"/>
  <c r="M102" i="2"/>
  <c r="M101" i="2"/>
  <c r="L228" i="2"/>
  <c r="L227" i="2"/>
  <c r="L224" i="2"/>
  <c r="L214" i="2"/>
  <c r="L211" i="2"/>
  <c r="L207" i="2"/>
  <c r="L205" i="2"/>
  <c r="L124" i="2"/>
  <c r="L114" i="2"/>
  <c r="L111" i="2"/>
  <c r="L108" i="2"/>
  <c r="L107" i="2"/>
  <c r="L106" i="2"/>
  <c r="L105" i="2"/>
  <c r="L104" i="2"/>
  <c r="L103" i="2"/>
  <c r="L102" i="2"/>
  <c r="L101" i="2"/>
  <c r="K228" i="2"/>
  <c r="K227" i="2"/>
  <c r="K224" i="2"/>
  <c r="K214" i="2"/>
  <c r="K211" i="2"/>
  <c r="K207" i="2"/>
  <c r="K205" i="2"/>
  <c r="K124" i="2"/>
  <c r="K114" i="2"/>
  <c r="K111" i="2"/>
  <c r="K108" i="2"/>
  <c r="K107" i="2"/>
  <c r="K106" i="2"/>
  <c r="K105" i="2"/>
  <c r="K104" i="2"/>
  <c r="K103" i="2"/>
  <c r="K102" i="2"/>
  <c r="K101" i="2"/>
  <c r="J101" i="2"/>
  <c r="J102" i="2"/>
  <c r="J103" i="2"/>
  <c r="J104" i="2"/>
  <c r="J105" i="2"/>
  <c r="J106" i="2"/>
  <c r="J107" i="2"/>
  <c r="J108" i="2"/>
  <c r="J111" i="2"/>
  <c r="J114" i="2"/>
  <c r="J124" i="2"/>
  <c r="J205" i="2"/>
  <c r="J207" i="2"/>
  <c r="J211" i="2"/>
  <c r="J214" i="2"/>
  <c r="J224" i="2"/>
  <c r="J227" i="2"/>
  <c r="J228" i="2"/>
  <c r="AX228" i="2"/>
  <c r="AW228" i="2"/>
  <c r="AX227" i="2"/>
  <c r="AW227" i="2"/>
  <c r="AX224" i="2"/>
  <c r="AW224" i="2"/>
  <c r="AX214" i="2"/>
  <c r="AW214" i="2"/>
  <c r="AX211" i="2"/>
  <c r="AW211" i="2"/>
  <c r="AX207" i="2"/>
  <c r="AW207" i="2"/>
  <c r="AX205" i="2"/>
  <c r="AW205" i="2"/>
  <c r="AX124" i="2"/>
  <c r="AW124" i="2"/>
  <c r="AX114" i="2"/>
  <c r="AW114" i="2"/>
  <c r="AX111" i="2"/>
  <c r="AW111" i="2"/>
  <c r="AX108" i="2"/>
  <c r="AW108" i="2"/>
  <c r="AX107" i="2"/>
  <c r="AW107" i="2"/>
  <c r="AX106" i="2"/>
  <c r="AW106" i="2"/>
  <c r="AX105" i="2"/>
  <c r="AW105" i="2"/>
  <c r="AX104" i="2"/>
  <c r="AW104" i="2"/>
  <c r="AX103" i="2"/>
  <c r="AW103" i="2"/>
  <c r="AX102" i="2"/>
  <c r="AW102" i="2"/>
  <c r="AX101" i="2"/>
  <c r="AW101" i="2"/>
  <c r="AV228" i="2"/>
  <c r="AV227" i="2"/>
  <c r="AV224" i="2"/>
  <c r="AV214" i="2"/>
  <c r="AV211" i="2"/>
  <c r="AV207" i="2"/>
  <c r="AV205" i="2"/>
  <c r="AV124" i="2"/>
  <c r="AV114" i="2"/>
  <c r="AV111" i="2"/>
  <c r="AV108" i="2"/>
  <c r="AV107" i="2"/>
  <c r="AV106" i="2"/>
  <c r="AV105" i="2"/>
  <c r="AV104" i="2"/>
  <c r="AV103" i="2"/>
  <c r="AV102" i="2"/>
  <c r="AV101" i="2"/>
  <c r="AU228" i="2"/>
  <c r="AU227" i="2"/>
  <c r="AU224" i="2"/>
  <c r="AU214" i="2"/>
  <c r="AU211" i="2"/>
  <c r="AU207" i="2"/>
  <c r="AU205" i="2"/>
  <c r="AU124" i="2"/>
  <c r="AU114" i="2"/>
  <c r="AU111" i="2"/>
  <c r="AU108" i="2"/>
  <c r="AU107" i="2"/>
  <c r="AU106" i="2"/>
  <c r="AU105" i="2"/>
  <c r="AU104" i="2"/>
  <c r="AU103" i="2"/>
  <c r="AU102" i="2"/>
  <c r="AU101" i="2"/>
  <c r="AZ228" i="2"/>
  <c r="AZ227" i="2"/>
  <c r="AZ224" i="2"/>
  <c r="AZ214" i="2"/>
  <c r="AZ211" i="2"/>
  <c r="AZ205" i="2"/>
  <c r="AZ124" i="2"/>
  <c r="AZ114" i="2"/>
  <c r="AZ111" i="2"/>
  <c r="AZ108" i="2"/>
  <c r="AZ107" i="2"/>
  <c r="AZ106" i="2"/>
  <c r="AZ105" i="2"/>
  <c r="AZ104" i="2"/>
  <c r="AZ103" i="2"/>
  <c r="AZ102" i="2"/>
  <c r="AZ101" i="2"/>
  <c r="AS228" i="2"/>
  <c r="AR228" i="2"/>
  <c r="AQ228" i="2"/>
  <c r="AP228" i="2"/>
  <c r="AO228" i="2"/>
  <c r="AN228" i="2"/>
  <c r="AM228" i="2"/>
  <c r="AS227" i="2"/>
  <c r="AR227" i="2"/>
  <c r="AQ227" i="2"/>
  <c r="AP227" i="2"/>
  <c r="AO227" i="2"/>
  <c r="AN227" i="2"/>
  <c r="AM227" i="2"/>
  <c r="AS224" i="2"/>
  <c r="AR224" i="2"/>
  <c r="AQ224" i="2"/>
  <c r="AP224" i="2"/>
  <c r="AO224" i="2"/>
  <c r="AN224" i="2"/>
  <c r="AM224" i="2"/>
  <c r="AS214" i="2"/>
  <c r="AR214" i="2"/>
  <c r="AQ214" i="2"/>
  <c r="AP214" i="2"/>
  <c r="AO214" i="2"/>
  <c r="AN214" i="2"/>
  <c r="AM214" i="2"/>
  <c r="AS211" i="2"/>
  <c r="AR211" i="2"/>
  <c r="AQ211" i="2"/>
  <c r="AP211" i="2"/>
  <c r="AO211" i="2"/>
  <c r="AN211" i="2"/>
  <c r="AM211" i="2"/>
  <c r="AS207" i="2"/>
  <c r="AR207" i="2"/>
  <c r="AQ207" i="2"/>
  <c r="AP207" i="2"/>
  <c r="AO207" i="2"/>
  <c r="AN207" i="2"/>
  <c r="AM207" i="2"/>
  <c r="AS205" i="2"/>
  <c r="AR205" i="2"/>
  <c r="AQ205" i="2"/>
  <c r="AP205" i="2"/>
  <c r="AO205" i="2"/>
  <c r="AN205" i="2"/>
  <c r="AM205" i="2"/>
  <c r="AS124" i="2"/>
  <c r="AR124" i="2"/>
  <c r="AQ124" i="2"/>
  <c r="AP124" i="2"/>
  <c r="AO124" i="2"/>
  <c r="AN124" i="2"/>
  <c r="AM124" i="2"/>
  <c r="AS114" i="2"/>
  <c r="AR114" i="2"/>
  <c r="AQ114" i="2"/>
  <c r="AP114" i="2"/>
  <c r="AO114" i="2"/>
  <c r="AN114" i="2"/>
  <c r="AM114" i="2"/>
  <c r="AS111" i="2"/>
  <c r="AR111" i="2"/>
  <c r="AQ111" i="2"/>
  <c r="AP111" i="2"/>
  <c r="AO111" i="2"/>
  <c r="AN111" i="2"/>
  <c r="AM111" i="2"/>
  <c r="AS108" i="2"/>
  <c r="AR108" i="2"/>
  <c r="AQ108" i="2"/>
  <c r="AP108" i="2"/>
  <c r="AO108" i="2"/>
  <c r="AN108" i="2"/>
  <c r="AM108" i="2"/>
  <c r="AS107" i="2"/>
  <c r="AR107" i="2"/>
  <c r="AQ107" i="2"/>
  <c r="AP107" i="2"/>
  <c r="AO107" i="2"/>
  <c r="AN107" i="2"/>
  <c r="AM107" i="2"/>
  <c r="AS106" i="2"/>
  <c r="AR106" i="2"/>
  <c r="AQ106" i="2"/>
  <c r="AP106" i="2"/>
  <c r="AO106" i="2"/>
  <c r="AN106" i="2"/>
  <c r="AM106" i="2"/>
  <c r="AS105" i="2"/>
  <c r="AR105" i="2"/>
  <c r="AQ105" i="2"/>
  <c r="AP105" i="2"/>
  <c r="AO105" i="2"/>
  <c r="AN105" i="2"/>
  <c r="AM105" i="2"/>
  <c r="AS104" i="2"/>
  <c r="AR104" i="2"/>
  <c r="AQ104" i="2"/>
  <c r="AP104" i="2"/>
  <c r="AO104" i="2"/>
  <c r="AN104" i="2"/>
  <c r="AM104" i="2"/>
  <c r="AS103" i="2"/>
  <c r="AR103" i="2"/>
  <c r="AQ103" i="2"/>
  <c r="AP103" i="2"/>
  <c r="AO103" i="2"/>
  <c r="AN103" i="2"/>
  <c r="AM103" i="2"/>
  <c r="AS102" i="2"/>
  <c r="AR102" i="2"/>
  <c r="AQ102" i="2"/>
  <c r="AP102" i="2"/>
  <c r="AO102" i="2"/>
  <c r="AN102" i="2"/>
  <c r="AM102" i="2"/>
  <c r="AS101" i="2"/>
  <c r="AR101" i="2"/>
  <c r="AQ101" i="2"/>
  <c r="AP101" i="2"/>
  <c r="AO101" i="2"/>
  <c r="AN101" i="2"/>
  <c r="AM101" i="2"/>
  <c r="AK228" i="2"/>
  <c r="AK227" i="2"/>
  <c r="AK224" i="2"/>
  <c r="AK214" i="2"/>
  <c r="AK211" i="2"/>
  <c r="AK207" i="2"/>
  <c r="AK205" i="2"/>
  <c r="AK124" i="2"/>
  <c r="AK114" i="2"/>
  <c r="AK111" i="2"/>
  <c r="AK108" i="2"/>
  <c r="AK107" i="2"/>
  <c r="AK106" i="2"/>
  <c r="AK105" i="2"/>
  <c r="AK104" i="2"/>
  <c r="AK103" i="2"/>
  <c r="AK102" i="2"/>
  <c r="AK101" i="2"/>
  <c r="AJ228" i="2"/>
  <c r="AJ227" i="2"/>
  <c r="AJ224" i="2"/>
  <c r="AJ214" i="2"/>
  <c r="AJ211" i="2"/>
  <c r="AJ207" i="2"/>
  <c r="AJ205" i="2"/>
  <c r="AJ124" i="2"/>
  <c r="AJ114" i="2"/>
  <c r="AJ111" i="2"/>
  <c r="AJ108" i="2"/>
  <c r="AJ107" i="2"/>
  <c r="AJ106" i="2"/>
  <c r="AJ105" i="2"/>
  <c r="AJ104" i="2"/>
  <c r="AJ103" i="2"/>
  <c r="AJ102" i="2"/>
  <c r="AJ101" i="2"/>
  <c r="AI228" i="2"/>
  <c r="AI227" i="2"/>
  <c r="AI224" i="2"/>
  <c r="AI214" i="2"/>
  <c r="AI211" i="2"/>
  <c r="AI207" i="2"/>
  <c r="AI205" i="2"/>
  <c r="AI124" i="2"/>
  <c r="AI114" i="2"/>
  <c r="AI111" i="2"/>
  <c r="AI108" i="2"/>
  <c r="AI107" i="2"/>
  <c r="AI106" i="2"/>
  <c r="AI105" i="2"/>
  <c r="AI104" i="2"/>
  <c r="AI103" i="2"/>
  <c r="AI102" i="2"/>
  <c r="AI101" i="2"/>
  <c r="AH228" i="2"/>
  <c r="AH227" i="2"/>
  <c r="AH224" i="2"/>
  <c r="AH214" i="2"/>
  <c r="AH211" i="2"/>
  <c r="AH207" i="2"/>
  <c r="AH205" i="2"/>
  <c r="AH124" i="2"/>
  <c r="AH114" i="2"/>
  <c r="AH111" i="2"/>
  <c r="AH108" i="2"/>
  <c r="AH107" i="2"/>
  <c r="AH106" i="2"/>
  <c r="AH105" i="2"/>
  <c r="AH104" i="2"/>
  <c r="AH103" i="2"/>
  <c r="AH102" i="2"/>
  <c r="AH101" i="2"/>
  <c r="AG228" i="2"/>
  <c r="AG227" i="2"/>
  <c r="AG224" i="2"/>
  <c r="AG214" i="2"/>
  <c r="AG211" i="2"/>
  <c r="AG207" i="2"/>
  <c r="AG205" i="2"/>
  <c r="AG124" i="2"/>
  <c r="AG114" i="2"/>
  <c r="AG111" i="2"/>
  <c r="AG108" i="2"/>
  <c r="AG107" i="2"/>
  <c r="AG106" i="2"/>
  <c r="AG105" i="2"/>
  <c r="AG104" i="2"/>
  <c r="AG103" i="2"/>
  <c r="AG102" i="2"/>
  <c r="AG101" i="2"/>
  <c r="AF228" i="2"/>
  <c r="AF227" i="2"/>
  <c r="AF224" i="2"/>
  <c r="AF214" i="2"/>
  <c r="AF211" i="2"/>
  <c r="AF207" i="2"/>
  <c r="AF205" i="2"/>
  <c r="AF124" i="2"/>
  <c r="AF114" i="2"/>
  <c r="AF111" i="2"/>
  <c r="AF108" i="2"/>
  <c r="AF107" i="2"/>
  <c r="AF106" i="2"/>
  <c r="AF105" i="2"/>
  <c r="AF104" i="2"/>
  <c r="AF103" i="2"/>
  <c r="AF102" i="2"/>
  <c r="AF101" i="2"/>
  <c r="AE228" i="2"/>
  <c r="AE227" i="2"/>
  <c r="AE224" i="2"/>
  <c r="AE214" i="2"/>
  <c r="AE211" i="2"/>
  <c r="AE207" i="2"/>
  <c r="AE205" i="2"/>
  <c r="AE124" i="2"/>
  <c r="AE114" i="2"/>
  <c r="AE111" i="2"/>
  <c r="AE108" i="2"/>
  <c r="AE107" i="2"/>
  <c r="AE106" i="2"/>
  <c r="AE105" i="2"/>
  <c r="AE104" i="2"/>
  <c r="AE103" i="2"/>
  <c r="AE102" i="2"/>
  <c r="AE101" i="2"/>
  <c r="AD228" i="2"/>
  <c r="AC228" i="2"/>
  <c r="AB228" i="2"/>
  <c r="AA228" i="2"/>
  <c r="I228" i="2"/>
  <c r="H228" i="2"/>
  <c r="G228" i="2"/>
  <c r="AD227" i="2" l="1"/>
  <c r="AD224" i="2"/>
  <c r="AD214" i="2"/>
  <c r="AD211" i="2"/>
  <c r="AD207" i="2"/>
  <c r="AD205" i="2"/>
  <c r="AD124" i="2"/>
  <c r="AD114" i="2"/>
  <c r="AD111" i="2"/>
  <c r="AD108" i="2"/>
  <c r="AD107" i="2"/>
  <c r="AD106" i="2"/>
  <c r="AD105" i="2"/>
  <c r="AD104" i="2"/>
  <c r="AD103" i="2"/>
  <c r="AD102" i="2"/>
  <c r="AD101" i="2"/>
  <c r="AC227" i="2"/>
  <c r="AC224" i="2"/>
  <c r="AC214" i="2"/>
  <c r="AC211" i="2"/>
  <c r="AC207" i="2"/>
  <c r="AC205" i="2"/>
  <c r="AC124" i="2"/>
  <c r="AC114" i="2"/>
  <c r="AC111" i="2"/>
  <c r="AC108" i="2"/>
  <c r="AC107" i="2"/>
  <c r="AC106" i="2"/>
  <c r="AC105" i="2"/>
  <c r="AC104" i="2"/>
  <c r="AC103" i="2"/>
  <c r="AC102" i="2"/>
  <c r="AC101" i="2"/>
  <c r="AB227" i="2"/>
  <c r="AB224" i="2"/>
  <c r="AB214" i="2"/>
  <c r="AB211" i="2"/>
  <c r="AB207" i="2"/>
  <c r="AB205" i="2"/>
  <c r="AB124" i="2"/>
  <c r="AB114" i="2"/>
  <c r="AB111" i="2"/>
  <c r="AB108" i="2"/>
  <c r="AB107" i="2"/>
  <c r="AB106" i="2"/>
  <c r="AB105" i="2"/>
  <c r="AB104" i="2"/>
  <c r="AB103" i="2"/>
  <c r="AB102" i="2"/>
  <c r="AB101" i="2"/>
  <c r="AA227" i="2"/>
  <c r="AA224" i="2"/>
  <c r="AA214" i="2"/>
  <c r="AA211" i="2"/>
  <c r="AA207" i="2"/>
  <c r="AA205" i="2"/>
  <c r="AA124" i="2"/>
  <c r="AA114" i="2"/>
  <c r="AA111" i="2"/>
  <c r="AA108" i="2"/>
  <c r="AA107" i="2"/>
  <c r="AA106" i="2"/>
  <c r="AA105" i="2"/>
  <c r="AA104" i="2"/>
  <c r="AA103" i="2"/>
  <c r="AA102" i="2"/>
  <c r="AA101" i="2"/>
  <c r="BC228" i="2"/>
  <c r="BC227" i="2"/>
  <c r="BC224" i="2"/>
  <c r="BC214" i="2"/>
  <c r="BC211" i="2"/>
  <c r="BC207" i="2"/>
  <c r="BC205" i="2"/>
  <c r="BC124" i="2"/>
  <c r="BC114" i="2"/>
  <c r="BC111" i="2"/>
  <c r="BC108" i="2"/>
  <c r="BC107" i="2"/>
  <c r="BC106" i="2"/>
  <c r="BC105" i="2"/>
  <c r="BC104" i="2"/>
  <c r="BC103" i="2"/>
  <c r="BC102" i="2"/>
  <c r="BC101" i="2"/>
  <c r="H205" i="2" l="1"/>
  <c r="I205" i="2"/>
  <c r="G205" i="2"/>
  <c r="I227" i="2"/>
  <c r="H227" i="2"/>
  <c r="G227" i="2"/>
  <c r="H207" i="2" l="1"/>
  <c r="I207" i="2"/>
  <c r="G207" i="2"/>
  <c r="I214" i="2"/>
  <c r="H224" i="2"/>
  <c r="I224" i="2"/>
  <c r="G224" i="2"/>
  <c r="I124" i="2" l="1"/>
  <c r="H133" i="2" l="1"/>
  <c r="G124" i="2"/>
  <c r="H221" i="2" l="1"/>
  <c r="H149" i="2"/>
  <c r="H150" i="2"/>
  <c r="H151" i="2"/>
  <c r="H152" i="2"/>
  <c r="H153" i="2"/>
  <c r="I114" i="2"/>
  <c r="I111" i="2"/>
  <c r="I104" i="2"/>
  <c r="I103" i="2"/>
  <c r="I102" i="2"/>
  <c r="I101" i="2"/>
  <c r="G104" i="2"/>
  <c r="G103" i="2"/>
  <c r="G102" i="2"/>
  <c r="G101" i="2"/>
  <c r="I105" i="2"/>
  <c r="I108" i="2"/>
  <c r="I107" i="2"/>
  <c r="I106" i="2"/>
  <c r="H218" i="2"/>
  <c r="G218" i="2"/>
  <c r="I211" i="2"/>
  <c r="H211" i="2"/>
  <c r="G211" i="2"/>
  <c r="H2" i="2" l="1"/>
  <c r="H42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7" i="2"/>
  <c r="H128" i="2"/>
  <c r="H129" i="2"/>
  <c r="H130" i="2"/>
  <c r="H131" i="2"/>
  <c r="H132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54" i="2"/>
  <c r="H155" i="2"/>
  <c r="H156" i="2"/>
  <c r="H157" i="2"/>
  <c r="H158" i="2"/>
  <c r="H159" i="2"/>
  <c r="H160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4" i="2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2" i="4"/>
  <c r="H103" i="2" l="1"/>
  <c r="H104" i="2"/>
  <c r="H102" i="2"/>
  <c r="H101" i="2"/>
  <c r="H106" i="2"/>
  <c r="H105" i="2"/>
  <c r="H107" i="2"/>
  <c r="H108" i="2"/>
</calcChain>
</file>

<file path=xl/sharedStrings.xml><?xml version="1.0" encoding="utf-8"?>
<sst xmlns="http://schemas.openxmlformats.org/spreadsheetml/2006/main" count="3034" uniqueCount="593">
  <si>
    <t>input_file</t>
  </si>
  <si>
    <t>input_file_time_step_in_days</t>
  </si>
  <si>
    <t>random</t>
  </si>
  <si>
    <t>random_choice</t>
  </si>
  <si>
    <t>simulation_period_in_days</t>
  </si>
  <si>
    <t>time_step_in_days</t>
  </si>
  <si>
    <t>forcing_constant_inputs</t>
  </si>
  <si>
    <t>constant_sucrose_input_rate</t>
  </si>
  <si>
    <t>constant_soil_temperature_in_Celsius</t>
  </si>
  <si>
    <t>nodules_option</t>
  </si>
  <si>
    <t>root_order_limitation</t>
  </si>
  <si>
    <t>root_order_treshold</t>
  </si>
  <si>
    <t>ArchiSimple</t>
  </si>
  <si>
    <t>ArchiSimple_C_fraction</t>
  </si>
  <si>
    <t>radial_growth</t>
  </si>
  <si>
    <t>recording_images</t>
  </si>
  <si>
    <t>classification_by_layers</t>
  </si>
  <si>
    <t>layers_z_min</t>
  </si>
  <si>
    <t>layers_z_max</t>
  </si>
  <si>
    <t>layers_thickness</t>
  </si>
  <si>
    <t>recording_interval_in_days</t>
  </si>
  <si>
    <t>plotting</t>
  </si>
  <si>
    <t>displayed_property</t>
  </si>
  <si>
    <t>displayed_min_value</t>
  </si>
  <si>
    <t>displayed_max_value</t>
  </si>
  <si>
    <t>log_scale</t>
  </si>
  <si>
    <t>color_map</t>
  </si>
  <si>
    <t>root_hairs_display</t>
  </si>
  <si>
    <t>camera_rotation</t>
  </si>
  <si>
    <t>camera_rotation_n_points</t>
  </si>
  <si>
    <t>x_center</t>
  </si>
  <si>
    <t>y_center</t>
  </si>
  <si>
    <t>z_center</t>
  </si>
  <si>
    <t>z_camera</t>
  </si>
  <si>
    <t>camera_distance</t>
  </si>
  <si>
    <t>step_back_coefficient</t>
  </si>
  <si>
    <t>initial_segment_length</t>
  </si>
  <si>
    <t>initial_C_sucrose_root</t>
  </si>
  <si>
    <t>initial_C_hexose_root</t>
  </si>
  <si>
    <t>D_ini</t>
  </si>
  <si>
    <t>Dmin</t>
  </si>
  <si>
    <t>D_adv_to_D_ini_ratio</t>
  </si>
  <si>
    <t>n_adventitious_roots</t>
  </si>
  <si>
    <t>ER</t>
  </si>
  <si>
    <t>EL</t>
  </si>
  <si>
    <t>IPD</t>
  </si>
  <si>
    <t>emergence_delay</t>
  </si>
  <si>
    <t>RMD</t>
  </si>
  <si>
    <t>CVDD</t>
  </si>
  <si>
    <t>SGC</t>
  </si>
  <si>
    <t>GDs</t>
  </si>
  <si>
    <t>LDs</t>
  </si>
  <si>
    <t>root_tissue_density</t>
  </si>
  <si>
    <t>struct_mass_C_content</t>
  </si>
  <si>
    <t>segment_length</t>
  </si>
  <si>
    <t>gravitropism_coefficient</t>
  </si>
  <si>
    <t>C_hexose_reserve_min</t>
  </si>
  <si>
    <t>C_hexose_reserve_max</t>
  </si>
  <si>
    <t>C_hexose_root_min_for_reserve</t>
  </si>
  <si>
    <t>growing_zone_factor</t>
  </si>
  <si>
    <t>T_ref_growth</t>
  </si>
  <si>
    <t>yield_growth</t>
  </si>
  <si>
    <t>Km_elongation</t>
  </si>
  <si>
    <t>relative_root_thickening_rate_max</t>
  </si>
  <si>
    <t>Km_thickening</t>
  </si>
  <si>
    <t>phloem_surfacic_fraction</t>
  </si>
  <si>
    <t>phloem_permeability</t>
  </si>
  <si>
    <t>Km_unloading</t>
  </si>
  <si>
    <t>surfacic_loading_rate_reference</t>
  </si>
  <si>
    <t>gamma_loading</t>
  </si>
  <si>
    <t>Km_loading</t>
  </si>
  <si>
    <t>max_immobilization_rate</t>
  </si>
  <si>
    <t>Km_immobilization</t>
  </si>
  <si>
    <t>max_mobilization_rate</t>
  </si>
  <si>
    <t>Km_mobilization</t>
  </si>
  <si>
    <t>resp_maintenance_max</t>
  </si>
  <si>
    <t>Km_maintenance</t>
  </si>
  <si>
    <t>symplasm_surfacic_fraction</t>
  </si>
  <si>
    <t>Pmax_apex</t>
  </si>
  <si>
    <t>gamma_exudation</t>
  </si>
  <si>
    <t>uptake_rate_max</t>
  </si>
  <si>
    <t>Km_uptake</t>
  </si>
  <si>
    <t>nodule_formation_probability</t>
  </si>
  <si>
    <t>nodule_max_radius</t>
  </si>
  <si>
    <t>relative_nodule_thickening_rate_max</t>
  </si>
  <si>
    <t>Km_nodule_thickening</t>
  </si>
  <si>
    <t>True</t>
  </si>
  <si>
    <t>False</t>
  </si>
  <si>
    <t>jet</t>
  </si>
  <si>
    <t>WHEAT</t>
  </si>
  <si>
    <t>n_seminal_roots</t>
  </si>
  <si>
    <t>Character / [no units]</t>
  </si>
  <si>
    <t>Type/ Unit</t>
  </si>
  <si>
    <t>Real number /days</t>
  </si>
  <si>
    <t>Boolean / [no units]</t>
  </si>
  <si>
    <t>Integer / [no units]</t>
  </si>
  <si>
    <t>Real number / mol of sucrose per second</t>
  </si>
  <si>
    <t>Real number / mol of C per mol of C</t>
  </si>
  <si>
    <t>Real number / meters</t>
  </si>
  <si>
    <t>Real number / [units of the selected property]</t>
  </si>
  <si>
    <t>Real number / [no units]</t>
  </si>
  <si>
    <t>Real number / [meters per meter per step]</t>
  </si>
  <si>
    <t>Real number / [meters per meter]</t>
  </si>
  <si>
    <t>Integer / [number of roots]</t>
  </si>
  <si>
    <t>Real number / number of roots per second</t>
  </si>
  <si>
    <t>Real number / meters of root per meter of radius per second-equivalent-to-T_ref_growth</t>
  </si>
  <si>
    <t>Real number / second-equivalent-to-T_ref_growth</t>
  </si>
  <si>
    <t>Real number / [square meters per square meters]</t>
  </si>
  <si>
    <t>Real number / second-equivalent-to-temperature-T_ref_growth x meter4 x gram-1</t>
  </si>
  <si>
    <t>Real number / degree Celsius</t>
  </si>
  <si>
    <t>Real number / meters per meter per second</t>
  </si>
  <si>
    <t>Real number / mol of respired CO2 per mol of C used for structural mass</t>
  </si>
  <si>
    <t>Explanation</t>
  </si>
  <si>
    <t>Time step used in the input file</t>
  </si>
  <si>
    <t>Total duration of the simulation</t>
  </si>
  <si>
    <t>Time step used in the simulation</t>
  </si>
  <si>
    <t>Constant input of sucrose to apply</t>
  </si>
  <si>
    <t>Constant soil temperature to apply</t>
  </si>
  <si>
    <t>Maximal order of roots that can emerge</t>
  </si>
  <si>
    <t>Fraction of the input of C provided as sucrose to the root system that is actually considered as "biomass" by ArchiSimple</t>
  </si>
  <si>
    <t>Minimal soil depth of the first soil layer</t>
  </si>
  <si>
    <t>Maximal soil depth of the last soil layer</t>
  </si>
  <si>
    <t>Thickness of each soil layer</t>
  </si>
  <si>
    <t>Time interval separating the automatic recording of simulation results</t>
  </si>
  <si>
    <t>Name of the variable to be displayed on the graph</t>
  </si>
  <si>
    <t>Minimum value of the displayed property on the scale</t>
  </si>
  <si>
    <t>Maximum value of the displayed property on the scale</t>
  </si>
  <si>
    <t>Name of the color range to apply to the scale of the graph</t>
  </si>
  <si>
    <t>Option to allow displaying root hairs (True/False)</t>
  </si>
  <si>
    <t>Option to introduce stochastic processes (True/False)</t>
  </si>
  <si>
    <t>Random seed to specify a repeatable random Option</t>
  </si>
  <si>
    <t>Option to set constant inputs and ignore input file (True/False)</t>
  </si>
  <si>
    <t>Option to allow nodule growth (True/False)</t>
  </si>
  <si>
    <t>Option to limit the emergence of roots of high orders (True/False)</t>
  </si>
  <si>
    <t>Option to allow radial growth (True/False)</t>
  </si>
  <si>
    <t>Option to allow recording the images from PlantGL over time (True/False)</t>
  </si>
  <si>
    <t>Option to allow computing the distribution of various variables per layers of soil (True/False)</t>
  </si>
  <si>
    <t>Option to allow the display of the root system in PlantGL (True/False)</t>
  </si>
  <si>
    <t>Option to set the scale of the graph as a logarithmic scale (True/False)</t>
  </si>
  <si>
    <t>Option to simulate with ArchiSimple only and ignore additional processes</t>
  </si>
  <si>
    <t>Option to allow rotating the camera around the root system (True/False)</t>
  </si>
  <si>
    <t>Total number of camera positions over its rotation around the root system</t>
  </si>
  <si>
    <t>x coordinate of the center of the graph relative to the growth start</t>
  </si>
  <si>
    <t>y coordinate of the center of the graph relative to the growth start</t>
  </si>
  <si>
    <t>z coordinate of the center of the graph relative to the growth start</t>
  </si>
  <si>
    <t>Initial z coordinate of the camera</t>
  </si>
  <si>
    <t>Initial distance of the camera</t>
  </si>
  <si>
    <t>Relative increase in distance of the camera for each new simulation step</t>
  </si>
  <si>
    <t>Length of the root segment of the initial root system at the beginning of the simulation</t>
  </si>
  <si>
    <t>Sucrose concentration of the root segment of the initial root system at the beginning of the simulation</t>
  </si>
  <si>
    <t>Hexose concentration of the root segment of the initial root system at the beginning of the simulation</t>
  </si>
  <si>
    <t>Diameter of the primary root</t>
  </si>
  <si>
    <t>Minimum diameter below which no root is allowed to emerge</t>
  </si>
  <si>
    <t>Total number of seminal roots</t>
  </si>
  <si>
    <t>Total number of adventitious roots</t>
  </si>
  <si>
    <t>Ratio between the mean diameter of adventitious roots and the diameter of the primary root</t>
  </si>
  <si>
    <t>Elongation rate of a given root relative to its diameter</t>
  </si>
  <si>
    <t>Inter primordia distance</t>
  </si>
  <si>
    <t>Time period below which a newly-formed root primordium cannot emerge</t>
  </si>
  <si>
    <t>Average ratio of the diameter of the daughter root to that of the mother root</t>
  </si>
  <si>
    <t>Relative variation of the daughter root diameter around its average value defined by the diameter of the mother root</t>
  </si>
  <si>
    <t>Proportionality coefficient between the section area of the segment and the sum of distal section areas, based on the pipe model</t>
  </si>
  <si>
    <t>Coefficient of life duration</t>
  </si>
  <si>
    <t>Root tissue density</t>
  </si>
  <si>
    <t>Carbon content of the dry structural mass</t>
  </si>
  <si>
    <t>Length of each root segment</t>
  </si>
  <si>
    <t>Coefficient of gravitropism (the higher it is, the faster the roots are growing downwards)</t>
  </si>
  <si>
    <t>Minimal concentration of hexose in the reserve pool</t>
  </si>
  <si>
    <t>Maximal concentration of hexose in the reserve pool</t>
  </si>
  <si>
    <t>Minimal concentration of hexose in the root below which no immobilization into the reserve pool can occur</t>
  </si>
  <si>
    <t>Relative ratio between the length of growing zone of the root (including meristem and elongation zone) and its radius</t>
  </si>
  <si>
    <t>Reference temperature for all root growth processes, which is supposed to correspond to the optimal temperature for maximizing potential growth in ArchiSimple</t>
  </si>
  <si>
    <t>Growth yield as defined by Thornley and Cannell (2000), which corresponds to the fraction of C used for biomass production as opposed to the fraction of C used for growth respiration</t>
  </si>
  <si>
    <t>Affinity constant (in terms of Michaelis-Menten formalism) for root elongation, corresponding to the concentration for which the rate is equal to half of the maximal rate</t>
  </si>
  <si>
    <t>Maximal rate of radial growth, expressed as the maximal relative increase of radius over time</t>
  </si>
  <si>
    <t>Affinity constant (in terms of Michaelis-Menten formalism) for radial growth, corresponding to the concentration for which the rate is equal to half of the maximal rate</t>
  </si>
  <si>
    <t>Proportionality coefficient between the total exchange surface of phloem tissues and the total external surface of the root</t>
  </si>
  <si>
    <t>Coefficient of "permeability" of phloem vessels</t>
  </si>
  <si>
    <t>Maximum unloading rate of sucrose through the surface of the phloem vessels</t>
  </si>
  <si>
    <t>Real number / mol of sucrose per square meter of phloem per second</t>
  </si>
  <si>
    <t>Exponential coefficient affecting the increase of loading with distance from the apex</t>
  </si>
  <si>
    <t>Affinity constant (in terms of Michaelis-Menten formalism) for phloem loading, corresponding to the concentration for which the rate is equal to half of the maximal rate</t>
  </si>
  <si>
    <t>Real number / [square meters per square meter]</t>
  </si>
  <si>
    <t>Maximal immobilization rate of hexose into the reserve pool</t>
  </si>
  <si>
    <t>Affinity constant (in terms of Michaelis-Menten formalism) for hexose immobilization, corresponding to the concentration for which the rate is equal to half of the maximal rate</t>
  </si>
  <si>
    <t>Affinity constant (in terms of Michaelis-Menten formalism) for hexose mobilization from reserve, corresponding to the concentration for which the rate is equal to half of the maximal rate</t>
  </si>
  <si>
    <t>Maximal mobilization rate of hexose from the reserve</t>
  </si>
  <si>
    <t>Maximal rate of maintenance respiration</t>
  </si>
  <si>
    <t>Affinity constant (in terms of Michaelis-Menten formalism) for maintenance respiration, corresponding to the concentration for which the rate is equal to half of the maximal rate</t>
  </si>
  <si>
    <t>Coefficient of permeability of root cortical and epidermal symplasm</t>
  </si>
  <si>
    <t>Exponential coefficient affecting the decrease of exudation with distance from the apex</t>
  </si>
  <si>
    <t>Maximal rate of hexose uptake from the soil-root interface</t>
  </si>
  <si>
    <t>Affinity constant (in terms of Michaelis-Menten formalism) for hexose uptake from the soil-root interface, corresponding to the concentration for which the rate is equal to half of the maximal rate</t>
  </si>
  <si>
    <t>Maximal rate of hexose consumption at the soil-root interface</t>
  </si>
  <si>
    <t>Affinity constant (in terms of Michaelis-Menten formalism) for hexose consumption at the soil-root interface, corresponding to the concentration for which the rate is equal to half of the maximal rate</t>
  </si>
  <si>
    <t>Real number / mol of sucrose per gram of root dry structural biomass</t>
  </si>
  <si>
    <t>Real number / gram of root dry structural mass per cubic meter</t>
  </si>
  <si>
    <t>Real number / mol of C per gram of root dry structural mass</t>
  </si>
  <si>
    <t>Real number / mol of hexose per gram of root dry structural mass</t>
  </si>
  <si>
    <t>Real number / gram of root dry structural biomass per square meter of phloem per second</t>
  </si>
  <si>
    <t>Real number / mol of hexose per gram of root dry structural mass per second</t>
  </si>
  <si>
    <t>Real number / gram of root dry structural biomass per square meter of symplasm per second</t>
  </si>
  <si>
    <t>Real number / [second per second]</t>
  </si>
  <si>
    <t>Plant genotype (not used in the simulation)</t>
  </si>
  <si>
    <t>main_roots_growth_extender</t>
  </si>
  <si>
    <t>pi</t>
  </si>
  <si>
    <t>D_sem_to_D_ini_ratio</t>
  </si>
  <si>
    <t>starting_time_for_adventitious_roots_emergence</t>
  </si>
  <si>
    <t>relative_process_value_at_T_ref_growth</t>
  </si>
  <si>
    <t>root_growth_T_ref</t>
  </si>
  <si>
    <t>root_growth_A</t>
  </si>
  <si>
    <t>root_growth_B</t>
  </si>
  <si>
    <t>root_growth_C</t>
  </si>
  <si>
    <t>root_hair_radius</t>
  </si>
  <si>
    <t>root_hair_max_length</t>
  </si>
  <si>
    <t>root_hairs_density</t>
  </si>
  <si>
    <t>root_hairs_elongation_rate</t>
  </si>
  <si>
    <t>root_hairs_lifespan</t>
  </si>
  <si>
    <t>resp_maintenance_max_T_ref</t>
  </si>
  <si>
    <t>resp_maintenance_max_A</t>
  </si>
  <si>
    <t>resp_maintenance_max_B</t>
  </si>
  <si>
    <t>resp_maintenance_max_C</t>
  </si>
  <si>
    <t>expected_C_sucrose_root</t>
  </si>
  <si>
    <t>expected_C_hexose_root</t>
  </si>
  <si>
    <t>expected_C_hexose_soil</t>
  </si>
  <si>
    <t>expected_C_hexose_reserve</t>
  </si>
  <si>
    <t>surfacic_unloading_rate_reference</t>
  </si>
  <si>
    <t>surfacic_unloading_rate_primordium</t>
  </si>
  <si>
    <t>phloem_permeability_T_ref</t>
  </si>
  <si>
    <t>phloem_permeability_A</t>
  </si>
  <si>
    <t>phloem_permeability_B</t>
  </si>
  <si>
    <t>phloem_permeability_C</t>
  </si>
  <si>
    <t>max_loading_rate_T_ref</t>
  </si>
  <si>
    <t>max_loading_rate_A</t>
  </si>
  <si>
    <t>max_loading_rate_B</t>
  </si>
  <si>
    <t>max_loading_rate_C</t>
  </si>
  <si>
    <t>max_immobilization_rate_T_ref</t>
  </si>
  <si>
    <t>max_immobilization_rate_A</t>
  </si>
  <si>
    <t>max_immobilization_rate_B</t>
  </si>
  <si>
    <t>max_immobilization_rate_C</t>
  </si>
  <si>
    <t>max_mobilization_rate_T_ref</t>
  </si>
  <si>
    <t>max_mobilization_rate_A</t>
  </si>
  <si>
    <t>max_mobilization_rate_B</t>
  </si>
  <si>
    <t>max_mobilization_rate_C</t>
  </si>
  <si>
    <t>expected_exudation_efflux</t>
  </si>
  <si>
    <t>permeability_coeff_T_ref</t>
  </si>
  <si>
    <t>permeability_coeff_A</t>
  </si>
  <si>
    <t>permeability_coeff_B</t>
  </si>
  <si>
    <t>permeability_coeff_C</t>
  </si>
  <si>
    <t>uptake_rate_max_T_ref</t>
  </si>
  <si>
    <t>uptake_rate_max_A</t>
  </si>
  <si>
    <t>uptake_rate_max_B</t>
  </si>
  <si>
    <t>uptake_rate_max_C</t>
  </si>
  <si>
    <t>secretion_rate_max</t>
  </si>
  <si>
    <t>secretion_rate_max_T_ref</t>
  </si>
  <si>
    <t>secretion_rate_max_A</t>
  </si>
  <si>
    <t>secretion_rate_max_B</t>
  </si>
  <si>
    <t>secretion_rate_max_C</t>
  </si>
  <si>
    <t>Km_secretion</t>
  </si>
  <si>
    <t>gamma_secretion</t>
  </si>
  <si>
    <t>surfacic_cells_release_rate</t>
  </si>
  <si>
    <t>surfacic_cells_release_rate_T_ref</t>
  </si>
  <si>
    <t>surfacic_cells_release_rate_A</t>
  </si>
  <si>
    <t>surfacic_cells_release_rate_B</t>
  </si>
  <si>
    <t>surfacic_cells_release_rate_C</t>
  </si>
  <si>
    <t>C_cells_soil_max</t>
  </si>
  <si>
    <t>hexose_degradation_rate_max</t>
  </si>
  <si>
    <t>hexose_degradation_rate_max_T_ref</t>
  </si>
  <si>
    <t>hexose_degradation_rate_max_A</t>
  </si>
  <si>
    <t>hexose_degradation_rate_max_B</t>
  </si>
  <si>
    <t>hexose_degradation_rate_max_C</t>
  </si>
  <si>
    <t>Km_hexose_degradation</t>
  </si>
  <si>
    <t>mucilage_degradation_rate_max</t>
  </si>
  <si>
    <t>mucilage_degradation_rate_max_T_ref</t>
  </si>
  <si>
    <t>mucilage_degradation_rate_max_A</t>
  </si>
  <si>
    <t>mucilage_degradation_rate_max_B</t>
  </si>
  <si>
    <t>mucilage_degradation_rate_max_C</t>
  </si>
  <si>
    <t>Km_mucilage_degradation</t>
  </si>
  <si>
    <t>cells_degradation_rate_max</t>
  </si>
  <si>
    <t>cells_degradation_rate_max_T_ref</t>
  </si>
  <si>
    <t>cells_degradation_rate_max_A</t>
  </si>
  <si>
    <t>cells_degradation_rate_max_B</t>
  </si>
  <si>
    <t>cells_degradation_rate_max_C</t>
  </si>
  <si>
    <t>Km_cells_degradation</t>
  </si>
  <si>
    <t>Ratio between the mean diameter of seminal roots and the diameter of the primary root</t>
  </si>
  <si>
    <t>List from 'updated_parameters.csv'</t>
  </si>
  <si>
    <t>List from 'scenario_as_columns' sheet</t>
  </si>
  <si>
    <t>Missing parameters in 'scenario_as_columns' sheet</t>
  </si>
  <si>
    <t>Time period below which no primordium of adventitious roots can emerge</t>
  </si>
  <si>
    <t>Relative value of a growth process when reaching the soil temperature of T_ref_growth (1 by default)</t>
  </si>
  <si>
    <t>Mean radius of a root hair</t>
  </si>
  <si>
    <t>Maximal length of a root hair</t>
  </si>
  <si>
    <t>Maximal elongation rate of a root hair</t>
  </si>
  <si>
    <t>Life duration of a root hair</t>
  </si>
  <si>
    <t>Real number / number of hairs par meter of root per meter of root radius</t>
  </si>
  <si>
    <t>Coefficient of density of root hairs along a root</t>
  </si>
  <si>
    <t>Real number / seconds</t>
  </si>
  <si>
    <t>Real number / meters of hair per meter of root radius per second</t>
  </si>
  <si>
    <t>Reference temperature for setting the temperature-dependence of the maximal rate of maintenance respiration</t>
  </si>
  <si>
    <t>Coefficient A used for setting the temperature-dependence of the maximal rate of maintenance respiration</t>
  </si>
  <si>
    <t>Coefficient B used for setting the temperature-dependence of the maximal rate of maintenance respiration</t>
  </si>
  <si>
    <t>Real number / per degree Celsius</t>
  </si>
  <si>
    <t>Coefficient C used for setting the temperature-dependence of the maximal rate of maintenance respiration (0 / 1)</t>
  </si>
  <si>
    <t>Reference temperature for setting the temperature-dependence of hexose immobilization</t>
  </si>
  <si>
    <t>Coefficient A used for setting the temperature-dependence of hexose immobilization</t>
  </si>
  <si>
    <t>Coefficient B used for setting the temperature-dependence of hexose immobilization</t>
  </si>
  <si>
    <t>Coefficient C used for setting the temperature-dependence of hexose immobilization (0 / 1)</t>
  </si>
  <si>
    <t>Reference temperature for setting the temperature-dependence of hexose mobilization</t>
  </si>
  <si>
    <t>Coefficient A used for setting the temperature-dependence of hexose mobilization</t>
  </si>
  <si>
    <t>Coefficient B used for setting the temperature-dependence of hexose mobilization</t>
  </si>
  <si>
    <t>Coefficient C used for setting the temperature-dependence of hexose mobilization (0 / 1)</t>
  </si>
  <si>
    <t>Reference temperature for setting the temperature-dependence of phloem unloading</t>
  </si>
  <si>
    <t>Coefficient A used for setting the temperature-dependence of phloem unloading</t>
  </si>
  <si>
    <t>Coefficient B used for setting the temperature-dependence of phloem unloading</t>
  </si>
  <si>
    <t>Coefficient C used for setting the temperature-dependence of phloem unloading (0 / 1)</t>
  </si>
  <si>
    <t>Reference temperature for setting the temperature-dependence of phloem loading</t>
  </si>
  <si>
    <t>Coefficient A used for setting the temperature-dependence of phloem loading</t>
  </si>
  <si>
    <t>Coefficient B used for setting the temperature-dependence of phloem loading</t>
  </si>
  <si>
    <t>Coefficient C used for setting the temperature-dependence of phloem loading (0 / 1)</t>
  </si>
  <si>
    <t>Reference temperature for setting the temperature-dependence of exudation rate</t>
  </si>
  <si>
    <t>Coefficient A used for setting the temperature-dependence of exudation rate</t>
  </si>
  <si>
    <t>Coefficient B used for setting the temperature-dependence of exudation rate</t>
  </si>
  <si>
    <t>Coefficient C used for setting the temperature-dependence of exudation rate (0 / 1)</t>
  </si>
  <si>
    <t>Reference temperature for setting the temperature-dependence of the maximal rate of hexose uptake</t>
  </si>
  <si>
    <t>Coefficient A used for setting the temperature-dependence of the maximal rate of hexose uptake</t>
  </si>
  <si>
    <t>Coefficient B used for setting the temperature-dependence of the maximal rate of hexose uptake</t>
  </si>
  <si>
    <t>Coefficient C used for setting the temperature-dependence of the maximal rate of hexose uptake (0 / 1)</t>
  </si>
  <si>
    <t>Maximum rate of mucilage secretion</t>
  </si>
  <si>
    <t>Real number / mol of hexose per square meter per second</t>
  </si>
  <si>
    <t>Reference temperature for setting the temperature-dependence of the maximal rate of mucilage secretion</t>
  </si>
  <si>
    <t>Coefficient A used for setting the temperature-dependence of the maximal rate of mucilage secretion</t>
  </si>
  <si>
    <t>Coefficient B used for setting the temperature-dependence of the maximal rate of mucilage secretion</t>
  </si>
  <si>
    <t>Coefficient C used for setting the temperature-dependence of the maximal rate of mucilage secretion (0 / 1)</t>
  </si>
  <si>
    <t>Reference temperature for setting the temperature-dependence of the maximal rate of cells release</t>
  </si>
  <si>
    <t>Coefficient A used for setting the temperature-dependence of the maximal rate of cells release</t>
  </si>
  <si>
    <t>Coefficient B used for setting the temperature-dependence of the maximal rate of cells release</t>
  </si>
  <si>
    <t>Coefficient C used for setting the temperature-dependence of the maximal rate of cells release (0 / 1)</t>
  </si>
  <si>
    <t>Reference temperature for setting the temperature-dependence of the maximal rate of hexose degradation</t>
  </si>
  <si>
    <t>Coefficient A used for setting the temperature-dependence of the maximal rate of hexose degradation</t>
  </si>
  <si>
    <t>Coefficient B used for setting the temperature-dependence of the maximal rate of hexose degradation</t>
  </si>
  <si>
    <t>Coefficient C used for setting the temperature-dependence of the maximal rate of hexose degradation (0 / 1)</t>
  </si>
  <si>
    <t>Reference temperature for setting the temperature-dependence of the maximal rate of mucilage degradation</t>
  </si>
  <si>
    <t>Coefficient A used for setting the temperature-dependence of the maximal rate of mucilage degradation</t>
  </si>
  <si>
    <t>Coefficient B used for setting the temperature-dependence of the maximal rate of mucilage degradation</t>
  </si>
  <si>
    <t>Coefficient C used for setting the temperature-dependence of the maximal rate of mucilage degradation (0 / 1)</t>
  </si>
  <si>
    <t>Reference temperature for setting the temperature-dependence of the maximal rate of root cells degradation</t>
  </si>
  <si>
    <t>Coefficient A used for setting the temperature-dependence of the maximal rate of root cells degradation</t>
  </si>
  <si>
    <t>Coefficient B used for setting the temperature-dependence of the maximal rate of root cells degradation</t>
  </si>
  <si>
    <t>Coefficient C used for setting the temperature-dependence of the maximal rate of root cells degradation (0 / 1)</t>
  </si>
  <si>
    <t>Affinity constant (in terms of Michaelis-Menten formalism) for mucilage secretion, corresponding to the concentration for which the rate is equal to half of the maximal rate</t>
  </si>
  <si>
    <t>Exponential coefficient affecting the secretion of mucilage with the distance from the apex</t>
  </si>
  <si>
    <t>Maximum rate of root cells release</t>
  </si>
  <si>
    <t>Real number / mol of equivalent hexose per square meter per second</t>
  </si>
  <si>
    <t>Maximal concentration of root cells in soil, above which no release of cells is possible</t>
  </si>
  <si>
    <t>Real number / mol of equivalent-hexose per gram of root dry structural mass</t>
  </si>
  <si>
    <t>Maximal rate of mucilage degradation at the soil-root interface</t>
  </si>
  <si>
    <t>Maximal rate of root cells degradation at the soil-root interface</t>
  </si>
  <si>
    <t>Real number / mol of equivalent hexose per gram of root dry structural mass per second</t>
  </si>
  <si>
    <t>Affinity constant (in terms of Michaelis-Menten formalism) for mucilage degradation at the soil-root interface, corresponding to the concentration for which the rate is equal to half of the maximal rate</t>
  </si>
  <si>
    <t>Real number / mol of equivalent hexose per gram of root dry structural mass</t>
  </si>
  <si>
    <t>Affinity constant (in terms of Michaelis-Menten formalism) for cells degradation at the soil-root interface, corresponding to the concentration for which the rate is equal to half of the maximal rate</t>
  </si>
  <si>
    <t>Plant_genotype</t>
  </si>
  <si>
    <t>using_solver</t>
  </si>
  <si>
    <t>Option to use a solver for calculating the equilibrium C concentrations at each time step and for each root element</t>
  </si>
  <si>
    <t>printing_solver_outputs</t>
  </si>
  <si>
    <t>Option to print the outputs of the solver</t>
  </si>
  <si>
    <t>stelar_parenchyma_surfacic_fraction</t>
  </si>
  <si>
    <t>cortical_parenchyma_surfacic_fraction</t>
  </si>
  <si>
    <t>epidermal_parenchyma_surfacic_fraction</t>
  </si>
  <si>
    <t>Proportionality coefficient between the total exchange surface of stelar parenchyma and the total external surface of the root</t>
  </si>
  <si>
    <t>Proportionality coefficient between the total exchange surface of cortical parenchyma and the total external surface of the root</t>
  </si>
  <si>
    <t>Proportionality coefficient between the total exchange surface of epidermis and the total external surface of the root</t>
  </si>
  <si>
    <t>Option to record the properties of each node in an Excel file, for each time step</t>
  </si>
  <si>
    <t>Option to record the MTG in a pickle file, for each time step</t>
  </si>
  <si>
    <t>recording_MTG_properties</t>
  </si>
  <si>
    <t>recording_MTG_files</t>
  </si>
  <si>
    <t>printing_warnings</t>
  </si>
  <si>
    <t>Option to print all warnings</t>
  </si>
  <si>
    <t>Reference_value</t>
  </si>
  <si>
    <t>initial_apex_length</t>
  </si>
  <si>
    <t>Length of the apex of the initial root system at the beginning of the simulation</t>
  </si>
  <si>
    <t>Emission rate of seminal/adventitious roots over time</t>
  </si>
  <si>
    <t>total_exchange_surface_with_soil_solution</t>
  </si>
  <si>
    <t>meristem_limite_zone_factor</t>
  </si>
  <si>
    <t>Ratio between the length of the meristem zone and root radius</t>
  </si>
  <si>
    <t>relative_conductance_at_meristem</t>
  </si>
  <si>
    <t>Relative conductance of cell walls in the meristem zone</t>
  </si>
  <si>
    <t>start_thermal_time_for_endodermis_formation</t>
  </si>
  <si>
    <t>Thermal age of root cells at which the formation of endodermis starts</t>
  </si>
  <si>
    <t>end_thermal_time_for_endodermis_formation</t>
  </si>
  <si>
    <t>Thermal age of root cells at which the formation of endodermis ends</t>
  </si>
  <si>
    <t>start_thermal_time_for_exodermis_formation</t>
  </si>
  <si>
    <t>Thermal age of root cells at which the formation of exodermis starts</t>
  </si>
  <si>
    <t>end_thermal_time_for_exodermis_formation</t>
  </si>
  <si>
    <t>Thermal age of root cells at which the formation of exodermis ends</t>
  </si>
  <si>
    <t>max_thermal_time_since_endodermis_disruption</t>
  </si>
  <si>
    <t>Thermal time above which no endodermis disruption in the mother root is considered anymore once a lateral root has started to emerge</t>
  </si>
  <si>
    <t>max_thermal_time_since_exodermis_disruption</t>
  </si>
  <si>
    <t>Thermal time above which no exodermis disruption in the mother root is considered anymore once a lateral root has started to emerge</t>
  </si>
  <si>
    <t>Real number / meters per square meter</t>
  </si>
  <si>
    <t>GD_low</t>
  </si>
  <si>
    <t>GD_medium</t>
  </si>
  <si>
    <t>GD_high</t>
  </si>
  <si>
    <t>Growth duration for short-growing roots</t>
  </si>
  <si>
    <t>Growth duration for long-growing roots</t>
  </si>
  <si>
    <t>Growth duration for seminal and adventitious roots</t>
  </si>
  <si>
    <t>forcing_seminal_roots_events</t>
  </si>
  <si>
    <t>Option to force the regular apparition of seminal roots with ER parameter (True/False)</t>
  </si>
  <si>
    <t>forcing_adventitious_roots_events</t>
  </si>
  <si>
    <t>Option to force the regular apparition of adventitious roots with ER parameter (True/False)</t>
  </si>
  <si>
    <t>GD_prob_low</t>
  </si>
  <si>
    <t>GD_prob_medium</t>
  </si>
  <si>
    <t>GD_highest</t>
  </si>
  <si>
    <t>Coefficient of growth duration extension, by which the theoretical growth duration is multiplied for seminal and adventitious roots</t>
  </si>
  <si>
    <t>GD_by_frequency</t>
  </si>
  <si>
    <t>Growth duration for intermediate-growing roots</t>
  </si>
  <si>
    <t>Probability of getting the GD_low value</t>
  </si>
  <si>
    <t>Probability of getting the GD_low or the GD_medium value</t>
  </si>
  <si>
    <t>Real number / second-equivalent-to-temperature-T_ref_growth per square meter of diameter</t>
  </si>
  <si>
    <t>Coefficient of growth duration relative to the square of the root radius</t>
  </si>
  <si>
    <t>Option to force the growth duration to be defined according to a few possible values, depending on their respective probability</t>
  </si>
  <si>
    <t>endodermis_a</t>
  </si>
  <si>
    <t>Maximal relative resistance (%) of endodermis to apoplastic transport (100% = no apoplastic transport)</t>
  </si>
  <si>
    <t>endodermis_b</t>
  </si>
  <si>
    <t>Gompertz parameter b for endodermis - period since cells formation before the significant increase in relative resistance due to endodermis formation</t>
  </si>
  <si>
    <t>endodermis_c</t>
  </si>
  <si>
    <t>Gompertz parameter c for endodermis - slope of the significant increase in relative resistance due to endodermis formation</t>
  </si>
  <si>
    <t>exodermis_a</t>
  </si>
  <si>
    <t>Maximal relative resistance (%) of exodermis to apoplastic transport (100% = no apoplastic transport)</t>
  </si>
  <si>
    <t>exodermis_b</t>
  </si>
  <si>
    <t>Gompertz parameter b for exodermis - period since cells formation before the significant increase in relative resistance due to endodermis formation</t>
  </si>
  <si>
    <t>exodermis_c</t>
  </si>
  <si>
    <t>Gompertz parameter c for exodermis - slope of the significant increase in relative resistance due to endodermis formation</t>
  </si>
  <si>
    <t>Real number / %</t>
  </si>
  <si>
    <t>Real number / seconds-equivalent-to-T_ref_growth</t>
  </si>
  <si>
    <t>Real number / seconds-1 (equivalent-to-T_ref_growth)</t>
  </si>
  <si>
    <t>C_hexose_root</t>
  </si>
  <si>
    <t>PlantGL_window_width</t>
  </si>
  <si>
    <t>PlantGL_window_height</t>
  </si>
  <si>
    <t>Width of the window opened by PlantGL to display the graph (and eventually of the image that will be registered)</t>
  </si>
  <si>
    <t>Height of the window opened by PlantGL to display the graph (and eventually of the image that will be registered)</t>
  </si>
  <si>
    <t>reference_rate_of_hexose_consumption_by_growth</t>
  </si>
  <si>
    <t>Reference rate of hexose consumption for growth (used to proportionnally increase the permeability of phloem according to the actual rate of hexose consumption)</t>
  </si>
  <si>
    <t>Real number / mol of hexose per second</t>
  </si>
  <si>
    <t>max_unloading_rate</t>
  </si>
  <si>
    <t>Affinity constant (in terms of Michaelis-Menten formalism) for phloem unloading, corresponding to the concentration for which the rate is equal to half of the maximal rate</t>
  </si>
  <si>
    <t>Real number / mol of sucrose per gram of root dry structural mass</t>
  </si>
  <si>
    <t>Name of the root MTG file to be loaded (if the option above has been declared True)</t>
  </si>
  <si>
    <t>unloading_by_diffusion</t>
  </si>
  <si>
    <t>Option to select a diffusion process rather than a Michaelis-Menten to describe phloem unloading (True/False)</t>
  </si>
  <si>
    <t>starting_time_in_days</t>
  </si>
  <si>
    <t xml:space="preserve">Time in the input file at which the simulation will start </t>
  </si>
  <si>
    <t>C_hexose_min_for_elongation</t>
  </si>
  <si>
    <t>Treshold hexose concentration for elongation, below which no elongation occurs</t>
  </si>
  <si>
    <t>C_hexose_min_for_thickening</t>
  </si>
  <si>
    <t>Treshold hexose concentration for elongation, below which no thickening occurs</t>
  </si>
  <si>
    <t>mycorrhizal_fungus</t>
  </si>
  <si>
    <t>Option to allow interaction with mycorrhizal fungi (True/False)</t>
  </si>
  <si>
    <t>Option to artiticially rehomogenize the concentrations of sugars along the roots at the end of the time step (True/False)</t>
  </si>
  <si>
    <t>background_color</t>
  </si>
  <si>
    <t>RGB vector describing the color of the background of the MTG (from 0 to 255 for each value, 0=black and 255=white)</t>
  </si>
  <si>
    <t>3D vector / [no units]</t>
  </si>
  <si>
    <t>[94,76,64]</t>
  </si>
  <si>
    <t>homogenizing_root_sugar_concentrations</t>
  </si>
  <si>
    <t>homogenizing_soil_concentrations</t>
  </si>
  <si>
    <t>Option to artiticially rehomogenize the concentrations of rhizodeposits along the roots at the end of the time step (True/False)</t>
  </si>
  <si>
    <t>Real number /degree Celsius</t>
  </si>
  <si>
    <t>renewal_of_soil_solution</t>
  </si>
  <si>
    <t>Option to artificially renew the soil solution and set the rhizodeposits concentrations to 0, at regular interval of time</t>
  </si>
  <si>
    <t>interval_between_renewal_events</t>
  </si>
  <si>
    <t>Interval of time between two soil solution's renewal events</t>
  </si>
  <si>
    <t>Input</t>
  </si>
  <si>
    <t>Input_type</t>
  </si>
  <si>
    <t>parameter</t>
  </si>
  <si>
    <t>input_tables</t>
  </si>
  <si>
    <t>input_mtg</t>
  </si>
  <si>
    <t>meteo_Ljutovac2002.csv</t>
  </si>
  <si>
    <t>Input file containing soil temperature evolution over time for the soil model</t>
  </si>
  <si>
    <t>root_3_leaves.pckl</t>
  </si>
  <si>
    <t>soil_temperature</t>
  </si>
  <si>
    <t>°C</t>
  </si>
  <si>
    <t>root_mtg_file</t>
  </si>
  <si>
    <t>Dedicated_to</t>
  </si>
  <si>
    <t>root_bridges</t>
  </si>
  <si>
    <t>Organ_label</t>
  </si>
  <si>
    <t>None</t>
  </si>
  <si>
    <t>adim</t>
  </si>
  <si>
    <t>mol.m-3</t>
  </si>
  <si>
    <t>Mineral nitrogen concentration in a located patch in soil</t>
  </si>
  <si>
    <t>patch_depth_mineralN</t>
  </si>
  <si>
    <t>Depth of a nitrate patch in soil</t>
  </si>
  <si>
    <t>m</t>
  </si>
  <si>
    <t>patch_uniform_width_mineralN</t>
  </si>
  <si>
    <t>Width of the zone of the patch with uniform concentration of nitrate</t>
  </si>
  <si>
    <t>patch_transition_mineralN</t>
  </si>
  <si>
    <t>Variance of the normal law smooting the boundary transition of a nitrate patch with the background concentration</t>
  </si>
  <si>
    <t>Km_elongation_amino_acids</t>
  </si>
  <si>
    <t>Affinity constant for root elongation regarding amino_acids consumption</t>
  </si>
  <si>
    <t>mol.g-1 DW</t>
  </si>
  <si>
    <t>span_N_regulation</t>
  </si>
  <si>
    <t>Variation range of concentration during which Km changes occur</t>
  </si>
  <si>
    <t>mol.g-1</t>
  </si>
  <si>
    <t>diffusion_soil</t>
  </si>
  <si>
    <t>Diffusion paramenter for exchanges between cortex symplasm and soil solution</t>
  </si>
  <si>
    <t>g.s-1.m-2</t>
  </si>
  <si>
    <t>diffusion_phloem</t>
  </si>
  <si>
    <t>Diffusion paramenter for exchanges between phloem symplasm and cortex symplasm</t>
  </si>
  <si>
    <t>diffusion_xylem</t>
  </si>
  <si>
    <t>Diffusion paramenter for exchanges between xylem apoplasm and cortex symplasm</t>
  </si>
  <si>
    <t>g.s-1.m-3</t>
  </si>
  <si>
    <t>vmax_Nm_xylem</t>
  </si>
  <si>
    <t>Vmax parameter for mineral nitrogen xylem loading</t>
  </si>
  <si>
    <t>mol.s-1.m-2</t>
  </si>
  <si>
    <t>start_distance_for_endodermis_factor</t>
  </si>
  <si>
    <t>Ratio between the distance from tip where barriers formation starts/ends, and root radius</t>
  </si>
  <si>
    <t>end_distance_for_endodermis_factor</t>
  </si>
  <si>
    <t>start_distance_for_exodermis_factor</t>
  </si>
  <si>
    <t>end_distance_for_exodermis_factor</t>
  </si>
  <si>
    <t>WB_Reference</t>
  </si>
  <si>
    <t>Wheat_Reference_Rhizodep</t>
  </si>
  <si>
    <t>SIGMA_SUCROSE</t>
  </si>
  <si>
    <t>cnwheat</t>
  </si>
  <si>
    <t xml:space="preserve">Conductance parameter </t>
  </si>
  <si>
    <t>g2.mol-1.m-2.s-1</t>
  </si>
  <si>
    <t>roots</t>
  </si>
  <si>
    <t>max_loading_rate</t>
  </si>
  <si>
    <t>water_moisture_patch</t>
  </si>
  <si>
    <t>water moisture in a located patch in soil</t>
  </si>
  <si>
    <t>patch_depth_water_moisture</t>
  </si>
  <si>
    <t>Depth of a water moisture patch in soil</t>
  </si>
  <si>
    <t>patch_uniform_width_water_moisture</t>
  </si>
  <si>
    <t>Width of the zone of the patch with uniform water moisture</t>
  </si>
  <si>
    <t>patch_transition_water_moisture</t>
  </si>
  <si>
    <t>Variance of the normal law smooting the boundary transition of a moisture patch with the background concentration</t>
  </si>
  <si>
    <t>smax_AA</t>
  </si>
  <si>
    <t>Maximal rate of amino acid synthesis in the root segment</t>
  </si>
  <si>
    <t>soil_moisture</t>
  </si>
  <si>
    <t>dissolved_mineral_N</t>
  </si>
  <si>
    <t>dissolved_mineral_N_patch</t>
  </si>
  <si>
    <t>g.g-1</t>
  </si>
  <si>
    <t>Intitialization soil nitrate content</t>
  </si>
  <si>
    <t>initialization soil water content</t>
  </si>
  <si>
    <t>m3.m-3</t>
  </si>
  <si>
    <t>DOC</t>
  </si>
  <si>
    <t>DON</t>
  </si>
  <si>
    <t>WB_S1</t>
  </si>
  <si>
    <t>WB_R2</t>
  </si>
  <si>
    <t>WB_R3</t>
  </si>
  <si>
    <t>WB_R4</t>
  </si>
  <si>
    <t>WB_R5</t>
  </si>
  <si>
    <t>WB_R6</t>
  </si>
  <si>
    <t>WB_R7</t>
  </si>
  <si>
    <t>WB_R8</t>
  </si>
  <si>
    <t>WB_R9</t>
  </si>
  <si>
    <t>WB_R10</t>
  </si>
  <si>
    <t>WB_R11</t>
  </si>
  <si>
    <t>WB_R12</t>
  </si>
  <si>
    <t>WB_R13</t>
  </si>
  <si>
    <t>WB_R14</t>
  </si>
  <si>
    <t>WB_R15</t>
  </si>
  <si>
    <t>WB_R16</t>
  </si>
  <si>
    <t>WB_R17</t>
  </si>
  <si>
    <t>WB_R18</t>
  </si>
  <si>
    <t>WB_R19</t>
  </si>
  <si>
    <t>mol.s-1.g-1</t>
  </si>
  <si>
    <t>WB_R17_patch</t>
  </si>
  <si>
    <t>WB_R21</t>
  </si>
  <si>
    <t>WB_R22</t>
  </si>
  <si>
    <t>WB_R23</t>
  </si>
  <si>
    <t>WB_R24</t>
  </si>
  <si>
    <t>WB_Reference_V1</t>
  </si>
  <si>
    <t>Old simulations</t>
  </si>
  <si>
    <t>WB_lowS1</t>
  </si>
  <si>
    <t>WB_lowS2</t>
  </si>
  <si>
    <t>WB_lowS3</t>
  </si>
  <si>
    <t>WB_lowS4</t>
  </si>
  <si>
    <t>WB_lowS5</t>
  </si>
  <si>
    <t>WB_lowS6</t>
  </si>
  <si>
    <t>WB_lowS7_patch</t>
  </si>
  <si>
    <t>WB_lowS8</t>
  </si>
  <si>
    <t>WB_lowS7_O2</t>
  </si>
  <si>
    <t>Km_Nm_xylem</t>
  </si>
  <si>
    <t>Km parameter for mineral nitrogen xylem loading</t>
  </si>
  <si>
    <t>vmax_unloading_AA_phloem</t>
  </si>
  <si>
    <t>km_unloading_AA_phloem</t>
  </si>
  <si>
    <t>vmax_AA_xylem</t>
  </si>
  <si>
    <t>Vmax parameter for amino acids xylem loading</t>
  </si>
  <si>
    <t>Affinity parameter for amino acid loading into symplasm from phloem</t>
  </si>
  <si>
    <t>collar_flux_provided</t>
  </si>
  <si>
    <t>Bolean to mention if a shoot model or data provides a transpiration flux, otherwise it is computed from collar pressure</t>
  </si>
  <si>
    <t>WB_ref1</t>
  </si>
  <si>
    <t>WB_ref2</t>
  </si>
  <si>
    <t>WB_ref3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</si>
</sst>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7">
    <xf numFmtId="0" fontId="0" fillId="0" borderId="0" xfId="0"/>
    <xf numFmtId="0" fontId="16" fillId="0" borderId="0" xfId="0" applyFont="1"/>
    <xf numFmtId="0" fontId="16" fillId="0" borderId="10" xfId="0" applyFont="1" applyBorder="1"/>
    <xf numFmtId="0" fontId="18" fillId="34" borderId="10" xfId="0" applyFont="1" applyFill="1" applyBorder="1"/>
    <xf numFmtId="0" fontId="0" fillId="34" borderId="10" xfId="0" applyFill="1" applyBorder="1"/>
    <xf numFmtId="0" fontId="18" fillId="44" borderId="10" xfId="0" applyFont="1" applyFill="1" applyBorder="1"/>
    <xf numFmtId="0" fontId="0" fillId="44" borderId="10" xfId="0" applyFill="1" applyBorder="1"/>
    <xf numFmtId="0" fontId="18" fillId="33" borderId="10" xfId="0" applyFont="1" applyFill="1" applyBorder="1"/>
    <xf numFmtId="0" fontId="0" fillId="33" borderId="10" xfId="0" applyFill="1" applyBorder="1"/>
    <xf numFmtId="0" fontId="18" fillId="37" borderId="10" xfId="0" applyFont="1" applyFill="1" applyBorder="1"/>
    <xf numFmtId="0" fontId="0" fillId="37" borderId="10" xfId="0" applyFill="1" applyBorder="1"/>
    <xf numFmtId="0" fontId="18" fillId="36" borderId="10" xfId="0" applyFont="1" applyFill="1" applyBorder="1"/>
    <xf numFmtId="0" fontId="0" fillId="36" borderId="10" xfId="0" applyFill="1" applyBorder="1"/>
    <xf numFmtId="0" fontId="18" fillId="38" borderId="10" xfId="0" applyFont="1" applyFill="1" applyBorder="1"/>
    <xf numFmtId="0" fontId="0" fillId="38" borderId="10" xfId="0" applyFill="1" applyBorder="1"/>
    <xf numFmtId="0" fontId="18" fillId="41" borderId="10" xfId="0" applyFont="1" applyFill="1" applyBorder="1"/>
    <xf numFmtId="0" fontId="0" fillId="41" borderId="10" xfId="0" applyFill="1" applyBorder="1"/>
    <xf numFmtId="0" fontId="18" fillId="42" borderId="10" xfId="0" applyFont="1" applyFill="1" applyBorder="1"/>
    <xf numFmtId="0" fontId="0" fillId="42" borderId="10" xfId="0" applyFill="1" applyBorder="1"/>
    <xf numFmtId="0" fontId="18" fillId="45" borderId="10" xfId="0" applyFont="1" applyFill="1" applyBorder="1"/>
    <xf numFmtId="0" fontId="0" fillId="45" borderId="10" xfId="0" applyFill="1" applyBorder="1"/>
    <xf numFmtId="0" fontId="18" fillId="39" borderId="10" xfId="0" applyFont="1" applyFill="1" applyBorder="1"/>
    <xf numFmtId="0" fontId="0" fillId="39" borderId="10" xfId="0" applyFill="1" applyBorder="1"/>
    <xf numFmtId="0" fontId="18" fillId="43" borderId="10" xfId="0" applyFont="1" applyFill="1" applyBorder="1"/>
    <xf numFmtId="0" fontId="0" fillId="43" borderId="10" xfId="0" applyFill="1" applyBorder="1"/>
    <xf numFmtId="0" fontId="18" fillId="35" borderId="10" xfId="0" applyFont="1" applyFill="1" applyBorder="1"/>
    <xf numFmtId="0" fontId="0" fillId="35" borderId="10" xfId="0" applyFill="1" applyBorder="1"/>
    <xf numFmtId="0" fontId="18" fillId="47" borderId="10" xfId="0" applyFont="1" applyFill="1" applyBorder="1"/>
    <xf numFmtId="0" fontId="0" fillId="47" borderId="10" xfId="0" applyFill="1" applyBorder="1"/>
    <xf numFmtId="0" fontId="18" fillId="46" borderId="10" xfId="0" applyFont="1" applyFill="1" applyBorder="1"/>
    <xf numFmtId="0" fontId="0" fillId="46" borderId="10" xfId="0" applyFill="1" applyBorder="1"/>
    <xf numFmtId="0" fontId="18" fillId="48" borderId="10" xfId="0" applyFont="1" applyFill="1" applyBorder="1"/>
    <xf numFmtId="0" fontId="0" fillId="48" borderId="10" xfId="0" applyFill="1" applyBorder="1"/>
    <xf numFmtId="0" fontId="18" fillId="49" borderId="10" xfId="0" applyFont="1" applyFill="1" applyBorder="1"/>
    <xf numFmtId="0" fontId="0" fillId="49" borderId="10" xfId="0" applyFill="1" applyBorder="1"/>
    <xf numFmtId="0" fontId="16" fillId="0" borderId="10" xfId="0" applyFont="1" applyBorder="1" applyAlignment="1">
      <alignment horizontal="left"/>
    </xf>
    <xf numFmtId="0" fontId="16" fillId="0" borderId="10" xfId="0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18" fillId="50" borderId="10" xfId="0" applyFont="1" applyFill="1" applyBorder="1"/>
    <xf numFmtId="0" fontId="0" fillId="50" borderId="10" xfId="0" applyFill="1" applyBorder="1"/>
    <xf numFmtId="11" fontId="18" fillId="39" borderId="10" xfId="0" applyNumberFormat="1" applyFont="1" applyFill="1" applyBorder="1"/>
    <xf numFmtId="11" fontId="0" fillId="39" borderId="10" xfId="0" applyNumberFormat="1" applyFill="1" applyBorder="1"/>
    <xf numFmtId="0" fontId="18" fillId="52" borderId="10" xfId="0" applyFont="1" applyFill="1" applyBorder="1"/>
    <xf numFmtId="0" fontId="0" fillId="52" borderId="10" xfId="0" applyFill="1" applyBorder="1"/>
    <xf numFmtId="11" fontId="16" fillId="51" borderId="10" xfId="0" applyNumberFormat="1" applyFont="1" applyFill="1" applyBorder="1" applyAlignment="1">
      <alignment horizontal="left" vertical="center"/>
    </xf>
    <xf numFmtId="11" fontId="16" fillId="50" borderId="10" xfId="0" applyNumberFormat="1" applyFont="1" applyFill="1" applyBorder="1" applyAlignment="1">
      <alignment horizontal="left" vertical="center"/>
    </xf>
    <xf numFmtId="0" fontId="0" fillId="46" borderId="11" xfId="0" applyFill="1" applyBorder="1"/>
    <xf numFmtId="0" fontId="18" fillId="40" borderId="12" xfId="0" applyFont="1" applyFill="1" applyBorder="1"/>
    <xf numFmtId="0" fontId="18" fillId="34" borderId="12" xfId="0" applyFont="1" applyFill="1" applyBorder="1"/>
    <xf numFmtId="0" fontId="0" fillId="40" borderId="12" xfId="0" applyFill="1" applyBorder="1"/>
    <xf numFmtId="0" fontId="0" fillId="0" borderId="10" xfId="0" applyBorder="1"/>
    <xf numFmtId="11" fontId="16" fillId="0" borderId="0" xfId="0" applyNumberFormat="1" applyFont="1"/>
    <xf numFmtId="11" fontId="0" fillId="0" borderId="0" xfId="0" applyNumberFormat="1" applyAlignment="1">
      <alignment horizontal="left"/>
    </xf>
    <xf numFmtId="0" fontId="16" fillId="53" borderId="10" xfId="0" applyFont="1" applyFill="1" applyBorder="1"/>
    <xf numFmtId="0" fontId="16" fillId="0" borderId="0" xfId="0" applyFont="1" applyAlignment="1">
      <alignment horizontal="left" vertical="center" wrapText="1"/>
    </xf>
    <xf numFmtId="11" fontId="16" fillId="0" borderId="10" xfId="0" applyNumberFormat="1" applyFont="1" applyBorder="1" applyAlignment="1">
      <alignment horizontal="left" vertical="center"/>
    </xf>
    <xf numFmtId="11" fontId="16" fillId="0" borderId="10" xfId="0" applyNumberFormat="1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Z229"/>
  <sheetViews>
    <sheetView tabSelected="1" zoomScale="79" zoomScaleNormal="100" workbookViewId="0">
      <pane xSplit="6" ySplit="1" topLeftCell="O92" activePane="bottomRight" state="frozen"/>
      <selection pane="topRight" activeCell="G1" sqref="G1"/>
      <selection pane="bottomLeft" activeCell="A2" sqref="A2"/>
      <selection pane="bottomRight" activeCell="T130" sqref="T130"/>
    </sheetView>
  </sheetViews>
  <sheetFormatPr defaultColWidth="11.42578125" defaultRowHeight="15" x14ac:dyDescent="0.25"/>
  <cols>
    <col min="1" max="1" width="32.7109375" style="1" customWidth="1"/>
    <col min="2" max="2" width="13.7109375" style="1" customWidth="1"/>
    <col min="3" max="3" width="16.140625" style="1" customWidth="1"/>
    <col min="4" max="4" width="12.85546875" style="1" customWidth="1"/>
    <col min="5" max="5" width="13.85546875" customWidth="1"/>
    <col min="6" max="6" width="22.7109375" customWidth="1"/>
    <col min="7" max="7" width="16.140625" style="37" customWidth="1"/>
    <col min="8" max="8" width="16.5703125" style="37" customWidth="1"/>
    <col min="9" max="55" width="21.5703125" style="1" customWidth="1"/>
  </cols>
  <sheetData>
    <row r="1" spans="1:55" s="1" customFormat="1" x14ac:dyDescent="0.25">
      <c r="A1" s="2" t="s">
        <v>471</v>
      </c>
      <c r="B1" s="2" t="s">
        <v>472</v>
      </c>
      <c r="C1" s="2" t="s">
        <v>482</v>
      </c>
      <c r="D1" s="2" t="s">
        <v>484</v>
      </c>
      <c r="E1" s="2" t="s">
        <v>112</v>
      </c>
      <c r="F1" s="2" t="s">
        <v>92</v>
      </c>
      <c r="G1" s="35" t="s">
        <v>378</v>
      </c>
      <c r="H1" s="35" t="s">
        <v>519</v>
      </c>
      <c r="I1" s="36" t="s">
        <v>518</v>
      </c>
      <c r="J1" s="36" t="s">
        <v>570</v>
      </c>
      <c r="K1" s="54" t="s">
        <v>572</v>
      </c>
      <c r="L1" s="54" t="s">
        <v>573</v>
      </c>
      <c r="M1" s="54" t="s">
        <v>574</v>
      </c>
      <c r="N1" s="54" t="s">
        <v>575</v>
      </c>
      <c r="O1" s="54" t="s">
        <v>576</v>
      </c>
      <c r="P1" s="54" t="s">
        <v>577</v>
      </c>
      <c r="R1" s="54" t="s">
        <v>590</v>
      </c>
      <c r="S1" s="54" t="s">
        <v>591</v>
      </c>
      <c r="T1" s="54" t="s">
        <v>592</v>
      </c>
      <c r="V1" s="54" t="s">
        <v>580</v>
      </c>
      <c r="W1" s="54" t="s">
        <v>578</v>
      </c>
      <c r="X1" s="54" t="s">
        <v>579</v>
      </c>
      <c r="Z1" s="1" t="s">
        <v>571</v>
      </c>
      <c r="AA1" s="36" t="s">
        <v>546</v>
      </c>
      <c r="AB1" s="36" t="s">
        <v>547</v>
      </c>
      <c r="AC1" s="36" t="s">
        <v>548</v>
      </c>
      <c r="AD1" s="36" t="s">
        <v>549</v>
      </c>
      <c r="AE1" s="36" t="s">
        <v>550</v>
      </c>
      <c r="AF1" s="36" t="s">
        <v>551</v>
      </c>
      <c r="AG1" s="36" t="s">
        <v>552</v>
      </c>
      <c r="AH1" s="36" t="s">
        <v>553</v>
      </c>
      <c r="AI1" s="36" t="s">
        <v>554</v>
      </c>
      <c r="AJ1" s="36" t="s">
        <v>555</v>
      </c>
      <c r="AK1" s="36" t="s">
        <v>556</v>
      </c>
      <c r="AL1"/>
      <c r="AM1" s="36" t="s">
        <v>557</v>
      </c>
      <c r="AN1" s="36" t="s">
        <v>558</v>
      </c>
      <c r="AO1" s="36" t="s">
        <v>559</v>
      </c>
      <c r="AP1" s="36" t="s">
        <v>560</v>
      </c>
      <c r="AQ1" s="36" t="s">
        <v>561</v>
      </c>
      <c r="AR1" s="36" t="s">
        <v>562</v>
      </c>
      <c r="AS1" s="36" t="s">
        <v>563</v>
      </c>
      <c r="AT1"/>
      <c r="AU1" s="36" t="s">
        <v>566</v>
      </c>
      <c r="AV1" s="36" t="s">
        <v>567</v>
      </c>
      <c r="AW1" s="36" t="s">
        <v>568</v>
      </c>
      <c r="AX1" s="36" t="s">
        <v>569</v>
      </c>
      <c r="AY1"/>
      <c r="AZ1" s="36" t="s">
        <v>565</v>
      </c>
      <c r="BA1"/>
      <c r="BB1"/>
      <c r="BC1" s="36" t="s">
        <v>545</v>
      </c>
    </row>
    <row r="2" spans="1:55" s="1" customFormat="1" x14ac:dyDescent="0.25">
      <c r="A2" s="42" t="s">
        <v>481</v>
      </c>
      <c r="B2" s="3" t="s">
        <v>475</v>
      </c>
      <c r="C2" s="3" t="s">
        <v>483</v>
      </c>
      <c r="D2" s="3" t="s">
        <v>524</v>
      </c>
      <c r="E2" s="43" t="s">
        <v>447</v>
      </c>
      <c r="F2" s="43" t="s">
        <v>91</v>
      </c>
      <c r="G2" s="44" t="s">
        <v>478</v>
      </c>
      <c r="H2" s="44" t="str">
        <f t="shared" ref="H2" si="0">G2</f>
        <v>root_3_leaves.pckl</v>
      </c>
      <c r="I2" s="44" t="s">
        <v>478</v>
      </c>
      <c r="J2" s="44" t="s">
        <v>478</v>
      </c>
      <c r="K2" s="44" t="s">
        <v>478</v>
      </c>
      <c r="L2" s="44" t="s">
        <v>478</v>
      </c>
      <c r="M2" s="44" t="s">
        <v>478</v>
      </c>
      <c r="N2" s="44" t="s">
        <v>478</v>
      </c>
      <c r="O2" s="44" t="s">
        <v>478</v>
      </c>
      <c r="P2" s="44" t="s">
        <v>478</v>
      </c>
      <c r="R2" s="44" t="s">
        <v>478</v>
      </c>
      <c r="S2" s="44" t="s">
        <v>478</v>
      </c>
      <c r="T2" s="44" t="s">
        <v>478</v>
      </c>
      <c r="V2" s="44" t="s">
        <v>478</v>
      </c>
      <c r="W2" s="44" t="s">
        <v>478</v>
      </c>
      <c r="X2" s="44" t="s">
        <v>478</v>
      </c>
      <c r="AA2" s="44" t="s">
        <v>478</v>
      </c>
      <c r="AB2" s="44" t="s">
        <v>478</v>
      </c>
      <c r="AC2" s="44" t="s">
        <v>478</v>
      </c>
      <c r="AD2" s="44" t="s">
        <v>478</v>
      </c>
      <c r="AE2" s="44" t="s">
        <v>478</v>
      </c>
      <c r="AF2" s="44" t="s">
        <v>478</v>
      </c>
      <c r="AG2" s="44" t="s">
        <v>478</v>
      </c>
      <c r="AH2" s="44" t="s">
        <v>478</v>
      </c>
      <c r="AI2" s="44" t="s">
        <v>478</v>
      </c>
      <c r="AJ2" s="44" t="s">
        <v>478</v>
      </c>
      <c r="AK2" s="44" t="s">
        <v>478</v>
      </c>
      <c r="AL2"/>
      <c r="AM2" s="44" t="s">
        <v>478</v>
      </c>
      <c r="AN2" s="44" t="s">
        <v>478</v>
      </c>
      <c r="AO2" s="44" t="s">
        <v>478</v>
      </c>
      <c r="AP2" s="44" t="s">
        <v>478</v>
      </c>
      <c r="AQ2" s="44" t="s">
        <v>478</v>
      </c>
      <c r="AR2" s="44" t="s">
        <v>478</v>
      </c>
      <c r="AS2" s="44" t="s">
        <v>478</v>
      </c>
      <c r="AT2"/>
      <c r="AU2" s="44" t="s">
        <v>478</v>
      </c>
      <c r="AV2" s="44" t="s">
        <v>478</v>
      </c>
      <c r="AW2" s="44" t="s">
        <v>478</v>
      </c>
      <c r="AX2" s="44" t="s">
        <v>478</v>
      </c>
      <c r="AY2"/>
      <c r="AZ2" s="44" t="s">
        <v>478</v>
      </c>
      <c r="BA2"/>
      <c r="BB2"/>
      <c r="BC2" s="44" t="s">
        <v>478</v>
      </c>
    </row>
    <row r="3" spans="1:55" s="1" customFormat="1" x14ac:dyDescent="0.25">
      <c r="A3" s="42" t="s">
        <v>479</v>
      </c>
      <c r="B3" s="3" t="s">
        <v>474</v>
      </c>
      <c r="C3" s="3" t="s">
        <v>483</v>
      </c>
      <c r="D3" s="3" t="s">
        <v>524</v>
      </c>
      <c r="E3" s="46" t="s">
        <v>477</v>
      </c>
      <c r="F3" s="46" t="s">
        <v>480</v>
      </c>
      <c r="G3" s="44" t="s">
        <v>476</v>
      </c>
      <c r="H3" s="44" t="s">
        <v>476</v>
      </c>
      <c r="I3" s="44" t="s">
        <v>476</v>
      </c>
      <c r="J3" s="44" t="s">
        <v>476</v>
      </c>
      <c r="K3" s="44" t="s">
        <v>476</v>
      </c>
      <c r="L3" s="44" t="s">
        <v>476</v>
      </c>
      <c r="M3" s="44" t="s">
        <v>476</v>
      </c>
      <c r="N3" s="44" t="s">
        <v>476</v>
      </c>
      <c r="O3" s="44" t="s">
        <v>476</v>
      </c>
      <c r="P3" s="44" t="s">
        <v>476</v>
      </c>
      <c r="R3" s="44" t="s">
        <v>476</v>
      </c>
      <c r="S3" s="44" t="s">
        <v>476</v>
      </c>
      <c r="T3" s="44" t="s">
        <v>476</v>
      </c>
      <c r="V3" s="44" t="s">
        <v>476</v>
      </c>
      <c r="W3" s="44" t="s">
        <v>476</v>
      </c>
      <c r="X3" s="44" t="s">
        <v>476</v>
      </c>
      <c r="AA3" s="44" t="s">
        <v>476</v>
      </c>
      <c r="AB3" s="44" t="s">
        <v>476</v>
      </c>
      <c r="AC3" s="44" t="s">
        <v>476</v>
      </c>
      <c r="AD3" s="44" t="s">
        <v>476</v>
      </c>
      <c r="AE3" s="44" t="s">
        <v>476</v>
      </c>
      <c r="AF3" s="44" t="s">
        <v>476</v>
      </c>
      <c r="AG3" s="44" t="s">
        <v>476</v>
      </c>
      <c r="AH3" s="44" t="s">
        <v>476</v>
      </c>
      <c r="AI3" s="44" t="s">
        <v>476</v>
      </c>
      <c r="AJ3" s="44" t="s">
        <v>476</v>
      </c>
      <c r="AK3" s="44" t="s">
        <v>476</v>
      </c>
      <c r="AL3"/>
      <c r="AM3" s="44" t="s">
        <v>476</v>
      </c>
      <c r="AN3" s="44" t="s">
        <v>476</v>
      </c>
      <c r="AO3" s="44" t="s">
        <v>476</v>
      </c>
      <c r="AP3" s="44" t="s">
        <v>476</v>
      </c>
      <c r="AQ3" s="44" t="s">
        <v>476</v>
      </c>
      <c r="AR3" s="44" t="s">
        <v>476</v>
      </c>
      <c r="AS3" s="44" t="s">
        <v>476</v>
      </c>
      <c r="AT3"/>
      <c r="AU3" s="44" t="s">
        <v>476</v>
      </c>
      <c r="AV3" s="44" t="s">
        <v>476</v>
      </c>
      <c r="AW3" s="44" t="s">
        <v>476</v>
      </c>
      <c r="AX3" s="44" t="s">
        <v>476</v>
      </c>
      <c r="AY3"/>
      <c r="AZ3" s="44" t="s">
        <v>476</v>
      </c>
      <c r="BA3"/>
      <c r="BB3"/>
      <c r="BC3" s="44" t="s">
        <v>476</v>
      </c>
    </row>
    <row r="4" spans="1:55" x14ac:dyDescent="0.25">
      <c r="A4" s="3" t="s">
        <v>2</v>
      </c>
      <c r="B4" s="3" t="s">
        <v>473</v>
      </c>
      <c r="C4" s="3" t="s">
        <v>483</v>
      </c>
      <c r="D4" s="3" t="s">
        <v>524</v>
      </c>
      <c r="E4" s="4" t="s">
        <v>129</v>
      </c>
      <c r="F4" s="4" t="s">
        <v>94</v>
      </c>
      <c r="G4" s="44" t="s">
        <v>86</v>
      </c>
      <c r="H4" s="44" t="str">
        <f>G4</f>
        <v>True</v>
      </c>
      <c r="I4" s="44" t="s">
        <v>86</v>
      </c>
      <c r="J4" s="44" t="s">
        <v>86</v>
      </c>
      <c r="K4" s="44" t="s">
        <v>86</v>
      </c>
      <c r="L4" s="44" t="s">
        <v>86</v>
      </c>
      <c r="M4" s="44" t="s">
        <v>86</v>
      </c>
      <c r="N4" s="44" t="s">
        <v>86</v>
      </c>
      <c r="O4" s="44" t="s">
        <v>86</v>
      </c>
      <c r="P4" s="44" t="s">
        <v>86</v>
      </c>
      <c r="R4" s="44" t="s">
        <v>86</v>
      </c>
      <c r="S4" s="44" t="s">
        <v>86</v>
      </c>
      <c r="T4" s="44" t="s">
        <v>86</v>
      </c>
      <c r="V4" s="44" t="s">
        <v>86</v>
      </c>
      <c r="W4" s="44" t="s">
        <v>86</v>
      </c>
      <c r="X4" s="44" t="s">
        <v>86</v>
      </c>
      <c r="AA4" s="44" t="s">
        <v>86</v>
      </c>
      <c r="AB4" s="44" t="s">
        <v>86</v>
      </c>
      <c r="AC4" s="44" t="s">
        <v>86</v>
      </c>
      <c r="AD4" s="44" t="s">
        <v>86</v>
      </c>
      <c r="AE4" s="44" t="s">
        <v>86</v>
      </c>
      <c r="AF4" s="44" t="s">
        <v>86</v>
      </c>
      <c r="AG4" s="44" t="s">
        <v>86</v>
      </c>
      <c r="AH4" s="44" t="s">
        <v>86</v>
      </c>
      <c r="AI4" s="44" t="s">
        <v>86</v>
      </c>
      <c r="AJ4" s="44" t="s">
        <v>86</v>
      </c>
      <c r="AK4" s="44" t="s">
        <v>86</v>
      </c>
      <c r="AL4"/>
      <c r="AM4" s="44" t="s">
        <v>86</v>
      </c>
      <c r="AN4" s="44" t="s">
        <v>86</v>
      </c>
      <c r="AO4" s="44" t="s">
        <v>86</v>
      </c>
      <c r="AP4" s="44" t="s">
        <v>86</v>
      </c>
      <c r="AQ4" s="44" t="s">
        <v>86</v>
      </c>
      <c r="AR4" s="44" t="s">
        <v>86</v>
      </c>
      <c r="AS4" s="44" t="s">
        <v>86</v>
      </c>
      <c r="AT4"/>
      <c r="AU4" s="44" t="s">
        <v>86</v>
      </c>
      <c r="AV4" s="44" t="s">
        <v>86</v>
      </c>
      <c r="AW4" s="44" t="s">
        <v>86</v>
      </c>
      <c r="AX4" s="44" t="s">
        <v>86</v>
      </c>
      <c r="AY4"/>
      <c r="AZ4" s="44" t="s">
        <v>86</v>
      </c>
      <c r="BA4"/>
      <c r="BB4"/>
      <c r="BC4" s="44" t="s">
        <v>86</v>
      </c>
    </row>
    <row r="5" spans="1:55" x14ac:dyDescent="0.25">
      <c r="A5" s="3" t="s">
        <v>3</v>
      </c>
      <c r="B5" s="3" t="s">
        <v>473</v>
      </c>
      <c r="C5" s="3" t="s">
        <v>483</v>
      </c>
      <c r="D5" s="3" t="s">
        <v>524</v>
      </c>
      <c r="E5" s="4" t="s">
        <v>130</v>
      </c>
      <c r="F5" s="4" t="s">
        <v>95</v>
      </c>
      <c r="G5" s="44">
        <v>1</v>
      </c>
      <c r="H5" s="44">
        <f t="shared" ref="H5:H64" si="1">G5</f>
        <v>1</v>
      </c>
      <c r="I5" s="44">
        <v>1</v>
      </c>
      <c r="J5" s="44">
        <v>1</v>
      </c>
      <c r="K5" s="44">
        <v>1</v>
      </c>
      <c r="L5" s="44">
        <v>1</v>
      </c>
      <c r="M5" s="44">
        <v>1</v>
      </c>
      <c r="N5" s="44">
        <v>1</v>
      </c>
      <c r="O5" s="44">
        <v>1</v>
      </c>
      <c r="P5" s="44">
        <v>1</v>
      </c>
      <c r="R5" s="44">
        <v>1</v>
      </c>
      <c r="S5" s="44">
        <v>1</v>
      </c>
      <c r="T5" s="44">
        <v>1</v>
      </c>
      <c r="V5" s="44">
        <v>1</v>
      </c>
      <c r="W5" s="44">
        <v>1</v>
      </c>
      <c r="X5" s="44">
        <v>1</v>
      </c>
      <c r="AA5" s="44">
        <v>1</v>
      </c>
      <c r="AB5" s="44">
        <v>1</v>
      </c>
      <c r="AC5" s="44">
        <v>1</v>
      </c>
      <c r="AD5" s="44">
        <v>1</v>
      </c>
      <c r="AE5" s="44">
        <v>1</v>
      </c>
      <c r="AF5" s="44">
        <v>1</v>
      </c>
      <c r="AG5" s="44">
        <v>1</v>
      </c>
      <c r="AH5" s="44">
        <v>1</v>
      </c>
      <c r="AI5" s="44">
        <v>1</v>
      </c>
      <c r="AJ5" s="44">
        <v>1</v>
      </c>
      <c r="AK5" s="44">
        <v>1</v>
      </c>
      <c r="AL5"/>
      <c r="AM5" s="44">
        <v>1</v>
      </c>
      <c r="AN5" s="44">
        <v>1</v>
      </c>
      <c r="AO5" s="44">
        <v>1</v>
      </c>
      <c r="AP5" s="44">
        <v>1</v>
      </c>
      <c r="AQ5" s="44">
        <v>1</v>
      </c>
      <c r="AR5" s="44">
        <v>1</v>
      </c>
      <c r="AS5" s="44">
        <v>1</v>
      </c>
      <c r="AT5"/>
      <c r="AU5" s="44">
        <v>1</v>
      </c>
      <c r="AV5" s="44">
        <v>1</v>
      </c>
      <c r="AW5" s="44">
        <v>1</v>
      </c>
      <c r="AX5" s="44">
        <v>1</v>
      </c>
      <c r="AY5"/>
      <c r="AZ5" s="44">
        <v>1</v>
      </c>
      <c r="BA5"/>
      <c r="BB5"/>
      <c r="BC5" s="44">
        <v>1</v>
      </c>
    </row>
    <row r="6" spans="1:55" x14ac:dyDescent="0.25">
      <c r="A6" s="5" t="s">
        <v>4</v>
      </c>
      <c r="B6" s="3" t="s">
        <v>473</v>
      </c>
      <c r="C6" s="3" t="s">
        <v>483</v>
      </c>
      <c r="D6" s="3" t="s">
        <v>524</v>
      </c>
      <c r="E6" s="6" t="s">
        <v>114</v>
      </c>
      <c r="F6" s="6" t="s">
        <v>93</v>
      </c>
      <c r="G6" s="44">
        <v>60</v>
      </c>
      <c r="H6" s="44">
        <f t="shared" si="1"/>
        <v>60</v>
      </c>
      <c r="I6" s="44">
        <v>180</v>
      </c>
      <c r="J6" s="44">
        <v>180</v>
      </c>
      <c r="K6" s="44">
        <v>180</v>
      </c>
      <c r="L6" s="44">
        <v>180</v>
      </c>
      <c r="M6" s="44">
        <v>180</v>
      </c>
      <c r="N6" s="44">
        <v>180</v>
      </c>
      <c r="O6" s="44">
        <v>180</v>
      </c>
      <c r="P6" s="44">
        <v>180</v>
      </c>
      <c r="R6" s="44">
        <v>180</v>
      </c>
      <c r="S6" s="44">
        <v>180</v>
      </c>
      <c r="T6" s="44">
        <v>180</v>
      </c>
      <c r="V6" s="44">
        <v>180</v>
      </c>
      <c r="W6" s="44">
        <v>180</v>
      </c>
      <c r="X6" s="44">
        <v>180</v>
      </c>
      <c r="AA6" s="44">
        <v>180</v>
      </c>
      <c r="AB6" s="44">
        <v>180</v>
      </c>
      <c r="AC6" s="44">
        <v>180</v>
      </c>
      <c r="AD6" s="44">
        <v>180</v>
      </c>
      <c r="AE6" s="44">
        <v>180</v>
      </c>
      <c r="AF6" s="44">
        <v>180</v>
      </c>
      <c r="AG6" s="44">
        <v>180</v>
      </c>
      <c r="AH6" s="44">
        <v>180</v>
      </c>
      <c r="AI6" s="44">
        <v>180</v>
      </c>
      <c r="AJ6" s="44">
        <v>180</v>
      </c>
      <c r="AK6" s="44">
        <v>180</v>
      </c>
      <c r="AL6"/>
      <c r="AM6" s="44">
        <v>180</v>
      </c>
      <c r="AN6" s="44">
        <v>180</v>
      </c>
      <c r="AO6" s="44">
        <v>180</v>
      </c>
      <c r="AP6" s="44">
        <v>180</v>
      </c>
      <c r="AQ6" s="44">
        <v>180</v>
      </c>
      <c r="AR6" s="44">
        <v>180</v>
      </c>
      <c r="AS6" s="44">
        <v>180</v>
      </c>
      <c r="AT6"/>
      <c r="AU6" s="44">
        <v>180</v>
      </c>
      <c r="AV6" s="44">
        <v>180</v>
      </c>
      <c r="AW6" s="44">
        <v>180</v>
      </c>
      <c r="AX6" s="44">
        <v>180</v>
      </c>
      <c r="AY6"/>
      <c r="AZ6" s="44">
        <v>180</v>
      </c>
      <c r="BA6"/>
      <c r="BB6"/>
      <c r="BC6" s="44">
        <v>180</v>
      </c>
    </row>
    <row r="7" spans="1:55" x14ac:dyDescent="0.25">
      <c r="A7" s="5" t="s">
        <v>5</v>
      </c>
      <c r="B7" s="3" t="s">
        <v>473</v>
      </c>
      <c r="C7" s="3" t="s">
        <v>483</v>
      </c>
      <c r="D7" s="3" t="s">
        <v>524</v>
      </c>
      <c r="E7" s="6" t="s">
        <v>115</v>
      </c>
      <c r="F7" s="6" t="s">
        <v>93</v>
      </c>
      <c r="G7" s="44">
        <v>4.1666666999999998E-2</v>
      </c>
      <c r="H7" s="44">
        <f t="shared" si="1"/>
        <v>4.1666666999999998E-2</v>
      </c>
      <c r="I7" s="44">
        <v>4.1666666999999998E-2</v>
      </c>
      <c r="J7" s="44">
        <v>4.1666666999999998E-2</v>
      </c>
      <c r="K7" s="44">
        <v>4.1666666999999998E-2</v>
      </c>
      <c r="L7" s="44">
        <v>4.1666666999999998E-2</v>
      </c>
      <c r="M7" s="44">
        <v>4.1666666999999998E-2</v>
      </c>
      <c r="N7" s="44">
        <v>4.1666666999999998E-2</v>
      </c>
      <c r="O7" s="44">
        <v>4.1666666999999998E-2</v>
      </c>
      <c r="P7" s="44">
        <v>4.1666666999999998E-2</v>
      </c>
      <c r="R7" s="44">
        <v>4.1666666999999998E-2</v>
      </c>
      <c r="S7" s="44">
        <v>4.1666666999999998E-2</v>
      </c>
      <c r="T7" s="44">
        <v>4.1666666999999998E-2</v>
      </c>
      <c r="V7" s="44">
        <v>4.1666666999999998E-2</v>
      </c>
      <c r="W7" s="44">
        <v>4.1666666999999998E-2</v>
      </c>
      <c r="X7" s="44">
        <v>4.1666666999999998E-2</v>
      </c>
      <c r="AA7" s="44">
        <v>4.1666666999999998E-2</v>
      </c>
      <c r="AB7" s="44">
        <v>4.1666666999999998E-2</v>
      </c>
      <c r="AC7" s="44">
        <v>4.1666666999999998E-2</v>
      </c>
      <c r="AD7" s="44">
        <v>4.1666666999999998E-2</v>
      </c>
      <c r="AE7" s="44">
        <v>4.1666666999999998E-2</v>
      </c>
      <c r="AF7" s="44">
        <v>4.1666666999999998E-2</v>
      </c>
      <c r="AG7" s="44">
        <v>4.1666666999999998E-2</v>
      </c>
      <c r="AH7" s="44">
        <v>4.1666666999999998E-2</v>
      </c>
      <c r="AI7" s="44">
        <v>4.1666666999999998E-2</v>
      </c>
      <c r="AJ7" s="44">
        <v>4.1666666999999998E-2</v>
      </c>
      <c r="AK7" s="44">
        <v>4.1666666999999998E-2</v>
      </c>
      <c r="AL7"/>
      <c r="AM7" s="44">
        <v>4.1666666999999998E-2</v>
      </c>
      <c r="AN7" s="44">
        <v>4.1666666999999998E-2</v>
      </c>
      <c r="AO7" s="44">
        <v>4.1666666999999998E-2</v>
      </c>
      <c r="AP7" s="44">
        <v>4.1666666999999998E-2</v>
      </c>
      <c r="AQ7" s="44">
        <v>4.1666666999999998E-2</v>
      </c>
      <c r="AR7" s="44">
        <v>4.1666666999999998E-2</v>
      </c>
      <c r="AS7" s="44">
        <v>4.1666666999999998E-2</v>
      </c>
      <c r="AT7"/>
      <c r="AU7" s="44">
        <v>4.1666666999999998E-2</v>
      </c>
      <c r="AV7" s="44">
        <v>4.1666666999999998E-2</v>
      </c>
      <c r="AW7" s="44">
        <v>4.1666666999999998E-2</v>
      </c>
      <c r="AX7" s="44">
        <v>4.1666666999999998E-2</v>
      </c>
      <c r="AY7"/>
      <c r="AZ7" s="44">
        <v>4.1666666999999998E-2</v>
      </c>
      <c r="BA7"/>
      <c r="BB7"/>
      <c r="BC7" s="44">
        <v>4.1666666999999998E-2</v>
      </c>
    </row>
    <row r="8" spans="1:55" x14ac:dyDescent="0.25">
      <c r="A8" s="5" t="s">
        <v>20</v>
      </c>
      <c r="B8" s="3" t="s">
        <v>473</v>
      </c>
      <c r="C8" s="3" t="s">
        <v>483</v>
      </c>
      <c r="D8" s="3" t="s">
        <v>524</v>
      </c>
      <c r="E8" s="6" t="s">
        <v>123</v>
      </c>
      <c r="F8" s="6" t="s">
        <v>93</v>
      </c>
      <c r="G8" s="44">
        <v>5</v>
      </c>
      <c r="H8" s="44">
        <f t="shared" si="1"/>
        <v>5</v>
      </c>
      <c r="I8" s="44">
        <v>4.1666666999999998E-2</v>
      </c>
      <c r="J8" s="44">
        <v>4.1666666999999998E-2</v>
      </c>
      <c r="K8" s="44">
        <v>4.1666666999999998E-2</v>
      </c>
      <c r="L8" s="44">
        <v>4.1666666999999998E-2</v>
      </c>
      <c r="M8" s="44">
        <v>4.1666666999999998E-2</v>
      </c>
      <c r="N8" s="44">
        <v>4.1666666999999998E-2</v>
      </c>
      <c r="O8" s="44">
        <v>4.1666666999999998E-2</v>
      </c>
      <c r="P8" s="44">
        <v>4.1666666999999998E-2</v>
      </c>
      <c r="R8" s="44">
        <v>4.1666666999999998E-2</v>
      </c>
      <c r="S8" s="44">
        <v>4.1666666999999998E-2</v>
      </c>
      <c r="T8" s="44">
        <v>4.1666666999999998E-2</v>
      </c>
      <c r="V8" s="44">
        <v>4.1666666999999998E-2</v>
      </c>
      <c r="W8" s="44">
        <v>4.1666666999999998E-2</v>
      </c>
      <c r="X8" s="44">
        <v>4.1666666999999998E-2</v>
      </c>
      <c r="AA8" s="44">
        <v>4.1666666999999998E-2</v>
      </c>
      <c r="AB8" s="44">
        <v>4.1666666999999998E-2</v>
      </c>
      <c r="AC8" s="44">
        <v>4.1666666999999998E-2</v>
      </c>
      <c r="AD8" s="44">
        <v>4.1666666999999998E-2</v>
      </c>
      <c r="AE8" s="44">
        <v>4.1666666999999998E-2</v>
      </c>
      <c r="AF8" s="44">
        <v>4.1666666999999998E-2</v>
      </c>
      <c r="AG8" s="44">
        <v>4.1666666999999998E-2</v>
      </c>
      <c r="AH8" s="44">
        <v>4.1666666999999998E-2</v>
      </c>
      <c r="AI8" s="44">
        <v>4.1666666999999998E-2</v>
      </c>
      <c r="AJ8" s="44">
        <v>4.1666666999999998E-2</v>
      </c>
      <c r="AK8" s="44">
        <v>4.1666666999999998E-2</v>
      </c>
      <c r="AL8"/>
      <c r="AM8" s="44">
        <v>4.1666666999999998E-2</v>
      </c>
      <c r="AN8" s="44">
        <v>4.1666666999999998E-2</v>
      </c>
      <c r="AO8" s="44">
        <v>4.1666666999999998E-2</v>
      </c>
      <c r="AP8" s="44">
        <v>4.1666666999999998E-2</v>
      </c>
      <c r="AQ8" s="44">
        <v>4.1666666999999998E-2</v>
      </c>
      <c r="AR8" s="44">
        <v>4.1666666999999998E-2</v>
      </c>
      <c r="AS8" s="44">
        <v>4.1666666999999998E-2</v>
      </c>
      <c r="AT8"/>
      <c r="AU8" s="44">
        <v>4.1666666999999998E-2</v>
      </c>
      <c r="AV8" s="44">
        <v>4.1666666999999998E-2</v>
      </c>
      <c r="AW8" s="44">
        <v>4.1666666999999998E-2</v>
      </c>
      <c r="AX8" s="44">
        <v>4.1666666999999998E-2</v>
      </c>
      <c r="AY8"/>
      <c r="AZ8" s="44">
        <v>4.1666666999999998E-2</v>
      </c>
      <c r="BA8"/>
      <c r="BB8"/>
      <c r="BC8" s="44">
        <v>4.1666666999999998E-2</v>
      </c>
    </row>
    <row r="9" spans="1:55" x14ac:dyDescent="0.25">
      <c r="A9" s="7" t="s">
        <v>1</v>
      </c>
      <c r="B9" s="3" t="s">
        <v>473</v>
      </c>
      <c r="C9" s="3" t="s">
        <v>483</v>
      </c>
      <c r="D9" s="3" t="s">
        <v>524</v>
      </c>
      <c r="E9" s="8" t="s">
        <v>113</v>
      </c>
      <c r="F9" s="8" t="s">
        <v>93</v>
      </c>
      <c r="G9" s="44">
        <v>1</v>
      </c>
      <c r="H9" s="44">
        <f t="shared" si="1"/>
        <v>1</v>
      </c>
      <c r="I9" s="44">
        <v>1</v>
      </c>
      <c r="J9" s="44">
        <v>1</v>
      </c>
      <c r="K9" s="44">
        <v>1</v>
      </c>
      <c r="L9" s="44">
        <v>1</v>
      </c>
      <c r="M9" s="44">
        <v>1</v>
      </c>
      <c r="N9" s="44">
        <v>1</v>
      </c>
      <c r="O9" s="44">
        <v>1</v>
      </c>
      <c r="P9" s="44">
        <v>1</v>
      </c>
      <c r="R9" s="44">
        <v>1</v>
      </c>
      <c r="S9" s="44">
        <v>1</v>
      </c>
      <c r="T9" s="44">
        <v>1</v>
      </c>
      <c r="V9" s="44">
        <v>1</v>
      </c>
      <c r="W9" s="44">
        <v>1</v>
      </c>
      <c r="X9" s="44">
        <v>1</v>
      </c>
      <c r="AA9" s="44">
        <v>1</v>
      </c>
      <c r="AB9" s="44">
        <v>1</v>
      </c>
      <c r="AC9" s="44">
        <v>1</v>
      </c>
      <c r="AD9" s="44">
        <v>1</v>
      </c>
      <c r="AE9" s="44">
        <v>1</v>
      </c>
      <c r="AF9" s="44">
        <v>1</v>
      </c>
      <c r="AG9" s="44">
        <v>1</v>
      </c>
      <c r="AH9" s="44">
        <v>1</v>
      </c>
      <c r="AI9" s="44">
        <v>1</v>
      </c>
      <c r="AJ9" s="44">
        <v>1</v>
      </c>
      <c r="AK9" s="44">
        <v>1</v>
      </c>
      <c r="AL9"/>
      <c r="AM9" s="44">
        <v>1</v>
      </c>
      <c r="AN9" s="44">
        <v>1</v>
      </c>
      <c r="AO9" s="44">
        <v>1</v>
      </c>
      <c r="AP9" s="44">
        <v>1</v>
      </c>
      <c r="AQ9" s="44">
        <v>1</v>
      </c>
      <c r="AR9" s="44">
        <v>1</v>
      </c>
      <c r="AS9" s="44">
        <v>1</v>
      </c>
      <c r="AT9"/>
      <c r="AU9" s="44">
        <v>1</v>
      </c>
      <c r="AV9" s="44">
        <v>1</v>
      </c>
      <c r="AW9" s="44">
        <v>1</v>
      </c>
      <c r="AX9" s="44">
        <v>1</v>
      </c>
      <c r="AY9"/>
      <c r="AZ9" s="44">
        <v>1</v>
      </c>
      <c r="BA9"/>
      <c r="BB9"/>
      <c r="BC9" s="44">
        <v>1</v>
      </c>
    </row>
    <row r="10" spans="1:55" x14ac:dyDescent="0.25">
      <c r="A10" s="7" t="s">
        <v>450</v>
      </c>
      <c r="B10" s="3" t="s">
        <v>473</v>
      </c>
      <c r="C10" s="3" t="s">
        <v>483</v>
      </c>
      <c r="D10" s="3" t="s">
        <v>524</v>
      </c>
      <c r="E10" s="8" t="s">
        <v>451</v>
      </c>
      <c r="F10" s="8" t="s">
        <v>93</v>
      </c>
      <c r="G10" s="44">
        <v>0</v>
      </c>
      <c r="H10" s="44">
        <f t="shared" si="1"/>
        <v>0</v>
      </c>
      <c r="I10" s="44">
        <v>0</v>
      </c>
      <c r="J10" s="44">
        <v>0</v>
      </c>
      <c r="K10" s="44">
        <v>0</v>
      </c>
      <c r="L10" s="44">
        <v>0</v>
      </c>
      <c r="M10" s="44">
        <v>0</v>
      </c>
      <c r="N10" s="44">
        <v>0</v>
      </c>
      <c r="O10" s="44">
        <v>0</v>
      </c>
      <c r="P10" s="44">
        <v>0</v>
      </c>
      <c r="R10" s="44">
        <v>0</v>
      </c>
      <c r="S10" s="44">
        <v>0</v>
      </c>
      <c r="T10" s="44">
        <v>0</v>
      </c>
      <c r="V10" s="44">
        <v>0</v>
      </c>
      <c r="W10" s="44">
        <v>0</v>
      </c>
      <c r="X10" s="44">
        <v>0</v>
      </c>
      <c r="AA10" s="44">
        <v>0</v>
      </c>
      <c r="AB10" s="44">
        <v>0</v>
      </c>
      <c r="AC10" s="44">
        <v>0</v>
      </c>
      <c r="AD10" s="44">
        <v>0</v>
      </c>
      <c r="AE10" s="44">
        <v>0</v>
      </c>
      <c r="AF10" s="44">
        <v>0</v>
      </c>
      <c r="AG10" s="44">
        <v>0</v>
      </c>
      <c r="AH10" s="44">
        <v>0</v>
      </c>
      <c r="AI10" s="44">
        <v>0</v>
      </c>
      <c r="AJ10" s="44">
        <v>0</v>
      </c>
      <c r="AK10" s="44">
        <v>0</v>
      </c>
      <c r="AL10"/>
      <c r="AM10" s="44">
        <v>0</v>
      </c>
      <c r="AN10" s="44">
        <v>0</v>
      </c>
      <c r="AO10" s="44">
        <v>0</v>
      </c>
      <c r="AP10" s="44">
        <v>0</v>
      </c>
      <c r="AQ10" s="44">
        <v>0</v>
      </c>
      <c r="AR10" s="44">
        <v>0</v>
      </c>
      <c r="AS10" s="44">
        <v>0</v>
      </c>
      <c r="AT10"/>
      <c r="AU10" s="44">
        <v>0</v>
      </c>
      <c r="AV10" s="44">
        <v>0</v>
      </c>
      <c r="AW10" s="44">
        <v>0</v>
      </c>
      <c r="AX10" s="44">
        <v>0</v>
      </c>
      <c r="AY10"/>
      <c r="AZ10" s="44">
        <v>0</v>
      </c>
      <c r="BA10"/>
      <c r="BB10"/>
      <c r="BC10" s="44">
        <v>0</v>
      </c>
    </row>
    <row r="11" spans="1:55" x14ac:dyDescent="0.25">
      <c r="A11" s="7" t="s">
        <v>6</v>
      </c>
      <c r="B11" s="3" t="s">
        <v>473</v>
      </c>
      <c r="C11" s="3" t="s">
        <v>483</v>
      </c>
      <c r="D11" s="3" t="s">
        <v>524</v>
      </c>
      <c r="E11" s="8" t="s">
        <v>131</v>
      </c>
      <c r="F11" s="8" t="s">
        <v>94</v>
      </c>
      <c r="G11" s="44" t="s">
        <v>87</v>
      </c>
      <c r="H11" s="44" t="str">
        <f t="shared" si="1"/>
        <v>False</v>
      </c>
      <c r="I11" s="44" t="s">
        <v>87</v>
      </c>
      <c r="J11" s="44" t="s">
        <v>87</v>
      </c>
      <c r="K11" s="44" t="s">
        <v>87</v>
      </c>
      <c r="L11" s="44" t="s">
        <v>87</v>
      </c>
      <c r="M11" s="44" t="s">
        <v>87</v>
      </c>
      <c r="N11" s="44" t="s">
        <v>87</v>
      </c>
      <c r="O11" s="44" t="s">
        <v>87</v>
      </c>
      <c r="P11" s="44" t="s">
        <v>87</v>
      </c>
      <c r="R11" s="44" t="s">
        <v>87</v>
      </c>
      <c r="S11" s="44" t="s">
        <v>87</v>
      </c>
      <c r="T11" s="44" t="s">
        <v>87</v>
      </c>
      <c r="V11" s="44" t="s">
        <v>87</v>
      </c>
      <c r="W11" s="44" t="s">
        <v>87</v>
      </c>
      <c r="X11" s="44" t="s">
        <v>87</v>
      </c>
      <c r="AA11" s="44" t="s">
        <v>87</v>
      </c>
      <c r="AB11" s="44" t="s">
        <v>87</v>
      </c>
      <c r="AC11" s="44" t="s">
        <v>87</v>
      </c>
      <c r="AD11" s="44" t="s">
        <v>87</v>
      </c>
      <c r="AE11" s="44" t="s">
        <v>87</v>
      </c>
      <c r="AF11" s="44" t="s">
        <v>87</v>
      </c>
      <c r="AG11" s="44" t="s">
        <v>87</v>
      </c>
      <c r="AH11" s="44" t="s">
        <v>87</v>
      </c>
      <c r="AI11" s="44" t="s">
        <v>87</v>
      </c>
      <c r="AJ11" s="44" t="s">
        <v>87</v>
      </c>
      <c r="AK11" s="44" t="s">
        <v>87</v>
      </c>
      <c r="AL11"/>
      <c r="AM11" s="44" t="s">
        <v>87</v>
      </c>
      <c r="AN11" s="44" t="s">
        <v>87</v>
      </c>
      <c r="AO11" s="44" t="s">
        <v>87</v>
      </c>
      <c r="AP11" s="44" t="s">
        <v>87</v>
      </c>
      <c r="AQ11" s="44" t="s">
        <v>87</v>
      </c>
      <c r="AR11" s="44" t="s">
        <v>87</v>
      </c>
      <c r="AS11" s="44" t="s">
        <v>87</v>
      </c>
      <c r="AT11"/>
      <c r="AU11" s="44" t="s">
        <v>87</v>
      </c>
      <c r="AV11" s="44" t="s">
        <v>87</v>
      </c>
      <c r="AW11" s="44" t="s">
        <v>87</v>
      </c>
      <c r="AX11" s="44" t="s">
        <v>87</v>
      </c>
      <c r="AY11"/>
      <c r="AZ11" s="44" t="s">
        <v>87</v>
      </c>
      <c r="BA11"/>
      <c r="BB11"/>
      <c r="BC11" s="44" t="s">
        <v>87</v>
      </c>
    </row>
    <row r="12" spans="1:55" x14ac:dyDescent="0.25">
      <c r="A12" s="7" t="s">
        <v>7</v>
      </c>
      <c r="B12" s="3" t="s">
        <v>473</v>
      </c>
      <c r="C12" s="3" t="s">
        <v>483</v>
      </c>
      <c r="D12" s="3" t="s">
        <v>524</v>
      </c>
      <c r="E12" s="8" t="s">
        <v>116</v>
      </c>
      <c r="F12" s="8" t="s">
        <v>96</v>
      </c>
      <c r="G12" s="44">
        <v>5.0000000000000001E-9</v>
      </c>
      <c r="H12" s="44">
        <f t="shared" si="1"/>
        <v>5.0000000000000001E-9</v>
      </c>
      <c r="I12" s="44">
        <v>5.0000000000000001E-9</v>
      </c>
      <c r="J12" s="44">
        <v>5.0000000000000001E-9</v>
      </c>
      <c r="K12" s="44">
        <v>5.0000000000000001E-9</v>
      </c>
      <c r="L12" s="44">
        <v>5.0000000000000001E-9</v>
      </c>
      <c r="M12" s="44">
        <v>5.0000000000000001E-9</v>
      </c>
      <c r="N12" s="44">
        <v>5.0000000000000001E-9</v>
      </c>
      <c r="O12" s="44">
        <v>5.0000000000000001E-9</v>
      </c>
      <c r="P12" s="44">
        <v>5.0000000000000001E-9</v>
      </c>
      <c r="R12" s="44">
        <v>5.0000000000000001E-9</v>
      </c>
      <c r="S12" s="44">
        <v>5.0000000000000001E-9</v>
      </c>
      <c r="T12" s="44">
        <v>5.0000000000000001E-9</v>
      </c>
      <c r="V12" s="44">
        <v>5.0000000000000001E-9</v>
      </c>
      <c r="W12" s="44">
        <v>5.0000000000000001E-9</v>
      </c>
      <c r="X12" s="44">
        <v>5.0000000000000001E-9</v>
      </c>
      <c r="AA12" s="44">
        <v>5.0000000000000001E-9</v>
      </c>
      <c r="AB12" s="44">
        <v>5.0000000000000001E-9</v>
      </c>
      <c r="AC12" s="44">
        <v>5.0000000000000001E-9</v>
      </c>
      <c r="AD12" s="44">
        <v>5.0000000000000001E-9</v>
      </c>
      <c r="AE12" s="44">
        <v>5.0000000000000001E-9</v>
      </c>
      <c r="AF12" s="44">
        <v>5.0000000000000001E-9</v>
      </c>
      <c r="AG12" s="44">
        <v>5.0000000000000001E-9</v>
      </c>
      <c r="AH12" s="44">
        <v>5.0000000000000001E-9</v>
      </c>
      <c r="AI12" s="44">
        <v>5.0000000000000001E-9</v>
      </c>
      <c r="AJ12" s="44">
        <v>5.0000000000000001E-9</v>
      </c>
      <c r="AK12" s="44">
        <v>5.0000000000000001E-9</v>
      </c>
      <c r="AL12"/>
      <c r="AM12" s="44">
        <v>5.0000000000000001E-9</v>
      </c>
      <c r="AN12" s="44">
        <v>5.0000000000000001E-9</v>
      </c>
      <c r="AO12" s="44">
        <v>5.0000000000000001E-9</v>
      </c>
      <c r="AP12" s="44">
        <v>5.0000000000000001E-9</v>
      </c>
      <c r="AQ12" s="44">
        <v>5.0000000000000001E-9</v>
      </c>
      <c r="AR12" s="44">
        <v>5.0000000000000001E-9</v>
      </c>
      <c r="AS12" s="44">
        <v>5.0000000000000001E-9</v>
      </c>
      <c r="AT12"/>
      <c r="AU12" s="44">
        <v>5.0000000000000001E-9</v>
      </c>
      <c r="AV12" s="44">
        <v>5.0000000000000001E-9</v>
      </c>
      <c r="AW12" s="44">
        <v>5.0000000000000001E-9</v>
      </c>
      <c r="AX12" s="44">
        <v>5.0000000000000001E-9</v>
      </c>
      <c r="AY12"/>
      <c r="AZ12" s="44">
        <v>5.0000000000000001E-9</v>
      </c>
      <c r="BA12"/>
      <c r="BB12"/>
      <c r="BC12" s="44">
        <v>5.0000000000000001E-9</v>
      </c>
    </row>
    <row r="13" spans="1:55" x14ac:dyDescent="0.25">
      <c r="A13" s="7" t="s">
        <v>8</v>
      </c>
      <c r="B13" s="3" t="s">
        <v>473</v>
      </c>
      <c r="C13" s="3" t="s">
        <v>483</v>
      </c>
      <c r="D13" s="3" t="s">
        <v>524</v>
      </c>
      <c r="E13" s="8" t="s">
        <v>117</v>
      </c>
      <c r="F13" s="8" t="s">
        <v>466</v>
      </c>
      <c r="G13" s="44">
        <v>10</v>
      </c>
      <c r="H13" s="44">
        <f t="shared" si="1"/>
        <v>10</v>
      </c>
      <c r="I13" s="44">
        <v>10</v>
      </c>
      <c r="J13" s="44">
        <v>10</v>
      </c>
      <c r="K13" s="44">
        <v>10</v>
      </c>
      <c r="L13" s="44">
        <v>10</v>
      </c>
      <c r="M13" s="44">
        <v>10</v>
      </c>
      <c r="N13" s="44">
        <v>10</v>
      </c>
      <c r="O13" s="44">
        <v>10</v>
      </c>
      <c r="P13" s="44">
        <v>10</v>
      </c>
      <c r="R13" s="44">
        <v>10</v>
      </c>
      <c r="S13" s="44">
        <v>10</v>
      </c>
      <c r="T13" s="44">
        <v>10</v>
      </c>
      <c r="V13" s="44">
        <v>10</v>
      </c>
      <c r="W13" s="44">
        <v>10</v>
      </c>
      <c r="X13" s="44">
        <v>10</v>
      </c>
      <c r="AA13" s="44">
        <v>10</v>
      </c>
      <c r="AB13" s="44">
        <v>10</v>
      </c>
      <c r="AC13" s="44">
        <v>10</v>
      </c>
      <c r="AD13" s="44">
        <v>10</v>
      </c>
      <c r="AE13" s="44">
        <v>10</v>
      </c>
      <c r="AF13" s="44">
        <v>10</v>
      </c>
      <c r="AG13" s="44">
        <v>10</v>
      </c>
      <c r="AH13" s="44">
        <v>10</v>
      </c>
      <c r="AI13" s="44">
        <v>10</v>
      </c>
      <c r="AJ13" s="44">
        <v>10</v>
      </c>
      <c r="AK13" s="44">
        <v>10</v>
      </c>
      <c r="AL13"/>
      <c r="AM13" s="44">
        <v>10</v>
      </c>
      <c r="AN13" s="44">
        <v>10</v>
      </c>
      <c r="AO13" s="44">
        <v>10</v>
      </c>
      <c r="AP13" s="44">
        <v>10</v>
      </c>
      <c r="AQ13" s="44">
        <v>10</v>
      </c>
      <c r="AR13" s="44">
        <v>10</v>
      </c>
      <c r="AS13" s="44">
        <v>10</v>
      </c>
      <c r="AT13"/>
      <c r="AU13" s="44">
        <v>10</v>
      </c>
      <c r="AV13" s="44">
        <v>10</v>
      </c>
      <c r="AW13" s="44">
        <v>10</v>
      </c>
      <c r="AX13" s="44">
        <v>10</v>
      </c>
      <c r="AY13"/>
      <c r="AZ13" s="44">
        <v>10</v>
      </c>
      <c r="BA13"/>
      <c r="BB13"/>
      <c r="BC13" s="44">
        <v>10</v>
      </c>
    </row>
    <row r="14" spans="1:55" x14ac:dyDescent="0.25">
      <c r="A14" s="7" t="s">
        <v>463</v>
      </c>
      <c r="B14" s="3" t="s">
        <v>473</v>
      </c>
      <c r="C14" s="3" t="s">
        <v>483</v>
      </c>
      <c r="D14" s="3" t="s">
        <v>524</v>
      </c>
      <c r="E14" s="8" t="s">
        <v>458</v>
      </c>
      <c r="F14" s="8" t="s">
        <v>94</v>
      </c>
      <c r="G14" s="44" t="s">
        <v>87</v>
      </c>
      <c r="H14" s="44" t="str">
        <f t="shared" si="1"/>
        <v>False</v>
      </c>
      <c r="I14" s="44" t="s">
        <v>87</v>
      </c>
      <c r="J14" s="44" t="s">
        <v>87</v>
      </c>
      <c r="K14" s="44" t="s">
        <v>87</v>
      </c>
      <c r="L14" s="44" t="s">
        <v>87</v>
      </c>
      <c r="M14" s="44" t="s">
        <v>87</v>
      </c>
      <c r="N14" s="44" t="s">
        <v>87</v>
      </c>
      <c r="O14" s="44" t="s">
        <v>87</v>
      </c>
      <c r="P14" s="44" t="s">
        <v>87</v>
      </c>
      <c r="R14" s="44" t="s">
        <v>87</v>
      </c>
      <c r="S14" s="44" t="s">
        <v>87</v>
      </c>
      <c r="T14" s="44" t="s">
        <v>87</v>
      </c>
      <c r="V14" s="44" t="s">
        <v>87</v>
      </c>
      <c r="W14" s="44" t="s">
        <v>87</v>
      </c>
      <c r="X14" s="44" t="s">
        <v>87</v>
      </c>
      <c r="AA14" s="44" t="s">
        <v>87</v>
      </c>
      <c r="AB14" s="44" t="s">
        <v>87</v>
      </c>
      <c r="AC14" s="44" t="s">
        <v>87</v>
      </c>
      <c r="AD14" s="44" t="s">
        <v>87</v>
      </c>
      <c r="AE14" s="44" t="s">
        <v>87</v>
      </c>
      <c r="AF14" s="44" t="s">
        <v>87</v>
      </c>
      <c r="AG14" s="44" t="s">
        <v>87</v>
      </c>
      <c r="AH14" s="44" t="s">
        <v>87</v>
      </c>
      <c r="AI14" s="44" t="s">
        <v>87</v>
      </c>
      <c r="AJ14" s="44" t="s">
        <v>87</v>
      </c>
      <c r="AK14" s="44" t="s">
        <v>87</v>
      </c>
      <c r="AL14"/>
      <c r="AM14" s="44" t="s">
        <v>87</v>
      </c>
      <c r="AN14" s="44" t="s">
        <v>87</v>
      </c>
      <c r="AO14" s="44" t="s">
        <v>87</v>
      </c>
      <c r="AP14" s="44" t="s">
        <v>87</v>
      </c>
      <c r="AQ14" s="44" t="s">
        <v>87</v>
      </c>
      <c r="AR14" s="44" t="s">
        <v>87</v>
      </c>
      <c r="AS14" s="44" t="s">
        <v>87</v>
      </c>
      <c r="AT14"/>
      <c r="AU14" s="44" t="s">
        <v>87</v>
      </c>
      <c r="AV14" s="44" t="s">
        <v>87</v>
      </c>
      <c r="AW14" s="44" t="s">
        <v>87</v>
      </c>
      <c r="AX14" s="44" t="s">
        <v>87</v>
      </c>
      <c r="AY14"/>
      <c r="AZ14" s="44" t="s">
        <v>87</v>
      </c>
      <c r="BA14"/>
      <c r="BB14"/>
      <c r="BC14" s="44" t="s">
        <v>87</v>
      </c>
    </row>
    <row r="15" spans="1:55" x14ac:dyDescent="0.25">
      <c r="A15" s="7" t="s">
        <v>464</v>
      </c>
      <c r="B15" s="3" t="s">
        <v>473</v>
      </c>
      <c r="C15" s="3" t="s">
        <v>483</v>
      </c>
      <c r="D15" s="3" t="s">
        <v>524</v>
      </c>
      <c r="E15" s="8" t="s">
        <v>465</v>
      </c>
      <c r="F15" s="8" t="s">
        <v>94</v>
      </c>
      <c r="G15" s="44" t="s">
        <v>87</v>
      </c>
      <c r="H15" s="44" t="str">
        <f t="shared" si="1"/>
        <v>False</v>
      </c>
      <c r="I15" s="44" t="s">
        <v>87</v>
      </c>
      <c r="J15" s="44" t="s">
        <v>87</v>
      </c>
      <c r="K15" s="44" t="s">
        <v>87</v>
      </c>
      <c r="L15" s="44" t="s">
        <v>87</v>
      </c>
      <c r="M15" s="44" t="s">
        <v>87</v>
      </c>
      <c r="N15" s="44" t="s">
        <v>87</v>
      </c>
      <c r="O15" s="44" t="s">
        <v>87</v>
      </c>
      <c r="P15" s="44" t="s">
        <v>87</v>
      </c>
      <c r="R15" s="44" t="s">
        <v>87</v>
      </c>
      <c r="S15" s="44" t="s">
        <v>87</v>
      </c>
      <c r="T15" s="44" t="s">
        <v>87</v>
      </c>
      <c r="V15" s="44" t="s">
        <v>87</v>
      </c>
      <c r="W15" s="44" t="s">
        <v>87</v>
      </c>
      <c r="X15" s="44" t="s">
        <v>87</v>
      </c>
      <c r="AA15" s="44" t="s">
        <v>87</v>
      </c>
      <c r="AB15" s="44" t="s">
        <v>87</v>
      </c>
      <c r="AC15" s="44" t="s">
        <v>87</v>
      </c>
      <c r="AD15" s="44" t="s">
        <v>87</v>
      </c>
      <c r="AE15" s="44" t="s">
        <v>87</v>
      </c>
      <c r="AF15" s="44" t="s">
        <v>87</v>
      </c>
      <c r="AG15" s="44" t="s">
        <v>87</v>
      </c>
      <c r="AH15" s="44" t="s">
        <v>87</v>
      </c>
      <c r="AI15" s="44" t="s">
        <v>87</v>
      </c>
      <c r="AJ15" s="44" t="s">
        <v>87</v>
      </c>
      <c r="AK15" s="44" t="s">
        <v>87</v>
      </c>
      <c r="AL15"/>
      <c r="AM15" s="44" t="s">
        <v>87</v>
      </c>
      <c r="AN15" s="44" t="s">
        <v>87</v>
      </c>
      <c r="AO15" s="44" t="s">
        <v>87</v>
      </c>
      <c r="AP15" s="44" t="s">
        <v>87</v>
      </c>
      <c r="AQ15" s="44" t="s">
        <v>87</v>
      </c>
      <c r="AR15" s="44" t="s">
        <v>87</v>
      </c>
      <c r="AS15" s="44" t="s">
        <v>87</v>
      </c>
      <c r="AT15"/>
      <c r="AU15" s="44" t="s">
        <v>87</v>
      </c>
      <c r="AV15" s="44" t="s">
        <v>87</v>
      </c>
      <c r="AW15" s="44" t="s">
        <v>87</v>
      </c>
      <c r="AX15" s="44" t="s">
        <v>87</v>
      </c>
      <c r="AY15"/>
      <c r="AZ15" s="44" t="s">
        <v>87</v>
      </c>
      <c r="BA15"/>
      <c r="BB15"/>
      <c r="BC15" s="44" t="s">
        <v>87</v>
      </c>
    </row>
    <row r="16" spans="1:55" x14ac:dyDescent="0.25">
      <c r="A16" s="7" t="s">
        <v>467</v>
      </c>
      <c r="B16" s="3" t="s">
        <v>473</v>
      </c>
      <c r="C16" s="3" t="s">
        <v>483</v>
      </c>
      <c r="D16" s="3" t="s">
        <v>524</v>
      </c>
      <c r="E16" s="8" t="s">
        <v>468</v>
      </c>
      <c r="F16" s="8" t="s">
        <v>94</v>
      </c>
      <c r="G16" s="44" t="s">
        <v>87</v>
      </c>
      <c r="H16" s="44" t="str">
        <f t="shared" si="1"/>
        <v>False</v>
      </c>
      <c r="I16" s="44" t="s">
        <v>87</v>
      </c>
      <c r="J16" s="44" t="s">
        <v>87</v>
      </c>
      <c r="K16" s="44" t="s">
        <v>87</v>
      </c>
      <c r="L16" s="44" t="s">
        <v>87</v>
      </c>
      <c r="M16" s="44" t="s">
        <v>87</v>
      </c>
      <c r="N16" s="44" t="s">
        <v>87</v>
      </c>
      <c r="O16" s="44" t="s">
        <v>87</v>
      </c>
      <c r="P16" s="44" t="s">
        <v>87</v>
      </c>
      <c r="R16" s="44" t="s">
        <v>87</v>
      </c>
      <c r="S16" s="44" t="s">
        <v>87</v>
      </c>
      <c r="T16" s="44" t="s">
        <v>87</v>
      </c>
      <c r="V16" s="44" t="s">
        <v>87</v>
      </c>
      <c r="W16" s="44" t="s">
        <v>87</v>
      </c>
      <c r="X16" s="44" t="s">
        <v>87</v>
      </c>
      <c r="AA16" s="44" t="s">
        <v>87</v>
      </c>
      <c r="AB16" s="44" t="s">
        <v>87</v>
      </c>
      <c r="AC16" s="44" t="s">
        <v>87</v>
      </c>
      <c r="AD16" s="44" t="s">
        <v>87</v>
      </c>
      <c r="AE16" s="44" t="s">
        <v>87</v>
      </c>
      <c r="AF16" s="44" t="s">
        <v>87</v>
      </c>
      <c r="AG16" s="44" t="s">
        <v>87</v>
      </c>
      <c r="AH16" s="44" t="s">
        <v>87</v>
      </c>
      <c r="AI16" s="44" t="s">
        <v>87</v>
      </c>
      <c r="AJ16" s="44" t="s">
        <v>87</v>
      </c>
      <c r="AK16" s="44" t="s">
        <v>87</v>
      </c>
      <c r="AL16"/>
      <c r="AM16" s="44" t="s">
        <v>87</v>
      </c>
      <c r="AN16" s="44" t="s">
        <v>87</v>
      </c>
      <c r="AO16" s="44" t="s">
        <v>87</v>
      </c>
      <c r="AP16" s="44" t="s">
        <v>87</v>
      </c>
      <c r="AQ16" s="44" t="s">
        <v>87</v>
      </c>
      <c r="AR16" s="44" t="s">
        <v>87</v>
      </c>
      <c r="AS16" s="44" t="s">
        <v>87</v>
      </c>
      <c r="AT16"/>
      <c r="AU16" s="44" t="s">
        <v>87</v>
      </c>
      <c r="AV16" s="44" t="s">
        <v>87</v>
      </c>
      <c r="AW16" s="44" t="s">
        <v>87</v>
      </c>
      <c r="AX16" s="44" t="s">
        <v>87</v>
      </c>
      <c r="AY16"/>
      <c r="AZ16" s="44" t="s">
        <v>87</v>
      </c>
      <c r="BA16"/>
      <c r="BB16"/>
      <c r="BC16" s="44" t="s">
        <v>87</v>
      </c>
    </row>
    <row r="17" spans="1:55" x14ac:dyDescent="0.25">
      <c r="A17" s="7" t="s">
        <v>469</v>
      </c>
      <c r="B17" s="3" t="s">
        <v>473</v>
      </c>
      <c r="C17" s="3" t="s">
        <v>483</v>
      </c>
      <c r="D17" s="3" t="s">
        <v>524</v>
      </c>
      <c r="E17" s="8" t="s">
        <v>470</v>
      </c>
      <c r="F17" s="8" t="s">
        <v>296</v>
      </c>
      <c r="G17" s="44">
        <v>86400</v>
      </c>
      <c r="H17" s="44">
        <f t="shared" si="1"/>
        <v>86400</v>
      </c>
      <c r="I17" s="44">
        <v>86400</v>
      </c>
      <c r="J17" s="44">
        <v>86400</v>
      </c>
      <c r="K17" s="44">
        <v>86400</v>
      </c>
      <c r="L17" s="44">
        <v>86400</v>
      </c>
      <c r="M17" s="44">
        <v>86400</v>
      </c>
      <c r="N17" s="44">
        <v>86400</v>
      </c>
      <c r="O17" s="44">
        <v>86400</v>
      </c>
      <c r="P17" s="44">
        <v>86400</v>
      </c>
      <c r="R17" s="44">
        <v>86400</v>
      </c>
      <c r="S17" s="44">
        <v>86400</v>
      </c>
      <c r="T17" s="44">
        <v>86400</v>
      </c>
      <c r="V17" s="44">
        <v>86400</v>
      </c>
      <c r="W17" s="44">
        <v>86400</v>
      </c>
      <c r="X17" s="44">
        <v>86400</v>
      </c>
      <c r="AA17" s="44">
        <v>86400</v>
      </c>
      <c r="AB17" s="44">
        <v>86400</v>
      </c>
      <c r="AC17" s="44">
        <v>86400</v>
      </c>
      <c r="AD17" s="44">
        <v>86400</v>
      </c>
      <c r="AE17" s="44">
        <v>86400</v>
      </c>
      <c r="AF17" s="44">
        <v>86400</v>
      </c>
      <c r="AG17" s="44">
        <v>86400</v>
      </c>
      <c r="AH17" s="44">
        <v>86400</v>
      </c>
      <c r="AI17" s="44">
        <v>86400</v>
      </c>
      <c r="AJ17" s="44">
        <v>86400</v>
      </c>
      <c r="AK17" s="44">
        <v>86400</v>
      </c>
      <c r="AL17"/>
      <c r="AM17" s="44">
        <v>86400</v>
      </c>
      <c r="AN17" s="44">
        <v>86400</v>
      </c>
      <c r="AO17" s="44">
        <v>86400</v>
      </c>
      <c r="AP17" s="44">
        <v>86400</v>
      </c>
      <c r="AQ17" s="44">
        <v>86400</v>
      </c>
      <c r="AR17" s="44">
        <v>86400</v>
      </c>
      <c r="AS17" s="44">
        <v>86400</v>
      </c>
      <c r="AT17"/>
      <c r="AU17" s="44">
        <v>86400</v>
      </c>
      <c r="AV17" s="44">
        <v>86400</v>
      </c>
      <c r="AW17" s="44">
        <v>86400</v>
      </c>
      <c r="AX17" s="44">
        <v>86400</v>
      </c>
      <c r="AY17"/>
      <c r="AZ17" s="44">
        <v>86400</v>
      </c>
      <c r="BA17"/>
      <c r="BB17"/>
      <c r="BC17" s="44">
        <v>86400</v>
      </c>
    </row>
    <row r="18" spans="1:55" x14ac:dyDescent="0.25">
      <c r="A18" s="9" t="s">
        <v>10</v>
      </c>
      <c r="B18" s="3" t="s">
        <v>473</v>
      </c>
      <c r="C18" s="3" t="s">
        <v>483</v>
      </c>
      <c r="D18" s="3" t="s">
        <v>524</v>
      </c>
      <c r="E18" s="10" t="s">
        <v>133</v>
      </c>
      <c r="F18" s="10" t="s">
        <v>94</v>
      </c>
      <c r="G18" s="44" t="s">
        <v>87</v>
      </c>
      <c r="H18" s="44" t="s">
        <v>86</v>
      </c>
      <c r="I18" s="44" t="s">
        <v>86</v>
      </c>
      <c r="J18" s="44" t="s">
        <v>86</v>
      </c>
      <c r="K18" s="44" t="s">
        <v>86</v>
      </c>
      <c r="L18" s="44" t="s">
        <v>86</v>
      </c>
      <c r="M18" s="44" t="s">
        <v>86</v>
      </c>
      <c r="N18" s="44" t="s">
        <v>86</v>
      </c>
      <c r="O18" s="44" t="s">
        <v>86</v>
      </c>
      <c r="P18" s="44" t="s">
        <v>86</v>
      </c>
      <c r="R18" s="44" t="s">
        <v>86</v>
      </c>
      <c r="S18" s="44" t="s">
        <v>86</v>
      </c>
      <c r="T18" s="44" t="s">
        <v>86</v>
      </c>
      <c r="V18" s="44" t="s">
        <v>86</v>
      </c>
      <c r="W18" s="44" t="s">
        <v>86</v>
      </c>
      <c r="X18" s="44" t="s">
        <v>86</v>
      </c>
      <c r="AA18" s="44" t="s">
        <v>86</v>
      </c>
      <c r="AB18" s="44" t="s">
        <v>86</v>
      </c>
      <c r="AC18" s="44" t="s">
        <v>86</v>
      </c>
      <c r="AD18" s="44" t="s">
        <v>86</v>
      </c>
      <c r="AE18" s="44" t="s">
        <v>86</v>
      </c>
      <c r="AF18" s="44" t="s">
        <v>86</v>
      </c>
      <c r="AG18" s="44" t="s">
        <v>86</v>
      </c>
      <c r="AH18" s="44" t="s">
        <v>86</v>
      </c>
      <c r="AI18" s="44" t="s">
        <v>86</v>
      </c>
      <c r="AJ18" s="44" t="s">
        <v>86</v>
      </c>
      <c r="AK18" s="44" t="s">
        <v>86</v>
      </c>
      <c r="AL18"/>
      <c r="AM18" s="44" t="s">
        <v>86</v>
      </c>
      <c r="AN18" s="44" t="s">
        <v>86</v>
      </c>
      <c r="AO18" s="44" t="s">
        <v>86</v>
      </c>
      <c r="AP18" s="44" t="s">
        <v>86</v>
      </c>
      <c r="AQ18" s="44" t="s">
        <v>86</v>
      </c>
      <c r="AR18" s="44" t="s">
        <v>86</v>
      </c>
      <c r="AS18" s="44" t="s">
        <v>86</v>
      </c>
      <c r="AT18"/>
      <c r="AU18" s="44" t="s">
        <v>86</v>
      </c>
      <c r="AV18" s="44" t="s">
        <v>86</v>
      </c>
      <c r="AW18" s="44" t="s">
        <v>86</v>
      </c>
      <c r="AX18" s="44" t="s">
        <v>86</v>
      </c>
      <c r="AY18"/>
      <c r="AZ18" s="44" t="s">
        <v>86</v>
      </c>
      <c r="BA18"/>
      <c r="BB18"/>
      <c r="BC18" s="44" t="s">
        <v>86</v>
      </c>
    </row>
    <row r="19" spans="1:55" x14ac:dyDescent="0.25">
      <c r="A19" s="9" t="s">
        <v>11</v>
      </c>
      <c r="B19" s="3" t="s">
        <v>473</v>
      </c>
      <c r="C19" s="3" t="s">
        <v>483</v>
      </c>
      <c r="D19" s="3" t="s">
        <v>524</v>
      </c>
      <c r="E19" s="10" t="s">
        <v>118</v>
      </c>
      <c r="F19" s="10" t="s">
        <v>95</v>
      </c>
      <c r="G19" s="44">
        <v>3</v>
      </c>
      <c r="H19" s="44">
        <f t="shared" si="1"/>
        <v>3</v>
      </c>
      <c r="I19" s="44">
        <v>3</v>
      </c>
      <c r="J19" s="44">
        <v>3</v>
      </c>
      <c r="K19" s="44">
        <v>3</v>
      </c>
      <c r="L19" s="44">
        <v>3</v>
      </c>
      <c r="M19" s="44">
        <v>3</v>
      </c>
      <c r="N19" s="44">
        <v>3</v>
      </c>
      <c r="O19" s="44">
        <v>3</v>
      </c>
      <c r="P19" s="44">
        <v>3</v>
      </c>
      <c r="R19" s="44">
        <v>3</v>
      </c>
      <c r="S19" s="44">
        <v>3</v>
      </c>
      <c r="T19" s="44">
        <v>3</v>
      </c>
      <c r="V19" s="44">
        <v>3</v>
      </c>
      <c r="W19" s="44">
        <v>3</v>
      </c>
      <c r="X19" s="44">
        <v>3</v>
      </c>
      <c r="AA19" s="44">
        <v>3</v>
      </c>
      <c r="AB19" s="44">
        <v>3</v>
      </c>
      <c r="AC19" s="44">
        <v>3</v>
      </c>
      <c r="AD19" s="44">
        <v>3</v>
      </c>
      <c r="AE19" s="44">
        <v>3</v>
      </c>
      <c r="AF19" s="44">
        <v>3</v>
      </c>
      <c r="AG19" s="44">
        <v>3</v>
      </c>
      <c r="AH19" s="44">
        <v>3</v>
      </c>
      <c r="AI19" s="44">
        <v>3</v>
      </c>
      <c r="AJ19" s="44">
        <v>3</v>
      </c>
      <c r="AK19" s="44">
        <v>3</v>
      </c>
      <c r="AL19"/>
      <c r="AM19" s="44">
        <v>3</v>
      </c>
      <c r="AN19" s="44">
        <v>3</v>
      </c>
      <c r="AO19" s="44">
        <v>3</v>
      </c>
      <c r="AP19" s="44">
        <v>3</v>
      </c>
      <c r="AQ19" s="44">
        <v>3</v>
      </c>
      <c r="AR19" s="44">
        <v>3</v>
      </c>
      <c r="AS19" s="44">
        <v>3</v>
      </c>
      <c r="AT19"/>
      <c r="AU19" s="44">
        <v>3</v>
      </c>
      <c r="AV19" s="44">
        <v>3</v>
      </c>
      <c r="AW19" s="44">
        <v>3</v>
      </c>
      <c r="AX19" s="44">
        <v>3</v>
      </c>
      <c r="AY19"/>
      <c r="AZ19" s="44">
        <v>3</v>
      </c>
      <c r="BA19"/>
      <c r="BB19"/>
      <c r="BC19" s="44">
        <v>3</v>
      </c>
    </row>
    <row r="20" spans="1:55" x14ac:dyDescent="0.25">
      <c r="A20" s="9" t="s">
        <v>362</v>
      </c>
      <c r="B20" s="3" t="s">
        <v>473</v>
      </c>
      <c r="C20" s="3" t="s">
        <v>483</v>
      </c>
      <c r="D20" s="3" t="s">
        <v>524</v>
      </c>
      <c r="E20" s="10" t="s">
        <v>363</v>
      </c>
      <c r="F20" s="10" t="s">
        <v>94</v>
      </c>
      <c r="G20" s="44" t="s">
        <v>87</v>
      </c>
      <c r="H20" s="44" t="str">
        <f t="shared" si="1"/>
        <v>False</v>
      </c>
      <c r="I20" s="44" t="s">
        <v>87</v>
      </c>
      <c r="J20" s="44" t="s">
        <v>87</v>
      </c>
      <c r="K20" s="44" t="s">
        <v>87</v>
      </c>
      <c r="L20" s="44" t="s">
        <v>87</v>
      </c>
      <c r="M20" s="44" t="s">
        <v>87</v>
      </c>
      <c r="N20" s="44" t="s">
        <v>87</v>
      </c>
      <c r="O20" s="44" t="s">
        <v>87</v>
      </c>
      <c r="P20" s="44" t="s">
        <v>87</v>
      </c>
      <c r="R20" s="44" t="s">
        <v>87</v>
      </c>
      <c r="S20" s="44" t="s">
        <v>87</v>
      </c>
      <c r="T20" s="44" t="s">
        <v>87</v>
      </c>
      <c r="V20" s="44" t="s">
        <v>87</v>
      </c>
      <c r="W20" s="44" t="s">
        <v>87</v>
      </c>
      <c r="X20" s="44" t="s">
        <v>87</v>
      </c>
      <c r="AA20" s="44" t="s">
        <v>87</v>
      </c>
      <c r="AB20" s="44" t="s">
        <v>87</v>
      </c>
      <c r="AC20" s="44" t="s">
        <v>87</v>
      </c>
      <c r="AD20" s="44" t="s">
        <v>87</v>
      </c>
      <c r="AE20" s="44" t="s">
        <v>87</v>
      </c>
      <c r="AF20" s="44" t="s">
        <v>87</v>
      </c>
      <c r="AG20" s="44" t="s">
        <v>87</v>
      </c>
      <c r="AH20" s="44" t="s">
        <v>87</v>
      </c>
      <c r="AI20" s="44" t="s">
        <v>87</v>
      </c>
      <c r="AJ20" s="44" t="s">
        <v>87</v>
      </c>
      <c r="AK20" s="44" t="s">
        <v>87</v>
      </c>
      <c r="AL20"/>
      <c r="AM20" s="44" t="s">
        <v>87</v>
      </c>
      <c r="AN20" s="44" t="s">
        <v>87</v>
      </c>
      <c r="AO20" s="44" t="s">
        <v>87</v>
      </c>
      <c r="AP20" s="44" t="s">
        <v>87</v>
      </c>
      <c r="AQ20" s="44" t="s">
        <v>87</v>
      </c>
      <c r="AR20" s="44" t="s">
        <v>87</v>
      </c>
      <c r="AS20" s="44" t="s">
        <v>87</v>
      </c>
      <c r="AT20"/>
      <c r="AU20" s="44" t="s">
        <v>87</v>
      </c>
      <c r="AV20" s="44" t="s">
        <v>87</v>
      </c>
      <c r="AW20" s="44" t="s">
        <v>87</v>
      </c>
      <c r="AX20" s="44" t="s">
        <v>87</v>
      </c>
      <c r="AY20"/>
      <c r="AZ20" s="44" t="s">
        <v>87</v>
      </c>
      <c r="BA20"/>
      <c r="BB20"/>
      <c r="BC20" s="44" t="s">
        <v>87</v>
      </c>
    </row>
    <row r="21" spans="1:55" x14ac:dyDescent="0.25">
      <c r="A21" s="9" t="s">
        <v>364</v>
      </c>
      <c r="B21" s="3" t="s">
        <v>473</v>
      </c>
      <c r="C21" s="3" t="s">
        <v>483</v>
      </c>
      <c r="D21" s="3" t="s">
        <v>524</v>
      </c>
      <c r="E21" s="10" t="s">
        <v>365</v>
      </c>
      <c r="F21" s="10" t="s">
        <v>94</v>
      </c>
      <c r="G21" s="44" t="s">
        <v>87</v>
      </c>
      <c r="H21" s="44" t="str">
        <f t="shared" si="1"/>
        <v>False</v>
      </c>
      <c r="I21" s="44" t="s">
        <v>87</v>
      </c>
      <c r="J21" s="44" t="s">
        <v>87</v>
      </c>
      <c r="K21" s="44" t="s">
        <v>87</v>
      </c>
      <c r="L21" s="44" t="s">
        <v>87</v>
      </c>
      <c r="M21" s="44" t="s">
        <v>87</v>
      </c>
      <c r="N21" s="44" t="s">
        <v>87</v>
      </c>
      <c r="O21" s="44" t="s">
        <v>87</v>
      </c>
      <c r="P21" s="44" t="s">
        <v>87</v>
      </c>
      <c r="R21" s="44" t="s">
        <v>87</v>
      </c>
      <c r="S21" s="44" t="s">
        <v>87</v>
      </c>
      <c r="T21" s="44" t="s">
        <v>87</v>
      </c>
      <c r="V21" s="44" t="s">
        <v>87</v>
      </c>
      <c r="W21" s="44" t="s">
        <v>87</v>
      </c>
      <c r="X21" s="44" t="s">
        <v>87</v>
      </c>
      <c r="AA21" s="44" t="s">
        <v>87</v>
      </c>
      <c r="AB21" s="44" t="s">
        <v>87</v>
      </c>
      <c r="AC21" s="44" t="s">
        <v>87</v>
      </c>
      <c r="AD21" s="44" t="s">
        <v>87</v>
      </c>
      <c r="AE21" s="44" t="s">
        <v>87</v>
      </c>
      <c r="AF21" s="44" t="s">
        <v>87</v>
      </c>
      <c r="AG21" s="44" t="s">
        <v>87</v>
      </c>
      <c r="AH21" s="44" t="s">
        <v>87</v>
      </c>
      <c r="AI21" s="44" t="s">
        <v>87</v>
      </c>
      <c r="AJ21" s="44" t="s">
        <v>87</v>
      </c>
      <c r="AK21" s="44" t="s">
        <v>87</v>
      </c>
      <c r="AL21"/>
      <c r="AM21" s="44" t="s">
        <v>87</v>
      </c>
      <c r="AN21" s="44" t="s">
        <v>87</v>
      </c>
      <c r="AO21" s="44" t="s">
        <v>87</v>
      </c>
      <c r="AP21" s="44" t="s">
        <v>87</v>
      </c>
      <c r="AQ21" s="44" t="s">
        <v>87</v>
      </c>
      <c r="AR21" s="44" t="s">
        <v>87</v>
      </c>
      <c r="AS21" s="44" t="s">
        <v>87</v>
      </c>
      <c r="AT21"/>
      <c r="AU21" s="44" t="s">
        <v>87</v>
      </c>
      <c r="AV21" s="44" t="s">
        <v>87</v>
      </c>
      <c r="AW21" s="44" t="s">
        <v>87</v>
      </c>
      <c r="AX21" s="44" t="s">
        <v>87</v>
      </c>
      <c r="AY21"/>
      <c r="AZ21" s="44" t="s">
        <v>87</v>
      </c>
      <c r="BA21"/>
      <c r="BB21"/>
      <c r="BC21" s="44" t="s">
        <v>87</v>
      </c>
    </row>
    <row r="22" spans="1:55" x14ac:dyDescent="0.25">
      <c r="A22" s="9" t="s">
        <v>376</v>
      </c>
      <c r="B22" s="3" t="s">
        <v>473</v>
      </c>
      <c r="C22" s="3" t="s">
        <v>483</v>
      </c>
      <c r="D22" s="3" t="s">
        <v>524</v>
      </c>
      <c r="E22" s="10" t="s">
        <v>377</v>
      </c>
      <c r="F22" s="10" t="s">
        <v>94</v>
      </c>
      <c r="G22" s="44" t="s">
        <v>87</v>
      </c>
      <c r="H22" s="44" t="str">
        <f t="shared" si="1"/>
        <v>False</v>
      </c>
      <c r="I22" s="44" t="s">
        <v>87</v>
      </c>
      <c r="J22" s="44" t="s">
        <v>87</v>
      </c>
      <c r="K22" s="44" t="s">
        <v>87</v>
      </c>
      <c r="L22" s="44" t="s">
        <v>87</v>
      </c>
      <c r="M22" s="44" t="s">
        <v>87</v>
      </c>
      <c r="N22" s="44" t="s">
        <v>87</v>
      </c>
      <c r="O22" s="44" t="s">
        <v>87</v>
      </c>
      <c r="P22" s="44" t="s">
        <v>87</v>
      </c>
      <c r="R22" s="44" t="s">
        <v>87</v>
      </c>
      <c r="S22" s="44" t="s">
        <v>87</v>
      </c>
      <c r="T22" s="44" t="s">
        <v>87</v>
      </c>
      <c r="V22" s="44" t="s">
        <v>87</v>
      </c>
      <c r="W22" s="44" t="s">
        <v>87</v>
      </c>
      <c r="X22" s="44" t="s">
        <v>87</v>
      </c>
      <c r="AA22" s="44" t="s">
        <v>87</v>
      </c>
      <c r="AB22" s="44" t="s">
        <v>87</v>
      </c>
      <c r="AC22" s="44" t="s">
        <v>87</v>
      </c>
      <c r="AD22" s="44" t="s">
        <v>87</v>
      </c>
      <c r="AE22" s="44" t="s">
        <v>87</v>
      </c>
      <c r="AF22" s="44" t="s">
        <v>87</v>
      </c>
      <c r="AG22" s="44" t="s">
        <v>87</v>
      </c>
      <c r="AH22" s="44" t="s">
        <v>87</v>
      </c>
      <c r="AI22" s="44" t="s">
        <v>87</v>
      </c>
      <c r="AJ22" s="44" t="s">
        <v>87</v>
      </c>
      <c r="AK22" s="44" t="s">
        <v>87</v>
      </c>
      <c r="AL22"/>
      <c r="AM22" s="44" t="s">
        <v>87</v>
      </c>
      <c r="AN22" s="44" t="s">
        <v>87</v>
      </c>
      <c r="AO22" s="44" t="s">
        <v>87</v>
      </c>
      <c r="AP22" s="44" t="s">
        <v>87</v>
      </c>
      <c r="AQ22" s="44" t="s">
        <v>87</v>
      </c>
      <c r="AR22" s="44" t="s">
        <v>87</v>
      </c>
      <c r="AS22" s="44" t="s">
        <v>87</v>
      </c>
      <c r="AT22"/>
      <c r="AU22" s="44" t="s">
        <v>87</v>
      </c>
      <c r="AV22" s="44" t="s">
        <v>87</v>
      </c>
      <c r="AW22" s="44" t="s">
        <v>87</v>
      </c>
      <c r="AX22" s="44" t="s">
        <v>87</v>
      </c>
      <c r="AY22"/>
      <c r="AZ22" s="44" t="s">
        <v>87</v>
      </c>
      <c r="BA22"/>
      <c r="BB22"/>
      <c r="BC22" s="44" t="s">
        <v>87</v>
      </c>
    </row>
    <row r="23" spans="1:55" x14ac:dyDescent="0.25">
      <c r="A23" s="9" t="s">
        <v>375</v>
      </c>
      <c r="B23" s="3" t="s">
        <v>473</v>
      </c>
      <c r="C23" s="3" t="s">
        <v>483</v>
      </c>
      <c r="D23" s="3" t="s">
        <v>524</v>
      </c>
      <c r="E23" s="10" t="s">
        <v>373</v>
      </c>
      <c r="F23" s="10" t="s">
        <v>94</v>
      </c>
      <c r="G23" s="44" t="s">
        <v>87</v>
      </c>
      <c r="H23" s="44" t="str">
        <f t="shared" si="1"/>
        <v>False</v>
      </c>
      <c r="I23" s="44" t="s">
        <v>87</v>
      </c>
      <c r="J23" s="44" t="s">
        <v>87</v>
      </c>
      <c r="K23" s="44" t="s">
        <v>87</v>
      </c>
      <c r="L23" s="44" t="s">
        <v>87</v>
      </c>
      <c r="M23" s="44" t="s">
        <v>87</v>
      </c>
      <c r="N23" s="44" t="s">
        <v>87</v>
      </c>
      <c r="O23" s="44" t="s">
        <v>87</v>
      </c>
      <c r="P23" s="44" t="s">
        <v>87</v>
      </c>
      <c r="R23" s="44" t="s">
        <v>87</v>
      </c>
      <c r="S23" s="44" t="s">
        <v>87</v>
      </c>
      <c r="T23" s="44" t="s">
        <v>87</v>
      </c>
      <c r="V23" s="44" t="s">
        <v>87</v>
      </c>
      <c r="W23" s="44" t="s">
        <v>87</v>
      </c>
      <c r="X23" s="44" t="s">
        <v>87</v>
      </c>
      <c r="AA23" s="44" t="s">
        <v>87</v>
      </c>
      <c r="AB23" s="44" t="s">
        <v>87</v>
      </c>
      <c r="AC23" s="44" t="s">
        <v>87</v>
      </c>
      <c r="AD23" s="44" t="s">
        <v>87</v>
      </c>
      <c r="AE23" s="44" t="s">
        <v>87</v>
      </c>
      <c r="AF23" s="44" t="s">
        <v>87</v>
      </c>
      <c r="AG23" s="44" t="s">
        <v>87</v>
      </c>
      <c r="AH23" s="44" t="s">
        <v>87</v>
      </c>
      <c r="AI23" s="44" t="s">
        <v>87</v>
      </c>
      <c r="AJ23" s="44" t="s">
        <v>87</v>
      </c>
      <c r="AK23" s="44" t="s">
        <v>87</v>
      </c>
      <c r="AL23"/>
      <c r="AM23" s="44" t="s">
        <v>87</v>
      </c>
      <c r="AN23" s="44" t="s">
        <v>87</v>
      </c>
      <c r="AO23" s="44" t="s">
        <v>87</v>
      </c>
      <c r="AP23" s="44" t="s">
        <v>87</v>
      </c>
      <c r="AQ23" s="44" t="s">
        <v>87</v>
      </c>
      <c r="AR23" s="44" t="s">
        <v>87</v>
      </c>
      <c r="AS23" s="44" t="s">
        <v>87</v>
      </c>
      <c r="AT23"/>
      <c r="AU23" s="44" t="s">
        <v>87</v>
      </c>
      <c r="AV23" s="44" t="s">
        <v>87</v>
      </c>
      <c r="AW23" s="44" t="s">
        <v>87</v>
      </c>
      <c r="AX23" s="44" t="s">
        <v>87</v>
      </c>
      <c r="AY23"/>
      <c r="AZ23" s="44" t="s">
        <v>87</v>
      </c>
      <c r="BA23"/>
      <c r="BB23"/>
      <c r="BC23" s="44" t="s">
        <v>87</v>
      </c>
    </row>
    <row r="24" spans="1:55" x14ac:dyDescent="0.25">
      <c r="A24" s="9" t="s">
        <v>374</v>
      </c>
      <c r="B24" s="3" t="s">
        <v>473</v>
      </c>
      <c r="C24" s="3" t="s">
        <v>483</v>
      </c>
      <c r="D24" s="3" t="s">
        <v>524</v>
      </c>
      <c r="E24" s="10" t="s">
        <v>372</v>
      </c>
      <c r="F24" s="10" t="s">
        <v>94</v>
      </c>
      <c r="G24" s="44" t="s">
        <v>87</v>
      </c>
      <c r="H24" s="44" t="str">
        <f t="shared" si="1"/>
        <v>False</v>
      </c>
      <c r="I24" s="44" t="s">
        <v>87</v>
      </c>
      <c r="J24" s="44" t="s">
        <v>87</v>
      </c>
      <c r="K24" s="44" t="s">
        <v>87</v>
      </c>
      <c r="L24" s="44" t="s">
        <v>87</v>
      </c>
      <c r="M24" s="44" t="s">
        <v>87</v>
      </c>
      <c r="N24" s="44" t="s">
        <v>87</v>
      </c>
      <c r="O24" s="44" t="s">
        <v>87</v>
      </c>
      <c r="P24" s="44" t="s">
        <v>87</v>
      </c>
      <c r="R24" s="44" t="s">
        <v>87</v>
      </c>
      <c r="S24" s="44" t="s">
        <v>87</v>
      </c>
      <c r="T24" s="44" t="s">
        <v>87</v>
      </c>
      <c r="V24" s="44" t="s">
        <v>87</v>
      </c>
      <c r="W24" s="44" t="s">
        <v>87</v>
      </c>
      <c r="X24" s="44" t="s">
        <v>87</v>
      </c>
      <c r="AA24" s="44" t="s">
        <v>87</v>
      </c>
      <c r="AB24" s="44" t="s">
        <v>87</v>
      </c>
      <c r="AC24" s="44" t="s">
        <v>87</v>
      </c>
      <c r="AD24" s="44" t="s">
        <v>87</v>
      </c>
      <c r="AE24" s="44" t="s">
        <v>87</v>
      </c>
      <c r="AF24" s="44" t="s">
        <v>87</v>
      </c>
      <c r="AG24" s="44" t="s">
        <v>87</v>
      </c>
      <c r="AH24" s="44" t="s">
        <v>87</v>
      </c>
      <c r="AI24" s="44" t="s">
        <v>87</v>
      </c>
      <c r="AJ24" s="44" t="s">
        <v>87</v>
      </c>
      <c r="AK24" s="44" t="s">
        <v>87</v>
      </c>
      <c r="AL24"/>
      <c r="AM24" s="44" t="s">
        <v>87</v>
      </c>
      <c r="AN24" s="44" t="s">
        <v>87</v>
      </c>
      <c r="AO24" s="44" t="s">
        <v>87</v>
      </c>
      <c r="AP24" s="44" t="s">
        <v>87</v>
      </c>
      <c r="AQ24" s="44" t="s">
        <v>87</v>
      </c>
      <c r="AR24" s="44" t="s">
        <v>87</v>
      </c>
      <c r="AS24" s="44" t="s">
        <v>87</v>
      </c>
      <c r="AT24"/>
      <c r="AU24" s="44" t="s">
        <v>87</v>
      </c>
      <c r="AV24" s="44" t="s">
        <v>87</v>
      </c>
      <c r="AW24" s="44" t="s">
        <v>87</v>
      </c>
      <c r="AX24" s="44" t="s">
        <v>87</v>
      </c>
      <c r="AY24"/>
      <c r="AZ24" s="44" t="s">
        <v>87</v>
      </c>
      <c r="BA24"/>
      <c r="BB24"/>
      <c r="BC24" s="44" t="s">
        <v>87</v>
      </c>
    </row>
    <row r="25" spans="1:55" x14ac:dyDescent="0.25">
      <c r="A25" s="9" t="s">
        <v>12</v>
      </c>
      <c r="B25" s="3" t="s">
        <v>473</v>
      </c>
      <c r="C25" s="3" t="s">
        <v>483</v>
      </c>
      <c r="D25" s="3" t="s">
        <v>524</v>
      </c>
      <c r="E25" s="10" t="s">
        <v>139</v>
      </c>
      <c r="F25" s="10" t="s">
        <v>94</v>
      </c>
      <c r="G25" s="44" t="s">
        <v>87</v>
      </c>
      <c r="H25" s="44" t="str">
        <f t="shared" si="1"/>
        <v>False</v>
      </c>
      <c r="I25" s="44" t="s">
        <v>87</v>
      </c>
      <c r="J25" s="44" t="s">
        <v>87</v>
      </c>
      <c r="K25" s="44" t="s">
        <v>87</v>
      </c>
      <c r="L25" s="44" t="s">
        <v>87</v>
      </c>
      <c r="M25" s="44" t="s">
        <v>87</v>
      </c>
      <c r="N25" s="44" t="s">
        <v>87</v>
      </c>
      <c r="O25" s="44" t="s">
        <v>87</v>
      </c>
      <c r="P25" s="44" t="s">
        <v>87</v>
      </c>
      <c r="R25" s="44" t="s">
        <v>87</v>
      </c>
      <c r="S25" s="44" t="s">
        <v>87</v>
      </c>
      <c r="T25" s="44" t="s">
        <v>87</v>
      </c>
      <c r="V25" s="44" t="s">
        <v>87</v>
      </c>
      <c r="W25" s="44" t="s">
        <v>87</v>
      </c>
      <c r="X25" s="44" t="s">
        <v>87</v>
      </c>
      <c r="AA25" s="44" t="s">
        <v>87</v>
      </c>
      <c r="AB25" s="44" t="s">
        <v>87</v>
      </c>
      <c r="AC25" s="44" t="s">
        <v>87</v>
      </c>
      <c r="AD25" s="44" t="s">
        <v>87</v>
      </c>
      <c r="AE25" s="44" t="s">
        <v>87</v>
      </c>
      <c r="AF25" s="44" t="s">
        <v>87</v>
      </c>
      <c r="AG25" s="44" t="s">
        <v>87</v>
      </c>
      <c r="AH25" s="44" t="s">
        <v>87</v>
      </c>
      <c r="AI25" s="44" t="s">
        <v>87</v>
      </c>
      <c r="AJ25" s="44" t="s">
        <v>87</v>
      </c>
      <c r="AK25" s="44" t="s">
        <v>87</v>
      </c>
      <c r="AL25"/>
      <c r="AM25" s="44" t="s">
        <v>87</v>
      </c>
      <c r="AN25" s="44" t="s">
        <v>87</v>
      </c>
      <c r="AO25" s="44" t="s">
        <v>87</v>
      </c>
      <c r="AP25" s="44" t="s">
        <v>87</v>
      </c>
      <c r="AQ25" s="44" t="s">
        <v>87</v>
      </c>
      <c r="AR25" s="44" t="s">
        <v>87</v>
      </c>
      <c r="AS25" s="44" t="s">
        <v>87</v>
      </c>
      <c r="AT25"/>
      <c r="AU25" s="44" t="s">
        <v>87</v>
      </c>
      <c r="AV25" s="44" t="s">
        <v>87</v>
      </c>
      <c r="AW25" s="44" t="s">
        <v>87</v>
      </c>
      <c r="AX25" s="44" t="s">
        <v>87</v>
      </c>
      <c r="AY25"/>
      <c r="AZ25" s="44" t="s">
        <v>87</v>
      </c>
      <c r="BA25"/>
      <c r="BB25"/>
      <c r="BC25" s="44" t="s">
        <v>87</v>
      </c>
    </row>
    <row r="26" spans="1:55" x14ac:dyDescent="0.25">
      <c r="A26" s="9" t="s">
        <v>13</v>
      </c>
      <c r="B26" s="3" t="s">
        <v>473</v>
      </c>
      <c r="C26" s="3" t="s">
        <v>483</v>
      </c>
      <c r="D26" s="3" t="s">
        <v>524</v>
      </c>
      <c r="E26" s="10" t="s">
        <v>119</v>
      </c>
      <c r="F26" s="10" t="s">
        <v>97</v>
      </c>
      <c r="G26" s="44">
        <v>0.33</v>
      </c>
      <c r="H26" s="44">
        <f t="shared" si="1"/>
        <v>0.33</v>
      </c>
      <c r="I26" s="44">
        <v>0.33</v>
      </c>
      <c r="J26" s="44">
        <v>0.33</v>
      </c>
      <c r="K26" s="44">
        <v>0.33</v>
      </c>
      <c r="L26" s="44">
        <v>0.33</v>
      </c>
      <c r="M26" s="44">
        <v>0.33</v>
      </c>
      <c r="N26" s="44">
        <v>0.33</v>
      </c>
      <c r="O26" s="44">
        <v>0.33</v>
      </c>
      <c r="P26" s="44">
        <v>0.33</v>
      </c>
      <c r="R26" s="44">
        <v>0.33</v>
      </c>
      <c r="S26" s="44">
        <v>0.33</v>
      </c>
      <c r="T26" s="44">
        <v>0.33</v>
      </c>
      <c r="V26" s="44">
        <v>0.33</v>
      </c>
      <c r="W26" s="44">
        <v>0.33</v>
      </c>
      <c r="X26" s="44">
        <v>0.33</v>
      </c>
      <c r="AA26" s="44">
        <v>0.33</v>
      </c>
      <c r="AB26" s="44">
        <v>0.33</v>
      </c>
      <c r="AC26" s="44">
        <v>0.33</v>
      </c>
      <c r="AD26" s="44">
        <v>0.33</v>
      </c>
      <c r="AE26" s="44">
        <v>0.33</v>
      </c>
      <c r="AF26" s="44">
        <v>0.33</v>
      </c>
      <c r="AG26" s="44">
        <v>0.33</v>
      </c>
      <c r="AH26" s="44">
        <v>0.33</v>
      </c>
      <c r="AI26" s="44">
        <v>0.33</v>
      </c>
      <c r="AJ26" s="44">
        <v>0.33</v>
      </c>
      <c r="AK26" s="44">
        <v>0.33</v>
      </c>
      <c r="AL26"/>
      <c r="AM26" s="44">
        <v>0.33</v>
      </c>
      <c r="AN26" s="44">
        <v>0.33</v>
      </c>
      <c r="AO26" s="44">
        <v>0.33</v>
      </c>
      <c r="AP26" s="44">
        <v>0.33</v>
      </c>
      <c r="AQ26" s="44">
        <v>0.33</v>
      </c>
      <c r="AR26" s="44">
        <v>0.33</v>
      </c>
      <c r="AS26" s="44">
        <v>0.33</v>
      </c>
      <c r="AT26"/>
      <c r="AU26" s="44">
        <v>0.33</v>
      </c>
      <c r="AV26" s="44">
        <v>0.33</v>
      </c>
      <c r="AW26" s="44">
        <v>0.33</v>
      </c>
      <c r="AX26" s="44">
        <v>0.33</v>
      </c>
      <c r="AY26"/>
      <c r="AZ26" s="44">
        <v>0.33</v>
      </c>
      <c r="BA26"/>
      <c r="BB26"/>
      <c r="BC26" s="44">
        <v>0.33</v>
      </c>
    </row>
    <row r="27" spans="1:55" x14ac:dyDescent="0.25">
      <c r="A27" s="9" t="s">
        <v>14</v>
      </c>
      <c r="B27" s="3" t="s">
        <v>473</v>
      </c>
      <c r="C27" s="3" t="s">
        <v>483</v>
      </c>
      <c r="D27" s="3" t="s">
        <v>524</v>
      </c>
      <c r="E27" s="10" t="s">
        <v>134</v>
      </c>
      <c r="F27" s="10" t="s">
        <v>94</v>
      </c>
      <c r="G27" s="44" t="s">
        <v>87</v>
      </c>
      <c r="H27" s="44" t="str">
        <f t="shared" si="1"/>
        <v>False</v>
      </c>
      <c r="I27" s="44" t="s">
        <v>87</v>
      </c>
      <c r="J27" s="44" t="s">
        <v>87</v>
      </c>
      <c r="K27" s="44" t="s">
        <v>87</v>
      </c>
      <c r="L27" s="44" t="s">
        <v>87</v>
      </c>
      <c r="M27" s="44" t="s">
        <v>87</v>
      </c>
      <c r="N27" s="44" t="s">
        <v>87</v>
      </c>
      <c r="O27" s="44" t="s">
        <v>87</v>
      </c>
      <c r="P27" s="44" t="s">
        <v>87</v>
      </c>
      <c r="R27" s="44" t="s">
        <v>87</v>
      </c>
      <c r="S27" s="44" t="s">
        <v>87</v>
      </c>
      <c r="T27" s="44" t="s">
        <v>87</v>
      </c>
      <c r="V27" s="44" t="s">
        <v>87</v>
      </c>
      <c r="W27" s="44" t="s">
        <v>87</v>
      </c>
      <c r="X27" s="44" t="s">
        <v>87</v>
      </c>
      <c r="AA27" s="44" t="s">
        <v>87</v>
      </c>
      <c r="AB27" s="44" t="s">
        <v>87</v>
      </c>
      <c r="AC27" s="44" t="s">
        <v>87</v>
      </c>
      <c r="AD27" s="44" t="s">
        <v>87</v>
      </c>
      <c r="AE27" s="44" t="s">
        <v>87</v>
      </c>
      <c r="AF27" s="44" t="s">
        <v>87</v>
      </c>
      <c r="AG27" s="44" t="s">
        <v>87</v>
      </c>
      <c r="AH27" s="44" t="s">
        <v>87</v>
      </c>
      <c r="AI27" s="44" t="s">
        <v>87</v>
      </c>
      <c r="AJ27" s="44" t="s">
        <v>87</v>
      </c>
      <c r="AK27" s="44" t="s">
        <v>87</v>
      </c>
      <c r="AL27"/>
      <c r="AM27" s="44" t="s">
        <v>87</v>
      </c>
      <c r="AN27" s="44" t="s">
        <v>87</v>
      </c>
      <c r="AO27" s="44" t="s">
        <v>87</v>
      </c>
      <c r="AP27" s="44" t="s">
        <v>87</v>
      </c>
      <c r="AQ27" s="44" t="s">
        <v>87</v>
      </c>
      <c r="AR27" s="44" t="s">
        <v>87</v>
      </c>
      <c r="AS27" s="44" t="s">
        <v>87</v>
      </c>
      <c r="AT27"/>
      <c r="AU27" s="44" t="s">
        <v>87</v>
      </c>
      <c r="AV27" s="44" t="s">
        <v>87</v>
      </c>
      <c r="AW27" s="44" t="s">
        <v>87</v>
      </c>
      <c r="AX27" s="44" t="s">
        <v>87</v>
      </c>
      <c r="AY27"/>
      <c r="AZ27" s="44" t="s">
        <v>87</v>
      </c>
      <c r="BA27"/>
      <c r="BB27"/>
      <c r="BC27" s="44" t="s">
        <v>87</v>
      </c>
    </row>
    <row r="28" spans="1:55" x14ac:dyDescent="0.25">
      <c r="A28" s="9" t="s">
        <v>9</v>
      </c>
      <c r="B28" s="3" t="s">
        <v>473</v>
      </c>
      <c r="C28" s="3" t="s">
        <v>483</v>
      </c>
      <c r="D28" s="3" t="s">
        <v>524</v>
      </c>
      <c r="E28" s="10" t="s">
        <v>132</v>
      </c>
      <c r="F28" s="10" t="s">
        <v>94</v>
      </c>
      <c r="G28" s="44" t="s">
        <v>87</v>
      </c>
      <c r="H28" s="44" t="str">
        <f t="shared" si="1"/>
        <v>False</v>
      </c>
      <c r="I28" s="44" t="s">
        <v>87</v>
      </c>
      <c r="J28" s="44" t="s">
        <v>87</v>
      </c>
      <c r="K28" s="44" t="s">
        <v>87</v>
      </c>
      <c r="L28" s="44" t="s">
        <v>87</v>
      </c>
      <c r="M28" s="44" t="s">
        <v>87</v>
      </c>
      <c r="N28" s="44" t="s">
        <v>87</v>
      </c>
      <c r="O28" s="44" t="s">
        <v>87</v>
      </c>
      <c r="P28" s="44" t="s">
        <v>87</v>
      </c>
      <c r="R28" s="44" t="s">
        <v>87</v>
      </c>
      <c r="S28" s="44" t="s">
        <v>87</v>
      </c>
      <c r="T28" s="44" t="s">
        <v>87</v>
      </c>
      <c r="V28" s="44" t="s">
        <v>87</v>
      </c>
      <c r="W28" s="44" t="s">
        <v>87</v>
      </c>
      <c r="X28" s="44" t="s">
        <v>87</v>
      </c>
      <c r="AA28" s="44" t="s">
        <v>87</v>
      </c>
      <c r="AB28" s="44" t="s">
        <v>87</v>
      </c>
      <c r="AC28" s="44" t="s">
        <v>87</v>
      </c>
      <c r="AD28" s="44" t="s">
        <v>87</v>
      </c>
      <c r="AE28" s="44" t="s">
        <v>87</v>
      </c>
      <c r="AF28" s="44" t="s">
        <v>87</v>
      </c>
      <c r="AG28" s="44" t="s">
        <v>87</v>
      </c>
      <c r="AH28" s="44" t="s">
        <v>87</v>
      </c>
      <c r="AI28" s="44" t="s">
        <v>87</v>
      </c>
      <c r="AJ28" s="44" t="s">
        <v>87</v>
      </c>
      <c r="AK28" s="44" t="s">
        <v>87</v>
      </c>
      <c r="AL28"/>
      <c r="AM28" s="44" t="s">
        <v>87</v>
      </c>
      <c r="AN28" s="44" t="s">
        <v>87</v>
      </c>
      <c r="AO28" s="44" t="s">
        <v>87</v>
      </c>
      <c r="AP28" s="44" t="s">
        <v>87</v>
      </c>
      <c r="AQ28" s="44" t="s">
        <v>87</v>
      </c>
      <c r="AR28" s="44" t="s">
        <v>87</v>
      </c>
      <c r="AS28" s="44" t="s">
        <v>87</v>
      </c>
      <c r="AT28"/>
      <c r="AU28" s="44" t="s">
        <v>87</v>
      </c>
      <c r="AV28" s="44" t="s">
        <v>87</v>
      </c>
      <c r="AW28" s="44" t="s">
        <v>87</v>
      </c>
      <c r="AX28" s="44" t="s">
        <v>87</v>
      </c>
      <c r="AY28"/>
      <c r="AZ28" s="44" t="s">
        <v>87</v>
      </c>
      <c r="BA28"/>
      <c r="BB28"/>
      <c r="BC28" s="44" t="s">
        <v>87</v>
      </c>
    </row>
    <row r="29" spans="1:55" x14ac:dyDescent="0.25">
      <c r="A29" s="9" t="s">
        <v>456</v>
      </c>
      <c r="B29" s="3" t="s">
        <v>473</v>
      </c>
      <c r="C29" s="3" t="s">
        <v>483</v>
      </c>
      <c r="D29" s="3" t="s">
        <v>524</v>
      </c>
      <c r="E29" s="10" t="s">
        <v>457</v>
      </c>
      <c r="F29" s="10" t="s">
        <v>94</v>
      </c>
      <c r="G29" s="44" t="s">
        <v>87</v>
      </c>
      <c r="H29" s="44" t="str">
        <f t="shared" si="1"/>
        <v>False</v>
      </c>
      <c r="I29" s="44" t="s">
        <v>87</v>
      </c>
      <c r="J29" s="44" t="s">
        <v>87</v>
      </c>
      <c r="K29" s="44" t="s">
        <v>87</v>
      </c>
      <c r="L29" s="44" t="s">
        <v>87</v>
      </c>
      <c r="M29" s="44" t="s">
        <v>87</v>
      </c>
      <c r="N29" s="44" t="s">
        <v>87</v>
      </c>
      <c r="O29" s="44" t="s">
        <v>87</v>
      </c>
      <c r="P29" s="44" t="s">
        <v>87</v>
      </c>
      <c r="R29" s="44" t="s">
        <v>87</v>
      </c>
      <c r="S29" s="44" t="s">
        <v>87</v>
      </c>
      <c r="T29" s="44" t="s">
        <v>87</v>
      </c>
      <c r="V29" s="44" t="s">
        <v>87</v>
      </c>
      <c r="W29" s="44" t="s">
        <v>87</v>
      </c>
      <c r="X29" s="44" t="s">
        <v>87</v>
      </c>
      <c r="AA29" s="44" t="s">
        <v>87</v>
      </c>
      <c r="AB29" s="44" t="s">
        <v>87</v>
      </c>
      <c r="AC29" s="44" t="s">
        <v>87</v>
      </c>
      <c r="AD29" s="44" t="s">
        <v>87</v>
      </c>
      <c r="AE29" s="44" t="s">
        <v>87</v>
      </c>
      <c r="AF29" s="44" t="s">
        <v>87</v>
      </c>
      <c r="AG29" s="44" t="s">
        <v>87</v>
      </c>
      <c r="AH29" s="44" t="s">
        <v>87</v>
      </c>
      <c r="AI29" s="44" t="s">
        <v>87</v>
      </c>
      <c r="AJ29" s="44" t="s">
        <v>87</v>
      </c>
      <c r="AK29" s="44" t="s">
        <v>87</v>
      </c>
      <c r="AL29"/>
      <c r="AM29" s="44" t="s">
        <v>87</v>
      </c>
      <c r="AN29" s="44" t="s">
        <v>87</v>
      </c>
      <c r="AO29" s="44" t="s">
        <v>87</v>
      </c>
      <c r="AP29" s="44" t="s">
        <v>87</v>
      </c>
      <c r="AQ29" s="44" t="s">
        <v>87</v>
      </c>
      <c r="AR29" s="44" t="s">
        <v>87</v>
      </c>
      <c r="AS29" s="44" t="s">
        <v>87</v>
      </c>
      <c r="AT29"/>
      <c r="AU29" s="44" t="s">
        <v>87</v>
      </c>
      <c r="AV29" s="44" t="s">
        <v>87</v>
      </c>
      <c r="AW29" s="44" t="s">
        <v>87</v>
      </c>
      <c r="AX29" s="44" t="s">
        <v>87</v>
      </c>
      <c r="AY29"/>
      <c r="AZ29" s="44" t="s">
        <v>87</v>
      </c>
      <c r="BA29"/>
      <c r="BB29"/>
      <c r="BC29" s="44" t="s">
        <v>87</v>
      </c>
    </row>
    <row r="30" spans="1:55" x14ac:dyDescent="0.25">
      <c r="A30" s="13" t="s">
        <v>21</v>
      </c>
      <c r="B30" s="3" t="s">
        <v>473</v>
      </c>
      <c r="C30" s="3" t="s">
        <v>483</v>
      </c>
      <c r="D30" s="3" t="s">
        <v>524</v>
      </c>
      <c r="E30" s="14" t="s">
        <v>137</v>
      </c>
      <c r="F30" s="14" t="s">
        <v>94</v>
      </c>
      <c r="G30" s="44" t="s">
        <v>86</v>
      </c>
      <c r="H30" s="44" t="str">
        <f t="shared" si="1"/>
        <v>True</v>
      </c>
      <c r="I30" s="44" t="s">
        <v>86</v>
      </c>
      <c r="J30" s="44" t="s">
        <v>86</v>
      </c>
      <c r="K30" s="44" t="s">
        <v>86</v>
      </c>
      <c r="L30" s="44" t="s">
        <v>86</v>
      </c>
      <c r="M30" s="44" t="s">
        <v>86</v>
      </c>
      <c r="N30" s="44" t="s">
        <v>86</v>
      </c>
      <c r="O30" s="44" t="s">
        <v>86</v>
      </c>
      <c r="P30" s="44" t="s">
        <v>86</v>
      </c>
      <c r="R30" s="44" t="s">
        <v>86</v>
      </c>
      <c r="S30" s="44" t="s">
        <v>86</v>
      </c>
      <c r="T30" s="44" t="s">
        <v>86</v>
      </c>
      <c r="V30" s="44" t="s">
        <v>86</v>
      </c>
      <c r="W30" s="44" t="s">
        <v>86</v>
      </c>
      <c r="X30" s="44" t="s">
        <v>86</v>
      </c>
      <c r="AA30" s="44" t="s">
        <v>86</v>
      </c>
      <c r="AB30" s="44" t="s">
        <v>86</v>
      </c>
      <c r="AC30" s="44" t="s">
        <v>86</v>
      </c>
      <c r="AD30" s="44" t="s">
        <v>86</v>
      </c>
      <c r="AE30" s="44" t="s">
        <v>86</v>
      </c>
      <c r="AF30" s="44" t="s">
        <v>86</v>
      </c>
      <c r="AG30" s="44" t="s">
        <v>86</v>
      </c>
      <c r="AH30" s="44" t="s">
        <v>86</v>
      </c>
      <c r="AI30" s="44" t="s">
        <v>86</v>
      </c>
      <c r="AJ30" s="44" t="s">
        <v>86</v>
      </c>
      <c r="AK30" s="44" t="s">
        <v>86</v>
      </c>
      <c r="AL30"/>
      <c r="AM30" s="44" t="s">
        <v>86</v>
      </c>
      <c r="AN30" s="44" t="s">
        <v>86</v>
      </c>
      <c r="AO30" s="44" t="s">
        <v>86</v>
      </c>
      <c r="AP30" s="44" t="s">
        <v>86</v>
      </c>
      <c r="AQ30" s="44" t="s">
        <v>86</v>
      </c>
      <c r="AR30" s="44" t="s">
        <v>86</v>
      </c>
      <c r="AS30" s="44" t="s">
        <v>86</v>
      </c>
      <c r="AT30"/>
      <c r="AU30" s="44" t="s">
        <v>86</v>
      </c>
      <c r="AV30" s="44" t="s">
        <v>86</v>
      </c>
      <c r="AW30" s="44" t="s">
        <v>86</v>
      </c>
      <c r="AX30" s="44" t="s">
        <v>86</v>
      </c>
      <c r="AY30"/>
      <c r="AZ30" s="44" t="s">
        <v>86</v>
      </c>
      <c r="BA30"/>
      <c r="BB30"/>
      <c r="BC30" s="44" t="s">
        <v>86</v>
      </c>
    </row>
    <row r="31" spans="1:55" x14ac:dyDescent="0.25">
      <c r="A31" s="13" t="s">
        <v>22</v>
      </c>
      <c r="B31" s="3" t="s">
        <v>473</v>
      </c>
      <c r="C31" s="3" t="s">
        <v>483</v>
      </c>
      <c r="D31" s="3" t="s">
        <v>524</v>
      </c>
      <c r="E31" s="14" t="s">
        <v>124</v>
      </c>
      <c r="F31" s="14" t="s">
        <v>91</v>
      </c>
      <c r="G31" s="44" t="s">
        <v>382</v>
      </c>
      <c r="H31" s="44" t="str">
        <f t="shared" si="1"/>
        <v>total_exchange_surface_with_soil_solution</v>
      </c>
      <c r="I31" s="45" t="s">
        <v>436</v>
      </c>
      <c r="J31" s="45" t="s">
        <v>436</v>
      </c>
      <c r="K31" s="45" t="s">
        <v>436</v>
      </c>
      <c r="L31" s="45" t="s">
        <v>436</v>
      </c>
      <c r="M31" s="45" t="s">
        <v>436</v>
      </c>
      <c r="N31" s="45" t="s">
        <v>436</v>
      </c>
      <c r="O31" s="45" t="s">
        <v>436</v>
      </c>
      <c r="P31" s="45" t="s">
        <v>436</v>
      </c>
      <c r="R31" s="45" t="s">
        <v>436</v>
      </c>
      <c r="S31" s="45" t="s">
        <v>436</v>
      </c>
      <c r="T31" s="45" t="s">
        <v>436</v>
      </c>
      <c r="V31" s="45" t="s">
        <v>436</v>
      </c>
      <c r="W31" s="45" t="s">
        <v>436</v>
      </c>
      <c r="X31" s="45" t="s">
        <v>436</v>
      </c>
      <c r="AA31" s="45" t="s">
        <v>436</v>
      </c>
      <c r="AB31" s="45" t="s">
        <v>436</v>
      </c>
      <c r="AC31" s="45" t="s">
        <v>436</v>
      </c>
      <c r="AD31" s="45" t="s">
        <v>436</v>
      </c>
      <c r="AE31" s="45" t="s">
        <v>436</v>
      </c>
      <c r="AF31" s="45" t="s">
        <v>436</v>
      </c>
      <c r="AG31" s="45" t="s">
        <v>436</v>
      </c>
      <c r="AH31" s="45" t="s">
        <v>436</v>
      </c>
      <c r="AI31" s="45" t="s">
        <v>436</v>
      </c>
      <c r="AJ31" s="45" t="s">
        <v>436</v>
      </c>
      <c r="AK31" s="45" t="s">
        <v>436</v>
      </c>
      <c r="AL31"/>
      <c r="AM31" s="45" t="s">
        <v>436</v>
      </c>
      <c r="AN31" s="45" t="s">
        <v>436</v>
      </c>
      <c r="AO31" s="45" t="s">
        <v>436</v>
      </c>
      <c r="AP31" s="45" t="s">
        <v>436</v>
      </c>
      <c r="AQ31" s="45" t="s">
        <v>436</v>
      </c>
      <c r="AR31" s="45" t="s">
        <v>436</v>
      </c>
      <c r="AS31" s="45" t="s">
        <v>436</v>
      </c>
      <c r="AT31"/>
      <c r="AU31" s="45" t="s">
        <v>436</v>
      </c>
      <c r="AV31" s="45" t="s">
        <v>436</v>
      </c>
      <c r="AW31" s="45" t="s">
        <v>436</v>
      </c>
      <c r="AX31" s="45" t="s">
        <v>436</v>
      </c>
      <c r="AY31"/>
      <c r="AZ31" s="45" t="s">
        <v>436</v>
      </c>
      <c r="BA31"/>
      <c r="BB31"/>
      <c r="BC31" s="45" t="s">
        <v>436</v>
      </c>
    </row>
    <row r="32" spans="1:55" x14ac:dyDescent="0.25">
      <c r="A32" s="13" t="s">
        <v>23</v>
      </c>
      <c r="B32" s="3" t="s">
        <v>473</v>
      </c>
      <c r="C32" s="3" t="s">
        <v>483</v>
      </c>
      <c r="D32" s="3" t="s">
        <v>524</v>
      </c>
      <c r="E32" s="14" t="s">
        <v>125</v>
      </c>
      <c r="F32" s="14" t="s">
        <v>99</v>
      </c>
      <c r="G32" s="44">
        <v>9.9999999999999995E-7</v>
      </c>
      <c r="H32" s="44">
        <f t="shared" si="1"/>
        <v>9.9999999999999995E-7</v>
      </c>
      <c r="I32" s="44">
        <v>9.9999999999999995E-7</v>
      </c>
      <c r="J32" s="44">
        <v>9.9999999999999995E-7</v>
      </c>
      <c r="K32" s="44">
        <v>9.9999999999999995E-7</v>
      </c>
      <c r="L32" s="44">
        <v>9.9999999999999995E-7</v>
      </c>
      <c r="M32" s="44">
        <v>9.9999999999999995E-7</v>
      </c>
      <c r="N32" s="44">
        <v>9.9999999999999995E-7</v>
      </c>
      <c r="O32" s="44">
        <v>9.9999999999999995E-7</v>
      </c>
      <c r="P32" s="44">
        <v>9.9999999999999995E-7</v>
      </c>
      <c r="R32" s="44">
        <v>9.9999999999999995E-7</v>
      </c>
      <c r="S32" s="44">
        <v>9.9999999999999995E-7</v>
      </c>
      <c r="T32" s="44">
        <v>9.9999999999999995E-7</v>
      </c>
      <c r="V32" s="44">
        <v>9.9999999999999995E-7</v>
      </c>
      <c r="W32" s="44">
        <v>9.9999999999999995E-7</v>
      </c>
      <c r="X32" s="44">
        <v>9.9999999999999995E-7</v>
      </c>
      <c r="AA32" s="44">
        <v>9.9999999999999995E-7</v>
      </c>
      <c r="AB32" s="44">
        <v>9.9999999999999995E-7</v>
      </c>
      <c r="AC32" s="44">
        <v>9.9999999999999995E-7</v>
      </c>
      <c r="AD32" s="44">
        <v>9.9999999999999995E-7</v>
      </c>
      <c r="AE32" s="44">
        <v>9.9999999999999995E-7</v>
      </c>
      <c r="AF32" s="44">
        <v>9.9999999999999995E-7</v>
      </c>
      <c r="AG32" s="44">
        <v>9.9999999999999995E-7</v>
      </c>
      <c r="AH32" s="44">
        <v>9.9999999999999995E-7</v>
      </c>
      <c r="AI32" s="44">
        <v>9.9999999999999995E-7</v>
      </c>
      <c r="AJ32" s="44">
        <v>9.9999999999999995E-7</v>
      </c>
      <c r="AK32" s="44">
        <v>9.9999999999999995E-7</v>
      </c>
      <c r="AL32"/>
      <c r="AM32" s="44">
        <v>9.9999999999999995E-7</v>
      </c>
      <c r="AN32" s="44">
        <v>9.9999999999999995E-7</v>
      </c>
      <c r="AO32" s="44">
        <v>9.9999999999999995E-7</v>
      </c>
      <c r="AP32" s="44">
        <v>9.9999999999999995E-7</v>
      </c>
      <c r="AQ32" s="44">
        <v>9.9999999999999995E-7</v>
      </c>
      <c r="AR32" s="44">
        <v>9.9999999999999995E-7</v>
      </c>
      <c r="AS32" s="44">
        <v>9.9999999999999995E-7</v>
      </c>
      <c r="AT32"/>
      <c r="AU32" s="44">
        <v>9.9999999999999995E-7</v>
      </c>
      <c r="AV32" s="44">
        <v>9.9999999999999995E-7</v>
      </c>
      <c r="AW32" s="44">
        <v>9.9999999999999995E-7</v>
      </c>
      <c r="AX32" s="44">
        <v>9.9999999999999995E-7</v>
      </c>
      <c r="AY32"/>
      <c r="AZ32" s="44">
        <v>9.9999999999999995E-7</v>
      </c>
      <c r="BA32"/>
      <c r="BB32"/>
      <c r="BC32" s="44">
        <v>9.9999999999999995E-7</v>
      </c>
    </row>
    <row r="33" spans="1:55" x14ac:dyDescent="0.25">
      <c r="A33" s="13" t="s">
        <v>24</v>
      </c>
      <c r="B33" s="3" t="s">
        <v>473</v>
      </c>
      <c r="C33" s="3" t="s">
        <v>483</v>
      </c>
      <c r="D33" s="3" t="s">
        <v>524</v>
      </c>
      <c r="E33" s="14" t="s">
        <v>126</v>
      </c>
      <c r="F33" s="14" t="s">
        <v>99</v>
      </c>
      <c r="G33" s="44">
        <v>2.0000000000000001E-4</v>
      </c>
      <c r="H33" s="44">
        <f t="shared" si="1"/>
        <v>2.0000000000000001E-4</v>
      </c>
      <c r="I33" s="44">
        <v>1E-3</v>
      </c>
      <c r="J33" s="44">
        <v>1E-3</v>
      </c>
      <c r="K33" s="44">
        <v>1E-3</v>
      </c>
      <c r="L33" s="44">
        <v>1E-3</v>
      </c>
      <c r="M33" s="44">
        <v>1E-3</v>
      </c>
      <c r="N33" s="44">
        <v>1E-3</v>
      </c>
      <c r="O33" s="44">
        <v>1E-3</v>
      </c>
      <c r="P33" s="44">
        <v>1E-3</v>
      </c>
      <c r="R33" s="44">
        <v>1E-3</v>
      </c>
      <c r="S33" s="44">
        <v>1E-3</v>
      </c>
      <c r="T33" s="44">
        <v>1E-3</v>
      </c>
      <c r="V33" s="44">
        <v>1E-3</v>
      </c>
      <c r="W33" s="44">
        <v>1E-3</v>
      </c>
      <c r="X33" s="44">
        <v>1E-3</v>
      </c>
      <c r="AA33" s="44">
        <v>1E-3</v>
      </c>
      <c r="AB33" s="44">
        <v>1E-3</v>
      </c>
      <c r="AC33" s="44">
        <v>1E-3</v>
      </c>
      <c r="AD33" s="44">
        <v>1E-3</v>
      </c>
      <c r="AE33" s="44">
        <v>1E-3</v>
      </c>
      <c r="AF33" s="44">
        <v>1E-3</v>
      </c>
      <c r="AG33" s="44">
        <v>1E-3</v>
      </c>
      <c r="AH33" s="44">
        <v>1E-3</v>
      </c>
      <c r="AI33" s="44">
        <v>1E-3</v>
      </c>
      <c r="AJ33" s="44">
        <v>1E-3</v>
      </c>
      <c r="AK33" s="44">
        <v>1E-3</v>
      </c>
      <c r="AL33"/>
      <c r="AM33" s="44">
        <v>1E-3</v>
      </c>
      <c r="AN33" s="44">
        <v>1E-3</v>
      </c>
      <c r="AO33" s="44">
        <v>1E-3</v>
      </c>
      <c r="AP33" s="44">
        <v>1E-3</v>
      </c>
      <c r="AQ33" s="44">
        <v>1E-3</v>
      </c>
      <c r="AR33" s="44">
        <v>1E-3</v>
      </c>
      <c r="AS33" s="44">
        <v>1E-3</v>
      </c>
      <c r="AT33"/>
      <c r="AU33" s="44">
        <v>1E-3</v>
      </c>
      <c r="AV33" s="44">
        <v>1E-3</v>
      </c>
      <c r="AW33" s="44">
        <v>1E-3</v>
      </c>
      <c r="AX33" s="44">
        <v>1E-3</v>
      </c>
      <c r="AY33"/>
      <c r="AZ33" s="44">
        <v>1E-3</v>
      </c>
      <c r="BA33"/>
      <c r="BB33"/>
      <c r="BC33" s="44">
        <v>1E-3</v>
      </c>
    </row>
    <row r="34" spans="1:55" x14ac:dyDescent="0.25">
      <c r="A34" s="13" t="s">
        <v>25</v>
      </c>
      <c r="B34" s="3" t="s">
        <v>473</v>
      </c>
      <c r="C34" s="3" t="s">
        <v>483</v>
      </c>
      <c r="D34" s="3" t="s">
        <v>524</v>
      </c>
      <c r="E34" s="14" t="s">
        <v>138</v>
      </c>
      <c r="F34" s="14" t="s">
        <v>94</v>
      </c>
      <c r="G34" s="44" t="s">
        <v>86</v>
      </c>
      <c r="H34" s="44" t="str">
        <f t="shared" si="1"/>
        <v>True</v>
      </c>
      <c r="I34" s="44" t="s">
        <v>86</v>
      </c>
      <c r="J34" s="44" t="s">
        <v>86</v>
      </c>
      <c r="K34" s="44" t="s">
        <v>86</v>
      </c>
      <c r="L34" s="44" t="s">
        <v>86</v>
      </c>
      <c r="M34" s="44" t="s">
        <v>86</v>
      </c>
      <c r="N34" s="44" t="s">
        <v>86</v>
      </c>
      <c r="O34" s="44" t="s">
        <v>86</v>
      </c>
      <c r="P34" s="44" t="s">
        <v>86</v>
      </c>
      <c r="R34" s="44" t="s">
        <v>86</v>
      </c>
      <c r="S34" s="44" t="s">
        <v>86</v>
      </c>
      <c r="T34" s="44" t="s">
        <v>86</v>
      </c>
      <c r="V34" s="44" t="s">
        <v>86</v>
      </c>
      <c r="W34" s="44" t="s">
        <v>86</v>
      </c>
      <c r="X34" s="44" t="s">
        <v>86</v>
      </c>
      <c r="AA34" s="44" t="s">
        <v>86</v>
      </c>
      <c r="AB34" s="44" t="s">
        <v>86</v>
      </c>
      <c r="AC34" s="44" t="s">
        <v>86</v>
      </c>
      <c r="AD34" s="44" t="s">
        <v>86</v>
      </c>
      <c r="AE34" s="44" t="s">
        <v>86</v>
      </c>
      <c r="AF34" s="44" t="s">
        <v>86</v>
      </c>
      <c r="AG34" s="44" t="s">
        <v>86</v>
      </c>
      <c r="AH34" s="44" t="s">
        <v>86</v>
      </c>
      <c r="AI34" s="44" t="s">
        <v>86</v>
      </c>
      <c r="AJ34" s="44" t="s">
        <v>86</v>
      </c>
      <c r="AK34" s="44" t="s">
        <v>86</v>
      </c>
      <c r="AL34"/>
      <c r="AM34" s="44" t="s">
        <v>86</v>
      </c>
      <c r="AN34" s="44" t="s">
        <v>86</v>
      </c>
      <c r="AO34" s="44" t="s">
        <v>86</v>
      </c>
      <c r="AP34" s="44" t="s">
        <v>86</v>
      </c>
      <c r="AQ34" s="44" t="s">
        <v>86</v>
      </c>
      <c r="AR34" s="44" t="s">
        <v>86</v>
      </c>
      <c r="AS34" s="44" t="s">
        <v>86</v>
      </c>
      <c r="AT34"/>
      <c r="AU34" s="44" t="s">
        <v>86</v>
      </c>
      <c r="AV34" s="44" t="s">
        <v>86</v>
      </c>
      <c r="AW34" s="44" t="s">
        <v>86</v>
      </c>
      <c r="AX34" s="44" t="s">
        <v>86</v>
      </c>
      <c r="AY34"/>
      <c r="AZ34" s="44" t="s">
        <v>86</v>
      </c>
      <c r="BA34"/>
      <c r="BB34"/>
      <c r="BC34" s="44" t="s">
        <v>86</v>
      </c>
    </row>
    <row r="35" spans="1:55" x14ac:dyDescent="0.25">
      <c r="A35" s="13" t="s">
        <v>26</v>
      </c>
      <c r="B35" s="3" t="s">
        <v>473</v>
      </c>
      <c r="C35" s="3" t="s">
        <v>483</v>
      </c>
      <c r="D35" s="3" t="s">
        <v>524</v>
      </c>
      <c r="E35" s="14" t="s">
        <v>127</v>
      </c>
      <c r="F35" s="14" t="s">
        <v>91</v>
      </c>
      <c r="G35" s="44" t="s">
        <v>88</v>
      </c>
      <c r="H35" s="44" t="str">
        <f t="shared" si="1"/>
        <v>jet</v>
      </c>
      <c r="I35" s="44" t="s">
        <v>88</v>
      </c>
      <c r="J35" s="44" t="s">
        <v>88</v>
      </c>
      <c r="K35" s="44" t="s">
        <v>88</v>
      </c>
      <c r="L35" s="44" t="s">
        <v>88</v>
      </c>
      <c r="M35" s="44" t="s">
        <v>88</v>
      </c>
      <c r="N35" s="44" t="s">
        <v>88</v>
      </c>
      <c r="O35" s="44" t="s">
        <v>88</v>
      </c>
      <c r="P35" s="44" t="s">
        <v>88</v>
      </c>
      <c r="R35" s="44" t="s">
        <v>88</v>
      </c>
      <c r="S35" s="44" t="s">
        <v>88</v>
      </c>
      <c r="T35" s="44" t="s">
        <v>88</v>
      </c>
      <c r="V35" s="44" t="s">
        <v>88</v>
      </c>
      <c r="W35" s="44" t="s">
        <v>88</v>
      </c>
      <c r="X35" s="44" t="s">
        <v>88</v>
      </c>
      <c r="AA35" s="44" t="s">
        <v>88</v>
      </c>
      <c r="AB35" s="44" t="s">
        <v>88</v>
      </c>
      <c r="AC35" s="44" t="s">
        <v>88</v>
      </c>
      <c r="AD35" s="44" t="s">
        <v>88</v>
      </c>
      <c r="AE35" s="44" t="s">
        <v>88</v>
      </c>
      <c r="AF35" s="44" t="s">
        <v>88</v>
      </c>
      <c r="AG35" s="44" t="s">
        <v>88</v>
      </c>
      <c r="AH35" s="44" t="s">
        <v>88</v>
      </c>
      <c r="AI35" s="44" t="s">
        <v>88</v>
      </c>
      <c r="AJ35" s="44" t="s">
        <v>88</v>
      </c>
      <c r="AK35" s="44" t="s">
        <v>88</v>
      </c>
      <c r="AL35"/>
      <c r="AM35" s="44" t="s">
        <v>88</v>
      </c>
      <c r="AN35" s="44" t="s">
        <v>88</v>
      </c>
      <c r="AO35" s="44" t="s">
        <v>88</v>
      </c>
      <c r="AP35" s="44" t="s">
        <v>88</v>
      </c>
      <c r="AQ35" s="44" t="s">
        <v>88</v>
      </c>
      <c r="AR35" s="44" t="s">
        <v>88</v>
      </c>
      <c r="AS35" s="44" t="s">
        <v>88</v>
      </c>
      <c r="AT35"/>
      <c r="AU35" s="44" t="s">
        <v>88</v>
      </c>
      <c r="AV35" s="44" t="s">
        <v>88</v>
      </c>
      <c r="AW35" s="44" t="s">
        <v>88</v>
      </c>
      <c r="AX35" s="44" t="s">
        <v>88</v>
      </c>
      <c r="AY35"/>
      <c r="AZ35" s="44" t="s">
        <v>88</v>
      </c>
      <c r="BA35"/>
      <c r="BB35"/>
      <c r="BC35" s="44" t="s">
        <v>88</v>
      </c>
    </row>
    <row r="36" spans="1:55" x14ac:dyDescent="0.25">
      <c r="A36" s="13" t="s">
        <v>27</v>
      </c>
      <c r="B36" s="3" t="s">
        <v>473</v>
      </c>
      <c r="C36" s="3" t="s">
        <v>483</v>
      </c>
      <c r="D36" s="3" t="s">
        <v>524</v>
      </c>
      <c r="E36" s="14" t="s">
        <v>128</v>
      </c>
      <c r="F36" s="14" t="s">
        <v>94</v>
      </c>
      <c r="G36" s="44" t="s">
        <v>86</v>
      </c>
      <c r="H36" s="44" t="str">
        <f t="shared" si="1"/>
        <v>True</v>
      </c>
      <c r="I36" s="44" t="s">
        <v>86</v>
      </c>
      <c r="J36" s="44" t="s">
        <v>86</v>
      </c>
      <c r="K36" s="44" t="s">
        <v>86</v>
      </c>
      <c r="L36" s="44" t="s">
        <v>86</v>
      </c>
      <c r="M36" s="44" t="s">
        <v>86</v>
      </c>
      <c r="N36" s="44" t="s">
        <v>86</v>
      </c>
      <c r="O36" s="44" t="s">
        <v>86</v>
      </c>
      <c r="P36" s="44" t="s">
        <v>86</v>
      </c>
      <c r="R36" s="44" t="s">
        <v>86</v>
      </c>
      <c r="S36" s="44" t="s">
        <v>86</v>
      </c>
      <c r="T36" s="44" t="s">
        <v>86</v>
      </c>
      <c r="V36" s="44" t="s">
        <v>86</v>
      </c>
      <c r="W36" s="44" t="s">
        <v>86</v>
      </c>
      <c r="X36" s="44" t="s">
        <v>86</v>
      </c>
      <c r="AA36" s="44" t="s">
        <v>86</v>
      </c>
      <c r="AB36" s="44" t="s">
        <v>86</v>
      </c>
      <c r="AC36" s="44" t="s">
        <v>86</v>
      </c>
      <c r="AD36" s="44" t="s">
        <v>86</v>
      </c>
      <c r="AE36" s="44" t="s">
        <v>86</v>
      </c>
      <c r="AF36" s="44" t="s">
        <v>86</v>
      </c>
      <c r="AG36" s="44" t="s">
        <v>86</v>
      </c>
      <c r="AH36" s="44" t="s">
        <v>86</v>
      </c>
      <c r="AI36" s="44" t="s">
        <v>86</v>
      </c>
      <c r="AJ36" s="44" t="s">
        <v>86</v>
      </c>
      <c r="AK36" s="44" t="s">
        <v>86</v>
      </c>
      <c r="AL36"/>
      <c r="AM36" s="44" t="s">
        <v>86</v>
      </c>
      <c r="AN36" s="44" t="s">
        <v>86</v>
      </c>
      <c r="AO36" s="44" t="s">
        <v>86</v>
      </c>
      <c r="AP36" s="44" t="s">
        <v>86</v>
      </c>
      <c r="AQ36" s="44" t="s">
        <v>86</v>
      </c>
      <c r="AR36" s="44" t="s">
        <v>86</v>
      </c>
      <c r="AS36" s="44" t="s">
        <v>86</v>
      </c>
      <c r="AT36"/>
      <c r="AU36" s="44" t="s">
        <v>86</v>
      </c>
      <c r="AV36" s="44" t="s">
        <v>86</v>
      </c>
      <c r="AW36" s="44" t="s">
        <v>86</v>
      </c>
      <c r="AX36" s="44" t="s">
        <v>86</v>
      </c>
      <c r="AY36"/>
      <c r="AZ36" s="44" t="s">
        <v>86</v>
      </c>
      <c r="BA36"/>
      <c r="BB36"/>
      <c r="BC36" s="44" t="s">
        <v>86</v>
      </c>
    </row>
    <row r="37" spans="1:55" x14ac:dyDescent="0.25">
      <c r="A37" s="13" t="s">
        <v>28</v>
      </c>
      <c r="B37" s="3" t="s">
        <v>473</v>
      </c>
      <c r="C37" s="3" t="s">
        <v>483</v>
      </c>
      <c r="D37" s="3" t="s">
        <v>524</v>
      </c>
      <c r="E37" s="14" t="s">
        <v>140</v>
      </c>
      <c r="F37" s="14" t="s">
        <v>94</v>
      </c>
      <c r="G37" s="44" t="s">
        <v>87</v>
      </c>
      <c r="H37" s="44" t="str">
        <f t="shared" si="1"/>
        <v>False</v>
      </c>
      <c r="I37" s="44" t="s">
        <v>87</v>
      </c>
      <c r="J37" s="44" t="s">
        <v>87</v>
      </c>
      <c r="K37" s="44" t="s">
        <v>87</v>
      </c>
      <c r="L37" s="44" t="s">
        <v>87</v>
      </c>
      <c r="M37" s="44" t="s">
        <v>87</v>
      </c>
      <c r="N37" s="44" t="s">
        <v>87</v>
      </c>
      <c r="O37" s="44" t="s">
        <v>87</v>
      </c>
      <c r="P37" s="44" t="s">
        <v>87</v>
      </c>
      <c r="R37" s="44" t="s">
        <v>87</v>
      </c>
      <c r="S37" s="44" t="s">
        <v>87</v>
      </c>
      <c r="T37" s="44" t="s">
        <v>87</v>
      </c>
      <c r="V37" s="44" t="s">
        <v>87</v>
      </c>
      <c r="W37" s="44" t="s">
        <v>87</v>
      </c>
      <c r="X37" s="44" t="s">
        <v>87</v>
      </c>
      <c r="AA37" s="44" t="s">
        <v>87</v>
      </c>
      <c r="AB37" s="44" t="s">
        <v>87</v>
      </c>
      <c r="AC37" s="44" t="s">
        <v>87</v>
      </c>
      <c r="AD37" s="44" t="s">
        <v>87</v>
      </c>
      <c r="AE37" s="44" t="s">
        <v>87</v>
      </c>
      <c r="AF37" s="44" t="s">
        <v>87</v>
      </c>
      <c r="AG37" s="44" t="s">
        <v>87</v>
      </c>
      <c r="AH37" s="44" t="s">
        <v>87</v>
      </c>
      <c r="AI37" s="44" t="s">
        <v>87</v>
      </c>
      <c r="AJ37" s="44" t="s">
        <v>87</v>
      </c>
      <c r="AK37" s="44" t="s">
        <v>87</v>
      </c>
      <c r="AL37"/>
      <c r="AM37" s="44" t="s">
        <v>87</v>
      </c>
      <c r="AN37" s="44" t="s">
        <v>87</v>
      </c>
      <c r="AO37" s="44" t="s">
        <v>87</v>
      </c>
      <c r="AP37" s="44" t="s">
        <v>87</v>
      </c>
      <c r="AQ37" s="44" t="s">
        <v>87</v>
      </c>
      <c r="AR37" s="44" t="s">
        <v>87</v>
      </c>
      <c r="AS37" s="44" t="s">
        <v>87</v>
      </c>
      <c r="AT37"/>
      <c r="AU37" s="44" t="s">
        <v>87</v>
      </c>
      <c r="AV37" s="44" t="s">
        <v>87</v>
      </c>
      <c r="AW37" s="44" t="s">
        <v>87</v>
      </c>
      <c r="AX37" s="44" t="s">
        <v>87</v>
      </c>
      <c r="AY37"/>
      <c r="AZ37" s="44" t="s">
        <v>87</v>
      </c>
      <c r="BA37"/>
      <c r="BB37"/>
      <c r="BC37" s="44" t="s">
        <v>87</v>
      </c>
    </row>
    <row r="38" spans="1:55" x14ac:dyDescent="0.25">
      <c r="A38" s="13" t="s">
        <v>29</v>
      </c>
      <c r="B38" s="3" t="s">
        <v>473</v>
      </c>
      <c r="C38" s="3" t="s">
        <v>483</v>
      </c>
      <c r="D38" s="3" t="s">
        <v>524</v>
      </c>
      <c r="E38" s="14" t="s">
        <v>141</v>
      </c>
      <c r="F38" s="14" t="s">
        <v>95</v>
      </c>
      <c r="G38" s="44">
        <v>120</v>
      </c>
      <c r="H38" s="44">
        <f t="shared" si="1"/>
        <v>120</v>
      </c>
      <c r="I38" s="44">
        <v>120</v>
      </c>
      <c r="J38" s="44">
        <v>120</v>
      </c>
      <c r="K38" s="44">
        <v>120</v>
      </c>
      <c r="L38" s="44">
        <v>120</v>
      </c>
      <c r="M38" s="44">
        <v>120</v>
      </c>
      <c r="N38" s="44">
        <v>120</v>
      </c>
      <c r="O38" s="44">
        <v>120</v>
      </c>
      <c r="P38" s="44">
        <v>120</v>
      </c>
      <c r="R38" s="44">
        <v>120</v>
      </c>
      <c r="S38" s="44">
        <v>120</v>
      </c>
      <c r="T38" s="44">
        <v>120</v>
      </c>
      <c r="V38" s="44">
        <v>120</v>
      </c>
      <c r="W38" s="44">
        <v>120</v>
      </c>
      <c r="X38" s="44">
        <v>120</v>
      </c>
      <c r="AA38" s="44">
        <v>120</v>
      </c>
      <c r="AB38" s="44">
        <v>120</v>
      </c>
      <c r="AC38" s="44">
        <v>120</v>
      </c>
      <c r="AD38" s="44">
        <v>120</v>
      </c>
      <c r="AE38" s="44">
        <v>120</v>
      </c>
      <c r="AF38" s="44">
        <v>120</v>
      </c>
      <c r="AG38" s="44">
        <v>120</v>
      </c>
      <c r="AH38" s="44">
        <v>120</v>
      </c>
      <c r="AI38" s="44">
        <v>120</v>
      </c>
      <c r="AJ38" s="44">
        <v>120</v>
      </c>
      <c r="AK38" s="44">
        <v>120</v>
      </c>
      <c r="AL38"/>
      <c r="AM38" s="44">
        <v>120</v>
      </c>
      <c r="AN38" s="44">
        <v>120</v>
      </c>
      <c r="AO38" s="44">
        <v>120</v>
      </c>
      <c r="AP38" s="44">
        <v>120</v>
      </c>
      <c r="AQ38" s="44">
        <v>120</v>
      </c>
      <c r="AR38" s="44">
        <v>120</v>
      </c>
      <c r="AS38" s="44">
        <v>120</v>
      </c>
      <c r="AT38"/>
      <c r="AU38" s="44">
        <v>120</v>
      </c>
      <c r="AV38" s="44">
        <v>120</v>
      </c>
      <c r="AW38" s="44">
        <v>120</v>
      </c>
      <c r="AX38" s="44">
        <v>120</v>
      </c>
      <c r="AY38"/>
      <c r="AZ38" s="44">
        <v>120</v>
      </c>
      <c r="BA38"/>
      <c r="BB38"/>
      <c r="BC38" s="44">
        <v>120</v>
      </c>
    </row>
    <row r="39" spans="1:55" x14ac:dyDescent="0.25">
      <c r="A39" s="13" t="s">
        <v>30</v>
      </c>
      <c r="B39" s="3" t="s">
        <v>473</v>
      </c>
      <c r="C39" s="3" t="s">
        <v>483</v>
      </c>
      <c r="D39" s="3" t="s">
        <v>524</v>
      </c>
      <c r="E39" s="14" t="s">
        <v>142</v>
      </c>
      <c r="F39" s="14" t="s">
        <v>98</v>
      </c>
      <c r="G39" s="44">
        <v>0</v>
      </c>
      <c r="H39" s="44">
        <f t="shared" si="1"/>
        <v>0</v>
      </c>
      <c r="I39" s="44">
        <v>0</v>
      </c>
      <c r="J39" s="44">
        <v>0</v>
      </c>
      <c r="K39" s="44">
        <v>0</v>
      </c>
      <c r="L39" s="44">
        <v>0</v>
      </c>
      <c r="M39" s="44">
        <v>0</v>
      </c>
      <c r="N39" s="44">
        <v>0</v>
      </c>
      <c r="O39" s="44">
        <v>0</v>
      </c>
      <c r="P39" s="44">
        <v>0</v>
      </c>
      <c r="R39" s="44">
        <v>0</v>
      </c>
      <c r="S39" s="44">
        <v>0</v>
      </c>
      <c r="T39" s="44">
        <v>0</v>
      </c>
      <c r="V39" s="44">
        <v>0</v>
      </c>
      <c r="W39" s="44">
        <v>0</v>
      </c>
      <c r="X39" s="44">
        <v>0</v>
      </c>
      <c r="AA39" s="44">
        <v>0</v>
      </c>
      <c r="AB39" s="44">
        <v>0</v>
      </c>
      <c r="AC39" s="44">
        <v>0</v>
      </c>
      <c r="AD39" s="44">
        <v>0</v>
      </c>
      <c r="AE39" s="44">
        <v>0</v>
      </c>
      <c r="AF39" s="44">
        <v>0</v>
      </c>
      <c r="AG39" s="44">
        <v>0</v>
      </c>
      <c r="AH39" s="44">
        <v>0</v>
      </c>
      <c r="AI39" s="44">
        <v>0</v>
      </c>
      <c r="AJ39" s="44">
        <v>0</v>
      </c>
      <c r="AK39" s="44">
        <v>0</v>
      </c>
      <c r="AL39"/>
      <c r="AM39" s="44">
        <v>0</v>
      </c>
      <c r="AN39" s="44">
        <v>0</v>
      </c>
      <c r="AO39" s="44">
        <v>0</v>
      </c>
      <c r="AP39" s="44">
        <v>0</v>
      </c>
      <c r="AQ39" s="44">
        <v>0</v>
      </c>
      <c r="AR39" s="44">
        <v>0</v>
      </c>
      <c r="AS39" s="44">
        <v>0</v>
      </c>
      <c r="AT39"/>
      <c r="AU39" s="44">
        <v>0</v>
      </c>
      <c r="AV39" s="44">
        <v>0</v>
      </c>
      <c r="AW39" s="44">
        <v>0</v>
      </c>
      <c r="AX39" s="44">
        <v>0</v>
      </c>
      <c r="AY39"/>
      <c r="AZ39" s="44">
        <v>0</v>
      </c>
      <c r="BA39"/>
      <c r="BB39"/>
      <c r="BC39" s="44">
        <v>0</v>
      </c>
    </row>
    <row r="40" spans="1:55" x14ac:dyDescent="0.25">
      <c r="A40" s="13" t="s">
        <v>31</v>
      </c>
      <c r="B40" s="3" t="s">
        <v>473</v>
      </c>
      <c r="C40" s="3" t="s">
        <v>483</v>
      </c>
      <c r="D40" s="3" t="s">
        <v>524</v>
      </c>
      <c r="E40" s="14" t="s">
        <v>143</v>
      </c>
      <c r="F40" s="14" t="s">
        <v>98</v>
      </c>
      <c r="G40" s="44">
        <v>0</v>
      </c>
      <c r="H40" s="44">
        <f t="shared" si="1"/>
        <v>0</v>
      </c>
      <c r="I40" s="44">
        <v>0</v>
      </c>
      <c r="J40" s="44">
        <v>0</v>
      </c>
      <c r="K40" s="44">
        <v>0</v>
      </c>
      <c r="L40" s="44">
        <v>0</v>
      </c>
      <c r="M40" s="44">
        <v>0</v>
      </c>
      <c r="N40" s="44">
        <v>0</v>
      </c>
      <c r="O40" s="44">
        <v>0</v>
      </c>
      <c r="P40" s="44">
        <v>0</v>
      </c>
      <c r="R40" s="44">
        <v>0</v>
      </c>
      <c r="S40" s="44">
        <v>0</v>
      </c>
      <c r="T40" s="44">
        <v>0</v>
      </c>
      <c r="V40" s="44">
        <v>0</v>
      </c>
      <c r="W40" s="44">
        <v>0</v>
      </c>
      <c r="X40" s="44">
        <v>0</v>
      </c>
      <c r="AA40" s="44">
        <v>0</v>
      </c>
      <c r="AB40" s="44">
        <v>0</v>
      </c>
      <c r="AC40" s="44">
        <v>0</v>
      </c>
      <c r="AD40" s="44">
        <v>0</v>
      </c>
      <c r="AE40" s="44">
        <v>0</v>
      </c>
      <c r="AF40" s="44">
        <v>0</v>
      </c>
      <c r="AG40" s="44">
        <v>0</v>
      </c>
      <c r="AH40" s="44">
        <v>0</v>
      </c>
      <c r="AI40" s="44">
        <v>0</v>
      </c>
      <c r="AJ40" s="44">
        <v>0</v>
      </c>
      <c r="AK40" s="44">
        <v>0</v>
      </c>
      <c r="AL40"/>
      <c r="AM40" s="44">
        <v>0</v>
      </c>
      <c r="AN40" s="44">
        <v>0</v>
      </c>
      <c r="AO40" s="44">
        <v>0</v>
      </c>
      <c r="AP40" s="44">
        <v>0</v>
      </c>
      <c r="AQ40" s="44">
        <v>0</v>
      </c>
      <c r="AR40" s="44">
        <v>0</v>
      </c>
      <c r="AS40" s="44">
        <v>0</v>
      </c>
      <c r="AT40"/>
      <c r="AU40" s="44">
        <v>0</v>
      </c>
      <c r="AV40" s="44">
        <v>0</v>
      </c>
      <c r="AW40" s="44">
        <v>0</v>
      </c>
      <c r="AX40" s="44">
        <v>0</v>
      </c>
      <c r="AY40"/>
      <c r="AZ40" s="44">
        <v>0</v>
      </c>
      <c r="BA40"/>
      <c r="BB40"/>
      <c r="BC40" s="44">
        <v>0</v>
      </c>
    </row>
    <row r="41" spans="1:55" x14ac:dyDescent="0.25">
      <c r="A41" s="13" t="s">
        <v>32</v>
      </c>
      <c r="B41" s="3" t="s">
        <v>473</v>
      </c>
      <c r="C41" s="3" t="s">
        <v>483</v>
      </c>
      <c r="D41" s="3" t="s">
        <v>524</v>
      </c>
      <c r="E41" s="14" t="s">
        <v>144</v>
      </c>
      <c r="F41" s="14" t="s">
        <v>98</v>
      </c>
      <c r="G41" s="44">
        <v>-0.1</v>
      </c>
      <c r="H41" s="44">
        <f t="shared" si="1"/>
        <v>-0.1</v>
      </c>
      <c r="I41" s="44">
        <v>-0.1</v>
      </c>
      <c r="J41" s="44">
        <v>-0.1</v>
      </c>
      <c r="K41" s="44">
        <v>-0.1</v>
      </c>
      <c r="L41" s="44">
        <v>-0.1</v>
      </c>
      <c r="M41" s="44">
        <v>-0.1</v>
      </c>
      <c r="N41" s="44">
        <v>-0.1</v>
      </c>
      <c r="O41" s="44">
        <v>-0.1</v>
      </c>
      <c r="P41" s="44">
        <v>-0.1</v>
      </c>
      <c r="R41" s="44">
        <v>-0.1</v>
      </c>
      <c r="S41" s="44">
        <v>-0.1</v>
      </c>
      <c r="T41" s="44">
        <v>-0.1</v>
      </c>
      <c r="V41" s="44">
        <v>-0.1</v>
      </c>
      <c r="W41" s="44">
        <v>-0.1</v>
      </c>
      <c r="X41" s="44">
        <v>-0.1</v>
      </c>
      <c r="AA41" s="44">
        <v>-0.1</v>
      </c>
      <c r="AB41" s="44">
        <v>-0.1</v>
      </c>
      <c r="AC41" s="44">
        <v>-0.1</v>
      </c>
      <c r="AD41" s="44">
        <v>-0.1</v>
      </c>
      <c r="AE41" s="44">
        <v>-0.1</v>
      </c>
      <c r="AF41" s="44">
        <v>-0.1</v>
      </c>
      <c r="AG41" s="44">
        <v>-0.1</v>
      </c>
      <c r="AH41" s="44">
        <v>-0.1</v>
      </c>
      <c r="AI41" s="44">
        <v>-0.1</v>
      </c>
      <c r="AJ41" s="44">
        <v>-0.1</v>
      </c>
      <c r="AK41" s="44">
        <v>-0.1</v>
      </c>
      <c r="AL41"/>
      <c r="AM41" s="44">
        <v>-0.1</v>
      </c>
      <c r="AN41" s="44">
        <v>-0.1</v>
      </c>
      <c r="AO41" s="44">
        <v>-0.1</v>
      </c>
      <c r="AP41" s="44">
        <v>-0.1</v>
      </c>
      <c r="AQ41" s="44">
        <v>-0.1</v>
      </c>
      <c r="AR41" s="44">
        <v>-0.1</v>
      </c>
      <c r="AS41" s="44">
        <v>-0.1</v>
      </c>
      <c r="AT41"/>
      <c r="AU41" s="44">
        <v>-0.1</v>
      </c>
      <c r="AV41" s="44">
        <v>-0.1</v>
      </c>
      <c r="AW41" s="44">
        <v>-0.1</v>
      </c>
      <c r="AX41" s="44">
        <v>-0.1</v>
      </c>
      <c r="AY41"/>
      <c r="AZ41" s="44">
        <v>-0.1</v>
      </c>
      <c r="BA41"/>
      <c r="BB41"/>
      <c r="BC41" s="44">
        <v>-0.1</v>
      </c>
    </row>
    <row r="42" spans="1:55" x14ac:dyDescent="0.25">
      <c r="A42" s="13" t="s">
        <v>33</v>
      </c>
      <c r="B42" s="3" t="s">
        <v>473</v>
      </c>
      <c r="C42" s="3" t="s">
        <v>483</v>
      </c>
      <c r="D42" s="3" t="s">
        <v>524</v>
      </c>
      <c r="E42" s="14" t="s">
        <v>145</v>
      </c>
      <c r="F42" s="14" t="s">
        <v>98</v>
      </c>
      <c r="G42" s="44">
        <v>-0.2</v>
      </c>
      <c r="H42" s="44">
        <f t="shared" si="1"/>
        <v>-0.2</v>
      </c>
      <c r="I42" s="44">
        <v>-0.2</v>
      </c>
      <c r="J42" s="44">
        <v>-0.2</v>
      </c>
      <c r="K42" s="44">
        <v>-0.2</v>
      </c>
      <c r="L42" s="44">
        <v>-0.2</v>
      </c>
      <c r="M42" s="44">
        <v>-0.2</v>
      </c>
      <c r="N42" s="44">
        <v>-0.2</v>
      </c>
      <c r="O42" s="44">
        <v>-0.2</v>
      </c>
      <c r="P42" s="44">
        <v>-0.2</v>
      </c>
      <c r="R42" s="44">
        <v>-0.2</v>
      </c>
      <c r="S42" s="44">
        <v>-0.2</v>
      </c>
      <c r="T42" s="44">
        <v>-0.2</v>
      </c>
      <c r="V42" s="44">
        <v>-0.2</v>
      </c>
      <c r="W42" s="44">
        <v>-0.2</v>
      </c>
      <c r="X42" s="44">
        <v>-0.2</v>
      </c>
      <c r="AA42" s="44">
        <v>-0.2</v>
      </c>
      <c r="AB42" s="44">
        <v>-0.2</v>
      </c>
      <c r="AC42" s="44">
        <v>-0.2</v>
      </c>
      <c r="AD42" s="44">
        <v>-0.2</v>
      </c>
      <c r="AE42" s="44">
        <v>-0.2</v>
      </c>
      <c r="AF42" s="44">
        <v>-0.2</v>
      </c>
      <c r="AG42" s="44">
        <v>-0.2</v>
      </c>
      <c r="AH42" s="44">
        <v>-0.2</v>
      </c>
      <c r="AI42" s="44">
        <v>-0.2</v>
      </c>
      <c r="AJ42" s="44">
        <v>-0.2</v>
      </c>
      <c r="AK42" s="44">
        <v>-0.2</v>
      </c>
      <c r="AL42"/>
      <c r="AM42" s="44">
        <v>-0.2</v>
      </c>
      <c r="AN42" s="44">
        <v>-0.2</v>
      </c>
      <c r="AO42" s="44">
        <v>-0.2</v>
      </c>
      <c r="AP42" s="44">
        <v>-0.2</v>
      </c>
      <c r="AQ42" s="44">
        <v>-0.2</v>
      </c>
      <c r="AR42" s="44">
        <v>-0.2</v>
      </c>
      <c r="AS42" s="44">
        <v>-0.2</v>
      </c>
      <c r="AT42"/>
      <c r="AU42" s="44">
        <v>-0.2</v>
      </c>
      <c r="AV42" s="44">
        <v>-0.2</v>
      </c>
      <c r="AW42" s="44">
        <v>-0.2</v>
      </c>
      <c r="AX42" s="44">
        <v>-0.2</v>
      </c>
      <c r="AY42"/>
      <c r="AZ42" s="44">
        <v>-0.2</v>
      </c>
      <c r="BA42"/>
      <c r="BB42"/>
      <c r="BC42" s="44">
        <v>-0.2</v>
      </c>
    </row>
    <row r="43" spans="1:55" x14ac:dyDescent="0.25">
      <c r="A43" s="13" t="s">
        <v>34</v>
      </c>
      <c r="B43" s="3" t="s">
        <v>473</v>
      </c>
      <c r="C43" s="3" t="s">
        <v>483</v>
      </c>
      <c r="D43" s="3" t="s">
        <v>524</v>
      </c>
      <c r="E43" s="14" t="s">
        <v>146</v>
      </c>
      <c r="F43" s="14" t="s">
        <v>98</v>
      </c>
      <c r="G43" s="44">
        <v>0.4</v>
      </c>
      <c r="H43" s="44">
        <f t="shared" si="1"/>
        <v>0.4</v>
      </c>
      <c r="I43" s="44">
        <v>0.4</v>
      </c>
      <c r="J43" s="44">
        <v>0.4</v>
      </c>
      <c r="K43" s="44">
        <v>0.4</v>
      </c>
      <c r="L43" s="44">
        <v>0.4</v>
      </c>
      <c r="M43" s="44">
        <v>0.4</v>
      </c>
      <c r="N43" s="44">
        <v>0.4</v>
      </c>
      <c r="O43" s="44">
        <v>0.4</v>
      </c>
      <c r="P43" s="44">
        <v>0.4</v>
      </c>
      <c r="R43" s="44">
        <v>0.4</v>
      </c>
      <c r="S43" s="44">
        <v>0.4</v>
      </c>
      <c r="T43" s="44">
        <v>0.4</v>
      </c>
      <c r="V43" s="44">
        <v>0.4</v>
      </c>
      <c r="W43" s="44">
        <v>0.4</v>
      </c>
      <c r="X43" s="44">
        <v>0.4</v>
      </c>
      <c r="AA43" s="44">
        <v>0.4</v>
      </c>
      <c r="AB43" s="44">
        <v>0.4</v>
      </c>
      <c r="AC43" s="44">
        <v>0.4</v>
      </c>
      <c r="AD43" s="44">
        <v>0.4</v>
      </c>
      <c r="AE43" s="44">
        <v>0.4</v>
      </c>
      <c r="AF43" s="44">
        <v>0.4</v>
      </c>
      <c r="AG43" s="44">
        <v>0.4</v>
      </c>
      <c r="AH43" s="44">
        <v>0.4</v>
      </c>
      <c r="AI43" s="44">
        <v>0.4</v>
      </c>
      <c r="AJ43" s="44">
        <v>0.4</v>
      </c>
      <c r="AK43" s="44">
        <v>0.4</v>
      </c>
      <c r="AL43"/>
      <c r="AM43" s="44">
        <v>0.4</v>
      </c>
      <c r="AN43" s="44">
        <v>0.4</v>
      </c>
      <c r="AO43" s="44">
        <v>0.4</v>
      </c>
      <c r="AP43" s="44">
        <v>0.4</v>
      </c>
      <c r="AQ43" s="44">
        <v>0.4</v>
      </c>
      <c r="AR43" s="44">
        <v>0.4</v>
      </c>
      <c r="AS43" s="44">
        <v>0.4</v>
      </c>
      <c r="AT43"/>
      <c r="AU43" s="44">
        <v>0.4</v>
      </c>
      <c r="AV43" s="44">
        <v>0.4</v>
      </c>
      <c r="AW43" s="44">
        <v>0.4</v>
      </c>
      <c r="AX43" s="44">
        <v>0.4</v>
      </c>
      <c r="AY43"/>
      <c r="AZ43" s="44">
        <v>0.4</v>
      </c>
      <c r="BA43"/>
      <c r="BB43"/>
      <c r="BC43" s="44">
        <v>0.4</v>
      </c>
    </row>
    <row r="44" spans="1:55" x14ac:dyDescent="0.25">
      <c r="A44" s="13" t="s">
        <v>35</v>
      </c>
      <c r="B44" s="3" t="s">
        <v>473</v>
      </c>
      <c r="C44" s="3" t="s">
        <v>483</v>
      </c>
      <c r="D44" s="3" t="s">
        <v>524</v>
      </c>
      <c r="E44" s="14" t="s">
        <v>147</v>
      </c>
      <c r="F44" s="14" t="s">
        <v>101</v>
      </c>
      <c r="G44" s="44">
        <v>0</v>
      </c>
      <c r="H44" s="44">
        <f t="shared" si="1"/>
        <v>0</v>
      </c>
      <c r="I44" s="44">
        <v>0</v>
      </c>
      <c r="J44" s="44">
        <v>0</v>
      </c>
      <c r="K44" s="44">
        <v>0</v>
      </c>
      <c r="L44" s="44">
        <v>0</v>
      </c>
      <c r="M44" s="44">
        <v>0</v>
      </c>
      <c r="N44" s="44">
        <v>0</v>
      </c>
      <c r="O44" s="44">
        <v>0</v>
      </c>
      <c r="P44" s="44">
        <v>0</v>
      </c>
      <c r="R44" s="44">
        <v>0</v>
      </c>
      <c r="S44" s="44">
        <v>0</v>
      </c>
      <c r="T44" s="44">
        <v>0</v>
      </c>
      <c r="V44" s="44">
        <v>0</v>
      </c>
      <c r="W44" s="44">
        <v>0</v>
      </c>
      <c r="X44" s="44">
        <v>0</v>
      </c>
      <c r="AA44" s="44">
        <v>0</v>
      </c>
      <c r="AB44" s="44">
        <v>0</v>
      </c>
      <c r="AC44" s="44">
        <v>0</v>
      </c>
      <c r="AD44" s="44">
        <v>0</v>
      </c>
      <c r="AE44" s="44">
        <v>0</v>
      </c>
      <c r="AF44" s="44">
        <v>0</v>
      </c>
      <c r="AG44" s="44">
        <v>0</v>
      </c>
      <c r="AH44" s="44">
        <v>0</v>
      </c>
      <c r="AI44" s="44">
        <v>0</v>
      </c>
      <c r="AJ44" s="44">
        <v>0</v>
      </c>
      <c r="AK44" s="44">
        <v>0</v>
      </c>
      <c r="AL44"/>
      <c r="AM44" s="44">
        <v>0</v>
      </c>
      <c r="AN44" s="44">
        <v>0</v>
      </c>
      <c r="AO44" s="44">
        <v>0</v>
      </c>
      <c r="AP44" s="44">
        <v>0</v>
      </c>
      <c r="AQ44" s="44">
        <v>0</v>
      </c>
      <c r="AR44" s="44">
        <v>0</v>
      </c>
      <c r="AS44" s="44">
        <v>0</v>
      </c>
      <c r="AT44"/>
      <c r="AU44" s="44">
        <v>0</v>
      </c>
      <c r="AV44" s="44">
        <v>0</v>
      </c>
      <c r="AW44" s="44">
        <v>0</v>
      </c>
      <c r="AX44" s="44">
        <v>0</v>
      </c>
      <c r="AY44"/>
      <c r="AZ44" s="44">
        <v>0</v>
      </c>
      <c r="BA44"/>
      <c r="BB44"/>
      <c r="BC44" s="44">
        <v>0</v>
      </c>
    </row>
    <row r="45" spans="1:55" x14ac:dyDescent="0.25">
      <c r="A45" s="13" t="s">
        <v>437</v>
      </c>
      <c r="B45" s="3" t="s">
        <v>473</v>
      </c>
      <c r="C45" s="3" t="s">
        <v>483</v>
      </c>
      <c r="D45" s="3" t="s">
        <v>524</v>
      </c>
      <c r="E45" s="14" t="s">
        <v>439</v>
      </c>
      <c r="F45" s="14" t="s">
        <v>95</v>
      </c>
      <c r="G45" s="44">
        <v>1200</v>
      </c>
      <c r="H45" s="44">
        <f t="shared" si="1"/>
        <v>1200</v>
      </c>
      <c r="I45" s="44">
        <v>1200</v>
      </c>
      <c r="J45" s="44">
        <v>1200</v>
      </c>
      <c r="K45" s="44">
        <v>1200</v>
      </c>
      <c r="L45" s="44">
        <v>1200</v>
      </c>
      <c r="M45" s="44">
        <v>1200</v>
      </c>
      <c r="N45" s="44">
        <v>1200</v>
      </c>
      <c r="O45" s="44">
        <v>1200</v>
      </c>
      <c r="P45" s="44">
        <v>1200</v>
      </c>
      <c r="R45" s="44">
        <v>1200</v>
      </c>
      <c r="S45" s="44">
        <v>1200</v>
      </c>
      <c r="T45" s="44">
        <v>1200</v>
      </c>
      <c r="V45" s="44">
        <v>1200</v>
      </c>
      <c r="W45" s="44">
        <v>1200</v>
      </c>
      <c r="X45" s="44">
        <v>1200</v>
      </c>
      <c r="AA45" s="44">
        <v>1200</v>
      </c>
      <c r="AB45" s="44">
        <v>1200</v>
      </c>
      <c r="AC45" s="44">
        <v>1200</v>
      </c>
      <c r="AD45" s="44">
        <v>1200</v>
      </c>
      <c r="AE45" s="44">
        <v>1200</v>
      </c>
      <c r="AF45" s="44">
        <v>1200</v>
      </c>
      <c r="AG45" s="44">
        <v>1200</v>
      </c>
      <c r="AH45" s="44">
        <v>1200</v>
      </c>
      <c r="AI45" s="44">
        <v>1200</v>
      </c>
      <c r="AJ45" s="44">
        <v>1200</v>
      </c>
      <c r="AK45" s="44">
        <v>1200</v>
      </c>
      <c r="AL45"/>
      <c r="AM45" s="44">
        <v>1200</v>
      </c>
      <c r="AN45" s="44">
        <v>1200</v>
      </c>
      <c r="AO45" s="44">
        <v>1200</v>
      </c>
      <c r="AP45" s="44">
        <v>1200</v>
      </c>
      <c r="AQ45" s="44">
        <v>1200</v>
      </c>
      <c r="AR45" s="44">
        <v>1200</v>
      </c>
      <c r="AS45" s="44">
        <v>1200</v>
      </c>
      <c r="AT45"/>
      <c r="AU45" s="44">
        <v>1200</v>
      </c>
      <c r="AV45" s="44">
        <v>1200</v>
      </c>
      <c r="AW45" s="44">
        <v>1200</v>
      </c>
      <c r="AX45" s="44">
        <v>1200</v>
      </c>
      <c r="AY45"/>
      <c r="AZ45" s="44">
        <v>1200</v>
      </c>
      <c r="BA45"/>
      <c r="BB45"/>
      <c r="BC45" s="44">
        <v>1200</v>
      </c>
    </row>
    <row r="46" spans="1:55" x14ac:dyDescent="0.25">
      <c r="A46" s="13" t="s">
        <v>438</v>
      </c>
      <c r="B46" s="3" t="s">
        <v>473</v>
      </c>
      <c r="C46" s="3" t="s">
        <v>483</v>
      </c>
      <c r="D46" s="3" t="s">
        <v>524</v>
      </c>
      <c r="E46" s="14" t="s">
        <v>440</v>
      </c>
      <c r="F46" s="14" t="s">
        <v>95</v>
      </c>
      <c r="G46" s="44">
        <v>1200</v>
      </c>
      <c r="H46" s="44">
        <f t="shared" si="1"/>
        <v>1200</v>
      </c>
      <c r="I46" s="44">
        <v>1200</v>
      </c>
      <c r="J46" s="44">
        <v>1200</v>
      </c>
      <c r="K46" s="44">
        <v>1200</v>
      </c>
      <c r="L46" s="44">
        <v>1200</v>
      </c>
      <c r="M46" s="44">
        <v>1200</v>
      </c>
      <c r="N46" s="44">
        <v>1200</v>
      </c>
      <c r="O46" s="44">
        <v>1200</v>
      </c>
      <c r="P46" s="44">
        <v>1200</v>
      </c>
      <c r="R46" s="44">
        <v>1200</v>
      </c>
      <c r="S46" s="44">
        <v>1200</v>
      </c>
      <c r="T46" s="44">
        <v>1200</v>
      </c>
      <c r="V46" s="44">
        <v>1200</v>
      </c>
      <c r="W46" s="44">
        <v>1200</v>
      </c>
      <c r="X46" s="44">
        <v>1200</v>
      </c>
      <c r="AA46" s="44">
        <v>1200</v>
      </c>
      <c r="AB46" s="44">
        <v>1200</v>
      </c>
      <c r="AC46" s="44">
        <v>1200</v>
      </c>
      <c r="AD46" s="44">
        <v>1200</v>
      </c>
      <c r="AE46" s="44">
        <v>1200</v>
      </c>
      <c r="AF46" s="44">
        <v>1200</v>
      </c>
      <c r="AG46" s="44">
        <v>1200</v>
      </c>
      <c r="AH46" s="44">
        <v>1200</v>
      </c>
      <c r="AI46" s="44">
        <v>1200</v>
      </c>
      <c r="AJ46" s="44">
        <v>1200</v>
      </c>
      <c r="AK46" s="44">
        <v>1200</v>
      </c>
      <c r="AL46"/>
      <c r="AM46" s="44">
        <v>1200</v>
      </c>
      <c r="AN46" s="44">
        <v>1200</v>
      </c>
      <c r="AO46" s="44">
        <v>1200</v>
      </c>
      <c r="AP46" s="44">
        <v>1200</v>
      </c>
      <c r="AQ46" s="44">
        <v>1200</v>
      </c>
      <c r="AR46" s="44">
        <v>1200</v>
      </c>
      <c r="AS46" s="44">
        <v>1200</v>
      </c>
      <c r="AT46"/>
      <c r="AU46" s="44">
        <v>1200</v>
      </c>
      <c r="AV46" s="44">
        <v>1200</v>
      </c>
      <c r="AW46" s="44">
        <v>1200</v>
      </c>
      <c r="AX46" s="44">
        <v>1200</v>
      </c>
      <c r="AY46"/>
      <c r="AZ46" s="44">
        <v>1200</v>
      </c>
      <c r="BA46"/>
      <c r="BB46"/>
      <c r="BC46" s="44">
        <v>1200</v>
      </c>
    </row>
    <row r="47" spans="1:55" x14ac:dyDescent="0.25">
      <c r="A47" s="13" t="s">
        <v>459</v>
      </c>
      <c r="B47" s="3" t="s">
        <v>473</v>
      </c>
      <c r="C47" s="3" t="s">
        <v>483</v>
      </c>
      <c r="D47" s="3" t="s">
        <v>524</v>
      </c>
      <c r="E47" s="14" t="s">
        <v>460</v>
      </c>
      <c r="F47" s="14" t="s">
        <v>461</v>
      </c>
      <c r="G47" s="44" t="s">
        <v>462</v>
      </c>
      <c r="H47" s="44" t="str">
        <f t="shared" si="1"/>
        <v>[94,76,64]</v>
      </c>
      <c r="I47" s="44" t="s">
        <v>462</v>
      </c>
      <c r="J47" s="44" t="s">
        <v>462</v>
      </c>
      <c r="K47" s="44" t="s">
        <v>462</v>
      </c>
      <c r="L47" s="44" t="s">
        <v>462</v>
      </c>
      <c r="M47" s="44" t="s">
        <v>462</v>
      </c>
      <c r="N47" s="44" t="s">
        <v>462</v>
      </c>
      <c r="O47" s="44" t="s">
        <v>462</v>
      </c>
      <c r="P47" s="44" t="s">
        <v>462</v>
      </c>
      <c r="R47" s="44" t="s">
        <v>462</v>
      </c>
      <c r="S47" s="44" t="s">
        <v>462</v>
      </c>
      <c r="T47" s="44" t="s">
        <v>462</v>
      </c>
      <c r="V47" s="44" t="s">
        <v>462</v>
      </c>
      <c r="W47" s="44" t="s">
        <v>462</v>
      </c>
      <c r="X47" s="44" t="s">
        <v>462</v>
      </c>
      <c r="AA47" s="44" t="s">
        <v>462</v>
      </c>
      <c r="AB47" s="44" t="s">
        <v>462</v>
      </c>
      <c r="AC47" s="44" t="s">
        <v>462</v>
      </c>
      <c r="AD47" s="44" t="s">
        <v>462</v>
      </c>
      <c r="AE47" s="44" t="s">
        <v>462</v>
      </c>
      <c r="AF47" s="44" t="s">
        <v>462</v>
      </c>
      <c r="AG47" s="44" t="s">
        <v>462</v>
      </c>
      <c r="AH47" s="44" t="s">
        <v>462</v>
      </c>
      <c r="AI47" s="44" t="s">
        <v>462</v>
      </c>
      <c r="AJ47" s="44" t="s">
        <v>462</v>
      </c>
      <c r="AK47" s="44" t="s">
        <v>462</v>
      </c>
      <c r="AL47"/>
      <c r="AM47" s="44" t="s">
        <v>462</v>
      </c>
      <c r="AN47" s="44" t="s">
        <v>462</v>
      </c>
      <c r="AO47" s="44" t="s">
        <v>462</v>
      </c>
      <c r="AP47" s="44" t="s">
        <v>462</v>
      </c>
      <c r="AQ47" s="44" t="s">
        <v>462</v>
      </c>
      <c r="AR47" s="44" t="s">
        <v>462</v>
      </c>
      <c r="AS47" s="44" t="s">
        <v>462</v>
      </c>
      <c r="AT47"/>
      <c r="AU47" s="44" t="s">
        <v>462</v>
      </c>
      <c r="AV47" s="44" t="s">
        <v>462</v>
      </c>
      <c r="AW47" s="44" t="s">
        <v>462</v>
      </c>
      <c r="AX47" s="44" t="s">
        <v>462</v>
      </c>
      <c r="AY47"/>
      <c r="AZ47" s="44" t="s">
        <v>462</v>
      </c>
      <c r="BA47"/>
      <c r="BB47"/>
      <c r="BC47" s="44" t="s">
        <v>462</v>
      </c>
    </row>
    <row r="48" spans="1:55" x14ac:dyDescent="0.25">
      <c r="A48" s="13" t="s">
        <v>15</v>
      </c>
      <c r="B48" s="3" t="s">
        <v>473</v>
      </c>
      <c r="C48" s="3" t="s">
        <v>483</v>
      </c>
      <c r="D48" s="3" t="s">
        <v>524</v>
      </c>
      <c r="E48" s="14" t="s">
        <v>135</v>
      </c>
      <c r="F48" s="14" t="s">
        <v>94</v>
      </c>
      <c r="G48" s="44" t="s">
        <v>86</v>
      </c>
      <c r="H48" s="44" t="str">
        <f t="shared" si="1"/>
        <v>True</v>
      </c>
      <c r="I48" s="44" t="s">
        <v>86</v>
      </c>
      <c r="J48" s="44" t="s">
        <v>86</v>
      </c>
      <c r="K48" s="44" t="s">
        <v>86</v>
      </c>
      <c r="L48" s="44" t="s">
        <v>86</v>
      </c>
      <c r="M48" s="44" t="s">
        <v>86</v>
      </c>
      <c r="N48" s="44" t="s">
        <v>86</v>
      </c>
      <c r="O48" s="44" t="s">
        <v>86</v>
      </c>
      <c r="P48" s="44" t="s">
        <v>86</v>
      </c>
      <c r="R48" s="44" t="s">
        <v>86</v>
      </c>
      <c r="S48" s="44" t="s">
        <v>86</v>
      </c>
      <c r="T48" s="44" t="s">
        <v>86</v>
      </c>
      <c r="V48" s="44" t="s">
        <v>86</v>
      </c>
      <c r="W48" s="44" t="s">
        <v>86</v>
      </c>
      <c r="X48" s="44" t="s">
        <v>86</v>
      </c>
      <c r="AA48" s="44" t="s">
        <v>86</v>
      </c>
      <c r="AB48" s="44" t="s">
        <v>86</v>
      </c>
      <c r="AC48" s="44" t="s">
        <v>86</v>
      </c>
      <c r="AD48" s="44" t="s">
        <v>86</v>
      </c>
      <c r="AE48" s="44" t="s">
        <v>86</v>
      </c>
      <c r="AF48" s="44" t="s">
        <v>86</v>
      </c>
      <c r="AG48" s="44" t="s">
        <v>86</v>
      </c>
      <c r="AH48" s="44" t="s">
        <v>86</v>
      </c>
      <c r="AI48" s="44" t="s">
        <v>86</v>
      </c>
      <c r="AJ48" s="44" t="s">
        <v>86</v>
      </c>
      <c r="AK48" s="44" t="s">
        <v>86</v>
      </c>
      <c r="AL48"/>
      <c r="AM48" s="44" t="s">
        <v>86</v>
      </c>
      <c r="AN48" s="44" t="s">
        <v>86</v>
      </c>
      <c r="AO48" s="44" t="s">
        <v>86</v>
      </c>
      <c r="AP48" s="44" t="s">
        <v>86</v>
      </c>
      <c r="AQ48" s="44" t="s">
        <v>86</v>
      </c>
      <c r="AR48" s="44" t="s">
        <v>86</v>
      </c>
      <c r="AS48" s="44" t="s">
        <v>86</v>
      </c>
      <c r="AT48"/>
      <c r="AU48" s="44" t="s">
        <v>86</v>
      </c>
      <c r="AV48" s="44" t="s">
        <v>86</v>
      </c>
      <c r="AW48" s="44" t="s">
        <v>86</v>
      </c>
      <c r="AX48" s="44" t="s">
        <v>86</v>
      </c>
      <c r="AY48"/>
      <c r="AZ48" s="44" t="s">
        <v>86</v>
      </c>
      <c r="BA48"/>
      <c r="BB48"/>
      <c r="BC48" s="44" t="s">
        <v>86</v>
      </c>
    </row>
    <row r="49" spans="1:55" x14ac:dyDescent="0.25">
      <c r="A49" s="11" t="s">
        <v>16</v>
      </c>
      <c r="B49" s="3" t="s">
        <v>473</v>
      </c>
      <c r="C49" s="3" t="s">
        <v>483</v>
      </c>
      <c r="D49" s="3" t="s">
        <v>524</v>
      </c>
      <c r="E49" s="12" t="s">
        <v>136</v>
      </c>
      <c r="F49" s="12" t="s">
        <v>94</v>
      </c>
      <c r="G49" s="44" t="s">
        <v>86</v>
      </c>
      <c r="H49" s="44" t="str">
        <f t="shared" si="1"/>
        <v>True</v>
      </c>
      <c r="I49" s="44" t="s">
        <v>86</v>
      </c>
      <c r="J49" s="44" t="s">
        <v>86</v>
      </c>
      <c r="K49" s="44" t="s">
        <v>86</v>
      </c>
      <c r="L49" s="44" t="s">
        <v>86</v>
      </c>
      <c r="M49" s="44" t="s">
        <v>86</v>
      </c>
      <c r="N49" s="44" t="s">
        <v>86</v>
      </c>
      <c r="O49" s="44" t="s">
        <v>86</v>
      </c>
      <c r="P49" s="44" t="s">
        <v>86</v>
      </c>
      <c r="R49" s="44" t="s">
        <v>86</v>
      </c>
      <c r="S49" s="44" t="s">
        <v>86</v>
      </c>
      <c r="T49" s="44" t="s">
        <v>86</v>
      </c>
      <c r="V49" s="44" t="s">
        <v>86</v>
      </c>
      <c r="W49" s="44" t="s">
        <v>86</v>
      </c>
      <c r="X49" s="44" t="s">
        <v>86</v>
      </c>
      <c r="AA49" s="44" t="s">
        <v>86</v>
      </c>
      <c r="AB49" s="44" t="s">
        <v>86</v>
      </c>
      <c r="AC49" s="44" t="s">
        <v>86</v>
      </c>
      <c r="AD49" s="44" t="s">
        <v>86</v>
      </c>
      <c r="AE49" s="44" t="s">
        <v>86</v>
      </c>
      <c r="AF49" s="44" t="s">
        <v>86</v>
      </c>
      <c r="AG49" s="44" t="s">
        <v>86</v>
      </c>
      <c r="AH49" s="44" t="s">
        <v>86</v>
      </c>
      <c r="AI49" s="44" t="s">
        <v>86</v>
      </c>
      <c r="AJ49" s="44" t="s">
        <v>86</v>
      </c>
      <c r="AK49" s="44" t="s">
        <v>86</v>
      </c>
      <c r="AL49"/>
      <c r="AM49" s="44" t="s">
        <v>86</v>
      </c>
      <c r="AN49" s="44" t="s">
        <v>86</v>
      </c>
      <c r="AO49" s="44" t="s">
        <v>86</v>
      </c>
      <c r="AP49" s="44" t="s">
        <v>86</v>
      </c>
      <c r="AQ49" s="44" t="s">
        <v>86</v>
      </c>
      <c r="AR49" s="44" t="s">
        <v>86</v>
      </c>
      <c r="AS49" s="44" t="s">
        <v>86</v>
      </c>
      <c r="AT49"/>
      <c r="AU49" s="44" t="s">
        <v>86</v>
      </c>
      <c r="AV49" s="44" t="s">
        <v>86</v>
      </c>
      <c r="AW49" s="44" t="s">
        <v>86</v>
      </c>
      <c r="AX49" s="44" t="s">
        <v>86</v>
      </c>
      <c r="AY49"/>
      <c r="AZ49" s="44" t="s">
        <v>86</v>
      </c>
      <c r="BA49"/>
      <c r="BB49"/>
      <c r="BC49" s="44" t="s">
        <v>86</v>
      </c>
    </row>
    <row r="50" spans="1:55" x14ac:dyDescent="0.25">
      <c r="A50" s="11" t="s">
        <v>17</v>
      </c>
      <c r="B50" s="3" t="s">
        <v>473</v>
      </c>
      <c r="C50" s="3" t="s">
        <v>483</v>
      </c>
      <c r="D50" s="3" t="s">
        <v>524</v>
      </c>
      <c r="E50" s="12" t="s">
        <v>120</v>
      </c>
      <c r="F50" s="12" t="s">
        <v>98</v>
      </c>
      <c r="G50" s="44">
        <v>0</v>
      </c>
      <c r="H50" s="44">
        <f t="shared" si="1"/>
        <v>0</v>
      </c>
      <c r="I50" s="44">
        <v>0</v>
      </c>
      <c r="J50" s="44">
        <v>0</v>
      </c>
      <c r="K50" s="44">
        <v>0</v>
      </c>
      <c r="L50" s="44">
        <v>0</v>
      </c>
      <c r="M50" s="44">
        <v>0</v>
      </c>
      <c r="N50" s="44">
        <v>0</v>
      </c>
      <c r="O50" s="44">
        <v>0</v>
      </c>
      <c r="P50" s="44">
        <v>0</v>
      </c>
      <c r="R50" s="44">
        <v>0</v>
      </c>
      <c r="S50" s="44">
        <v>0</v>
      </c>
      <c r="T50" s="44">
        <v>0</v>
      </c>
      <c r="V50" s="44">
        <v>0</v>
      </c>
      <c r="W50" s="44">
        <v>0</v>
      </c>
      <c r="X50" s="44">
        <v>0</v>
      </c>
      <c r="AA50" s="44">
        <v>0</v>
      </c>
      <c r="AB50" s="44">
        <v>0</v>
      </c>
      <c r="AC50" s="44">
        <v>0</v>
      </c>
      <c r="AD50" s="44">
        <v>0</v>
      </c>
      <c r="AE50" s="44">
        <v>0</v>
      </c>
      <c r="AF50" s="44">
        <v>0</v>
      </c>
      <c r="AG50" s="44">
        <v>0</v>
      </c>
      <c r="AH50" s="44">
        <v>0</v>
      </c>
      <c r="AI50" s="44">
        <v>0</v>
      </c>
      <c r="AJ50" s="44">
        <v>0</v>
      </c>
      <c r="AK50" s="44">
        <v>0</v>
      </c>
      <c r="AL50"/>
      <c r="AM50" s="44">
        <v>0</v>
      </c>
      <c r="AN50" s="44">
        <v>0</v>
      </c>
      <c r="AO50" s="44">
        <v>0</v>
      </c>
      <c r="AP50" s="44">
        <v>0</v>
      </c>
      <c r="AQ50" s="44">
        <v>0</v>
      </c>
      <c r="AR50" s="44">
        <v>0</v>
      </c>
      <c r="AS50" s="44">
        <v>0</v>
      </c>
      <c r="AT50"/>
      <c r="AU50" s="44">
        <v>0</v>
      </c>
      <c r="AV50" s="44">
        <v>0</v>
      </c>
      <c r="AW50" s="44">
        <v>0</v>
      </c>
      <c r="AX50" s="44">
        <v>0</v>
      </c>
      <c r="AY50"/>
      <c r="AZ50" s="44">
        <v>0</v>
      </c>
      <c r="BA50"/>
      <c r="BB50"/>
      <c r="BC50" s="44">
        <v>0</v>
      </c>
    </row>
    <row r="51" spans="1:55" x14ac:dyDescent="0.25">
      <c r="A51" s="11" t="s">
        <v>18</v>
      </c>
      <c r="B51" s="3" t="s">
        <v>473</v>
      </c>
      <c r="C51" s="3" t="s">
        <v>483</v>
      </c>
      <c r="D51" s="3" t="s">
        <v>524</v>
      </c>
      <c r="E51" s="12" t="s">
        <v>121</v>
      </c>
      <c r="F51" s="12" t="s">
        <v>98</v>
      </c>
      <c r="G51" s="44">
        <v>0.5</v>
      </c>
      <c r="H51" s="44">
        <f t="shared" si="1"/>
        <v>0.5</v>
      </c>
      <c r="I51" s="44">
        <v>0.5</v>
      </c>
      <c r="J51" s="44">
        <v>0.5</v>
      </c>
      <c r="K51" s="44">
        <v>0.5</v>
      </c>
      <c r="L51" s="44">
        <v>0.5</v>
      </c>
      <c r="M51" s="44">
        <v>0.5</v>
      </c>
      <c r="N51" s="44">
        <v>0.5</v>
      </c>
      <c r="O51" s="44">
        <v>0.5</v>
      </c>
      <c r="P51" s="44">
        <v>0.5</v>
      </c>
      <c r="R51" s="44">
        <v>0.5</v>
      </c>
      <c r="S51" s="44">
        <v>0.5</v>
      </c>
      <c r="T51" s="44">
        <v>0.5</v>
      </c>
      <c r="V51" s="44">
        <v>0.5</v>
      </c>
      <c r="W51" s="44">
        <v>0.5</v>
      </c>
      <c r="X51" s="44">
        <v>0.5</v>
      </c>
      <c r="AA51" s="44">
        <v>0.5</v>
      </c>
      <c r="AB51" s="44">
        <v>0.5</v>
      </c>
      <c r="AC51" s="44">
        <v>0.5</v>
      </c>
      <c r="AD51" s="44">
        <v>0.5</v>
      </c>
      <c r="AE51" s="44">
        <v>0.5</v>
      </c>
      <c r="AF51" s="44">
        <v>0.5</v>
      </c>
      <c r="AG51" s="44">
        <v>0.5</v>
      </c>
      <c r="AH51" s="44">
        <v>0.5</v>
      </c>
      <c r="AI51" s="44">
        <v>0.5</v>
      </c>
      <c r="AJ51" s="44">
        <v>0.5</v>
      </c>
      <c r="AK51" s="44">
        <v>0.5</v>
      </c>
      <c r="AL51"/>
      <c r="AM51" s="44">
        <v>0.5</v>
      </c>
      <c r="AN51" s="44">
        <v>0.5</v>
      </c>
      <c r="AO51" s="44">
        <v>0.5</v>
      </c>
      <c r="AP51" s="44">
        <v>0.5</v>
      </c>
      <c r="AQ51" s="44">
        <v>0.5</v>
      </c>
      <c r="AR51" s="44">
        <v>0.5</v>
      </c>
      <c r="AS51" s="44">
        <v>0.5</v>
      </c>
      <c r="AT51"/>
      <c r="AU51" s="44">
        <v>0.5</v>
      </c>
      <c r="AV51" s="44">
        <v>0.5</v>
      </c>
      <c r="AW51" s="44">
        <v>0.5</v>
      </c>
      <c r="AX51" s="44">
        <v>0.5</v>
      </c>
      <c r="AY51"/>
      <c r="AZ51" s="44">
        <v>0.5</v>
      </c>
      <c r="BA51"/>
      <c r="BB51"/>
      <c r="BC51" s="44">
        <v>0.5</v>
      </c>
    </row>
    <row r="52" spans="1:55" x14ac:dyDescent="0.25">
      <c r="A52" s="11" t="s">
        <v>19</v>
      </c>
      <c r="B52" s="3" t="s">
        <v>473</v>
      </c>
      <c r="C52" s="3" t="s">
        <v>483</v>
      </c>
      <c r="D52" s="3" t="s">
        <v>524</v>
      </c>
      <c r="E52" s="12" t="s">
        <v>122</v>
      </c>
      <c r="F52" s="12" t="s">
        <v>98</v>
      </c>
      <c r="G52" s="44">
        <v>0.05</v>
      </c>
      <c r="H52" s="44">
        <f t="shared" si="1"/>
        <v>0.05</v>
      </c>
      <c r="I52" s="44">
        <v>0.05</v>
      </c>
      <c r="J52" s="44">
        <v>0.05</v>
      </c>
      <c r="K52" s="44">
        <v>0.05</v>
      </c>
      <c r="L52" s="44">
        <v>0.05</v>
      </c>
      <c r="M52" s="44">
        <v>0.05</v>
      </c>
      <c r="N52" s="44">
        <v>0.05</v>
      </c>
      <c r="O52" s="44">
        <v>0.05</v>
      </c>
      <c r="P52" s="44">
        <v>0.05</v>
      </c>
      <c r="R52" s="44">
        <v>0.05</v>
      </c>
      <c r="S52" s="44">
        <v>0.05</v>
      </c>
      <c r="T52" s="44">
        <v>0.05</v>
      </c>
      <c r="V52" s="44">
        <v>0.05</v>
      </c>
      <c r="W52" s="44">
        <v>0.05</v>
      </c>
      <c r="X52" s="44">
        <v>0.05</v>
      </c>
      <c r="AA52" s="44">
        <v>0.05</v>
      </c>
      <c r="AB52" s="44">
        <v>0.05</v>
      </c>
      <c r="AC52" s="44">
        <v>0.05</v>
      </c>
      <c r="AD52" s="44">
        <v>0.05</v>
      </c>
      <c r="AE52" s="44">
        <v>0.05</v>
      </c>
      <c r="AF52" s="44">
        <v>0.05</v>
      </c>
      <c r="AG52" s="44">
        <v>0.05</v>
      </c>
      <c r="AH52" s="44">
        <v>0.05</v>
      </c>
      <c r="AI52" s="44">
        <v>0.05</v>
      </c>
      <c r="AJ52" s="44">
        <v>0.05</v>
      </c>
      <c r="AK52" s="44">
        <v>0.05</v>
      </c>
      <c r="AL52"/>
      <c r="AM52" s="44">
        <v>0.05</v>
      </c>
      <c r="AN52" s="44">
        <v>0.05</v>
      </c>
      <c r="AO52" s="44">
        <v>0.05</v>
      </c>
      <c r="AP52" s="44">
        <v>0.05</v>
      </c>
      <c r="AQ52" s="44">
        <v>0.05</v>
      </c>
      <c r="AR52" s="44">
        <v>0.05</v>
      </c>
      <c r="AS52" s="44">
        <v>0.05</v>
      </c>
      <c r="AT52"/>
      <c r="AU52" s="44">
        <v>0.05</v>
      </c>
      <c r="AV52" s="44">
        <v>0.05</v>
      </c>
      <c r="AW52" s="44">
        <v>0.05</v>
      </c>
      <c r="AX52" s="44">
        <v>0.05</v>
      </c>
      <c r="AY52"/>
      <c r="AZ52" s="44">
        <v>0.05</v>
      </c>
      <c r="BA52"/>
      <c r="BB52"/>
      <c r="BC52" s="44">
        <v>0.05</v>
      </c>
    </row>
    <row r="53" spans="1:55" x14ac:dyDescent="0.25">
      <c r="A53" s="15" t="s">
        <v>36</v>
      </c>
      <c r="B53" s="3" t="s">
        <v>473</v>
      </c>
      <c r="C53" s="3" t="s">
        <v>483</v>
      </c>
      <c r="D53" s="3" t="s">
        <v>524</v>
      </c>
      <c r="E53" s="16" t="s">
        <v>148</v>
      </c>
      <c r="F53" s="16" t="s">
        <v>98</v>
      </c>
      <c r="G53" s="44">
        <v>1E-3</v>
      </c>
      <c r="H53" s="44">
        <f t="shared" si="1"/>
        <v>1E-3</v>
      </c>
      <c r="I53" s="44">
        <v>1E-3</v>
      </c>
      <c r="J53" s="44">
        <v>1E-3</v>
      </c>
      <c r="K53" s="44">
        <v>1E-3</v>
      </c>
      <c r="L53" s="44">
        <v>1E-3</v>
      </c>
      <c r="M53" s="44">
        <v>1E-3</v>
      </c>
      <c r="N53" s="44">
        <v>1E-3</v>
      </c>
      <c r="O53" s="44">
        <v>1E-3</v>
      </c>
      <c r="P53" s="44">
        <v>1E-3</v>
      </c>
      <c r="R53" s="44">
        <v>1E-3</v>
      </c>
      <c r="S53" s="44">
        <v>1E-3</v>
      </c>
      <c r="T53" s="44">
        <v>1E-3</v>
      </c>
      <c r="V53" s="44">
        <v>1E-3</v>
      </c>
      <c r="W53" s="44">
        <v>1E-3</v>
      </c>
      <c r="X53" s="44">
        <v>1E-3</v>
      </c>
      <c r="AA53" s="44">
        <v>1E-3</v>
      </c>
      <c r="AB53" s="44">
        <v>1E-3</v>
      </c>
      <c r="AC53" s="44">
        <v>1E-3</v>
      </c>
      <c r="AD53" s="44">
        <v>1E-3</v>
      </c>
      <c r="AE53" s="44">
        <v>1E-3</v>
      </c>
      <c r="AF53" s="44">
        <v>1E-3</v>
      </c>
      <c r="AG53" s="44">
        <v>1E-3</v>
      </c>
      <c r="AH53" s="44">
        <v>1E-3</v>
      </c>
      <c r="AI53" s="44">
        <v>1E-3</v>
      </c>
      <c r="AJ53" s="44">
        <v>1E-3</v>
      </c>
      <c r="AK53" s="44">
        <v>1E-3</v>
      </c>
      <c r="AL53"/>
      <c r="AM53" s="44">
        <v>1E-3</v>
      </c>
      <c r="AN53" s="44">
        <v>1E-3</v>
      </c>
      <c r="AO53" s="44">
        <v>1E-3</v>
      </c>
      <c r="AP53" s="44">
        <v>1E-3</v>
      </c>
      <c r="AQ53" s="44">
        <v>1E-3</v>
      </c>
      <c r="AR53" s="44">
        <v>1E-3</v>
      </c>
      <c r="AS53" s="44">
        <v>1E-3</v>
      </c>
      <c r="AT53"/>
      <c r="AU53" s="44">
        <v>1E-3</v>
      </c>
      <c r="AV53" s="44">
        <v>1E-3</v>
      </c>
      <c r="AW53" s="44">
        <v>1E-3</v>
      </c>
      <c r="AX53" s="44">
        <v>1E-3</v>
      </c>
      <c r="AY53"/>
      <c r="AZ53" s="44">
        <v>1E-3</v>
      </c>
      <c r="BA53"/>
      <c r="BB53"/>
      <c r="BC53" s="44">
        <v>1E-3</v>
      </c>
    </row>
    <row r="54" spans="1:55" x14ac:dyDescent="0.25">
      <c r="A54" s="15" t="s">
        <v>379</v>
      </c>
      <c r="B54" s="3" t="s">
        <v>473</v>
      </c>
      <c r="C54" s="3" t="s">
        <v>483</v>
      </c>
      <c r="D54" s="3" t="s">
        <v>524</v>
      </c>
      <c r="E54" s="16" t="s">
        <v>380</v>
      </c>
      <c r="F54" s="16" t="s">
        <v>98</v>
      </c>
      <c r="G54" s="44">
        <v>0</v>
      </c>
      <c r="H54" s="44">
        <f t="shared" si="1"/>
        <v>0</v>
      </c>
      <c r="I54" s="44">
        <v>0</v>
      </c>
      <c r="J54" s="44">
        <v>0</v>
      </c>
      <c r="K54" s="44">
        <v>0</v>
      </c>
      <c r="L54" s="44">
        <v>0</v>
      </c>
      <c r="M54" s="44">
        <v>0</v>
      </c>
      <c r="N54" s="44">
        <v>0</v>
      </c>
      <c r="O54" s="44">
        <v>0</v>
      </c>
      <c r="P54" s="44">
        <v>0</v>
      </c>
      <c r="R54" s="44">
        <v>0</v>
      </c>
      <c r="S54" s="44">
        <v>0</v>
      </c>
      <c r="T54" s="44">
        <v>0</v>
      </c>
      <c r="V54" s="44">
        <v>0</v>
      </c>
      <c r="W54" s="44">
        <v>0</v>
      </c>
      <c r="X54" s="44">
        <v>0</v>
      </c>
      <c r="AA54" s="44">
        <v>0</v>
      </c>
      <c r="AB54" s="44">
        <v>0</v>
      </c>
      <c r="AC54" s="44">
        <v>0</v>
      </c>
      <c r="AD54" s="44">
        <v>0</v>
      </c>
      <c r="AE54" s="44">
        <v>0</v>
      </c>
      <c r="AF54" s="44">
        <v>0</v>
      </c>
      <c r="AG54" s="44">
        <v>0</v>
      </c>
      <c r="AH54" s="44">
        <v>0</v>
      </c>
      <c r="AI54" s="44">
        <v>0</v>
      </c>
      <c r="AJ54" s="44">
        <v>0</v>
      </c>
      <c r="AK54" s="44">
        <v>0</v>
      </c>
      <c r="AL54"/>
      <c r="AM54" s="44">
        <v>0</v>
      </c>
      <c r="AN54" s="44">
        <v>0</v>
      </c>
      <c r="AO54" s="44">
        <v>0</v>
      </c>
      <c r="AP54" s="44">
        <v>0</v>
      </c>
      <c r="AQ54" s="44">
        <v>0</v>
      </c>
      <c r="AR54" s="44">
        <v>0</v>
      </c>
      <c r="AS54" s="44">
        <v>0</v>
      </c>
      <c r="AT54"/>
      <c r="AU54" s="44">
        <v>0</v>
      </c>
      <c r="AV54" s="44">
        <v>0</v>
      </c>
      <c r="AW54" s="44">
        <v>0</v>
      </c>
      <c r="AX54" s="44">
        <v>0</v>
      </c>
      <c r="AY54"/>
      <c r="AZ54" s="44">
        <v>0</v>
      </c>
      <c r="BA54"/>
      <c r="BB54"/>
      <c r="BC54" s="44">
        <v>0</v>
      </c>
    </row>
    <row r="55" spans="1:55" x14ac:dyDescent="0.25">
      <c r="A55" s="15" t="s">
        <v>37</v>
      </c>
      <c r="B55" s="3" t="s">
        <v>473</v>
      </c>
      <c r="C55" s="3" t="s">
        <v>483</v>
      </c>
      <c r="D55" s="3" t="s">
        <v>524</v>
      </c>
      <c r="E55" s="16" t="s">
        <v>149</v>
      </c>
      <c r="F55" s="16" t="s">
        <v>195</v>
      </c>
      <c r="G55" s="44">
        <v>1E-4</v>
      </c>
      <c r="H55" s="44">
        <f t="shared" si="1"/>
        <v>1E-4</v>
      </c>
      <c r="I55" s="44">
        <v>1E-4</v>
      </c>
      <c r="J55" s="44">
        <v>1E-4</v>
      </c>
      <c r="K55" s="44">
        <v>1E-4</v>
      </c>
      <c r="L55" s="44">
        <v>1E-4</v>
      </c>
      <c r="M55" s="44">
        <v>1E-4</v>
      </c>
      <c r="N55" s="44">
        <v>1E-4</v>
      </c>
      <c r="O55" s="44">
        <v>1E-4</v>
      </c>
      <c r="P55" s="44">
        <v>1E-4</v>
      </c>
      <c r="R55" s="44">
        <v>1E-4</v>
      </c>
      <c r="S55" s="44">
        <v>1E-4</v>
      </c>
      <c r="T55" s="44">
        <v>1E-4</v>
      </c>
      <c r="V55" s="44">
        <v>1E-4</v>
      </c>
      <c r="W55" s="44">
        <v>1E-4</v>
      </c>
      <c r="X55" s="44">
        <v>1E-4</v>
      </c>
      <c r="AA55" s="44">
        <v>1E-4</v>
      </c>
      <c r="AB55" s="44">
        <v>1E-4</v>
      </c>
      <c r="AC55" s="44">
        <v>1E-4</v>
      </c>
      <c r="AD55" s="44">
        <v>1E-4</v>
      </c>
      <c r="AE55" s="44">
        <v>1E-4</v>
      </c>
      <c r="AF55" s="44">
        <v>1E-4</v>
      </c>
      <c r="AG55" s="44">
        <v>1E-4</v>
      </c>
      <c r="AH55" s="44">
        <v>1E-4</v>
      </c>
      <c r="AI55" s="44">
        <v>1E-4</v>
      </c>
      <c r="AJ55" s="44">
        <v>1E-4</v>
      </c>
      <c r="AK55" s="44">
        <v>1E-4</v>
      </c>
      <c r="AL55"/>
      <c r="AM55" s="44">
        <v>1E-4</v>
      </c>
      <c r="AN55" s="44">
        <v>1E-4</v>
      </c>
      <c r="AO55" s="44">
        <v>1E-4</v>
      </c>
      <c r="AP55" s="44">
        <v>1E-4</v>
      </c>
      <c r="AQ55" s="44">
        <v>1E-4</v>
      </c>
      <c r="AR55" s="44">
        <v>1E-4</v>
      </c>
      <c r="AS55" s="44">
        <v>1E-4</v>
      </c>
      <c r="AT55"/>
      <c r="AU55" s="44">
        <v>1E-4</v>
      </c>
      <c r="AV55" s="44">
        <v>1E-4</v>
      </c>
      <c r="AW55" s="44">
        <v>1E-4</v>
      </c>
      <c r="AX55" s="44">
        <v>1E-4</v>
      </c>
      <c r="AY55"/>
      <c r="AZ55" s="44">
        <v>1E-4</v>
      </c>
      <c r="BA55"/>
      <c r="BB55"/>
      <c r="BC55" s="44">
        <v>1E-4</v>
      </c>
    </row>
    <row r="56" spans="1:55" x14ac:dyDescent="0.25">
      <c r="A56" s="15" t="s">
        <v>38</v>
      </c>
      <c r="B56" s="3" t="s">
        <v>473</v>
      </c>
      <c r="C56" s="3" t="s">
        <v>483</v>
      </c>
      <c r="D56" s="3" t="s">
        <v>524</v>
      </c>
      <c r="E56" s="16" t="s">
        <v>150</v>
      </c>
      <c r="F56" s="16" t="s">
        <v>195</v>
      </c>
      <c r="G56" s="44">
        <v>1E-4</v>
      </c>
      <c r="H56" s="44">
        <f t="shared" si="1"/>
        <v>1E-4</v>
      </c>
      <c r="I56" s="44">
        <v>1E-4</v>
      </c>
      <c r="J56" s="44">
        <v>1E-4</v>
      </c>
      <c r="K56" s="44">
        <v>1E-4</v>
      </c>
      <c r="L56" s="44">
        <v>1E-4</v>
      </c>
      <c r="M56" s="44">
        <v>1E-4</v>
      </c>
      <c r="N56" s="44">
        <v>1E-4</v>
      </c>
      <c r="O56" s="44">
        <v>1E-4</v>
      </c>
      <c r="P56" s="44">
        <v>1E-4</v>
      </c>
      <c r="R56" s="44">
        <v>1E-4</v>
      </c>
      <c r="S56" s="44">
        <v>1E-4</v>
      </c>
      <c r="T56" s="44">
        <v>1E-4</v>
      </c>
      <c r="V56" s="44">
        <v>1E-4</v>
      </c>
      <c r="W56" s="44">
        <v>1E-4</v>
      </c>
      <c r="X56" s="44">
        <v>1E-4</v>
      </c>
      <c r="AA56" s="44">
        <v>1E-4</v>
      </c>
      <c r="AB56" s="44">
        <v>1E-4</v>
      </c>
      <c r="AC56" s="44">
        <v>1E-4</v>
      </c>
      <c r="AD56" s="44">
        <v>1E-4</v>
      </c>
      <c r="AE56" s="44">
        <v>1E-4</v>
      </c>
      <c r="AF56" s="44">
        <v>1E-4</v>
      </c>
      <c r="AG56" s="44">
        <v>1E-4</v>
      </c>
      <c r="AH56" s="44">
        <v>1E-4</v>
      </c>
      <c r="AI56" s="44">
        <v>1E-4</v>
      </c>
      <c r="AJ56" s="44">
        <v>1E-4</v>
      </c>
      <c r="AK56" s="44">
        <v>1E-4</v>
      </c>
      <c r="AL56"/>
      <c r="AM56" s="44">
        <v>1E-4</v>
      </c>
      <c r="AN56" s="44">
        <v>1E-4</v>
      </c>
      <c r="AO56" s="44">
        <v>1E-4</v>
      </c>
      <c r="AP56" s="44">
        <v>1E-4</v>
      </c>
      <c r="AQ56" s="44">
        <v>1E-4</v>
      </c>
      <c r="AR56" s="44">
        <v>1E-4</v>
      </c>
      <c r="AS56" s="44">
        <v>1E-4</v>
      </c>
      <c r="AT56"/>
      <c r="AU56" s="44">
        <v>1E-4</v>
      </c>
      <c r="AV56" s="44">
        <v>1E-4</v>
      </c>
      <c r="AW56" s="44">
        <v>1E-4</v>
      </c>
      <c r="AX56" s="44">
        <v>1E-4</v>
      </c>
      <c r="AY56"/>
      <c r="AZ56" s="44">
        <v>1E-4</v>
      </c>
      <c r="BA56"/>
      <c r="BB56"/>
      <c r="BC56" s="44">
        <v>1E-4</v>
      </c>
    </row>
    <row r="57" spans="1:55" x14ac:dyDescent="0.25">
      <c r="A57" s="17" t="s">
        <v>39</v>
      </c>
      <c r="B57" s="3" t="s">
        <v>473</v>
      </c>
      <c r="C57" s="3" t="s">
        <v>483</v>
      </c>
      <c r="D57" s="3" t="s">
        <v>524</v>
      </c>
      <c r="E57" s="18" t="s">
        <v>151</v>
      </c>
      <c r="F57" s="18" t="s">
        <v>98</v>
      </c>
      <c r="G57" s="44">
        <v>6.9999999999999999E-4</v>
      </c>
      <c r="H57" s="44">
        <f t="shared" si="1"/>
        <v>6.9999999999999999E-4</v>
      </c>
      <c r="I57" s="44">
        <v>6.9999999999999999E-4</v>
      </c>
      <c r="J57" s="44">
        <v>6.9999999999999999E-4</v>
      </c>
      <c r="K57" s="44">
        <v>6.9999999999999999E-4</v>
      </c>
      <c r="L57" s="44">
        <v>6.9999999999999999E-4</v>
      </c>
      <c r="M57" s="44">
        <v>6.9999999999999999E-4</v>
      </c>
      <c r="N57" s="44">
        <v>6.9999999999999999E-4</v>
      </c>
      <c r="O57" s="44">
        <v>6.9999999999999999E-4</v>
      </c>
      <c r="P57" s="44">
        <v>6.9999999999999999E-4</v>
      </c>
      <c r="R57" s="44">
        <v>6.9999999999999999E-4</v>
      </c>
      <c r="S57" s="44">
        <v>6.9999999999999999E-4</v>
      </c>
      <c r="T57" s="44">
        <v>6.9999999999999999E-4</v>
      </c>
      <c r="V57" s="44">
        <v>6.9999999999999999E-4</v>
      </c>
      <c r="W57" s="44">
        <v>6.9999999999999999E-4</v>
      </c>
      <c r="X57" s="44">
        <v>6.9999999999999999E-4</v>
      </c>
      <c r="AA57" s="44">
        <v>6.9999999999999999E-4</v>
      </c>
      <c r="AB57" s="44">
        <v>6.9999999999999999E-4</v>
      </c>
      <c r="AC57" s="44">
        <v>6.9999999999999999E-4</v>
      </c>
      <c r="AD57" s="44">
        <v>6.9999999999999999E-4</v>
      </c>
      <c r="AE57" s="44">
        <v>6.9999999999999999E-4</v>
      </c>
      <c r="AF57" s="44">
        <v>6.9999999999999999E-4</v>
      </c>
      <c r="AG57" s="44">
        <v>6.9999999999999999E-4</v>
      </c>
      <c r="AH57" s="44">
        <v>6.9999999999999999E-4</v>
      </c>
      <c r="AI57" s="44">
        <v>6.9999999999999999E-4</v>
      </c>
      <c r="AJ57" s="44">
        <v>6.9999999999999999E-4</v>
      </c>
      <c r="AK57" s="44">
        <v>6.9999999999999999E-4</v>
      </c>
      <c r="AL57"/>
      <c r="AM57" s="44">
        <v>6.9999999999999999E-4</v>
      </c>
      <c r="AN57" s="44">
        <v>6.9999999999999999E-4</v>
      </c>
      <c r="AO57" s="44">
        <v>6.9999999999999999E-4</v>
      </c>
      <c r="AP57" s="44">
        <v>6.9999999999999999E-4</v>
      </c>
      <c r="AQ57" s="44">
        <v>6.9999999999999999E-4</v>
      </c>
      <c r="AR57" s="44">
        <v>6.9999999999999999E-4</v>
      </c>
      <c r="AS57" s="44">
        <v>6.9999999999999999E-4</v>
      </c>
      <c r="AT57"/>
      <c r="AU57" s="44">
        <v>6.9999999999999999E-4</v>
      </c>
      <c r="AV57" s="44">
        <v>6.9999999999999999E-4</v>
      </c>
      <c r="AW57" s="44">
        <v>6.9999999999999999E-4</v>
      </c>
      <c r="AX57" s="44">
        <v>6.9999999999999999E-4</v>
      </c>
      <c r="AY57"/>
      <c r="AZ57" s="44">
        <v>6.9999999999999999E-4</v>
      </c>
      <c r="BA57"/>
      <c r="BB57"/>
      <c r="BC57" s="44">
        <v>6.9999999999999999E-4</v>
      </c>
    </row>
    <row r="58" spans="1:55" x14ac:dyDescent="0.25">
      <c r="A58" s="17" t="s">
        <v>40</v>
      </c>
      <c r="B58" s="3" t="s">
        <v>473</v>
      </c>
      <c r="C58" s="3" t="s">
        <v>483</v>
      </c>
      <c r="D58" s="3" t="s">
        <v>524</v>
      </c>
      <c r="E58" s="18" t="s">
        <v>152</v>
      </c>
      <c r="F58" s="18" t="s">
        <v>98</v>
      </c>
      <c r="G58" s="44">
        <v>1.22E-4</v>
      </c>
      <c r="H58" s="44">
        <f t="shared" si="1"/>
        <v>1.22E-4</v>
      </c>
      <c r="I58" s="44">
        <v>1.22E-4</v>
      </c>
      <c r="J58" s="44">
        <v>1.22E-4</v>
      </c>
      <c r="K58" s="44">
        <v>1.22E-4</v>
      </c>
      <c r="L58" s="44">
        <v>1.22E-4</v>
      </c>
      <c r="M58" s="44">
        <v>1.22E-4</v>
      </c>
      <c r="N58" s="44">
        <v>1.22E-4</v>
      </c>
      <c r="O58" s="44">
        <v>1.22E-4</v>
      </c>
      <c r="P58" s="44">
        <v>1.22E-4</v>
      </c>
      <c r="R58" s="44">
        <v>1.22E-4</v>
      </c>
      <c r="S58" s="44">
        <v>1.22E-4</v>
      </c>
      <c r="T58" s="44">
        <v>1.22E-4</v>
      </c>
      <c r="V58" s="44">
        <v>1.22E-4</v>
      </c>
      <c r="W58" s="44">
        <v>1.22E-4</v>
      </c>
      <c r="X58" s="44">
        <v>1.22E-4</v>
      </c>
      <c r="AA58" s="44">
        <v>1.22E-4</v>
      </c>
      <c r="AB58" s="44">
        <v>1.22E-4</v>
      </c>
      <c r="AC58" s="44">
        <v>1.22E-4</v>
      </c>
      <c r="AD58" s="44">
        <v>1.22E-4</v>
      </c>
      <c r="AE58" s="44">
        <v>1.22E-4</v>
      </c>
      <c r="AF58" s="44">
        <v>1.22E-4</v>
      </c>
      <c r="AG58" s="44">
        <v>1.22E-4</v>
      </c>
      <c r="AH58" s="44">
        <v>1.22E-4</v>
      </c>
      <c r="AI58" s="44">
        <v>1.22E-4</v>
      </c>
      <c r="AJ58" s="44">
        <v>1.22E-4</v>
      </c>
      <c r="AK58" s="44">
        <v>1.22E-4</v>
      </c>
      <c r="AL58"/>
      <c r="AM58" s="44">
        <v>1.22E-4</v>
      </c>
      <c r="AN58" s="44">
        <v>1.22E-4</v>
      </c>
      <c r="AO58" s="44">
        <v>1.22E-4</v>
      </c>
      <c r="AP58" s="44">
        <v>1.22E-4</v>
      </c>
      <c r="AQ58" s="44">
        <v>1.22E-4</v>
      </c>
      <c r="AR58" s="44">
        <v>1.22E-4</v>
      </c>
      <c r="AS58" s="44">
        <v>1.22E-4</v>
      </c>
      <c r="AT58"/>
      <c r="AU58" s="44">
        <v>1.22E-4</v>
      </c>
      <c r="AV58" s="44">
        <v>1.22E-4</v>
      </c>
      <c r="AW58" s="44">
        <v>1.22E-4</v>
      </c>
      <c r="AX58" s="44">
        <v>1.22E-4</v>
      </c>
      <c r="AY58"/>
      <c r="AZ58" s="44">
        <v>1.22E-4</v>
      </c>
      <c r="BA58"/>
      <c r="BB58"/>
      <c r="BC58" s="44">
        <v>1.22E-4</v>
      </c>
    </row>
    <row r="59" spans="1:55" x14ac:dyDescent="0.25">
      <c r="A59" s="17" t="s">
        <v>206</v>
      </c>
      <c r="B59" s="3" t="s">
        <v>473</v>
      </c>
      <c r="C59" s="3" t="s">
        <v>483</v>
      </c>
      <c r="D59" s="3" t="s">
        <v>524</v>
      </c>
      <c r="E59" s="18" t="s">
        <v>284</v>
      </c>
      <c r="F59" s="18" t="s">
        <v>98</v>
      </c>
      <c r="G59" s="44">
        <v>1</v>
      </c>
      <c r="H59" s="44">
        <f t="shared" si="1"/>
        <v>1</v>
      </c>
      <c r="I59" s="44">
        <v>1</v>
      </c>
      <c r="J59" s="44">
        <v>1</v>
      </c>
      <c r="K59" s="44">
        <v>1</v>
      </c>
      <c r="L59" s="44">
        <v>1</v>
      </c>
      <c r="M59" s="44">
        <v>1</v>
      </c>
      <c r="N59" s="44">
        <v>1</v>
      </c>
      <c r="O59" s="44">
        <v>1</v>
      </c>
      <c r="P59" s="44">
        <v>1</v>
      </c>
      <c r="R59" s="44">
        <v>1</v>
      </c>
      <c r="S59" s="44">
        <v>1</v>
      </c>
      <c r="T59" s="44">
        <v>1</v>
      </c>
      <c r="V59" s="44">
        <v>1</v>
      </c>
      <c r="W59" s="44">
        <v>1</v>
      </c>
      <c r="X59" s="44">
        <v>1</v>
      </c>
      <c r="AA59" s="44">
        <v>1</v>
      </c>
      <c r="AB59" s="44">
        <v>1</v>
      </c>
      <c r="AC59" s="44">
        <v>1</v>
      </c>
      <c r="AD59" s="44">
        <v>1</v>
      </c>
      <c r="AE59" s="44">
        <v>1</v>
      </c>
      <c r="AF59" s="44">
        <v>1</v>
      </c>
      <c r="AG59" s="44">
        <v>1</v>
      </c>
      <c r="AH59" s="44">
        <v>1</v>
      </c>
      <c r="AI59" s="44">
        <v>1</v>
      </c>
      <c r="AJ59" s="44">
        <v>1</v>
      </c>
      <c r="AK59" s="44">
        <v>1</v>
      </c>
      <c r="AL59"/>
      <c r="AM59" s="44">
        <v>1</v>
      </c>
      <c r="AN59" s="44">
        <v>1</v>
      </c>
      <c r="AO59" s="44">
        <v>1</v>
      </c>
      <c r="AP59" s="44">
        <v>1</v>
      </c>
      <c r="AQ59" s="44">
        <v>1</v>
      </c>
      <c r="AR59" s="44">
        <v>1</v>
      </c>
      <c r="AS59" s="44">
        <v>1</v>
      </c>
      <c r="AT59"/>
      <c r="AU59" s="44">
        <v>1</v>
      </c>
      <c r="AV59" s="44">
        <v>1</v>
      </c>
      <c r="AW59" s="44">
        <v>1</v>
      </c>
      <c r="AX59" s="44">
        <v>1</v>
      </c>
      <c r="AY59"/>
      <c r="AZ59" s="44">
        <v>1</v>
      </c>
      <c r="BA59"/>
      <c r="BB59"/>
      <c r="BC59" s="44">
        <v>1</v>
      </c>
    </row>
    <row r="60" spans="1:55" x14ac:dyDescent="0.25">
      <c r="A60" s="17" t="s">
        <v>41</v>
      </c>
      <c r="B60" s="3" t="s">
        <v>473</v>
      </c>
      <c r="C60" s="3" t="s">
        <v>483</v>
      </c>
      <c r="D60" s="3" t="s">
        <v>524</v>
      </c>
      <c r="E60" s="18" t="s">
        <v>155</v>
      </c>
      <c r="F60" s="18" t="s">
        <v>102</v>
      </c>
      <c r="G60" s="44">
        <v>0.95</v>
      </c>
      <c r="H60" s="44">
        <f t="shared" si="1"/>
        <v>0.95</v>
      </c>
      <c r="I60" s="44">
        <v>0.95</v>
      </c>
      <c r="J60" s="44">
        <v>0.95</v>
      </c>
      <c r="K60" s="44">
        <v>0.95</v>
      </c>
      <c r="L60" s="44">
        <v>0.95</v>
      </c>
      <c r="M60" s="44">
        <v>0.95</v>
      </c>
      <c r="N60" s="44">
        <v>0.95</v>
      </c>
      <c r="O60" s="44">
        <v>0.95</v>
      </c>
      <c r="P60" s="44">
        <v>0.95</v>
      </c>
      <c r="R60" s="44">
        <v>0.95</v>
      </c>
      <c r="S60" s="44">
        <v>0.95</v>
      </c>
      <c r="T60" s="44">
        <v>0.95</v>
      </c>
      <c r="V60" s="44">
        <v>0.95</v>
      </c>
      <c r="W60" s="44">
        <v>0.95</v>
      </c>
      <c r="X60" s="44">
        <v>0.95</v>
      </c>
      <c r="AA60" s="44">
        <v>0.95</v>
      </c>
      <c r="AB60" s="44">
        <v>0.95</v>
      </c>
      <c r="AC60" s="44">
        <v>0.95</v>
      </c>
      <c r="AD60" s="44">
        <v>0.95</v>
      </c>
      <c r="AE60" s="44">
        <v>0.95</v>
      </c>
      <c r="AF60" s="44">
        <v>0.95</v>
      </c>
      <c r="AG60" s="44">
        <v>0.95</v>
      </c>
      <c r="AH60" s="44">
        <v>0.95</v>
      </c>
      <c r="AI60" s="44">
        <v>0.95</v>
      </c>
      <c r="AJ60" s="44">
        <v>0.95</v>
      </c>
      <c r="AK60" s="44">
        <v>0.95</v>
      </c>
      <c r="AL60"/>
      <c r="AM60" s="44">
        <v>0.95</v>
      </c>
      <c r="AN60" s="44">
        <v>0.95</v>
      </c>
      <c r="AO60" s="44">
        <v>0.95</v>
      </c>
      <c r="AP60" s="44">
        <v>0.95</v>
      </c>
      <c r="AQ60" s="44">
        <v>0.95</v>
      </c>
      <c r="AR60" s="44">
        <v>0.95</v>
      </c>
      <c r="AS60" s="44">
        <v>0.95</v>
      </c>
      <c r="AT60"/>
      <c r="AU60" s="44">
        <v>0.95</v>
      </c>
      <c r="AV60" s="44">
        <v>0.95</v>
      </c>
      <c r="AW60" s="44">
        <v>0.95</v>
      </c>
      <c r="AX60" s="44">
        <v>0.95</v>
      </c>
      <c r="AY60"/>
      <c r="AZ60" s="44">
        <v>0.95</v>
      </c>
      <c r="BA60"/>
      <c r="BB60"/>
      <c r="BC60" s="44">
        <v>0.95</v>
      </c>
    </row>
    <row r="61" spans="1:55" x14ac:dyDescent="0.25">
      <c r="A61" s="17" t="s">
        <v>406</v>
      </c>
      <c r="B61" s="3" t="s">
        <v>473</v>
      </c>
      <c r="C61" s="3" t="s">
        <v>483</v>
      </c>
      <c r="D61" s="3" t="s">
        <v>524</v>
      </c>
      <c r="E61" s="18" t="s">
        <v>407</v>
      </c>
      <c r="F61" s="18" t="s">
        <v>94</v>
      </c>
      <c r="G61" s="44" t="s">
        <v>87</v>
      </c>
      <c r="H61" s="44" t="str">
        <f t="shared" si="1"/>
        <v>False</v>
      </c>
      <c r="I61" s="44" t="s">
        <v>87</v>
      </c>
      <c r="J61" s="44" t="s">
        <v>87</v>
      </c>
      <c r="K61" s="44" t="s">
        <v>87</v>
      </c>
      <c r="L61" s="44" t="s">
        <v>87</v>
      </c>
      <c r="M61" s="44" t="s">
        <v>87</v>
      </c>
      <c r="N61" s="44" t="s">
        <v>87</v>
      </c>
      <c r="O61" s="44" t="s">
        <v>87</v>
      </c>
      <c r="P61" s="44" t="s">
        <v>87</v>
      </c>
      <c r="R61" s="44" t="s">
        <v>87</v>
      </c>
      <c r="S61" s="44" t="s">
        <v>87</v>
      </c>
      <c r="T61" s="44" t="s">
        <v>87</v>
      </c>
      <c r="V61" s="44" t="s">
        <v>87</v>
      </c>
      <c r="W61" s="44" t="s">
        <v>87</v>
      </c>
      <c r="X61" s="44" t="s">
        <v>87</v>
      </c>
      <c r="AA61" s="44" t="s">
        <v>87</v>
      </c>
      <c r="AB61" s="44" t="s">
        <v>87</v>
      </c>
      <c r="AC61" s="44" t="s">
        <v>87</v>
      </c>
      <c r="AD61" s="44" t="s">
        <v>87</v>
      </c>
      <c r="AE61" s="44" t="s">
        <v>87</v>
      </c>
      <c r="AF61" s="44" t="s">
        <v>87</v>
      </c>
      <c r="AG61" s="44" t="s">
        <v>87</v>
      </c>
      <c r="AH61" s="44" t="s">
        <v>87</v>
      </c>
      <c r="AI61" s="44" t="s">
        <v>87</v>
      </c>
      <c r="AJ61" s="44" t="s">
        <v>87</v>
      </c>
      <c r="AK61" s="44" t="s">
        <v>87</v>
      </c>
      <c r="AL61"/>
      <c r="AM61" s="44" t="s">
        <v>87</v>
      </c>
      <c r="AN61" s="44" t="s">
        <v>87</v>
      </c>
      <c r="AO61" s="44" t="s">
        <v>87</v>
      </c>
      <c r="AP61" s="44" t="s">
        <v>87</v>
      </c>
      <c r="AQ61" s="44" t="s">
        <v>87</v>
      </c>
      <c r="AR61" s="44" t="s">
        <v>87</v>
      </c>
      <c r="AS61" s="44" t="s">
        <v>87</v>
      </c>
      <c r="AT61"/>
      <c r="AU61" s="44" t="s">
        <v>87</v>
      </c>
      <c r="AV61" s="44" t="s">
        <v>87</v>
      </c>
      <c r="AW61" s="44" t="s">
        <v>87</v>
      </c>
      <c r="AX61" s="44" t="s">
        <v>87</v>
      </c>
      <c r="AY61"/>
      <c r="AZ61" s="44" t="s">
        <v>87</v>
      </c>
      <c r="BA61"/>
      <c r="BB61"/>
      <c r="BC61" s="44" t="s">
        <v>87</v>
      </c>
    </row>
    <row r="62" spans="1:55" x14ac:dyDescent="0.25">
      <c r="A62" s="17" t="s">
        <v>90</v>
      </c>
      <c r="B62" s="3" t="s">
        <v>473</v>
      </c>
      <c r="C62" s="3" t="s">
        <v>483</v>
      </c>
      <c r="D62" s="3" t="s">
        <v>524</v>
      </c>
      <c r="E62" s="18" t="s">
        <v>153</v>
      </c>
      <c r="F62" s="18" t="s">
        <v>103</v>
      </c>
      <c r="G62" s="44">
        <v>5</v>
      </c>
      <c r="H62" s="44">
        <f t="shared" si="1"/>
        <v>5</v>
      </c>
      <c r="I62" s="44">
        <v>5</v>
      </c>
      <c r="J62" s="44">
        <v>5</v>
      </c>
      <c r="K62" s="44">
        <v>5</v>
      </c>
      <c r="L62" s="44">
        <v>5</v>
      </c>
      <c r="M62" s="44">
        <v>5</v>
      </c>
      <c r="N62" s="44">
        <v>5</v>
      </c>
      <c r="O62" s="44">
        <v>5</v>
      </c>
      <c r="P62" s="44">
        <v>5</v>
      </c>
      <c r="R62" s="44">
        <v>5</v>
      </c>
      <c r="S62" s="44">
        <v>5</v>
      </c>
      <c r="T62" s="44">
        <v>5</v>
      </c>
      <c r="V62" s="44">
        <v>5</v>
      </c>
      <c r="W62" s="44">
        <v>5</v>
      </c>
      <c r="X62" s="44">
        <v>5</v>
      </c>
      <c r="AA62" s="44">
        <v>5</v>
      </c>
      <c r="AB62" s="44">
        <v>5</v>
      </c>
      <c r="AC62" s="44">
        <v>5</v>
      </c>
      <c r="AD62" s="44">
        <v>5</v>
      </c>
      <c r="AE62" s="44">
        <v>5</v>
      </c>
      <c r="AF62" s="44">
        <v>5</v>
      </c>
      <c r="AG62" s="44">
        <v>5</v>
      </c>
      <c r="AH62" s="44">
        <v>5</v>
      </c>
      <c r="AI62" s="44">
        <v>5</v>
      </c>
      <c r="AJ62" s="44">
        <v>5</v>
      </c>
      <c r="AK62" s="44">
        <v>5</v>
      </c>
      <c r="AL62"/>
      <c r="AM62" s="44">
        <v>5</v>
      </c>
      <c r="AN62" s="44">
        <v>5</v>
      </c>
      <c r="AO62" s="44">
        <v>5</v>
      </c>
      <c r="AP62" s="44">
        <v>5</v>
      </c>
      <c r="AQ62" s="44">
        <v>5</v>
      </c>
      <c r="AR62" s="44">
        <v>5</v>
      </c>
      <c r="AS62" s="44">
        <v>5</v>
      </c>
      <c r="AT62"/>
      <c r="AU62" s="44">
        <v>5</v>
      </c>
      <c r="AV62" s="44">
        <v>5</v>
      </c>
      <c r="AW62" s="44">
        <v>5</v>
      </c>
      <c r="AX62" s="44">
        <v>5</v>
      </c>
      <c r="AY62"/>
      <c r="AZ62" s="44">
        <v>5</v>
      </c>
      <c r="BA62"/>
      <c r="BB62"/>
      <c r="BC62" s="44">
        <v>5</v>
      </c>
    </row>
    <row r="63" spans="1:55" x14ac:dyDescent="0.25">
      <c r="A63" s="17" t="s">
        <v>408</v>
      </c>
      <c r="B63" s="3" t="s">
        <v>473</v>
      </c>
      <c r="C63" s="3" t="s">
        <v>483</v>
      </c>
      <c r="D63" s="3" t="s">
        <v>524</v>
      </c>
      <c r="E63" s="18" t="s">
        <v>409</v>
      </c>
      <c r="F63" s="18" t="s">
        <v>94</v>
      </c>
      <c r="G63" s="44" t="s">
        <v>87</v>
      </c>
      <c r="H63" s="44" t="str">
        <f t="shared" si="1"/>
        <v>False</v>
      </c>
      <c r="I63" s="44" t="s">
        <v>87</v>
      </c>
      <c r="J63" s="44" t="s">
        <v>87</v>
      </c>
      <c r="K63" s="44" t="s">
        <v>87</v>
      </c>
      <c r="L63" s="44" t="s">
        <v>87</v>
      </c>
      <c r="M63" s="44" t="s">
        <v>87</v>
      </c>
      <c r="N63" s="44" t="s">
        <v>87</v>
      </c>
      <c r="O63" s="44" t="s">
        <v>87</v>
      </c>
      <c r="P63" s="44" t="s">
        <v>87</v>
      </c>
      <c r="R63" s="44" t="s">
        <v>87</v>
      </c>
      <c r="S63" s="44" t="s">
        <v>87</v>
      </c>
      <c r="T63" s="44" t="s">
        <v>87</v>
      </c>
      <c r="V63" s="44" t="s">
        <v>87</v>
      </c>
      <c r="W63" s="44" t="s">
        <v>87</v>
      </c>
      <c r="X63" s="44" t="s">
        <v>87</v>
      </c>
      <c r="AA63" s="44" t="s">
        <v>87</v>
      </c>
      <c r="AB63" s="44" t="s">
        <v>87</v>
      </c>
      <c r="AC63" s="44" t="s">
        <v>87</v>
      </c>
      <c r="AD63" s="44" t="s">
        <v>87</v>
      </c>
      <c r="AE63" s="44" t="s">
        <v>87</v>
      </c>
      <c r="AF63" s="44" t="s">
        <v>87</v>
      </c>
      <c r="AG63" s="44" t="s">
        <v>87</v>
      </c>
      <c r="AH63" s="44" t="s">
        <v>87</v>
      </c>
      <c r="AI63" s="44" t="s">
        <v>87</v>
      </c>
      <c r="AJ63" s="44" t="s">
        <v>87</v>
      </c>
      <c r="AK63" s="44" t="s">
        <v>87</v>
      </c>
      <c r="AL63"/>
      <c r="AM63" s="44" t="s">
        <v>87</v>
      </c>
      <c r="AN63" s="44" t="s">
        <v>87</v>
      </c>
      <c r="AO63" s="44" t="s">
        <v>87</v>
      </c>
      <c r="AP63" s="44" t="s">
        <v>87</v>
      </c>
      <c r="AQ63" s="44" t="s">
        <v>87</v>
      </c>
      <c r="AR63" s="44" t="s">
        <v>87</v>
      </c>
      <c r="AS63" s="44" t="s">
        <v>87</v>
      </c>
      <c r="AT63"/>
      <c r="AU63" s="44" t="s">
        <v>87</v>
      </c>
      <c r="AV63" s="44" t="s">
        <v>87</v>
      </c>
      <c r="AW63" s="44" t="s">
        <v>87</v>
      </c>
      <c r="AX63" s="44" t="s">
        <v>87</v>
      </c>
      <c r="AY63"/>
      <c r="AZ63" s="44" t="s">
        <v>87</v>
      </c>
      <c r="BA63"/>
      <c r="BB63"/>
      <c r="BC63" s="44" t="s">
        <v>87</v>
      </c>
    </row>
    <row r="64" spans="1:55" x14ac:dyDescent="0.25">
      <c r="A64" s="17" t="s">
        <v>42</v>
      </c>
      <c r="B64" s="3" t="s">
        <v>473</v>
      </c>
      <c r="C64" s="3" t="s">
        <v>483</v>
      </c>
      <c r="D64" s="3" t="s">
        <v>524</v>
      </c>
      <c r="E64" s="18" t="s">
        <v>154</v>
      </c>
      <c r="F64" s="18" t="s">
        <v>103</v>
      </c>
      <c r="G64" s="44">
        <v>50</v>
      </c>
      <c r="H64" s="44">
        <f t="shared" si="1"/>
        <v>50</v>
      </c>
      <c r="I64" s="44">
        <v>50</v>
      </c>
      <c r="J64" s="44">
        <v>50</v>
      </c>
      <c r="K64" s="44">
        <v>50</v>
      </c>
      <c r="L64" s="44">
        <v>50</v>
      </c>
      <c r="M64" s="44">
        <v>50</v>
      </c>
      <c r="N64" s="44">
        <v>50</v>
      </c>
      <c r="O64" s="44">
        <v>50</v>
      </c>
      <c r="P64" s="44">
        <v>50</v>
      </c>
      <c r="R64" s="44">
        <v>50</v>
      </c>
      <c r="S64" s="44">
        <v>50</v>
      </c>
      <c r="T64" s="44">
        <v>50</v>
      </c>
      <c r="V64" s="44">
        <v>50</v>
      </c>
      <c r="W64" s="44">
        <v>50</v>
      </c>
      <c r="X64" s="44">
        <v>50</v>
      </c>
      <c r="AA64" s="44">
        <v>50</v>
      </c>
      <c r="AB64" s="44">
        <v>50</v>
      </c>
      <c r="AC64" s="44">
        <v>50</v>
      </c>
      <c r="AD64" s="44">
        <v>50</v>
      </c>
      <c r="AE64" s="44">
        <v>50</v>
      </c>
      <c r="AF64" s="44">
        <v>50</v>
      </c>
      <c r="AG64" s="44">
        <v>50</v>
      </c>
      <c r="AH64" s="44">
        <v>50</v>
      </c>
      <c r="AI64" s="44">
        <v>50</v>
      </c>
      <c r="AJ64" s="44">
        <v>50</v>
      </c>
      <c r="AK64" s="44">
        <v>50</v>
      </c>
      <c r="AL64"/>
      <c r="AM64" s="44">
        <v>50</v>
      </c>
      <c r="AN64" s="44">
        <v>50</v>
      </c>
      <c r="AO64" s="44">
        <v>50</v>
      </c>
      <c r="AP64" s="44">
        <v>50</v>
      </c>
      <c r="AQ64" s="44">
        <v>50</v>
      </c>
      <c r="AR64" s="44">
        <v>50</v>
      </c>
      <c r="AS64" s="44">
        <v>50</v>
      </c>
      <c r="AT64"/>
      <c r="AU64" s="44">
        <v>50</v>
      </c>
      <c r="AV64" s="44">
        <v>50</v>
      </c>
      <c r="AW64" s="44">
        <v>50</v>
      </c>
      <c r="AX64" s="44">
        <v>50</v>
      </c>
      <c r="AY64"/>
      <c r="AZ64" s="44">
        <v>50</v>
      </c>
      <c r="BA64"/>
      <c r="BB64"/>
      <c r="BC64" s="44">
        <v>50</v>
      </c>
    </row>
    <row r="65" spans="1:55" x14ac:dyDescent="0.25">
      <c r="A65" s="17" t="s">
        <v>207</v>
      </c>
      <c r="B65" s="3" t="s">
        <v>473</v>
      </c>
      <c r="C65" s="3" t="s">
        <v>483</v>
      </c>
      <c r="D65" s="3" t="s">
        <v>524</v>
      </c>
      <c r="E65" s="18" t="s">
        <v>288</v>
      </c>
      <c r="F65" s="18" t="s">
        <v>106</v>
      </c>
      <c r="G65" s="44">
        <v>1453890.8941884842</v>
      </c>
      <c r="H65" s="44">
        <f t="shared" ref="H65:H132" si="2">G65</f>
        <v>1453890.8941884842</v>
      </c>
      <c r="I65" s="44">
        <v>1453890.8941884842</v>
      </c>
      <c r="J65" s="44">
        <v>1453890.8941884842</v>
      </c>
      <c r="K65" s="44">
        <v>1453890.8941884842</v>
      </c>
      <c r="L65" s="44">
        <v>1453890.8941884842</v>
      </c>
      <c r="M65" s="44">
        <v>1453890.8941884842</v>
      </c>
      <c r="N65" s="44">
        <v>1453890.8941884842</v>
      </c>
      <c r="O65" s="44">
        <v>1453890.8941884842</v>
      </c>
      <c r="P65" s="44">
        <v>1453890.8941884842</v>
      </c>
      <c r="R65" s="44">
        <v>1453890.8941884842</v>
      </c>
      <c r="S65" s="44">
        <v>1453890.8941884842</v>
      </c>
      <c r="T65" s="44">
        <v>1453890.8941884842</v>
      </c>
      <c r="V65" s="44">
        <v>1453890.8941884842</v>
      </c>
      <c r="W65" s="44">
        <v>1453890.8941884842</v>
      </c>
      <c r="X65" s="44">
        <v>1453890.8941884842</v>
      </c>
      <c r="AA65" s="44">
        <v>1453890.8941884842</v>
      </c>
      <c r="AB65" s="44">
        <v>1453890.8941884842</v>
      </c>
      <c r="AC65" s="44">
        <v>1453890.8941884842</v>
      </c>
      <c r="AD65" s="44">
        <v>1453890.8941884842</v>
      </c>
      <c r="AE65" s="44">
        <v>1453890.8941884842</v>
      </c>
      <c r="AF65" s="44">
        <v>1453890.8941884842</v>
      </c>
      <c r="AG65" s="44">
        <v>1453890.8941884842</v>
      </c>
      <c r="AH65" s="44">
        <v>1453890.8941884842</v>
      </c>
      <c r="AI65" s="44">
        <v>1453890.8941884842</v>
      </c>
      <c r="AJ65" s="44">
        <v>1453890.8941884842</v>
      </c>
      <c r="AK65" s="44">
        <v>1453890.8941884842</v>
      </c>
      <c r="AL65"/>
      <c r="AM65" s="44">
        <v>1453890.8941884842</v>
      </c>
      <c r="AN65" s="44">
        <v>1453890.8941884842</v>
      </c>
      <c r="AO65" s="44">
        <v>1453890.8941884842</v>
      </c>
      <c r="AP65" s="44">
        <v>1453890.8941884842</v>
      </c>
      <c r="AQ65" s="44">
        <v>1453890.8941884842</v>
      </c>
      <c r="AR65" s="44">
        <v>1453890.8941884842</v>
      </c>
      <c r="AS65" s="44">
        <v>1453890.8941884842</v>
      </c>
      <c r="AT65"/>
      <c r="AU65" s="44">
        <v>1453890.8941884842</v>
      </c>
      <c r="AV65" s="44">
        <v>1453890.8941884842</v>
      </c>
      <c r="AW65" s="44">
        <v>1453890.8941884842</v>
      </c>
      <c r="AX65" s="44">
        <v>1453890.8941884842</v>
      </c>
      <c r="AY65"/>
      <c r="AZ65" s="44">
        <v>1453890.8941884842</v>
      </c>
      <c r="BA65"/>
      <c r="BB65"/>
      <c r="BC65" s="44">
        <v>1453890.8941884842</v>
      </c>
    </row>
    <row r="66" spans="1:55" x14ac:dyDescent="0.25">
      <c r="A66" s="17" t="s">
        <v>43</v>
      </c>
      <c r="B66" s="3" t="s">
        <v>473</v>
      </c>
      <c r="C66" s="3" t="s">
        <v>483</v>
      </c>
      <c r="D66" s="3" t="s">
        <v>524</v>
      </c>
      <c r="E66" s="18" t="s">
        <v>381</v>
      </c>
      <c r="F66" s="18" t="s">
        <v>104</v>
      </c>
      <c r="G66" s="44">
        <v>1.3888888888888888E-5</v>
      </c>
      <c r="H66" s="44">
        <f t="shared" si="2"/>
        <v>1.3888888888888888E-5</v>
      </c>
      <c r="I66" s="44">
        <v>1.3888888888888888E-5</v>
      </c>
      <c r="J66" s="44">
        <v>1.3888888888888888E-5</v>
      </c>
      <c r="K66" s="44">
        <v>1.3888888888888888E-5</v>
      </c>
      <c r="L66" s="44">
        <v>1.3888888888888888E-5</v>
      </c>
      <c r="M66" s="44">
        <v>1.3888888888888888E-5</v>
      </c>
      <c r="N66" s="44">
        <v>1.3888888888888888E-5</v>
      </c>
      <c r="O66" s="44">
        <v>1.3888888888888888E-5</v>
      </c>
      <c r="P66" s="44">
        <v>1.3888888888888888E-5</v>
      </c>
      <c r="R66" s="44">
        <v>1.3888888888888888E-5</v>
      </c>
      <c r="S66" s="44">
        <v>1.3888888888888888E-5</v>
      </c>
      <c r="T66" s="44">
        <v>1.3888888888888888E-5</v>
      </c>
      <c r="V66" s="44">
        <v>1.3888888888888888E-5</v>
      </c>
      <c r="W66" s="44">
        <v>1.3888888888888888E-5</v>
      </c>
      <c r="X66" s="44">
        <v>1.3888888888888888E-5</v>
      </c>
      <c r="AA66" s="44">
        <v>1.3888888888888888E-5</v>
      </c>
      <c r="AB66" s="44">
        <v>1.3888888888888888E-5</v>
      </c>
      <c r="AC66" s="44">
        <v>1.3888888888888888E-5</v>
      </c>
      <c r="AD66" s="44">
        <v>1.3888888888888888E-5</v>
      </c>
      <c r="AE66" s="44">
        <v>1.3888888888888888E-5</v>
      </c>
      <c r="AF66" s="44">
        <v>1.3888888888888888E-5</v>
      </c>
      <c r="AG66" s="44">
        <v>1.3888888888888888E-5</v>
      </c>
      <c r="AH66" s="44">
        <v>1.3888888888888888E-5</v>
      </c>
      <c r="AI66" s="44">
        <v>1.3888888888888888E-5</v>
      </c>
      <c r="AJ66" s="44">
        <v>1.3888888888888888E-5</v>
      </c>
      <c r="AK66" s="44">
        <v>1.3888888888888888E-5</v>
      </c>
      <c r="AL66"/>
      <c r="AM66" s="44">
        <v>1.3888888888888888E-5</v>
      </c>
      <c r="AN66" s="44">
        <v>1.3888888888888888E-5</v>
      </c>
      <c r="AO66" s="44">
        <v>1.3888888888888888E-5</v>
      </c>
      <c r="AP66" s="44">
        <v>1.3888888888888888E-5</v>
      </c>
      <c r="AQ66" s="44">
        <v>1.3888888888888888E-5</v>
      </c>
      <c r="AR66" s="44">
        <v>1.3888888888888888E-5</v>
      </c>
      <c r="AS66" s="44">
        <v>1.3888888888888888E-5</v>
      </c>
      <c r="AT66"/>
      <c r="AU66" s="44">
        <v>1.3888888888888888E-5</v>
      </c>
      <c r="AV66" s="44">
        <v>1.3888888888888888E-5</v>
      </c>
      <c r="AW66" s="44">
        <v>1.3888888888888888E-5</v>
      </c>
      <c r="AX66" s="44">
        <v>1.3888888888888888E-5</v>
      </c>
      <c r="AY66"/>
      <c r="AZ66" s="44">
        <v>1.3888888888888888E-5</v>
      </c>
      <c r="BA66"/>
      <c r="BB66"/>
      <c r="BC66" s="44">
        <v>1.3888888888888888E-5</v>
      </c>
    </row>
    <row r="67" spans="1:55" x14ac:dyDescent="0.25">
      <c r="A67" s="17" t="s">
        <v>44</v>
      </c>
      <c r="B67" s="3" t="s">
        <v>473</v>
      </c>
      <c r="C67" s="3" t="s">
        <v>483</v>
      </c>
      <c r="D67" s="3" t="s">
        <v>524</v>
      </c>
      <c r="E67" s="18" t="s">
        <v>156</v>
      </c>
      <c r="F67" s="18" t="s">
        <v>105</v>
      </c>
      <c r="G67" s="44">
        <v>4.5763888888888888E-4</v>
      </c>
      <c r="H67" s="44">
        <f t="shared" si="2"/>
        <v>4.5763888888888888E-4</v>
      </c>
      <c r="I67" s="44">
        <v>6.5011574074074071E-4</v>
      </c>
      <c r="J67" s="44">
        <v>6.5011574074074071E-4</v>
      </c>
      <c r="K67" s="44">
        <v>6.5011574074074071E-4</v>
      </c>
      <c r="L67" s="44">
        <v>6.5011574074074071E-4</v>
      </c>
      <c r="M67" s="44">
        <v>6.5011574074074071E-4</v>
      </c>
      <c r="N67" s="44">
        <v>6.5011574074074071E-4</v>
      </c>
      <c r="O67" s="44">
        <v>6.5011574074074071E-4</v>
      </c>
      <c r="P67" s="44">
        <v>6.5011574074074071E-4</v>
      </c>
      <c r="R67" s="44">
        <v>6.5011574074074071E-4</v>
      </c>
      <c r="S67" s="44">
        <v>6.5011574074074071E-4</v>
      </c>
      <c r="T67" s="44">
        <v>6.5011574074074071E-4</v>
      </c>
      <c r="V67" s="44">
        <v>6.5011574074074071E-4</v>
      </c>
      <c r="W67" s="44">
        <v>6.5011574074074071E-4</v>
      </c>
      <c r="X67" s="44">
        <v>6.5011574074074071E-4</v>
      </c>
      <c r="AA67" s="44">
        <v>6.5011574074074071E-4</v>
      </c>
      <c r="AB67" s="44">
        <v>6.5011574074074071E-4</v>
      </c>
      <c r="AC67" s="44">
        <v>6.5011574074074071E-4</v>
      </c>
      <c r="AD67" s="44">
        <v>6.5011574074074071E-4</v>
      </c>
      <c r="AE67" s="44">
        <v>6.5011574074074071E-4</v>
      </c>
      <c r="AF67" s="44">
        <v>6.5011574074074071E-4</v>
      </c>
      <c r="AG67" s="44">
        <v>6.5011574074074071E-4</v>
      </c>
      <c r="AH67" s="44">
        <v>6.5011574074074071E-4</v>
      </c>
      <c r="AI67" s="44">
        <v>6.5011574074074071E-4</v>
      </c>
      <c r="AJ67" s="44">
        <v>6.5011574074074071E-4</v>
      </c>
      <c r="AK67" s="44">
        <v>6.5011574074074071E-4</v>
      </c>
      <c r="AL67"/>
      <c r="AM67" s="44">
        <v>6.5011574074074071E-4</v>
      </c>
      <c r="AN67" s="44">
        <v>6.5011574074074071E-4</v>
      </c>
      <c r="AO67" s="44">
        <v>6.5011574074074071E-4</v>
      </c>
      <c r="AP67" s="44">
        <v>6.5011574074074071E-4</v>
      </c>
      <c r="AQ67" s="44">
        <v>6.5011574074074071E-4</v>
      </c>
      <c r="AR67" s="44">
        <v>6.5011574074074071E-4</v>
      </c>
      <c r="AS67" s="44">
        <v>6.5011574074074071E-4</v>
      </c>
      <c r="AT67"/>
      <c r="AU67" s="44">
        <v>6.5011574074074071E-4</v>
      </c>
      <c r="AV67" s="44">
        <v>6.5011574074074071E-4</v>
      </c>
      <c r="AW67" s="44">
        <v>6.5011574074074071E-4</v>
      </c>
      <c r="AX67" s="44">
        <v>6.5011574074074071E-4</v>
      </c>
      <c r="AY67"/>
      <c r="AZ67" s="44">
        <v>6.5011574074074071E-4</v>
      </c>
      <c r="BA67"/>
      <c r="BB67"/>
      <c r="BC67" s="44">
        <v>6.5011574074074071E-4</v>
      </c>
    </row>
    <row r="68" spans="1:55" x14ac:dyDescent="0.25">
      <c r="A68" s="17" t="s">
        <v>45</v>
      </c>
      <c r="B68" s="3" t="s">
        <v>473</v>
      </c>
      <c r="C68" s="3" t="s">
        <v>483</v>
      </c>
      <c r="D68" s="3" t="s">
        <v>524</v>
      </c>
      <c r="E68" s="18" t="s">
        <v>157</v>
      </c>
      <c r="F68" s="18" t="s">
        <v>98</v>
      </c>
      <c r="G68" s="44">
        <v>3.63E-3</v>
      </c>
      <c r="H68" s="44">
        <f t="shared" si="2"/>
        <v>3.63E-3</v>
      </c>
      <c r="I68" s="44">
        <v>4.7400000000000003E-3</v>
      </c>
      <c r="J68" s="44">
        <v>4.7400000000000003E-3</v>
      </c>
      <c r="K68" s="44">
        <v>4.7400000000000003E-3</v>
      </c>
      <c r="L68" s="44">
        <v>4.7400000000000003E-3</v>
      </c>
      <c r="M68" s="44">
        <v>4.7400000000000003E-3</v>
      </c>
      <c r="N68" s="44">
        <v>4.7400000000000003E-3</v>
      </c>
      <c r="O68" s="44">
        <v>4.7400000000000003E-3</v>
      </c>
      <c r="P68" s="44">
        <v>4.7400000000000003E-3</v>
      </c>
      <c r="R68" s="44">
        <v>4.7400000000000003E-3</v>
      </c>
      <c r="S68" s="44">
        <v>4.7400000000000003E-3</v>
      </c>
      <c r="T68" s="44">
        <v>4.7400000000000003E-3</v>
      </c>
      <c r="V68" s="44">
        <v>4.7400000000000003E-3</v>
      </c>
      <c r="W68" s="44">
        <v>4.7400000000000003E-3</v>
      </c>
      <c r="X68" s="44">
        <v>4.7400000000000003E-3</v>
      </c>
      <c r="AA68" s="44">
        <v>4.7400000000000003E-3</v>
      </c>
      <c r="AB68" s="44">
        <v>4.7400000000000003E-3</v>
      </c>
      <c r="AC68" s="44">
        <v>4.7400000000000003E-3</v>
      </c>
      <c r="AD68" s="44">
        <v>4.7400000000000003E-3</v>
      </c>
      <c r="AE68" s="44">
        <v>4.7400000000000003E-3</v>
      </c>
      <c r="AF68" s="44">
        <v>4.7400000000000003E-3</v>
      </c>
      <c r="AG68" s="44">
        <v>4.7400000000000003E-3</v>
      </c>
      <c r="AH68" s="44">
        <v>4.7400000000000003E-3</v>
      </c>
      <c r="AI68" s="44">
        <v>4.7400000000000003E-3</v>
      </c>
      <c r="AJ68" s="44">
        <v>4.7400000000000003E-3</v>
      </c>
      <c r="AK68" s="44">
        <v>4.7400000000000003E-3</v>
      </c>
      <c r="AL68"/>
      <c r="AM68" s="44">
        <v>4.7400000000000003E-3</v>
      </c>
      <c r="AN68" s="44">
        <v>4.7400000000000003E-3</v>
      </c>
      <c r="AO68" s="44">
        <v>4.7400000000000003E-3</v>
      </c>
      <c r="AP68" s="44">
        <v>4.7400000000000003E-3</v>
      </c>
      <c r="AQ68" s="44">
        <v>4.7400000000000003E-3</v>
      </c>
      <c r="AR68" s="44">
        <v>4.7400000000000003E-3</v>
      </c>
      <c r="AS68" s="44">
        <v>4.7400000000000003E-3</v>
      </c>
      <c r="AT68"/>
      <c r="AU68" s="44">
        <v>4.7400000000000003E-3</v>
      </c>
      <c r="AV68" s="44">
        <v>4.7400000000000003E-3</v>
      </c>
      <c r="AW68" s="44">
        <v>4.7400000000000003E-3</v>
      </c>
      <c r="AX68" s="44">
        <v>4.7400000000000003E-3</v>
      </c>
      <c r="AY68"/>
      <c r="AZ68" s="44">
        <v>4.7400000000000003E-3</v>
      </c>
      <c r="BA68"/>
      <c r="BB68"/>
      <c r="BC68" s="44">
        <v>4.7400000000000003E-3</v>
      </c>
    </row>
    <row r="69" spans="1:55" x14ac:dyDescent="0.25">
      <c r="A69" s="17" t="s">
        <v>46</v>
      </c>
      <c r="B69" s="3" t="s">
        <v>473</v>
      </c>
      <c r="C69" s="3" t="s">
        <v>483</v>
      </c>
      <c r="D69" s="3" t="s">
        <v>524</v>
      </c>
      <c r="E69" s="18" t="s">
        <v>158</v>
      </c>
      <c r="F69" s="18" t="s">
        <v>106</v>
      </c>
      <c r="G69" s="44">
        <v>491356.80000000005</v>
      </c>
      <c r="H69" s="44">
        <f t="shared" si="2"/>
        <v>491356.80000000005</v>
      </c>
      <c r="I69" s="44">
        <v>282528</v>
      </c>
      <c r="J69" s="44">
        <v>282528</v>
      </c>
      <c r="K69" s="44">
        <v>282528</v>
      </c>
      <c r="L69" s="44">
        <v>282528</v>
      </c>
      <c r="M69" s="44">
        <v>282528</v>
      </c>
      <c r="N69" s="44">
        <v>282528</v>
      </c>
      <c r="O69" s="44">
        <v>282528</v>
      </c>
      <c r="P69" s="44">
        <v>282528</v>
      </c>
      <c r="R69" s="44">
        <v>282528</v>
      </c>
      <c r="S69" s="44">
        <v>282528</v>
      </c>
      <c r="T69" s="44">
        <v>282528</v>
      </c>
      <c r="V69" s="44">
        <v>282528</v>
      </c>
      <c r="W69" s="44">
        <v>282528</v>
      </c>
      <c r="X69" s="44">
        <v>282528</v>
      </c>
      <c r="AA69" s="44">
        <v>282528</v>
      </c>
      <c r="AB69" s="44">
        <v>282528</v>
      </c>
      <c r="AC69" s="44">
        <v>282528</v>
      </c>
      <c r="AD69" s="44">
        <v>282528</v>
      </c>
      <c r="AE69" s="44">
        <v>282528</v>
      </c>
      <c r="AF69" s="44">
        <v>282528</v>
      </c>
      <c r="AG69" s="44">
        <v>282528</v>
      </c>
      <c r="AH69" s="44">
        <v>282528</v>
      </c>
      <c r="AI69" s="44">
        <v>282528</v>
      </c>
      <c r="AJ69" s="44">
        <v>282528</v>
      </c>
      <c r="AK69" s="44">
        <v>282528</v>
      </c>
      <c r="AL69"/>
      <c r="AM69" s="44">
        <v>282528</v>
      </c>
      <c r="AN69" s="44">
        <v>282528</v>
      </c>
      <c r="AO69" s="44">
        <v>282528</v>
      </c>
      <c r="AP69" s="44">
        <v>282528</v>
      </c>
      <c r="AQ69" s="44">
        <v>282528</v>
      </c>
      <c r="AR69" s="44">
        <v>282528</v>
      </c>
      <c r="AS69" s="44">
        <v>282528</v>
      </c>
      <c r="AT69"/>
      <c r="AU69" s="44">
        <v>282528</v>
      </c>
      <c r="AV69" s="44">
        <v>282528</v>
      </c>
      <c r="AW69" s="44">
        <v>282528</v>
      </c>
      <c r="AX69" s="44">
        <v>282528</v>
      </c>
      <c r="AY69"/>
      <c r="AZ69" s="44">
        <v>282528</v>
      </c>
      <c r="BA69"/>
      <c r="BB69"/>
      <c r="BC69" s="44">
        <v>282528</v>
      </c>
    </row>
    <row r="70" spans="1:55" x14ac:dyDescent="0.25">
      <c r="A70" s="17" t="s">
        <v>47</v>
      </c>
      <c r="B70" s="3" t="s">
        <v>473</v>
      </c>
      <c r="C70" s="3" t="s">
        <v>483</v>
      </c>
      <c r="D70" s="3" t="s">
        <v>524</v>
      </c>
      <c r="E70" s="18" t="s">
        <v>159</v>
      </c>
      <c r="F70" s="18" t="s">
        <v>102</v>
      </c>
      <c r="G70" s="44">
        <v>0.57999999999999996</v>
      </c>
      <c r="H70" s="44">
        <f t="shared" si="2"/>
        <v>0.57999999999999996</v>
      </c>
      <c r="I70" s="44">
        <v>0.56999999999999995</v>
      </c>
      <c r="J70" s="44">
        <v>0.56999999999999995</v>
      </c>
      <c r="K70" s="44">
        <v>0.56999999999999995</v>
      </c>
      <c r="L70" s="44">
        <v>0.56999999999999995</v>
      </c>
      <c r="M70" s="44">
        <v>0.56999999999999995</v>
      </c>
      <c r="N70" s="44">
        <v>0.56999999999999995</v>
      </c>
      <c r="O70" s="44">
        <v>0.56999999999999995</v>
      </c>
      <c r="P70" s="44">
        <v>0.56999999999999995</v>
      </c>
      <c r="R70" s="44">
        <v>0.56999999999999995</v>
      </c>
      <c r="S70" s="44">
        <v>0.56999999999999995</v>
      </c>
      <c r="T70" s="44">
        <v>0.56999999999999995</v>
      </c>
      <c r="V70" s="44">
        <v>0.56999999999999995</v>
      </c>
      <c r="W70" s="44">
        <v>0.56999999999999995</v>
      </c>
      <c r="X70" s="44">
        <v>0.56999999999999995</v>
      </c>
      <c r="AA70" s="44">
        <v>0.56999999999999995</v>
      </c>
      <c r="AB70" s="44">
        <v>0.56999999999999995</v>
      </c>
      <c r="AC70" s="44">
        <v>0.56999999999999995</v>
      </c>
      <c r="AD70" s="44">
        <v>0.56999999999999995</v>
      </c>
      <c r="AE70" s="44">
        <v>0.56999999999999995</v>
      </c>
      <c r="AF70" s="44">
        <v>0.56999999999999995</v>
      </c>
      <c r="AG70" s="44">
        <v>0.56999999999999995</v>
      </c>
      <c r="AH70" s="44">
        <v>0.56999999999999995</v>
      </c>
      <c r="AI70" s="44">
        <v>0.56999999999999995</v>
      </c>
      <c r="AJ70" s="44">
        <v>0.56999999999999995</v>
      </c>
      <c r="AK70" s="44">
        <v>0.56999999999999995</v>
      </c>
      <c r="AL70"/>
      <c r="AM70" s="44">
        <v>0.56999999999999995</v>
      </c>
      <c r="AN70" s="44">
        <v>0.56999999999999995</v>
      </c>
      <c r="AO70" s="44">
        <v>0.56999999999999995</v>
      </c>
      <c r="AP70" s="44">
        <v>0.56999999999999995</v>
      </c>
      <c r="AQ70" s="44">
        <v>0.56999999999999995</v>
      </c>
      <c r="AR70" s="44">
        <v>0.56999999999999995</v>
      </c>
      <c r="AS70" s="44">
        <v>0.56999999999999995</v>
      </c>
      <c r="AT70"/>
      <c r="AU70" s="44">
        <v>0.56999999999999995</v>
      </c>
      <c r="AV70" s="44">
        <v>0.56999999999999995</v>
      </c>
      <c r="AW70" s="44">
        <v>0.56999999999999995</v>
      </c>
      <c r="AX70" s="44">
        <v>0.56999999999999995</v>
      </c>
      <c r="AY70"/>
      <c r="AZ70" s="44">
        <v>0.56999999999999995</v>
      </c>
      <c r="BA70"/>
      <c r="BB70"/>
      <c r="BC70" s="44">
        <v>0.56999999999999995</v>
      </c>
    </row>
    <row r="71" spans="1:55" x14ac:dyDescent="0.25">
      <c r="A71" s="17" t="s">
        <v>48</v>
      </c>
      <c r="B71" s="3" t="s">
        <v>473</v>
      </c>
      <c r="C71" s="3" t="s">
        <v>483</v>
      </c>
      <c r="D71" s="3" t="s">
        <v>524</v>
      </c>
      <c r="E71" s="18" t="s">
        <v>160</v>
      </c>
      <c r="F71" s="18" t="s">
        <v>100</v>
      </c>
      <c r="G71" s="44">
        <v>0.25862068965517243</v>
      </c>
      <c r="H71" s="44">
        <f t="shared" si="2"/>
        <v>0.25862068965517243</v>
      </c>
      <c r="I71" s="44">
        <v>0.16</v>
      </c>
      <c r="J71" s="44">
        <v>0.16</v>
      </c>
      <c r="K71" s="44">
        <v>0.16</v>
      </c>
      <c r="L71" s="44">
        <v>0.16</v>
      </c>
      <c r="M71" s="44">
        <v>0.16</v>
      </c>
      <c r="N71" s="44">
        <v>0.16</v>
      </c>
      <c r="O71" s="44">
        <v>0.16</v>
      </c>
      <c r="P71" s="44">
        <v>0.16</v>
      </c>
      <c r="R71" s="44">
        <v>0.16</v>
      </c>
      <c r="S71" s="44">
        <v>0.16</v>
      </c>
      <c r="T71" s="44">
        <v>0.16</v>
      </c>
      <c r="V71" s="44">
        <v>0.16</v>
      </c>
      <c r="W71" s="44">
        <v>0.16</v>
      </c>
      <c r="X71" s="44">
        <v>0.16</v>
      </c>
      <c r="AA71" s="44">
        <v>0.16</v>
      </c>
      <c r="AB71" s="44">
        <v>0.16</v>
      </c>
      <c r="AC71" s="44">
        <v>0.16</v>
      </c>
      <c r="AD71" s="44">
        <v>0.16</v>
      </c>
      <c r="AE71" s="44">
        <v>0.16</v>
      </c>
      <c r="AF71" s="44">
        <v>0.16</v>
      </c>
      <c r="AG71" s="44">
        <v>0.16</v>
      </c>
      <c r="AH71" s="44">
        <v>0.16</v>
      </c>
      <c r="AI71" s="44">
        <v>0.16</v>
      </c>
      <c r="AJ71" s="44">
        <v>0.16</v>
      </c>
      <c r="AK71" s="44">
        <v>0.16</v>
      </c>
      <c r="AL71"/>
      <c r="AM71" s="44">
        <v>0.16</v>
      </c>
      <c r="AN71" s="44">
        <v>0.16</v>
      </c>
      <c r="AO71" s="44">
        <v>0.16</v>
      </c>
      <c r="AP71" s="44">
        <v>0.16</v>
      </c>
      <c r="AQ71" s="44">
        <v>0.16</v>
      </c>
      <c r="AR71" s="44">
        <v>0.16</v>
      </c>
      <c r="AS71" s="44">
        <v>0.16</v>
      </c>
      <c r="AT71"/>
      <c r="AU71" s="44">
        <v>0.16</v>
      </c>
      <c r="AV71" s="44">
        <v>0.16</v>
      </c>
      <c r="AW71" s="44">
        <v>0.16</v>
      </c>
      <c r="AX71" s="44">
        <v>0.16</v>
      </c>
      <c r="AY71"/>
      <c r="AZ71" s="44">
        <v>0.16</v>
      </c>
      <c r="BA71"/>
      <c r="BB71"/>
      <c r="BC71" s="44">
        <v>0.16</v>
      </c>
    </row>
    <row r="72" spans="1:55" x14ac:dyDescent="0.25">
      <c r="A72" s="17" t="s">
        <v>49</v>
      </c>
      <c r="B72" s="3" t="s">
        <v>473</v>
      </c>
      <c r="C72" s="3" t="s">
        <v>483</v>
      </c>
      <c r="D72" s="3" t="s">
        <v>524</v>
      </c>
      <c r="E72" s="18" t="s">
        <v>161</v>
      </c>
      <c r="F72" s="18" t="s">
        <v>107</v>
      </c>
      <c r="G72" s="44">
        <v>0</v>
      </c>
      <c r="H72" s="44">
        <f t="shared" si="2"/>
        <v>0</v>
      </c>
      <c r="I72" s="44">
        <v>0</v>
      </c>
      <c r="J72" s="44">
        <v>0</v>
      </c>
      <c r="K72" s="44">
        <v>0</v>
      </c>
      <c r="L72" s="44">
        <v>0</v>
      </c>
      <c r="M72" s="44">
        <v>0</v>
      </c>
      <c r="N72" s="44">
        <v>0</v>
      </c>
      <c r="O72" s="44">
        <v>0</v>
      </c>
      <c r="P72" s="44">
        <v>0</v>
      </c>
      <c r="R72" s="44">
        <v>0</v>
      </c>
      <c r="S72" s="44">
        <v>0</v>
      </c>
      <c r="T72" s="44">
        <v>0</v>
      </c>
      <c r="V72" s="44">
        <v>0</v>
      </c>
      <c r="W72" s="44">
        <v>0</v>
      </c>
      <c r="X72" s="44">
        <v>0</v>
      </c>
      <c r="AA72" s="44">
        <v>0</v>
      </c>
      <c r="AB72" s="44">
        <v>0</v>
      </c>
      <c r="AC72" s="44">
        <v>0</v>
      </c>
      <c r="AD72" s="44">
        <v>0</v>
      </c>
      <c r="AE72" s="44">
        <v>0</v>
      </c>
      <c r="AF72" s="44">
        <v>0</v>
      </c>
      <c r="AG72" s="44">
        <v>0</v>
      </c>
      <c r="AH72" s="44">
        <v>0</v>
      </c>
      <c r="AI72" s="44">
        <v>0</v>
      </c>
      <c r="AJ72" s="44">
        <v>0</v>
      </c>
      <c r="AK72" s="44">
        <v>0</v>
      </c>
      <c r="AL72"/>
      <c r="AM72" s="44">
        <v>0</v>
      </c>
      <c r="AN72" s="44">
        <v>0</v>
      </c>
      <c r="AO72" s="44">
        <v>0</v>
      </c>
      <c r="AP72" s="44">
        <v>0</v>
      </c>
      <c r="AQ72" s="44">
        <v>0</v>
      </c>
      <c r="AR72" s="44">
        <v>0</v>
      </c>
      <c r="AS72" s="44">
        <v>0</v>
      </c>
      <c r="AT72"/>
      <c r="AU72" s="44">
        <v>0</v>
      </c>
      <c r="AV72" s="44">
        <v>0</v>
      </c>
      <c r="AW72" s="44">
        <v>0</v>
      </c>
      <c r="AX72" s="44">
        <v>0</v>
      </c>
      <c r="AY72"/>
      <c r="AZ72" s="44">
        <v>0</v>
      </c>
      <c r="BA72"/>
      <c r="BB72"/>
      <c r="BC72" s="44">
        <v>0</v>
      </c>
    </row>
    <row r="73" spans="1:55" x14ac:dyDescent="0.25">
      <c r="A73" s="33" t="s">
        <v>50</v>
      </c>
      <c r="B73" s="3" t="s">
        <v>473</v>
      </c>
      <c r="C73" s="3" t="s">
        <v>483</v>
      </c>
      <c r="D73" s="3" t="s">
        <v>524</v>
      </c>
      <c r="E73" s="34" t="s">
        <v>419</v>
      </c>
      <c r="F73" s="34" t="s">
        <v>418</v>
      </c>
      <c r="G73" s="44">
        <v>745476480000</v>
      </c>
      <c r="H73" s="44">
        <f t="shared" si="2"/>
        <v>745476480000</v>
      </c>
      <c r="I73" s="44">
        <v>745476480000</v>
      </c>
      <c r="J73" s="44">
        <v>745476480000</v>
      </c>
      <c r="K73" s="44">
        <v>745476480000</v>
      </c>
      <c r="L73" s="44">
        <v>745476480000</v>
      </c>
      <c r="M73" s="44">
        <v>745476480000</v>
      </c>
      <c r="N73" s="44">
        <v>745476480000</v>
      </c>
      <c r="O73" s="44">
        <v>745476480000</v>
      </c>
      <c r="P73" s="44">
        <v>745476480000</v>
      </c>
      <c r="R73" s="44">
        <v>745476480000</v>
      </c>
      <c r="S73" s="44">
        <v>745476480000</v>
      </c>
      <c r="T73" s="44">
        <v>745476480000</v>
      </c>
      <c r="V73" s="44">
        <v>745476480000</v>
      </c>
      <c r="W73" s="44">
        <v>745476480000</v>
      </c>
      <c r="X73" s="44">
        <v>745476480000</v>
      </c>
      <c r="AA73" s="44">
        <v>745476480000</v>
      </c>
      <c r="AB73" s="44">
        <v>745476480000</v>
      </c>
      <c r="AC73" s="44">
        <v>745476480000</v>
      </c>
      <c r="AD73" s="44">
        <v>745476480000</v>
      </c>
      <c r="AE73" s="44">
        <v>745476480000</v>
      </c>
      <c r="AF73" s="44">
        <v>745476480000</v>
      </c>
      <c r="AG73" s="44">
        <v>745476480000</v>
      </c>
      <c r="AH73" s="44">
        <v>745476480000</v>
      </c>
      <c r="AI73" s="44">
        <v>745476480000</v>
      </c>
      <c r="AJ73" s="44">
        <v>745476480000</v>
      </c>
      <c r="AK73" s="44">
        <v>745476480000</v>
      </c>
      <c r="AL73"/>
      <c r="AM73" s="44">
        <v>745476480000</v>
      </c>
      <c r="AN73" s="44">
        <v>745476480000</v>
      </c>
      <c r="AO73" s="44">
        <v>745476480000</v>
      </c>
      <c r="AP73" s="44">
        <v>745476480000</v>
      </c>
      <c r="AQ73" s="44">
        <v>745476480000</v>
      </c>
      <c r="AR73" s="44">
        <v>745476480000</v>
      </c>
      <c r="AS73" s="44">
        <v>745476480000</v>
      </c>
      <c r="AT73"/>
      <c r="AU73" s="44">
        <v>745476480000</v>
      </c>
      <c r="AV73" s="44">
        <v>745476480000</v>
      </c>
      <c r="AW73" s="44">
        <v>745476480000</v>
      </c>
      <c r="AX73" s="44">
        <v>745476480000</v>
      </c>
      <c r="AY73"/>
      <c r="AZ73" s="44">
        <v>745476480000</v>
      </c>
      <c r="BA73"/>
      <c r="BB73"/>
      <c r="BC73" s="44">
        <v>745476480000</v>
      </c>
    </row>
    <row r="74" spans="1:55" x14ac:dyDescent="0.25">
      <c r="A74" s="33" t="s">
        <v>204</v>
      </c>
      <c r="B74" s="3" t="s">
        <v>473</v>
      </c>
      <c r="C74" s="3" t="s">
        <v>483</v>
      </c>
      <c r="D74" s="3" t="s">
        <v>524</v>
      </c>
      <c r="E74" s="34" t="s">
        <v>413</v>
      </c>
      <c r="F74" s="34" t="s">
        <v>202</v>
      </c>
      <c r="G74" s="44">
        <v>100</v>
      </c>
      <c r="H74" s="44">
        <f t="shared" si="2"/>
        <v>100</v>
      </c>
      <c r="I74" s="44">
        <v>100</v>
      </c>
      <c r="J74" s="44">
        <v>100</v>
      </c>
      <c r="K74" s="44">
        <v>100</v>
      </c>
      <c r="L74" s="44">
        <v>100</v>
      </c>
      <c r="M74" s="44">
        <v>100</v>
      </c>
      <c r="N74" s="44">
        <v>100</v>
      </c>
      <c r="O74" s="44">
        <v>100</v>
      </c>
      <c r="P74" s="44">
        <v>100</v>
      </c>
      <c r="R74" s="44">
        <v>100</v>
      </c>
      <c r="S74" s="44">
        <v>100</v>
      </c>
      <c r="T74" s="44">
        <v>100</v>
      </c>
      <c r="V74" s="44">
        <v>100</v>
      </c>
      <c r="W74" s="44">
        <v>100</v>
      </c>
      <c r="X74" s="44">
        <v>100</v>
      </c>
      <c r="AA74" s="44">
        <v>100</v>
      </c>
      <c r="AB74" s="44">
        <v>100</v>
      </c>
      <c r="AC74" s="44">
        <v>100</v>
      </c>
      <c r="AD74" s="44">
        <v>100</v>
      </c>
      <c r="AE74" s="44">
        <v>100</v>
      </c>
      <c r="AF74" s="44">
        <v>100</v>
      </c>
      <c r="AG74" s="44">
        <v>100</v>
      </c>
      <c r="AH74" s="44">
        <v>100</v>
      </c>
      <c r="AI74" s="44">
        <v>100</v>
      </c>
      <c r="AJ74" s="44">
        <v>100</v>
      </c>
      <c r="AK74" s="44">
        <v>100</v>
      </c>
      <c r="AL74"/>
      <c r="AM74" s="44">
        <v>100</v>
      </c>
      <c r="AN74" s="44">
        <v>100</v>
      </c>
      <c r="AO74" s="44">
        <v>100</v>
      </c>
      <c r="AP74" s="44">
        <v>100</v>
      </c>
      <c r="AQ74" s="44">
        <v>100</v>
      </c>
      <c r="AR74" s="44">
        <v>100</v>
      </c>
      <c r="AS74" s="44">
        <v>100</v>
      </c>
      <c r="AT74"/>
      <c r="AU74" s="44">
        <v>100</v>
      </c>
      <c r="AV74" s="44">
        <v>100</v>
      </c>
      <c r="AW74" s="44">
        <v>100</v>
      </c>
      <c r="AX74" s="44">
        <v>100</v>
      </c>
      <c r="AY74"/>
      <c r="AZ74" s="44">
        <v>100</v>
      </c>
      <c r="BA74"/>
      <c r="BB74"/>
      <c r="BC74" s="44">
        <v>100</v>
      </c>
    </row>
    <row r="75" spans="1:55" x14ac:dyDescent="0.25">
      <c r="A75" s="33" t="s">
        <v>414</v>
      </c>
      <c r="B75" s="3" t="s">
        <v>473</v>
      </c>
      <c r="C75" s="3" t="s">
        <v>483</v>
      </c>
      <c r="D75" s="3" t="s">
        <v>524</v>
      </c>
      <c r="E75" s="34" t="s">
        <v>420</v>
      </c>
      <c r="F75" s="34" t="s">
        <v>94</v>
      </c>
      <c r="G75" s="44" t="s">
        <v>86</v>
      </c>
      <c r="H75" s="44" t="str">
        <f t="shared" si="2"/>
        <v>True</v>
      </c>
      <c r="I75" s="44" t="s">
        <v>86</v>
      </c>
      <c r="J75" s="44" t="s">
        <v>86</v>
      </c>
      <c r="K75" s="44" t="s">
        <v>86</v>
      </c>
      <c r="L75" s="44" t="s">
        <v>86</v>
      </c>
      <c r="M75" s="44" t="s">
        <v>86</v>
      </c>
      <c r="N75" s="44" t="s">
        <v>86</v>
      </c>
      <c r="O75" s="44" t="s">
        <v>86</v>
      </c>
      <c r="P75" s="44" t="s">
        <v>86</v>
      </c>
      <c r="R75" s="44" t="s">
        <v>86</v>
      </c>
      <c r="S75" s="44" t="s">
        <v>86</v>
      </c>
      <c r="T75" s="44" t="s">
        <v>86</v>
      </c>
      <c r="V75" s="44" t="s">
        <v>86</v>
      </c>
      <c r="W75" s="44" t="s">
        <v>86</v>
      </c>
      <c r="X75" s="44" t="s">
        <v>86</v>
      </c>
      <c r="AA75" s="44" t="s">
        <v>86</v>
      </c>
      <c r="AB75" s="44" t="s">
        <v>86</v>
      </c>
      <c r="AC75" s="44" t="s">
        <v>86</v>
      </c>
      <c r="AD75" s="44" t="s">
        <v>86</v>
      </c>
      <c r="AE75" s="44" t="s">
        <v>86</v>
      </c>
      <c r="AF75" s="44" t="s">
        <v>86</v>
      </c>
      <c r="AG75" s="44" t="s">
        <v>86</v>
      </c>
      <c r="AH75" s="44" t="s">
        <v>86</v>
      </c>
      <c r="AI75" s="44" t="s">
        <v>86</v>
      </c>
      <c r="AJ75" s="44" t="s">
        <v>86</v>
      </c>
      <c r="AK75" s="44" t="s">
        <v>86</v>
      </c>
      <c r="AL75"/>
      <c r="AM75" s="44" t="s">
        <v>86</v>
      </c>
      <c r="AN75" s="44" t="s">
        <v>86</v>
      </c>
      <c r="AO75" s="44" t="s">
        <v>86</v>
      </c>
      <c r="AP75" s="44" t="s">
        <v>86</v>
      </c>
      <c r="AQ75" s="44" t="s">
        <v>86</v>
      </c>
      <c r="AR75" s="44" t="s">
        <v>86</v>
      </c>
      <c r="AS75" s="44" t="s">
        <v>86</v>
      </c>
      <c r="AT75"/>
      <c r="AU75" s="44" t="s">
        <v>86</v>
      </c>
      <c r="AV75" s="44" t="s">
        <v>86</v>
      </c>
      <c r="AW75" s="44" t="s">
        <v>86</v>
      </c>
      <c r="AX75" s="44" t="s">
        <v>86</v>
      </c>
      <c r="AY75"/>
      <c r="AZ75" s="44" t="s">
        <v>86</v>
      </c>
      <c r="BA75"/>
      <c r="BB75"/>
      <c r="BC75" s="44" t="s">
        <v>86</v>
      </c>
    </row>
    <row r="76" spans="1:55" x14ac:dyDescent="0.25">
      <c r="A76" s="33" t="s">
        <v>400</v>
      </c>
      <c r="B76" s="3" t="s">
        <v>473</v>
      </c>
      <c r="C76" s="3" t="s">
        <v>483</v>
      </c>
      <c r="D76" s="3" t="s">
        <v>524</v>
      </c>
      <c r="E76" s="34" t="s">
        <v>403</v>
      </c>
      <c r="F76" s="34" t="s">
        <v>106</v>
      </c>
      <c r="G76" s="44">
        <v>29203.200000000001</v>
      </c>
      <c r="H76" s="44">
        <f t="shared" si="2"/>
        <v>29203.200000000001</v>
      </c>
      <c r="I76" s="44">
        <v>21600</v>
      </c>
      <c r="J76" s="44">
        <v>21600</v>
      </c>
      <c r="K76" s="44">
        <v>21600</v>
      </c>
      <c r="L76" s="44">
        <v>21600</v>
      </c>
      <c r="M76" s="44">
        <v>21600</v>
      </c>
      <c r="N76" s="44">
        <v>21600</v>
      </c>
      <c r="O76" s="44">
        <v>21600</v>
      </c>
      <c r="P76" s="44">
        <v>21600</v>
      </c>
      <c r="R76" s="44">
        <v>21600</v>
      </c>
      <c r="S76" s="44">
        <v>21600</v>
      </c>
      <c r="T76" s="44">
        <v>21600</v>
      </c>
      <c r="V76" s="44">
        <v>21600</v>
      </c>
      <c r="W76" s="44">
        <v>21600</v>
      </c>
      <c r="X76" s="44">
        <v>21600</v>
      </c>
      <c r="AA76" s="44">
        <v>21600</v>
      </c>
      <c r="AB76" s="44">
        <v>21600</v>
      </c>
      <c r="AC76" s="44">
        <v>21600</v>
      </c>
      <c r="AD76" s="44">
        <v>21600</v>
      </c>
      <c r="AE76" s="44">
        <v>21600</v>
      </c>
      <c r="AF76" s="44">
        <v>21600</v>
      </c>
      <c r="AG76" s="44">
        <v>21600</v>
      </c>
      <c r="AH76" s="44">
        <v>21600</v>
      </c>
      <c r="AI76" s="44">
        <v>21600</v>
      </c>
      <c r="AJ76" s="44">
        <v>21600</v>
      </c>
      <c r="AK76" s="44">
        <v>21600</v>
      </c>
      <c r="AL76"/>
      <c r="AM76" s="44">
        <v>21600</v>
      </c>
      <c r="AN76" s="44">
        <v>21600</v>
      </c>
      <c r="AO76" s="44">
        <v>21600</v>
      </c>
      <c r="AP76" s="44">
        <v>21600</v>
      </c>
      <c r="AQ76" s="44">
        <v>21600</v>
      </c>
      <c r="AR76" s="44">
        <v>21600</v>
      </c>
      <c r="AS76" s="44">
        <v>21600</v>
      </c>
      <c r="AT76"/>
      <c r="AU76" s="44">
        <v>21600</v>
      </c>
      <c r="AV76" s="44">
        <v>21600</v>
      </c>
      <c r="AW76" s="44">
        <v>21600</v>
      </c>
      <c r="AX76" s="44">
        <v>21600</v>
      </c>
      <c r="AY76"/>
      <c r="AZ76" s="44">
        <v>21600</v>
      </c>
      <c r="BA76"/>
      <c r="BB76"/>
      <c r="BC76" s="44">
        <v>21600</v>
      </c>
    </row>
    <row r="77" spans="1:55" x14ac:dyDescent="0.25">
      <c r="A77" s="33" t="s">
        <v>410</v>
      </c>
      <c r="B77" s="3" t="s">
        <v>473</v>
      </c>
      <c r="C77" s="3" t="s">
        <v>483</v>
      </c>
      <c r="D77" s="3" t="s">
        <v>524</v>
      </c>
      <c r="E77" s="34" t="s">
        <v>416</v>
      </c>
      <c r="F77" s="34" t="s">
        <v>100</v>
      </c>
      <c r="G77" s="44">
        <v>0.5</v>
      </c>
      <c r="H77" s="44">
        <f t="shared" si="2"/>
        <v>0.5</v>
      </c>
      <c r="I77" s="44">
        <v>0.5</v>
      </c>
      <c r="J77" s="44">
        <v>0.5</v>
      </c>
      <c r="K77" s="44">
        <v>0.5</v>
      </c>
      <c r="L77" s="44">
        <v>0.5</v>
      </c>
      <c r="M77" s="44">
        <v>0.5</v>
      </c>
      <c r="N77" s="44">
        <v>0.5</v>
      </c>
      <c r="O77" s="44">
        <v>0.5</v>
      </c>
      <c r="P77" s="44">
        <v>0.5</v>
      </c>
      <c r="R77" s="44">
        <v>0.5</v>
      </c>
      <c r="S77" s="44">
        <v>0.5</v>
      </c>
      <c r="T77" s="44">
        <v>0.5</v>
      </c>
      <c r="V77" s="44">
        <v>0.5</v>
      </c>
      <c r="W77" s="44">
        <v>0.5</v>
      </c>
      <c r="X77" s="44">
        <v>0.5</v>
      </c>
      <c r="AA77" s="44">
        <v>0.5</v>
      </c>
      <c r="AB77" s="44">
        <v>0.5</v>
      </c>
      <c r="AC77" s="44">
        <v>0.5</v>
      </c>
      <c r="AD77" s="44">
        <v>0.5</v>
      </c>
      <c r="AE77" s="44">
        <v>0.5</v>
      </c>
      <c r="AF77" s="44">
        <v>0.5</v>
      </c>
      <c r="AG77" s="44">
        <v>0.5</v>
      </c>
      <c r="AH77" s="44">
        <v>0.5</v>
      </c>
      <c r="AI77" s="44">
        <v>0.5</v>
      </c>
      <c r="AJ77" s="44">
        <v>0.5</v>
      </c>
      <c r="AK77" s="44">
        <v>0.5</v>
      </c>
      <c r="AL77"/>
      <c r="AM77" s="44">
        <v>0.5</v>
      </c>
      <c r="AN77" s="44">
        <v>0.5</v>
      </c>
      <c r="AO77" s="44">
        <v>0.5</v>
      </c>
      <c r="AP77" s="44">
        <v>0.5</v>
      </c>
      <c r="AQ77" s="44">
        <v>0.5</v>
      </c>
      <c r="AR77" s="44">
        <v>0.5</v>
      </c>
      <c r="AS77" s="44">
        <v>0.5</v>
      </c>
      <c r="AT77"/>
      <c r="AU77" s="44">
        <v>0.5</v>
      </c>
      <c r="AV77" s="44">
        <v>0.5</v>
      </c>
      <c r="AW77" s="44">
        <v>0.5</v>
      </c>
      <c r="AX77" s="44">
        <v>0.5</v>
      </c>
      <c r="AY77"/>
      <c r="AZ77" s="44">
        <v>0.5</v>
      </c>
      <c r="BA77"/>
      <c r="BB77"/>
      <c r="BC77" s="44">
        <v>0.5</v>
      </c>
    </row>
    <row r="78" spans="1:55" x14ac:dyDescent="0.25">
      <c r="A78" s="33" t="s">
        <v>401</v>
      </c>
      <c r="B78" s="3" t="s">
        <v>473</v>
      </c>
      <c r="C78" s="3" t="s">
        <v>483</v>
      </c>
      <c r="D78" s="3" t="s">
        <v>524</v>
      </c>
      <c r="E78" s="34" t="s">
        <v>415</v>
      </c>
      <c r="F78" s="34" t="s">
        <v>106</v>
      </c>
      <c r="G78" s="44">
        <v>387936</v>
      </c>
      <c r="H78" s="44">
        <f t="shared" si="2"/>
        <v>387936</v>
      </c>
      <c r="I78" s="44">
        <v>60479.999999999993</v>
      </c>
      <c r="J78" s="44">
        <v>60479.999999999993</v>
      </c>
      <c r="K78" s="44">
        <v>60479.999999999993</v>
      </c>
      <c r="L78" s="44">
        <v>60479.999999999993</v>
      </c>
      <c r="M78" s="44">
        <v>60479.999999999993</v>
      </c>
      <c r="N78" s="44">
        <v>60479.999999999993</v>
      </c>
      <c r="O78" s="44">
        <v>60479.999999999993</v>
      </c>
      <c r="P78" s="44">
        <v>60479.999999999993</v>
      </c>
      <c r="R78" s="44">
        <v>60479.999999999993</v>
      </c>
      <c r="S78" s="44">
        <v>60479.999999999993</v>
      </c>
      <c r="T78" s="44">
        <v>60479.999999999993</v>
      </c>
      <c r="V78" s="44">
        <v>60479.999999999993</v>
      </c>
      <c r="W78" s="44">
        <v>60479.999999999993</v>
      </c>
      <c r="X78" s="44">
        <v>60479.999999999993</v>
      </c>
      <c r="AA78" s="44">
        <v>60479.999999999993</v>
      </c>
      <c r="AB78" s="44">
        <v>60479.999999999993</v>
      </c>
      <c r="AC78" s="44">
        <v>60479.999999999993</v>
      </c>
      <c r="AD78" s="44">
        <v>60479.999999999993</v>
      </c>
      <c r="AE78" s="44">
        <v>60479.999999999993</v>
      </c>
      <c r="AF78" s="44">
        <v>60479.999999999993</v>
      </c>
      <c r="AG78" s="44">
        <v>60479.999999999993</v>
      </c>
      <c r="AH78" s="44">
        <v>60479.999999999993</v>
      </c>
      <c r="AI78" s="44">
        <v>60479.999999999993</v>
      </c>
      <c r="AJ78" s="44">
        <v>60479.999999999993</v>
      </c>
      <c r="AK78" s="44">
        <v>60479.999999999993</v>
      </c>
      <c r="AL78"/>
      <c r="AM78" s="44">
        <v>60479.999999999993</v>
      </c>
      <c r="AN78" s="44">
        <v>60479.999999999993</v>
      </c>
      <c r="AO78" s="44">
        <v>60479.999999999993</v>
      </c>
      <c r="AP78" s="44">
        <v>60479.999999999993</v>
      </c>
      <c r="AQ78" s="44">
        <v>60479.999999999993</v>
      </c>
      <c r="AR78" s="44">
        <v>60479.999999999993</v>
      </c>
      <c r="AS78" s="44">
        <v>60479.999999999993</v>
      </c>
      <c r="AT78"/>
      <c r="AU78" s="44">
        <v>60479.999999999993</v>
      </c>
      <c r="AV78" s="44">
        <v>60479.999999999993</v>
      </c>
      <c r="AW78" s="44">
        <v>60479.999999999993</v>
      </c>
      <c r="AX78" s="44">
        <v>60479.999999999993</v>
      </c>
      <c r="AY78"/>
      <c r="AZ78" s="44">
        <v>60479.999999999993</v>
      </c>
      <c r="BA78"/>
      <c r="BB78"/>
      <c r="BC78" s="44">
        <v>60479.999999999993</v>
      </c>
    </row>
    <row r="79" spans="1:55" x14ac:dyDescent="0.25">
      <c r="A79" s="33" t="s">
        <v>411</v>
      </c>
      <c r="B79" s="3" t="s">
        <v>473</v>
      </c>
      <c r="C79" s="3" t="s">
        <v>483</v>
      </c>
      <c r="D79" s="3" t="s">
        <v>524</v>
      </c>
      <c r="E79" s="34" t="s">
        <v>417</v>
      </c>
      <c r="F79" s="34" t="s">
        <v>100</v>
      </c>
      <c r="G79" s="44">
        <v>0.85</v>
      </c>
      <c r="H79" s="44">
        <f t="shared" si="2"/>
        <v>0.85</v>
      </c>
      <c r="I79" s="44">
        <v>0.85</v>
      </c>
      <c r="J79" s="44">
        <v>0.85</v>
      </c>
      <c r="K79" s="44">
        <v>0.85</v>
      </c>
      <c r="L79" s="44">
        <v>0.85</v>
      </c>
      <c r="M79" s="44">
        <v>0.85</v>
      </c>
      <c r="N79" s="44">
        <v>0.85</v>
      </c>
      <c r="O79" s="44">
        <v>0.85</v>
      </c>
      <c r="P79" s="44">
        <v>0.85</v>
      </c>
      <c r="R79" s="44">
        <v>0.85</v>
      </c>
      <c r="S79" s="44">
        <v>0.85</v>
      </c>
      <c r="T79" s="44">
        <v>0.85</v>
      </c>
      <c r="V79" s="44">
        <v>0.85</v>
      </c>
      <c r="W79" s="44">
        <v>0.85</v>
      </c>
      <c r="X79" s="44">
        <v>0.85</v>
      </c>
      <c r="AA79" s="44">
        <v>0.85</v>
      </c>
      <c r="AB79" s="44">
        <v>0.85</v>
      </c>
      <c r="AC79" s="44">
        <v>0.85</v>
      </c>
      <c r="AD79" s="44">
        <v>0.85</v>
      </c>
      <c r="AE79" s="44">
        <v>0.85</v>
      </c>
      <c r="AF79" s="44">
        <v>0.85</v>
      </c>
      <c r="AG79" s="44">
        <v>0.85</v>
      </c>
      <c r="AH79" s="44">
        <v>0.85</v>
      </c>
      <c r="AI79" s="44">
        <v>0.85</v>
      </c>
      <c r="AJ79" s="44">
        <v>0.85</v>
      </c>
      <c r="AK79" s="44">
        <v>0.85</v>
      </c>
      <c r="AL79"/>
      <c r="AM79" s="44">
        <v>0.85</v>
      </c>
      <c r="AN79" s="44">
        <v>0.85</v>
      </c>
      <c r="AO79" s="44">
        <v>0.85</v>
      </c>
      <c r="AP79" s="44">
        <v>0.85</v>
      </c>
      <c r="AQ79" s="44">
        <v>0.85</v>
      </c>
      <c r="AR79" s="44">
        <v>0.85</v>
      </c>
      <c r="AS79" s="44">
        <v>0.85</v>
      </c>
      <c r="AT79"/>
      <c r="AU79" s="44">
        <v>0.85</v>
      </c>
      <c r="AV79" s="44">
        <v>0.85</v>
      </c>
      <c r="AW79" s="44">
        <v>0.85</v>
      </c>
      <c r="AX79" s="44">
        <v>0.85</v>
      </c>
      <c r="AY79"/>
      <c r="AZ79" s="44">
        <v>0.85</v>
      </c>
      <c r="BA79"/>
      <c r="BB79"/>
      <c r="BC79" s="44">
        <v>0.85</v>
      </c>
    </row>
    <row r="80" spans="1:55" x14ac:dyDescent="0.25">
      <c r="A80" s="33" t="s">
        <v>402</v>
      </c>
      <c r="B80" s="3" t="s">
        <v>473</v>
      </c>
      <c r="C80" s="3" t="s">
        <v>483</v>
      </c>
      <c r="D80" s="3" t="s">
        <v>524</v>
      </c>
      <c r="E80" s="34" t="s">
        <v>404</v>
      </c>
      <c r="F80" s="34" t="s">
        <v>106</v>
      </c>
      <c r="G80" s="44">
        <v>518400</v>
      </c>
      <c r="H80" s="44">
        <f t="shared" si="2"/>
        <v>518400</v>
      </c>
      <c r="I80" s="44">
        <v>518400</v>
      </c>
      <c r="J80" s="44">
        <v>518400</v>
      </c>
      <c r="K80" s="44">
        <v>518400</v>
      </c>
      <c r="L80" s="44">
        <v>518400</v>
      </c>
      <c r="M80" s="44">
        <v>518400</v>
      </c>
      <c r="N80" s="44">
        <v>518400</v>
      </c>
      <c r="O80" s="44">
        <v>518400</v>
      </c>
      <c r="P80" s="44">
        <v>518400</v>
      </c>
      <c r="R80" s="44">
        <v>518400</v>
      </c>
      <c r="S80" s="44">
        <v>518400</v>
      </c>
      <c r="T80" s="44">
        <v>518400</v>
      </c>
      <c r="V80" s="44">
        <v>518400</v>
      </c>
      <c r="W80" s="44">
        <v>518400</v>
      </c>
      <c r="X80" s="44">
        <v>518400</v>
      </c>
      <c r="AA80" s="44">
        <v>518400</v>
      </c>
      <c r="AB80" s="44">
        <v>518400</v>
      </c>
      <c r="AC80" s="44">
        <v>518400</v>
      </c>
      <c r="AD80" s="44">
        <v>518400</v>
      </c>
      <c r="AE80" s="44">
        <v>518400</v>
      </c>
      <c r="AF80" s="44">
        <v>518400</v>
      </c>
      <c r="AG80" s="44">
        <v>518400</v>
      </c>
      <c r="AH80" s="44">
        <v>518400</v>
      </c>
      <c r="AI80" s="44">
        <v>518400</v>
      </c>
      <c r="AJ80" s="44">
        <v>518400</v>
      </c>
      <c r="AK80" s="44">
        <v>518400</v>
      </c>
      <c r="AL80"/>
      <c r="AM80" s="44">
        <v>518400</v>
      </c>
      <c r="AN80" s="44">
        <v>518400</v>
      </c>
      <c r="AO80" s="44">
        <v>518400</v>
      </c>
      <c r="AP80" s="44">
        <v>518400</v>
      </c>
      <c r="AQ80" s="44">
        <v>518400</v>
      </c>
      <c r="AR80" s="44">
        <v>518400</v>
      </c>
      <c r="AS80" s="44">
        <v>518400</v>
      </c>
      <c r="AT80"/>
      <c r="AU80" s="44">
        <v>518400</v>
      </c>
      <c r="AV80" s="44">
        <v>518400</v>
      </c>
      <c r="AW80" s="44">
        <v>518400</v>
      </c>
      <c r="AX80" s="44">
        <v>518400</v>
      </c>
      <c r="AY80"/>
      <c r="AZ80" s="44">
        <v>518400</v>
      </c>
      <c r="BA80"/>
      <c r="BB80"/>
      <c r="BC80" s="44">
        <v>518400</v>
      </c>
    </row>
    <row r="81" spans="1:55" x14ac:dyDescent="0.25">
      <c r="A81" s="33" t="s">
        <v>412</v>
      </c>
      <c r="B81" s="3" t="s">
        <v>473</v>
      </c>
      <c r="C81" s="3" t="s">
        <v>483</v>
      </c>
      <c r="D81" s="3" t="s">
        <v>524</v>
      </c>
      <c r="E81" s="34" t="s">
        <v>405</v>
      </c>
      <c r="F81" s="34" t="s">
        <v>106</v>
      </c>
      <c r="G81" s="44">
        <v>5184000</v>
      </c>
      <c r="H81" s="44">
        <f t="shared" si="2"/>
        <v>5184000</v>
      </c>
      <c r="I81" s="44">
        <v>5184000</v>
      </c>
      <c r="J81" s="44">
        <v>5184000</v>
      </c>
      <c r="K81" s="44">
        <v>5184000</v>
      </c>
      <c r="L81" s="44">
        <v>5184000</v>
      </c>
      <c r="M81" s="44">
        <v>5184000</v>
      </c>
      <c r="N81" s="44">
        <v>5184000</v>
      </c>
      <c r="O81" s="44">
        <v>5184000</v>
      </c>
      <c r="P81" s="44">
        <v>5184000</v>
      </c>
      <c r="R81" s="44">
        <v>5184000</v>
      </c>
      <c r="S81" s="44">
        <v>5184000</v>
      </c>
      <c r="T81" s="44">
        <v>5184000</v>
      </c>
      <c r="V81" s="44">
        <v>5184000</v>
      </c>
      <c r="W81" s="44">
        <v>5184000</v>
      </c>
      <c r="X81" s="44">
        <v>5184000</v>
      </c>
      <c r="AA81" s="44">
        <v>5184000</v>
      </c>
      <c r="AB81" s="44">
        <v>5184000</v>
      </c>
      <c r="AC81" s="44">
        <v>5184000</v>
      </c>
      <c r="AD81" s="44">
        <v>5184000</v>
      </c>
      <c r="AE81" s="44">
        <v>5184000</v>
      </c>
      <c r="AF81" s="44">
        <v>5184000</v>
      </c>
      <c r="AG81" s="44">
        <v>5184000</v>
      </c>
      <c r="AH81" s="44">
        <v>5184000</v>
      </c>
      <c r="AI81" s="44">
        <v>5184000</v>
      </c>
      <c r="AJ81" s="44">
        <v>5184000</v>
      </c>
      <c r="AK81" s="44">
        <v>5184000</v>
      </c>
      <c r="AL81"/>
      <c r="AM81" s="44">
        <v>5184000</v>
      </c>
      <c r="AN81" s="44">
        <v>5184000</v>
      </c>
      <c r="AO81" s="44">
        <v>5184000</v>
      </c>
      <c r="AP81" s="44">
        <v>5184000</v>
      </c>
      <c r="AQ81" s="44">
        <v>5184000</v>
      </c>
      <c r="AR81" s="44">
        <v>5184000</v>
      </c>
      <c r="AS81" s="44">
        <v>5184000</v>
      </c>
      <c r="AT81"/>
      <c r="AU81" s="44">
        <v>5184000</v>
      </c>
      <c r="AV81" s="44">
        <v>5184000</v>
      </c>
      <c r="AW81" s="44">
        <v>5184000</v>
      </c>
      <c r="AX81" s="44">
        <v>5184000</v>
      </c>
      <c r="AY81"/>
      <c r="AZ81" s="44">
        <v>5184000</v>
      </c>
      <c r="BA81"/>
      <c r="BB81"/>
      <c r="BC81" s="44">
        <v>5184000</v>
      </c>
    </row>
    <row r="82" spans="1:55" x14ac:dyDescent="0.25">
      <c r="A82" s="17" t="s">
        <v>51</v>
      </c>
      <c r="B82" s="3" t="s">
        <v>473</v>
      </c>
      <c r="C82" s="3" t="s">
        <v>483</v>
      </c>
      <c r="D82" s="3" t="s">
        <v>524</v>
      </c>
      <c r="E82" s="18" t="s">
        <v>162</v>
      </c>
      <c r="F82" s="18" t="s">
        <v>108</v>
      </c>
      <c r="G82" s="44">
        <v>259200</v>
      </c>
      <c r="H82" s="44">
        <f t="shared" si="2"/>
        <v>259200</v>
      </c>
      <c r="I82" s="44">
        <v>50000</v>
      </c>
      <c r="J82" s="44">
        <v>50000</v>
      </c>
      <c r="K82" s="44">
        <v>50000</v>
      </c>
      <c r="L82" s="44">
        <v>50000</v>
      </c>
      <c r="M82" s="44">
        <v>50000</v>
      </c>
      <c r="N82" s="44">
        <v>50000</v>
      </c>
      <c r="O82" s="44">
        <v>50000</v>
      </c>
      <c r="P82" s="44">
        <v>50000</v>
      </c>
      <c r="R82" s="44">
        <v>50000</v>
      </c>
      <c r="S82" s="44">
        <v>50000</v>
      </c>
      <c r="T82" s="44">
        <v>50000</v>
      </c>
      <c r="V82" s="44">
        <v>50000</v>
      </c>
      <c r="W82" s="44">
        <v>50000</v>
      </c>
      <c r="X82" s="44">
        <v>50000</v>
      </c>
      <c r="AA82" s="44">
        <v>50000</v>
      </c>
      <c r="AB82" s="44">
        <v>50000</v>
      </c>
      <c r="AC82" s="44">
        <v>50000</v>
      </c>
      <c r="AD82" s="44">
        <v>50000</v>
      </c>
      <c r="AE82" s="44">
        <v>50000</v>
      </c>
      <c r="AF82" s="44">
        <v>50000</v>
      </c>
      <c r="AG82" s="44">
        <v>50000</v>
      </c>
      <c r="AH82" s="44">
        <v>50000</v>
      </c>
      <c r="AI82" s="44">
        <v>50000</v>
      </c>
      <c r="AJ82" s="44">
        <v>50000</v>
      </c>
      <c r="AK82" s="44">
        <v>50000</v>
      </c>
      <c r="AL82"/>
      <c r="AM82" s="44">
        <v>50000</v>
      </c>
      <c r="AN82" s="44">
        <v>50000</v>
      </c>
      <c r="AO82" s="44">
        <v>50000</v>
      </c>
      <c r="AP82" s="44">
        <v>50000</v>
      </c>
      <c r="AQ82" s="44">
        <v>50000</v>
      </c>
      <c r="AR82" s="44">
        <v>50000</v>
      </c>
      <c r="AS82" s="44">
        <v>50000</v>
      </c>
      <c r="AT82"/>
      <c r="AU82" s="44">
        <v>50000</v>
      </c>
      <c r="AV82" s="44">
        <v>50000</v>
      </c>
      <c r="AW82" s="44">
        <v>50000</v>
      </c>
      <c r="AX82" s="44">
        <v>50000</v>
      </c>
      <c r="AY82"/>
      <c r="AZ82" s="44">
        <v>50000</v>
      </c>
      <c r="BA82"/>
      <c r="BB82"/>
      <c r="BC82" s="44">
        <v>50000</v>
      </c>
    </row>
    <row r="83" spans="1:55" x14ac:dyDescent="0.25">
      <c r="A83" s="17" t="s">
        <v>52</v>
      </c>
      <c r="B83" s="3" t="s">
        <v>473</v>
      </c>
      <c r="C83" s="3" t="s">
        <v>483</v>
      </c>
      <c r="D83" s="3" t="s">
        <v>524</v>
      </c>
      <c r="E83" s="18" t="s">
        <v>163</v>
      </c>
      <c r="F83" s="18" t="s">
        <v>196</v>
      </c>
      <c r="G83" s="44">
        <v>140000</v>
      </c>
      <c r="H83" s="44">
        <f t="shared" si="2"/>
        <v>140000</v>
      </c>
      <c r="I83" s="44">
        <v>140000</v>
      </c>
      <c r="J83" s="44">
        <v>140000</v>
      </c>
      <c r="K83" s="44">
        <v>140000</v>
      </c>
      <c r="L83" s="44">
        <v>140000</v>
      </c>
      <c r="M83" s="44">
        <v>140000</v>
      </c>
      <c r="N83" s="44">
        <v>140000</v>
      </c>
      <c r="O83" s="44">
        <v>140000</v>
      </c>
      <c r="P83" s="44">
        <v>140000</v>
      </c>
      <c r="R83" s="44">
        <v>140000</v>
      </c>
      <c r="S83" s="44">
        <v>140000</v>
      </c>
      <c r="T83" s="44">
        <v>140000</v>
      </c>
      <c r="V83" s="44">
        <v>140000</v>
      </c>
      <c r="W83" s="44">
        <v>140000</v>
      </c>
      <c r="X83" s="44">
        <v>140000</v>
      </c>
      <c r="AA83" s="44">
        <v>140000</v>
      </c>
      <c r="AB83" s="44">
        <v>140000</v>
      </c>
      <c r="AC83" s="44">
        <v>140000</v>
      </c>
      <c r="AD83" s="44">
        <v>140000</v>
      </c>
      <c r="AE83" s="44">
        <v>140000</v>
      </c>
      <c r="AF83" s="44">
        <v>140000</v>
      </c>
      <c r="AG83" s="44">
        <v>140000</v>
      </c>
      <c r="AH83" s="44">
        <v>140000</v>
      </c>
      <c r="AI83" s="44">
        <v>140000</v>
      </c>
      <c r="AJ83" s="44">
        <v>140000</v>
      </c>
      <c r="AK83" s="44">
        <v>140000</v>
      </c>
      <c r="AL83"/>
      <c r="AM83" s="44">
        <v>140000</v>
      </c>
      <c r="AN83" s="44">
        <v>140000</v>
      </c>
      <c r="AO83" s="44">
        <v>140000</v>
      </c>
      <c r="AP83" s="44">
        <v>140000</v>
      </c>
      <c r="AQ83" s="44">
        <v>140000</v>
      </c>
      <c r="AR83" s="44">
        <v>140000</v>
      </c>
      <c r="AS83" s="44">
        <v>140000</v>
      </c>
      <c r="AT83"/>
      <c r="AU83" s="44">
        <v>140000</v>
      </c>
      <c r="AV83" s="44">
        <v>140000</v>
      </c>
      <c r="AW83" s="44">
        <v>140000</v>
      </c>
      <c r="AX83" s="44">
        <v>140000</v>
      </c>
      <c r="AY83"/>
      <c r="AZ83" s="44">
        <v>140000</v>
      </c>
      <c r="BA83"/>
      <c r="BB83"/>
      <c r="BC83" s="44">
        <v>140000</v>
      </c>
    </row>
    <row r="84" spans="1:55" x14ac:dyDescent="0.25">
      <c r="A84" s="17" t="s">
        <v>53</v>
      </c>
      <c r="B84" s="3" t="s">
        <v>473</v>
      </c>
      <c r="C84" s="3" t="s">
        <v>483</v>
      </c>
      <c r="D84" s="3" t="s">
        <v>524</v>
      </c>
      <c r="E84" s="18" t="s">
        <v>164</v>
      </c>
      <c r="F84" s="18" t="s">
        <v>197</v>
      </c>
      <c r="G84" s="44">
        <v>3.6636136999999999E-2</v>
      </c>
      <c r="H84" s="44">
        <f t="shared" si="2"/>
        <v>3.6636136999999999E-2</v>
      </c>
      <c r="I84" s="44">
        <v>3.6636136999999999E-2</v>
      </c>
      <c r="J84" s="44">
        <v>3.6636136999999999E-2</v>
      </c>
      <c r="K84" s="44">
        <v>3.6636136999999999E-2</v>
      </c>
      <c r="L84" s="44">
        <v>3.6636136999999999E-2</v>
      </c>
      <c r="M84" s="44">
        <v>3.6636136999999999E-2</v>
      </c>
      <c r="N84" s="44">
        <v>3.6636136999999999E-2</v>
      </c>
      <c r="O84" s="44">
        <v>3.6636136999999999E-2</v>
      </c>
      <c r="P84" s="44">
        <v>3.6636136999999999E-2</v>
      </c>
      <c r="R84" s="44">
        <v>3.6636136999999999E-2</v>
      </c>
      <c r="S84" s="44">
        <v>3.6636136999999999E-2</v>
      </c>
      <c r="T84" s="44">
        <v>3.6636136999999999E-2</v>
      </c>
      <c r="V84" s="44">
        <v>3.6636136999999999E-2</v>
      </c>
      <c r="W84" s="44">
        <v>3.6636136999999999E-2</v>
      </c>
      <c r="X84" s="44">
        <v>3.6636136999999999E-2</v>
      </c>
      <c r="AA84" s="44">
        <v>3.6636136999999999E-2</v>
      </c>
      <c r="AB84" s="44">
        <v>3.6636136999999999E-2</v>
      </c>
      <c r="AC84" s="44">
        <v>3.6636136999999999E-2</v>
      </c>
      <c r="AD84" s="44">
        <v>3.6636136999999999E-2</v>
      </c>
      <c r="AE84" s="44">
        <v>3.6636136999999999E-2</v>
      </c>
      <c r="AF84" s="44">
        <v>3.6636136999999999E-2</v>
      </c>
      <c r="AG84" s="44">
        <v>3.6636136999999999E-2</v>
      </c>
      <c r="AH84" s="44">
        <v>3.6636136999999999E-2</v>
      </c>
      <c r="AI84" s="44">
        <v>3.6636136999999999E-2</v>
      </c>
      <c r="AJ84" s="44">
        <v>3.6636136999999999E-2</v>
      </c>
      <c r="AK84" s="44">
        <v>3.6636136999999999E-2</v>
      </c>
      <c r="AL84"/>
      <c r="AM84" s="44">
        <v>3.6636136999999999E-2</v>
      </c>
      <c r="AN84" s="44">
        <v>3.6636136999999999E-2</v>
      </c>
      <c r="AO84" s="44">
        <v>3.6636136999999999E-2</v>
      </c>
      <c r="AP84" s="44">
        <v>3.6636136999999999E-2</v>
      </c>
      <c r="AQ84" s="44">
        <v>3.6636136999999999E-2</v>
      </c>
      <c r="AR84" s="44">
        <v>3.6636136999999999E-2</v>
      </c>
      <c r="AS84" s="44">
        <v>3.6636136999999999E-2</v>
      </c>
      <c r="AT84"/>
      <c r="AU84" s="44">
        <v>3.6636136999999999E-2</v>
      </c>
      <c r="AV84" s="44">
        <v>3.6636136999999999E-2</v>
      </c>
      <c r="AW84" s="44">
        <v>3.6636136999999999E-2</v>
      </c>
      <c r="AX84" s="44">
        <v>3.6636136999999999E-2</v>
      </c>
      <c r="AY84"/>
      <c r="AZ84" s="44">
        <v>3.6636136999999999E-2</v>
      </c>
      <c r="BA84"/>
      <c r="BB84"/>
      <c r="BC84" s="44">
        <v>3.6636136999999999E-2</v>
      </c>
    </row>
    <row r="85" spans="1:55" x14ac:dyDescent="0.25">
      <c r="A85" s="17" t="s">
        <v>54</v>
      </c>
      <c r="B85" s="3" t="s">
        <v>473</v>
      </c>
      <c r="C85" s="3" t="s">
        <v>483</v>
      </c>
      <c r="D85" s="3" t="s">
        <v>524</v>
      </c>
      <c r="E85" s="18" t="s">
        <v>165</v>
      </c>
      <c r="F85" s="18" t="s">
        <v>98</v>
      </c>
      <c r="G85" s="44">
        <v>4.4999999999999997E-3</v>
      </c>
      <c r="H85" s="44">
        <f t="shared" si="2"/>
        <v>4.4999999999999997E-3</v>
      </c>
      <c r="I85" s="44">
        <v>4.4999999999999997E-3</v>
      </c>
      <c r="J85" s="44">
        <v>4.4999999999999997E-3</v>
      </c>
      <c r="K85" s="44">
        <v>4.4999999999999997E-3</v>
      </c>
      <c r="L85" s="44">
        <v>4.4999999999999997E-3</v>
      </c>
      <c r="M85" s="44">
        <v>4.4999999999999997E-3</v>
      </c>
      <c r="N85" s="44">
        <v>4.4999999999999997E-3</v>
      </c>
      <c r="O85" s="44">
        <v>4.4999999999999997E-3</v>
      </c>
      <c r="P85" s="44">
        <v>4.4999999999999997E-3</v>
      </c>
      <c r="R85" s="44">
        <v>4.4999999999999997E-3</v>
      </c>
      <c r="S85" s="44">
        <v>4.4999999999999997E-3</v>
      </c>
      <c r="T85" s="44">
        <v>4.4999999999999997E-3</v>
      </c>
      <c r="V85" s="44">
        <v>4.4999999999999997E-3</v>
      </c>
      <c r="W85" s="44">
        <v>4.4999999999999997E-3</v>
      </c>
      <c r="X85" s="44">
        <v>4.4999999999999997E-3</v>
      </c>
      <c r="AA85" s="44">
        <v>4.4999999999999997E-3</v>
      </c>
      <c r="AB85" s="44">
        <v>4.4999999999999997E-3</v>
      </c>
      <c r="AC85" s="44">
        <v>4.4999999999999997E-3</v>
      </c>
      <c r="AD85" s="44">
        <v>4.4999999999999997E-3</v>
      </c>
      <c r="AE85" s="44">
        <v>4.4999999999999997E-3</v>
      </c>
      <c r="AF85" s="44">
        <v>4.4999999999999997E-3</v>
      </c>
      <c r="AG85" s="44">
        <v>4.4999999999999997E-3</v>
      </c>
      <c r="AH85" s="44">
        <v>4.4999999999999997E-3</v>
      </c>
      <c r="AI85" s="44">
        <v>4.4999999999999997E-3</v>
      </c>
      <c r="AJ85" s="44">
        <v>4.4999999999999997E-3</v>
      </c>
      <c r="AK85" s="44">
        <v>4.4999999999999997E-3</v>
      </c>
      <c r="AL85"/>
      <c r="AM85" s="44">
        <v>4.4999999999999997E-3</v>
      </c>
      <c r="AN85" s="44">
        <v>4.4999999999999997E-3</v>
      </c>
      <c r="AO85" s="44">
        <v>4.4999999999999997E-3</v>
      </c>
      <c r="AP85" s="44">
        <v>4.4999999999999997E-3</v>
      </c>
      <c r="AQ85" s="44">
        <v>4.4999999999999997E-3</v>
      </c>
      <c r="AR85" s="44">
        <v>4.4999999999999997E-3</v>
      </c>
      <c r="AS85" s="44">
        <v>4.4999999999999997E-3</v>
      </c>
      <c r="AT85"/>
      <c r="AU85" s="44">
        <v>4.4999999999999997E-3</v>
      </c>
      <c r="AV85" s="44">
        <v>4.4999999999999997E-3</v>
      </c>
      <c r="AW85" s="44">
        <v>4.4999999999999997E-3</v>
      </c>
      <c r="AX85" s="44">
        <v>4.4999999999999997E-3</v>
      </c>
      <c r="AY85"/>
      <c r="AZ85" s="44">
        <v>4.4999999999999997E-3</v>
      </c>
      <c r="BA85"/>
      <c r="BB85"/>
      <c r="BC85" s="44">
        <v>4.4999999999999997E-3</v>
      </c>
    </row>
    <row r="86" spans="1:55" x14ac:dyDescent="0.25">
      <c r="A86" s="17" t="s">
        <v>55</v>
      </c>
      <c r="B86" s="3" t="s">
        <v>473</v>
      </c>
      <c r="C86" s="3" t="s">
        <v>483</v>
      </c>
      <c r="D86" s="3" t="s">
        <v>524</v>
      </c>
      <c r="E86" s="18" t="s">
        <v>166</v>
      </c>
      <c r="F86" s="18" t="s">
        <v>100</v>
      </c>
      <c r="G86" s="44">
        <v>0.05</v>
      </c>
      <c r="H86" s="44">
        <f t="shared" si="2"/>
        <v>0.05</v>
      </c>
      <c r="I86" s="44">
        <v>0.05</v>
      </c>
      <c r="J86" s="44">
        <v>0.05</v>
      </c>
      <c r="K86" s="44">
        <v>0.05</v>
      </c>
      <c r="L86" s="44">
        <v>0.05</v>
      </c>
      <c r="M86" s="44">
        <v>0.05</v>
      </c>
      <c r="N86" s="44">
        <v>0.05</v>
      </c>
      <c r="O86" s="44">
        <v>0.05</v>
      </c>
      <c r="P86" s="44">
        <v>0.05</v>
      </c>
      <c r="R86" s="44">
        <v>0.05</v>
      </c>
      <c r="S86" s="44">
        <v>0.05</v>
      </c>
      <c r="T86" s="44">
        <v>0.05</v>
      </c>
      <c r="V86" s="44">
        <v>0.05</v>
      </c>
      <c r="W86" s="44">
        <v>0.05</v>
      </c>
      <c r="X86" s="44">
        <v>0.05</v>
      </c>
      <c r="AA86" s="44">
        <v>0.05</v>
      </c>
      <c r="AB86" s="44">
        <v>0.05</v>
      </c>
      <c r="AC86" s="44">
        <v>0.05</v>
      </c>
      <c r="AD86" s="44">
        <v>0.05</v>
      </c>
      <c r="AE86" s="44">
        <v>0.05</v>
      </c>
      <c r="AF86" s="44">
        <v>0.05</v>
      </c>
      <c r="AG86" s="44">
        <v>0.05</v>
      </c>
      <c r="AH86" s="44">
        <v>0.05</v>
      </c>
      <c r="AI86" s="44">
        <v>0.05</v>
      </c>
      <c r="AJ86" s="44">
        <v>0.05</v>
      </c>
      <c r="AK86" s="44">
        <v>0.05</v>
      </c>
      <c r="AL86"/>
      <c r="AM86" s="44">
        <v>0.05</v>
      </c>
      <c r="AN86" s="44">
        <v>0.05</v>
      </c>
      <c r="AO86" s="44">
        <v>0.05</v>
      </c>
      <c r="AP86" s="44">
        <v>0.05</v>
      </c>
      <c r="AQ86" s="44">
        <v>0.05</v>
      </c>
      <c r="AR86" s="44">
        <v>0.05</v>
      </c>
      <c r="AS86" s="44">
        <v>0.05</v>
      </c>
      <c r="AT86"/>
      <c r="AU86" s="44">
        <v>0.05</v>
      </c>
      <c r="AV86" s="44">
        <v>0.05</v>
      </c>
      <c r="AW86" s="44">
        <v>0.05</v>
      </c>
      <c r="AX86" s="44">
        <v>0.05</v>
      </c>
      <c r="AY86"/>
      <c r="AZ86" s="44">
        <v>0.05</v>
      </c>
      <c r="BA86"/>
      <c r="BB86"/>
      <c r="BC86" s="44">
        <v>0.05</v>
      </c>
    </row>
    <row r="87" spans="1:55" x14ac:dyDescent="0.25">
      <c r="A87" s="19" t="s">
        <v>213</v>
      </c>
      <c r="B87" s="3" t="s">
        <v>473</v>
      </c>
      <c r="C87" s="3" t="s">
        <v>483</v>
      </c>
      <c r="D87" s="3" t="s">
        <v>524</v>
      </c>
      <c r="E87" s="20" t="s">
        <v>290</v>
      </c>
      <c r="F87" s="20" t="s">
        <v>98</v>
      </c>
      <c r="G87" s="44">
        <v>6.0000000000000002E-6</v>
      </c>
      <c r="H87" s="44">
        <f t="shared" si="2"/>
        <v>6.0000000000000002E-6</v>
      </c>
      <c r="I87" s="44">
        <v>6.0000000000000002E-6</v>
      </c>
      <c r="J87" s="44">
        <v>6.0000000000000002E-6</v>
      </c>
      <c r="K87" s="44">
        <v>6.0000000000000002E-6</v>
      </c>
      <c r="L87" s="44">
        <v>6.0000000000000002E-6</v>
      </c>
      <c r="M87" s="44">
        <v>6.0000000000000002E-6</v>
      </c>
      <c r="N87" s="44">
        <v>6.0000000000000002E-6</v>
      </c>
      <c r="O87" s="44">
        <v>6.0000000000000002E-6</v>
      </c>
      <c r="P87" s="44">
        <v>6.0000000000000002E-6</v>
      </c>
      <c r="R87" s="44">
        <v>6.0000000000000002E-6</v>
      </c>
      <c r="S87" s="44">
        <v>6.0000000000000002E-6</v>
      </c>
      <c r="T87" s="44">
        <v>6.0000000000000002E-6</v>
      </c>
      <c r="V87" s="44">
        <v>6.0000000000000002E-6</v>
      </c>
      <c r="W87" s="44">
        <v>6.0000000000000002E-6</v>
      </c>
      <c r="X87" s="44">
        <v>6.0000000000000002E-6</v>
      </c>
      <c r="AA87" s="44">
        <v>6.0000000000000002E-6</v>
      </c>
      <c r="AB87" s="44">
        <v>6.0000000000000002E-6</v>
      </c>
      <c r="AC87" s="44">
        <v>6.0000000000000002E-6</v>
      </c>
      <c r="AD87" s="44">
        <v>6.0000000000000002E-6</v>
      </c>
      <c r="AE87" s="44">
        <v>6.0000000000000002E-6</v>
      </c>
      <c r="AF87" s="44">
        <v>6.0000000000000002E-6</v>
      </c>
      <c r="AG87" s="44">
        <v>6.0000000000000002E-6</v>
      </c>
      <c r="AH87" s="44">
        <v>6.0000000000000002E-6</v>
      </c>
      <c r="AI87" s="44">
        <v>6.0000000000000002E-6</v>
      </c>
      <c r="AJ87" s="44">
        <v>6.0000000000000002E-6</v>
      </c>
      <c r="AK87" s="44">
        <v>6.0000000000000002E-6</v>
      </c>
      <c r="AL87"/>
      <c r="AM87" s="44">
        <v>6.0000000000000002E-6</v>
      </c>
      <c r="AN87" s="44">
        <v>6.0000000000000002E-6</v>
      </c>
      <c r="AO87" s="44">
        <v>6.0000000000000002E-6</v>
      </c>
      <c r="AP87" s="44">
        <v>6.0000000000000002E-6</v>
      </c>
      <c r="AQ87" s="44">
        <v>6.0000000000000002E-6</v>
      </c>
      <c r="AR87" s="44">
        <v>6.0000000000000002E-6</v>
      </c>
      <c r="AS87" s="44">
        <v>6.0000000000000002E-6</v>
      </c>
      <c r="AT87"/>
      <c r="AU87" s="44">
        <v>6.0000000000000002E-6</v>
      </c>
      <c r="AV87" s="44">
        <v>6.0000000000000002E-6</v>
      </c>
      <c r="AW87" s="44">
        <v>6.0000000000000002E-6</v>
      </c>
      <c r="AX87" s="44">
        <v>6.0000000000000002E-6</v>
      </c>
      <c r="AY87"/>
      <c r="AZ87" s="44">
        <v>6.0000000000000002E-6</v>
      </c>
      <c r="BA87"/>
      <c r="BB87"/>
      <c r="BC87" s="44">
        <v>6.0000000000000002E-6</v>
      </c>
    </row>
    <row r="88" spans="1:55" x14ac:dyDescent="0.25">
      <c r="A88" s="19" t="s">
        <v>214</v>
      </c>
      <c r="B88" s="3" t="s">
        <v>473</v>
      </c>
      <c r="C88" s="3" t="s">
        <v>483</v>
      </c>
      <c r="D88" s="3" t="s">
        <v>524</v>
      </c>
      <c r="E88" s="20" t="s">
        <v>291</v>
      </c>
      <c r="F88" s="20" t="s">
        <v>98</v>
      </c>
      <c r="G88" s="44">
        <v>1E-3</v>
      </c>
      <c r="H88" s="44">
        <f t="shared" si="2"/>
        <v>1E-3</v>
      </c>
      <c r="I88" s="44">
        <v>1E-3</v>
      </c>
      <c r="J88" s="44">
        <v>1E-3</v>
      </c>
      <c r="K88" s="44">
        <v>1E-3</v>
      </c>
      <c r="L88" s="44">
        <v>1E-3</v>
      </c>
      <c r="M88" s="44">
        <v>1E-3</v>
      </c>
      <c r="N88" s="44">
        <v>1E-3</v>
      </c>
      <c r="O88" s="44">
        <v>1E-3</v>
      </c>
      <c r="P88" s="44">
        <v>1E-3</v>
      </c>
      <c r="R88" s="44">
        <v>1E-3</v>
      </c>
      <c r="S88" s="44">
        <v>1E-3</v>
      </c>
      <c r="T88" s="44">
        <v>1E-3</v>
      </c>
      <c r="V88" s="44">
        <v>1E-3</v>
      </c>
      <c r="W88" s="44">
        <v>1E-3</v>
      </c>
      <c r="X88" s="44">
        <v>1E-3</v>
      </c>
      <c r="AA88" s="44">
        <v>1E-3</v>
      </c>
      <c r="AB88" s="44">
        <v>1E-3</v>
      </c>
      <c r="AC88" s="44">
        <v>1E-3</v>
      </c>
      <c r="AD88" s="44">
        <v>1E-3</v>
      </c>
      <c r="AE88" s="44">
        <v>1E-3</v>
      </c>
      <c r="AF88" s="44">
        <v>1E-3</v>
      </c>
      <c r="AG88" s="44">
        <v>1E-3</v>
      </c>
      <c r="AH88" s="44">
        <v>1E-3</v>
      </c>
      <c r="AI88" s="44">
        <v>1E-3</v>
      </c>
      <c r="AJ88" s="44">
        <v>1E-3</v>
      </c>
      <c r="AK88" s="44">
        <v>1E-3</v>
      </c>
      <c r="AL88"/>
      <c r="AM88" s="44">
        <v>1E-3</v>
      </c>
      <c r="AN88" s="44">
        <v>1E-3</v>
      </c>
      <c r="AO88" s="44">
        <v>1E-3</v>
      </c>
      <c r="AP88" s="44">
        <v>1E-3</v>
      </c>
      <c r="AQ88" s="44">
        <v>1E-3</v>
      </c>
      <c r="AR88" s="44">
        <v>1E-3</v>
      </c>
      <c r="AS88" s="44">
        <v>1E-3</v>
      </c>
      <c r="AT88"/>
      <c r="AU88" s="44">
        <v>1E-3</v>
      </c>
      <c r="AV88" s="44">
        <v>1E-3</v>
      </c>
      <c r="AW88" s="44">
        <v>1E-3</v>
      </c>
      <c r="AX88" s="44">
        <v>1E-3</v>
      </c>
      <c r="AY88"/>
      <c r="AZ88" s="44">
        <v>1E-3</v>
      </c>
      <c r="BA88"/>
      <c r="BB88"/>
      <c r="BC88" s="44">
        <v>1E-3</v>
      </c>
    </row>
    <row r="89" spans="1:55" x14ac:dyDescent="0.25">
      <c r="A89" s="19" t="s">
        <v>215</v>
      </c>
      <c r="B89" s="3" t="s">
        <v>473</v>
      </c>
      <c r="C89" s="3" t="s">
        <v>483</v>
      </c>
      <c r="D89" s="3" t="s">
        <v>524</v>
      </c>
      <c r="E89" s="20" t="s">
        <v>295</v>
      </c>
      <c r="F89" s="20" t="s">
        <v>294</v>
      </c>
      <c r="G89" s="44">
        <v>374999999.99999994</v>
      </c>
      <c r="H89" s="44">
        <f t="shared" si="2"/>
        <v>374999999.99999994</v>
      </c>
      <c r="I89" s="44">
        <v>374999999.99999994</v>
      </c>
      <c r="J89" s="44">
        <v>374999999.99999994</v>
      </c>
      <c r="K89" s="44">
        <v>374999999.99999994</v>
      </c>
      <c r="L89" s="44">
        <v>374999999.99999994</v>
      </c>
      <c r="M89" s="44">
        <v>374999999.99999994</v>
      </c>
      <c r="N89" s="44">
        <v>374999999.99999994</v>
      </c>
      <c r="O89" s="44">
        <v>374999999.99999994</v>
      </c>
      <c r="P89" s="44">
        <v>374999999.99999994</v>
      </c>
      <c r="R89" s="44">
        <v>374999999.99999994</v>
      </c>
      <c r="S89" s="44">
        <v>374999999.99999994</v>
      </c>
      <c r="T89" s="44">
        <v>374999999.99999994</v>
      </c>
      <c r="V89" s="44">
        <v>374999999.99999994</v>
      </c>
      <c r="W89" s="44">
        <v>374999999.99999994</v>
      </c>
      <c r="X89" s="44">
        <v>374999999.99999994</v>
      </c>
      <c r="AA89" s="44">
        <v>374999999.99999994</v>
      </c>
      <c r="AB89" s="44">
        <v>374999999.99999994</v>
      </c>
      <c r="AC89" s="44">
        <v>374999999.99999994</v>
      </c>
      <c r="AD89" s="44">
        <v>374999999.99999994</v>
      </c>
      <c r="AE89" s="44">
        <v>374999999.99999994</v>
      </c>
      <c r="AF89" s="44">
        <v>374999999.99999994</v>
      </c>
      <c r="AG89" s="44">
        <v>374999999.99999994</v>
      </c>
      <c r="AH89" s="44">
        <v>374999999.99999994</v>
      </c>
      <c r="AI89" s="44">
        <v>374999999.99999994</v>
      </c>
      <c r="AJ89" s="44">
        <v>374999999.99999994</v>
      </c>
      <c r="AK89" s="44">
        <v>374999999.99999994</v>
      </c>
      <c r="AL89"/>
      <c r="AM89" s="44">
        <v>374999999.99999994</v>
      </c>
      <c r="AN89" s="44">
        <v>374999999.99999994</v>
      </c>
      <c r="AO89" s="44">
        <v>374999999.99999994</v>
      </c>
      <c r="AP89" s="44">
        <v>374999999.99999994</v>
      </c>
      <c r="AQ89" s="44">
        <v>374999999.99999994</v>
      </c>
      <c r="AR89" s="44">
        <v>374999999.99999994</v>
      </c>
      <c r="AS89" s="44">
        <v>374999999.99999994</v>
      </c>
      <c r="AT89"/>
      <c r="AU89" s="44">
        <v>374999999.99999994</v>
      </c>
      <c r="AV89" s="44">
        <v>374999999.99999994</v>
      </c>
      <c r="AW89" s="44">
        <v>374999999.99999994</v>
      </c>
      <c r="AX89" s="44">
        <v>374999999.99999994</v>
      </c>
      <c r="AY89"/>
      <c r="AZ89" s="44">
        <v>374999999.99999994</v>
      </c>
      <c r="BA89"/>
      <c r="BB89"/>
      <c r="BC89" s="44">
        <v>374999999.99999994</v>
      </c>
    </row>
    <row r="90" spans="1:55" x14ac:dyDescent="0.25">
      <c r="A90" s="19" t="s">
        <v>216</v>
      </c>
      <c r="B90" s="3" t="s">
        <v>473</v>
      </c>
      <c r="C90" s="3" t="s">
        <v>483</v>
      </c>
      <c r="D90" s="3" t="s">
        <v>524</v>
      </c>
      <c r="E90" s="20" t="s">
        <v>292</v>
      </c>
      <c r="F90" s="20" t="s">
        <v>297</v>
      </c>
      <c r="G90" s="44">
        <v>3.7037037037037038E-3</v>
      </c>
      <c r="H90" s="44">
        <f t="shared" si="2"/>
        <v>3.7037037037037038E-3</v>
      </c>
      <c r="I90" s="44">
        <v>3.7037037037037038E-3</v>
      </c>
      <c r="J90" s="44">
        <v>3.7037037037037038E-3</v>
      </c>
      <c r="K90" s="44">
        <v>3.7037037037037038E-3</v>
      </c>
      <c r="L90" s="44">
        <v>3.7037037037037038E-3</v>
      </c>
      <c r="M90" s="44">
        <v>3.7037037037037038E-3</v>
      </c>
      <c r="N90" s="44">
        <v>3.7037037037037038E-3</v>
      </c>
      <c r="O90" s="44">
        <v>3.7037037037037038E-3</v>
      </c>
      <c r="P90" s="44">
        <v>3.7037037037037038E-3</v>
      </c>
      <c r="R90" s="44">
        <v>3.7037037037037038E-3</v>
      </c>
      <c r="S90" s="44">
        <v>3.7037037037037038E-3</v>
      </c>
      <c r="T90" s="44">
        <v>3.7037037037037038E-3</v>
      </c>
      <c r="V90" s="44">
        <v>3.7037037037037038E-3</v>
      </c>
      <c r="W90" s="44">
        <v>3.7037037037037038E-3</v>
      </c>
      <c r="X90" s="44">
        <v>3.7037037037037038E-3</v>
      </c>
      <c r="AA90" s="44">
        <v>3.7037037037037038E-3</v>
      </c>
      <c r="AB90" s="44">
        <v>3.7037037037037038E-3</v>
      </c>
      <c r="AC90" s="44">
        <v>3.7037037037037038E-3</v>
      </c>
      <c r="AD90" s="44">
        <v>3.7037037037037038E-3</v>
      </c>
      <c r="AE90" s="44">
        <v>3.7037037037037038E-3</v>
      </c>
      <c r="AF90" s="44">
        <v>3.7037037037037038E-3</v>
      </c>
      <c r="AG90" s="44">
        <v>3.7037037037037038E-3</v>
      </c>
      <c r="AH90" s="44">
        <v>3.7037037037037038E-3</v>
      </c>
      <c r="AI90" s="44">
        <v>3.7037037037037038E-3</v>
      </c>
      <c r="AJ90" s="44">
        <v>3.7037037037037038E-3</v>
      </c>
      <c r="AK90" s="44">
        <v>3.7037037037037038E-3</v>
      </c>
      <c r="AL90"/>
      <c r="AM90" s="44">
        <v>3.7037037037037038E-3</v>
      </c>
      <c r="AN90" s="44">
        <v>3.7037037037037038E-3</v>
      </c>
      <c r="AO90" s="44">
        <v>3.7037037037037038E-3</v>
      </c>
      <c r="AP90" s="44">
        <v>3.7037037037037038E-3</v>
      </c>
      <c r="AQ90" s="44">
        <v>3.7037037037037038E-3</v>
      </c>
      <c r="AR90" s="44">
        <v>3.7037037037037038E-3</v>
      </c>
      <c r="AS90" s="44">
        <v>3.7037037037037038E-3</v>
      </c>
      <c r="AT90"/>
      <c r="AU90" s="44">
        <v>3.7037037037037038E-3</v>
      </c>
      <c r="AV90" s="44">
        <v>3.7037037037037038E-3</v>
      </c>
      <c r="AW90" s="44">
        <v>3.7037037037037038E-3</v>
      </c>
      <c r="AX90" s="44">
        <v>3.7037037037037038E-3</v>
      </c>
      <c r="AY90"/>
      <c r="AZ90" s="44">
        <v>3.7037037037037038E-3</v>
      </c>
      <c r="BA90"/>
      <c r="BB90"/>
      <c r="BC90" s="44">
        <v>3.7037037037037038E-3</v>
      </c>
    </row>
    <row r="91" spans="1:55" x14ac:dyDescent="0.25">
      <c r="A91" s="19" t="s">
        <v>217</v>
      </c>
      <c r="B91" s="3" t="s">
        <v>473</v>
      </c>
      <c r="C91" s="3" t="s">
        <v>483</v>
      </c>
      <c r="D91" s="3" t="s">
        <v>524</v>
      </c>
      <c r="E91" s="20" t="s">
        <v>293</v>
      </c>
      <c r="F91" s="20" t="s">
        <v>296</v>
      </c>
      <c r="G91" s="44">
        <v>165600</v>
      </c>
      <c r="H91" s="44">
        <f t="shared" si="2"/>
        <v>165600</v>
      </c>
      <c r="I91" s="44">
        <v>165600</v>
      </c>
      <c r="J91" s="44">
        <v>165600</v>
      </c>
      <c r="K91" s="44">
        <v>165600</v>
      </c>
      <c r="L91" s="44">
        <v>165600</v>
      </c>
      <c r="M91" s="44">
        <v>165600</v>
      </c>
      <c r="N91" s="44">
        <v>165600</v>
      </c>
      <c r="O91" s="44">
        <v>165600</v>
      </c>
      <c r="P91" s="44">
        <v>165600</v>
      </c>
      <c r="R91" s="44">
        <v>165600</v>
      </c>
      <c r="S91" s="44">
        <v>165600</v>
      </c>
      <c r="T91" s="44">
        <v>165600</v>
      </c>
      <c r="V91" s="44">
        <v>165600</v>
      </c>
      <c r="W91" s="44">
        <v>165600</v>
      </c>
      <c r="X91" s="44">
        <v>165600</v>
      </c>
      <c r="AA91" s="44">
        <v>165600</v>
      </c>
      <c r="AB91" s="44">
        <v>165600</v>
      </c>
      <c r="AC91" s="44">
        <v>165600</v>
      </c>
      <c r="AD91" s="44">
        <v>165600</v>
      </c>
      <c r="AE91" s="44">
        <v>165600</v>
      </c>
      <c r="AF91" s="44">
        <v>165600</v>
      </c>
      <c r="AG91" s="44">
        <v>165600</v>
      </c>
      <c r="AH91" s="44">
        <v>165600</v>
      </c>
      <c r="AI91" s="44">
        <v>165600</v>
      </c>
      <c r="AJ91" s="44">
        <v>165600</v>
      </c>
      <c r="AK91" s="44">
        <v>165600</v>
      </c>
      <c r="AL91"/>
      <c r="AM91" s="44">
        <v>165600</v>
      </c>
      <c r="AN91" s="44">
        <v>165600</v>
      </c>
      <c r="AO91" s="44">
        <v>165600</v>
      </c>
      <c r="AP91" s="44">
        <v>165600</v>
      </c>
      <c r="AQ91" s="44">
        <v>165600</v>
      </c>
      <c r="AR91" s="44">
        <v>165600</v>
      </c>
      <c r="AS91" s="44">
        <v>165600</v>
      </c>
      <c r="AT91"/>
      <c r="AU91" s="44">
        <v>165600</v>
      </c>
      <c r="AV91" s="44">
        <v>165600</v>
      </c>
      <c r="AW91" s="44">
        <v>165600</v>
      </c>
      <c r="AX91" s="44">
        <v>165600</v>
      </c>
      <c r="AY91"/>
      <c r="AZ91" s="44">
        <v>165600</v>
      </c>
      <c r="BA91"/>
      <c r="BB91"/>
      <c r="BC91" s="44">
        <v>165600</v>
      </c>
    </row>
    <row r="92" spans="1:55" x14ac:dyDescent="0.25">
      <c r="A92" s="13" t="s">
        <v>60</v>
      </c>
      <c r="B92" s="3" t="s">
        <v>473</v>
      </c>
      <c r="C92" s="3" t="s">
        <v>483</v>
      </c>
      <c r="D92" s="3" t="s">
        <v>524</v>
      </c>
      <c r="E92" s="14" t="s">
        <v>171</v>
      </c>
      <c r="F92" s="14" t="s">
        <v>109</v>
      </c>
      <c r="G92" s="44">
        <v>20</v>
      </c>
      <c r="H92" s="44">
        <f t="shared" si="2"/>
        <v>20</v>
      </c>
      <c r="I92" s="44">
        <v>20</v>
      </c>
      <c r="J92" s="44">
        <v>20</v>
      </c>
      <c r="K92" s="44">
        <v>20</v>
      </c>
      <c r="L92" s="44">
        <v>20</v>
      </c>
      <c r="M92" s="44">
        <v>20</v>
      </c>
      <c r="N92" s="44">
        <v>20</v>
      </c>
      <c r="O92" s="44">
        <v>20</v>
      </c>
      <c r="P92" s="44">
        <v>20</v>
      </c>
      <c r="R92" s="44">
        <v>20</v>
      </c>
      <c r="S92" s="44">
        <v>20</v>
      </c>
      <c r="T92" s="44">
        <v>20</v>
      </c>
      <c r="V92" s="44">
        <v>20</v>
      </c>
      <c r="W92" s="44">
        <v>20</v>
      </c>
      <c r="X92" s="44">
        <v>20</v>
      </c>
      <c r="AA92" s="44">
        <v>20</v>
      </c>
      <c r="AB92" s="44">
        <v>20</v>
      </c>
      <c r="AC92" s="44">
        <v>20</v>
      </c>
      <c r="AD92" s="44">
        <v>20</v>
      </c>
      <c r="AE92" s="44">
        <v>20</v>
      </c>
      <c r="AF92" s="44">
        <v>20</v>
      </c>
      <c r="AG92" s="44">
        <v>20</v>
      </c>
      <c r="AH92" s="44">
        <v>20</v>
      </c>
      <c r="AI92" s="44">
        <v>20</v>
      </c>
      <c r="AJ92" s="44">
        <v>20</v>
      </c>
      <c r="AK92" s="44">
        <v>20</v>
      </c>
      <c r="AL92"/>
      <c r="AM92" s="44">
        <v>20</v>
      </c>
      <c r="AN92" s="44">
        <v>20</v>
      </c>
      <c r="AO92" s="44">
        <v>20</v>
      </c>
      <c r="AP92" s="44">
        <v>20</v>
      </c>
      <c r="AQ92" s="44">
        <v>20</v>
      </c>
      <c r="AR92" s="44">
        <v>20</v>
      </c>
      <c r="AS92" s="44">
        <v>20</v>
      </c>
      <c r="AT92"/>
      <c r="AU92" s="44">
        <v>20</v>
      </c>
      <c r="AV92" s="44">
        <v>20</v>
      </c>
      <c r="AW92" s="44">
        <v>20</v>
      </c>
      <c r="AX92" s="44">
        <v>20</v>
      </c>
      <c r="AY92"/>
      <c r="AZ92" s="44">
        <v>20</v>
      </c>
      <c r="BA92"/>
      <c r="BB92"/>
      <c r="BC92" s="44">
        <v>20</v>
      </c>
    </row>
    <row r="93" spans="1:55" x14ac:dyDescent="0.25">
      <c r="A93" s="13" t="s">
        <v>208</v>
      </c>
      <c r="B93" s="3" t="s">
        <v>473</v>
      </c>
      <c r="C93" s="3" t="s">
        <v>483</v>
      </c>
      <c r="D93" s="3" t="s">
        <v>524</v>
      </c>
      <c r="E93" s="14" t="s">
        <v>289</v>
      </c>
      <c r="F93" s="14" t="s">
        <v>100</v>
      </c>
      <c r="G93" s="44">
        <v>1</v>
      </c>
      <c r="H93" s="44">
        <f t="shared" si="2"/>
        <v>1</v>
      </c>
      <c r="I93" s="44">
        <v>1</v>
      </c>
      <c r="J93" s="44">
        <v>1</v>
      </c>
      <c r="K93" s="44">
        <v>1</v>
      </c>
      <c r="L93" s="44">
        <v>1</v>
      </c>
      <c r="M93" s="44">
        <v>1</v>
      </c>
      <c r="N93" s="44">
        <v>1</v>
      </c>
      <c r="O93" s="44">
        <v>1</v>
      </c>
      <c r="P93" s="44">
        <v>1</v>
      </c>
      <c r="R93" s="44">
        <v>1</v>
      </c>
      <c r="S93" s="44">
        <v>1</v>
      </c>
      <c r="T93" s="44">
        <v>1</v>
      </c>
      <c r="V93" s="44">
        <v>1</v>
      </c>
      <c r="W93" s="44">
        <v>1</v>
      </c>
      <c r="X93" s="44">
        <v>1</v>
      </c>
      <c r="AA93" s="44">
        <v>1</v>
      </c>
      <c r="AB93" s="44">
        <v>1</v>
      </c>
      <c r="AC93" s="44">
        <v>1</v>
      </c>
      <c r="AD93" s="44">
        <v>1</v>
      </c>
      <c r="AE93" s="44">
        <v>1</v>
      </c>
      <c r="AF93" s="44">
        <v>1</v>
      </c>
      <c r="AG93" s="44">
        <v>1</v>
      </c>
      <c r="AH93" s="44">
        <v>1</v>
      </c>
      <c r="AI93" s="44">
        <v>1</v>
      </c>
      <c r="AJ93" s="44">
        <v>1</v>
      </c>
      <c r="AK93" s="44">
        <v>1</v>
      </c>
      <c r="AL93"/>
      <c r="AM93" s="44">
        <v>1</v>
      </c>
      <c r="AN93" s="44">
        <v>1</v>
      </c>
      <c r="AO93" s="44">
        <v>1</v>
      </c>
      <c r="AP93" s="44">
        <v>1</v>
      </c>
      <c r="AQ93" s="44">
        <v>1</v>
      </c>
      <c r="AR93" s="44">
        <v>1</v>
      </c>
      <c r="AS93" s="44">
        <v>1</v>
      </c>
      <c r="AT93"/>
      <c r="AU93" s="44">
        <v>1</v>
      </c>
      <c r="AV93" s="44">
        <v>1</v>
      </c>
      <c r="AW93" s="44">
        <v>1</v>
      </c>
      <c r="AX93" s="44">
        <v>1</v>
      </c>
      <c r="AY93"/>
      <c r="AZ93" s="44">
        <v>1</v>
      </c>
      <c r="BA93"/>
      <c r="BB93"/>
      <c r="BC93" s="44">
        <v>1</v>
      </c>
    </row>
    <row r="94" spans="1:55" x14ac:dyDescent="0.25">
      <c r="A94" s="13" t="s">
        <v>59</v>
      </c>
      <c r="B94" s="3" t="s">
        <v>473</v>
      </c>
      <c r="C94" s="3" t="s">
        <v>483</v>
      </c>
      <c r="D94" s="3" t="s">
        <v>524</v>
      </c>
      <c r="E94" s="14" t="s">
        <v>170</v>
      </c>
      <c r="F94" s="14" t="s">
        <v>102</v>
      </c>
      <c r="G94" s="44">
        <v>21</v>
      </c>
      <c r="H94" s="44">
        <f t="shared" si="2"/>
        <v>21</v>
      </c>
      <c r="I94" s="44">
        <v>21</v>
      </c>
      <c r="J94" s="44">
        <v>21</v>
      </c>
      <c r="K94" s="44">
        <v>21</v>
      </c>
      <c r="L94" s="44">
        <v>21</v>
      </c>
      <c r="M94" s="44">
        <v>21</v>
      </c>
      <c r="N94" s="44">
        <v>21</v>
      </c>
      <c r="O94" s="44">
        <v>21</v>
      </c>
      <c r="P94" s="44">
        <v>21</v>
      </c>
      <c r="R94" s="44">
        <v>21</v>
      </c>
      <c r="S94" s="44">
        <v>21</v>
      </c>
      <c r="T94" s="44">
        <v>21</v>
      </c>
      <c r="V94" s="44">
        <v>21</v>
      </c>
      <c r="W94" s="44">
        <v>21</v>
      </c>
      <c r="X94" s="44">
        <v>21</v>
      </c>
      <c r="AA94" s="44">
        <v>21</v>
      </c>
      <c r="AB94" s="44">
        <v>21</v>
      </c>
      <c r="AC94" s="44">
        <v>21</v>
      </c>
      <c r="AD94" s="44">
        <v>21</v>
      </c>
      <c r="AE94" s="44">
        <v>21</v>
      </c>
      <c r="AF94" s="44">
        <v>21</v>
      </c>
      <c r="AG94" s="44">
        <v>21</v>
      </c>
      <c r="AH94" s="44">
        <v>21</v>
      </c>
      <c r="AI94" s="44">
        <v>21</v>
      </c>
      <c r="AJ94" s="44">
        <v>21</v>
      </c>
      <c r="AK94" s="44">
        <v>21</v>
      </c>
      <c r="AL94"/>
      <c r="AM94" s="44">
        <v>21</v>
      </c>
      <c r="AN94" s="44">
        <v>21</v>
      </c>
      <c r="AO94" s="44">
        <v>21</v>
      </c>
      <c r="AP94" s="44">
        <v>21</v>
      </c>
      <c r="AQ94" s="44">
        <v>21</v>
      </c>
      <c r="AR94" s="44">
        <v>21</v>
      </c>
      <c r="AS94" s="44">
        <v>21</v>
      </c>
      <c r="AT94"/>
      <c r="AU94" s="44">
        <v>21</v>
      </c>
      <c r="AV94" s="44">
        <v>21</v>
      </c>
      <c r="AW94" s="44">
        <v>21</v>
      </c>
      <c r="AX94" s="44">
        <v>21</v>
      </c>
      <c r="AY94"/>
      <c r="AZ94" s="44">
        <v>21</v>
      </c>
      <c r="BA94"/>
      <c r="BB94"/>
      <c r="BC94" s="44">
        <v>21</v>
      </c>
    </row>
    <row r="95" spans="1:55" x14ac:dyDescent="0.25">
      <c r="A95" s="23" t="s">
        <v>65</v>
      </c>
      <c r="B95" s="3" t="s">
        <v>473</v>
      </c>
      <c r="C95" s="3" t="s">
        <v>483</v>
      </c>
      <c r="D95" s="3" t="s">
        <v>524</v>
      </c>
      <c r="E95" s="24" t="s">
        <v>176</v>
      </c>
      <c r="F95" s="24" t="s">
        <v>182</v>
      </c>
      <c r="G95" s="44">
        <v>0.64</v>
      </c>
      <c r="H95" s="44">
        <f t="shared" si="2"/>
        <v>0.64</v>
      </c>
      <c r="I95" s="44">
        <v>0.64</v>
      </c>
      <c r="J95" s="44">
        <v>0.64</v>
      </c>
      <c r="K95" s="44">
        <v>0.64</v>
      </c>
      <c r="L95" s="44">
        <v>0.64</v>
      </c>
      <c r="M95" s="44">
        <v>0.64</v>
      </c>
      <c r="N95" s="44">
        <v>0.64</v>
      </c>
      <c r="O95" s="44">
        <v>0.64</v>
      </c>
      <c r="P95" s="44">
        <v>0.64</v>
      </c>
      <c r="R95" s="44">
        <v>0.64</v>
      </c>
      <c r="S95" s="44">
        <v>0.64</v>
      </c>
      <c r="T95" s="44">
        <v>0.64</v>
      </c>
      <c r="V95" s="44">
        <v>0.64</v>
      </c>
      <c r="W95" s="44">
        <v>0.64</v>
      </c>
      <c r="X95" s="44">
        <v>0.64</v>
      </c>
      <c r="AA95" s="44">
        <v>0.64</v>
      </c>
      <c r="AB95" s="44">
        <v>0.64</v>
      </c>
      <c r="AC95" s="44">
        <v>0.64</v>
      </c>
      <c r="AD95" s="44">
        <v>0.64</v>
      </c>
      <c r="AE95" s="44">
        <v>0.64</v>
      </c>
      <c r="AF95" s="44">
        <v>0.64</v>
      </c>
      <c r="AG95" s="44">
        <v>0.64</v>
      </c>
      <c r="AH95" s="44">
        <v>0.64</v>
      </c>
      <c r="AI95" s="44">
        <v>0.64</v>
      </c>
      <c r="AJ95" s="44">
        <v>0.64</v>
      </c>
      <c r="AK95" s="44">
        <v>0.64</v>
      </c>
      <c r="AL95"/>
      <c r="AM95" s="44">
        <v>0.64</v>
      </c>
      <c r="AN95" s="44">
        <v>0.64</v>
      </c>
      <c r="AO95" s="44">
        <v>0.64</v>
      </c>
      <c r="AP95" s="44">
        <v>0.64</v>
      </c>
      <c r="AQ95" s="44">
        <v>0.64</v>
      </c>
      <c r="AR95" s="44">
        <v>0.64</v>
      </c>
      <c r="AS95" s="44">
        <v>0.64</v>
      </c>
      <c r="AT95"/>
      <c r="AU95" s="44">
        <v>0.64</v>
      </c>
      <c r="AV95" s="44">
        <v>0.64</v>
      </c>
      <c r="AW95" s="44">
        <v>0.64</v>
      </c>
      <c r="AX95" s="44">
        <v>0.64</v>
      </c>
      <c r="AY95"/>
      <c r="AZ95" s="44">
        <v>0.64</v>
      </c>
      <c r="BA95"/>
      <c r="BB95"/>
      <c r="BC95" s="44">
        <v>0.64</v>
      </c>
    </row>
    <row r="96" spans="1:55" x14ac:dyDescent="0.25">
      <c r="A96" s="23" t="s">
        <v>366</v>
      </c>
      <c r="B96" s="3" t="s">
        <v>473</v>
      </c>
      <c r="C96" s="3" t="s">
        <v>483</v>
      </c>
      <c r="D96" s="3" t="s">
        <v>524</v>
      </c>
      <c r="E96" s="24" t="s">
        <v>369</v>
      </c>
      <c r="F96" s="24" t="s">
        <v>182</v>
      </c>
      <c r="G96" s="44">
        <v>8</v>
      </c>
      <c r="H96" s="44">
        <f t="shared" si="2"/>
        <v>8</v>
      </c>
      <c r="I96" s="44">
        <v>8</v>
      </c>
      <c r="J96" s="44">
        <v>8</v>
      </c>
      <c r="K96" s="44">
        <v>8</v>
      </c>
      <c r="L96" s="44">
        <v>8</v>
      </c>
      <c r="M96" s="44">
        <v>8</v>
      </c>
      <c r="N96" s="44">
        <v>8</v>
      </c>
      <c r="O96" s="44">
        <v>8</v>
      </c>
      <c r="P96" s="44">
        <v>8</v>
      </c>
      <c r="R96" s="44">
        <v>8</v>
      </c>
      <c r="S96" s="44">
        <v>8</v>
      </c>
      <c r="T96" s="44">
        <v>8</v>
      </c>
      <c r="V96" s="44">
        <v>8</v>
      </c>
      <c r="W96" s="44">
        <v>8</v>
      </c>
      <c r="X96" s="44">
        <v>8</v>
      </c>
      <c r="AA96" s="44">
        <v>8</v>
      </c>
      <c r="AB96" s="44">
        <v>8</v>
      </c>
      <c r="AC96" s="44">
        <v>8</v>
      </c>
      <c r="AD96" s="44">
        <v>8</v>
      </c>
      <c r="AE96" s="44">
        <v>8</v>
      </c>
      <c r="AF96" s="44">
        <v>8</v>
      </c>
      <c r="AG96" s="44">
        <v>8</v>
      </c>
      <c r="AH96" s="44">
        <v>8</v>
      </c>
      <c r="AI96" s="44">
        <v>8</v>
      </c>
      <c r="AJ96" s="44">
        <v>8</v>
      </c>
      <c r="AK96" s="44">
        <v>8</v>
      </c>
      <c r="AL96"/>
      <c r="AM96" s="44">
        <v>8</v>
      </c>
      <c r="AN96" s="44">
        <v>8</v>
      </c>
      <c r="AO96" s="44">
        <v>8</v>
      </c>
      <c r="AP96" s="44">
        <v>8</v>
      </c>
      <c r="AQ96" s="44">
        <v>8</v>
      </c>
      <c r="AR96" s="44">
        <v>8</v>
      </c>
      <c r="AS96" s="44">
        <v>8</v>
      </c>
      <c r="AT96"/>
      <c r="AU96" s="44">
        <v>8</v>
      </c>
      <c r="AV96" s="44">
        <v>8</v>
      </c>
      <c r="AW96" s="44">
        <v>8</v>
      </c>
      <c r="AX96" s="44">
        <v>8</v>
      </c>
      <c r="AY96"/>
      <c r="AZ96" s="44">
        <v>8</v>
      </c>
      <c r="BA96"/>
      <c r="BB96"/>
      <c r="BC96" s="44">
        <v>8</v>
      </c>
    </row>
    <row r="97" spans="1:55" x14ac:dyDescent="0.25">
      <c r="A97" s="23" t="s">
        <v>367</v>
      </c>
      <c r="B97" s="3" t="s">
        <v>473</v>
      </c>
      <c r="C97" s="3" t="s">
        <v>483</v>
      </c>
      <c r="D97" s="3" t="s">
        <v>524</v>
      </c>
      <c r="E97" s="24" t="s">
        <v>370</v>
      </c>
      <c r="F97" s="24" t="s">
        <v>182</v>
      </c>
      <c r="G97" s="44">
        <v>10</v>
      </c>
      <c r="H97" s="44">
        <f t="shared" si="2"/>
        <v>10</v>
      </c>
      <c r="I97" s="44">
        <v>10</v>
      </c>
      <c r="J97" s="44">
        <v>10</v>
      </c>
      <c r="K97" s="44">
        <v>10</v>
      </c>
      <c r="L97" s="44">
        <v>10</v>
      </c>
      <c r="M97" s="44">
        <v>10</v>
      </c>
      <c r="N97" s="44">
        <v>10</v>
      </c>
      <c r="O97" s="44">
        <v>10</v>
      </c>
      <c r="P97" s="44">
        <v>10</v>
      </c>
      <c r="R97" s="44">
        <v>10</v>
      </c>
      <c r="S97" s="44">
        <v>10</v>
      </c>
      <c r="T97" s="44">
        <v>10</v>
      </c>
      <c r="V97" s="44">
        <v>10</v>
      </c>
      <c r="W97" s="44">
        <v>10</v>
      </c>
      <c r="X97" s="44">
        <v>10</v>
      </c>
      <c r="AA97" s="44">
        <v>10</v>
      </c>
      <c r="AB97" s="44">
        <v>10</v>
      </c>
      <c r="AC97" s="44">
        <v>10</v>
      </c>
      <c r="AD97" s="44">
        <v>10</v>
      </c>
      <c r="AE97" s="44">
        <v>10</v>
      </c>
      <c r="AF97" s="44">
        <v>10</v>
      </c>
      <c r="AG97" s="44">
        <v>10</v>
      </c>
      <c r="AH97" s="44">
        <v>10</v>
      </c>
      <c r="AI97" s="44">
        <v>10</v>
      </c>
      <c r="AJ97" s="44">
        <v>10</v>
      </c>
      <c r="AK97" s="44">
        <v>10</v>
      </c>
      <c r="AL97"/>
      <c r="AM97" s="44">
        <v>10</v>
      </c>
      <c r="AN97" s="44">
        <v>10</v>
      </c>
      <c r="AO97" s="44">
        <v>10</v>
      </c>
      <c r="AP97" s="44">
        <v>10</v>
      </c>
      <c r="AQ97" s="44">
        <v>10</v>
      </c>
      <c r="AR97" s="44">
        <v>10</v>
      </c>
      <c r="AS97" s="44">
        <v>10</v>
      </c>
      <c r="AT97"/>
      <c r="AU97" s="44">
        <v>10</v>
      </c>
      <c r="AV97" s="44">
        <v>10</v>
      </c>
      <c r="AW97" s="44">
        <v>10</v>
      </c>
      <c r="AX97" s="44">
        <v>10</v>
      </c>
      <c r="AY97"/>
      <c r="AZ97" s="44">
        <v>10</v>
      </c>
      <c r="BA97"/>
      <c r="BB97"/>
      <c r="BC97" s="44">
        <v>10</v>
      </c>
    </row>
    <row r="98" spans="1:55" x14ac:dyDescent="0.25">
      <c r="A98" s="23" t="s">
        <v>368</v>
      </c>
      <c r="B98" s="3" t="s">
        <v>473</v>
      </c>
      <c r="C98" s="3" t="s">
        <v>483</v>
      </c>
      <c r="D98" s="3" t="s">
        <v>524</v>
      </c>
      <c r="E98" s="24" t="s">
        <v>371</v>
      </c>
      <c r="F98" s="24" t="s">
        <v>182</v>
      </c>
      <c r="G98" s="44">
        <v>8</v>
      </c>
      <c r="H98" s="44">
        <f t="shared" si="2"/>
        <v>8</v>
      </c>
      <c r="I98" s="44">
        <v>8</v>
      </c>
      <c r="J98" s="44">
        <v>8</v>
      </c>
      <c r="K98" s="44">
        <v>8</v>
      </c>
      <c r="L98" s="44">
        <v>8</v>
      </c>
      <c r="M98" s="44">
        <v>8</v>
      </c>
      <c r="N98" s="44">
        <v>8</v>
      </c>
      <c r="O98" s="44">
        <v>8</v>
      </c>
      <c r="P98" s="44">
        <v>8</v>
      </c>
      <c r="R98" s="44">
        <v>8</v>
      </c>
      <c r="S98" s="44">
        <v>8</v>
      </c>
      <c r="T98" s="44">
        <v>8</v>
      </c>
      <c r="V98" s="44">
        <v>8</v>
      </c>
      <c r="W98" s="44">
        <v>8</v>
      </c>
      <c r="X98" s="44">
        <v>8</v>
      </c>
      <c r="AA98" s="44">
        <v>8</v>
      </c>
      <c r="AB98" s="44">
        <v>8</v>
      </c>
      <c r="AC98" s="44">
        <v>8</v>
      </c>
      <c r="AD98" s="44">
        <v>8</v>
      </c>
      <c r="AE98" s="44">
        <v>8</v>
      </c>
      <c r="AF98" s="44">
        <v>8</v>
      </c>
      <c r="AG98" s="44">
        <v>8</v>
      </c>
      <c r="AH98" s="44">
        <v>8</v>
      </c>
      <c r="AI98" s="44">
        <v>8</v>
      </c>
      <c r="AJ98" s="44">
        <v>8</v>
      </c>
      <c r="AK98" s="44">
        <v>8</v>
      </c>
      <c r="AL98"/>
      <c r="AM98" s="44">
        <v>8</v>
      </c>
      <c r="AN98" s="44">
        <v>8</v>
      </c>
      <c r="AO98" s="44">
        <v>8</v>
      </c>
      <c r="AP98" s="44">
        <v>8</v>
      </c>
      <c r="AQ98" s="44">
        <v>8</v>
      </c>
      <c r="AR98" s="44">
        <v>8</v>
      </c>
      <c r="AS98" s="44">
        <v>8</v>
      </c>
      <c r="AT98"/>
      <c r="AU98" s="44">
        <v>8</v>
      </c>
      <c r="AV98" s="44">
        <v>8</v>
      </c>
      <c r="AW98" s="44">
        <v>8</v>
      </c>
      <c r="AX98" s="44">
        <v>8</v>
      </c>
      <c r="AY98"/>
      <c r="AZ98" s="44">
        <v>8</v>
      </c>
      <c r="BA98"/>
      <c r="BB98"/>
      <c r="BC98" s="44">
        <v>8</v>
      </c>
    </row>
    <row r="99" spans="1:55" x14ac:dyDescent="0.25">
      <c r="A99" s="23" t="s">
        <v>383</v>
      </c>
      <c r="B99" s="3" t="s">
        <v>473</v>
      </c>
      <c r="C99" s="3" t="s">
        <v>483</v>
      </c>
      <c r="D99" s="3" t="s">
        <v>524</v>
      </c>
      <c r="E99" s="24" t="s">
        <v>384</v>
      </c>
      <c r="F99" s="24" t="s">
        <v>102</v>
      </c>
      <c r="G99" s="44">
        <v>1</v>
      </c>
      <c r="H99" s="44">
        <f t="shared" si="2"/>
        <v>1</v>
      </c>
      <c r="I99" s="44">
        <v>1</v>
      </c>
      <c r="J99" s="44">
        <v>1</v>
      </c>
      <c r="K99" s="44">
        <v>1</v>
      </c>
      <c r="L99" s="44">
        <v>1</v>
      </c>
      <c r="M99" s="44">
        <v>1</v>
      </c>
      <c r="N99" s="44">
        <v>1</v>
      </c>
      <c r="O99" s="44">
        <v>1</v>
      </c>
      <c r="P99" s="44">
        <v>1</v>
      </c>
      <c r="R99" s="44">
        <v>1</v>
      </c>
      <c r="S99" s="44">
        <v>1</v>
      </c>
      <c r="T99" s="44">
        <v>1</v>
      </c>
      <c r="V99" s="44">
        <v>1</v>
      </c>
      <c r="W99" s="44">
        <v>1</v>
      </c>
      <c r="X99" s="44">
        <v>1</v>
      </c>
      <c r="AA99" s="44">
        <v>1</v>
      </c>
      <c r="AB99" s="44">
        <v>1</v>
      </c>
      <c r="AC99" s="44">
        <v>1</v>
      </c>
      <c r="AD99" s="44">
        <v>1</v>
      </c>
      <c r="AE99" s="44">
        <v>1</v>
      </c>
      <c r="AF99" s="44">
        <v>1</v>
      </c>
      <c r="AG99" s="44">
        <v>1</v>
      </c>
      <c r="AH99" s="44">
        <v>1</v>
      </c>
      <c r="AI99" s="44">
        <v>1</v>
      </c>
      <c r="AJ99" s="44">
        <v>1</v>
      </c>
      <c r="AK99" s="44">
        <v>1</v>
      </c>
      <c r="AL99"/>
      <c r="AM99" s="44">
        <v>1</v>
      </c>
      <c r="AN99" s="44">
        <v>1</v>
      </c>
      <c r="AO99" s="44">
        <v>1</v>
      </c>
      <c r="AP99" s="44">
        <v>1</v>
      </c>
      <c r="AQ99" s="44">
        <v>1</v>
      </c>
      <c r="AR99" s="44">
        <v>1</v>
      </c>
      <c r="AS99" s="44">
        <v>1</v>
      </c>
      <c r="AT99"/>
      <c r="AU99" s="44">
        <v>1</v>
      </c>
      <c r="AV99" s="44">
        <v>1</v>
      </c>
      <c r="AW99" s="44">
        <v>1</v>
      </c>
      <c r="AX99" s="44">
        <v>1</v>
      </c>
      <c r="AY99"/>
      <c r="AZ99" s="44">
        <v>1</v>
      </c>
      <c r="BA99"/>
      <c r="BB99"/>
      <c r="BC99" s="44">
        <v>1</v>
      </c>
    </row>
    <row r="100" spans="1:55" x14ac:dyDescent="0.25">
      <c r="A100" s="23" t="s">
        <v>385</v>
      </c>
      <c r="B100" s="3" t="s">
        <v>473</v>
      </c>
      <c r="C100" s="3" t="s">
        <v>483</v>
      </c>
      <c r="D100" s="3" t="s">
        <v>524</v>
      </c>
      <c r="E100" s="24" t="s">
        <v>386</v>
      </c>
      <c r="F100" s="24" t="s">
        <v>399</v>
      </c>
      <c r="G100" s="44">
        <v>0.5</v>
      </c>
      <c r="H100" s="44">
        <f t="shared" si="2"/>
        <v>0.5</v>
      </c>
      <c r="I100" s="44">
        <v>0.5</v>
      </c>
      <c r="J100" s="44">
        <v>0.5</v>
      </c>
      <c r="K100" s="44">
        <v>0.5</v>
      </c>
      <c r="L100" s="44">
        <v>0.5</v>
      </c>
      <c r="M100" s="44">
        <v>0.5</v>
      </c>
      <c r="N100" s="44">
        <v>0.5</v>
      </c>
      <c r="O100" s="44">
        <v>0.5</v>
      </c>
      <c r="P100" s="44">
        <v>0.5</v>
      </c>
      <c r="R100" s="44">
        <v>0.5</v>
      </c>
      <c r="S100" s="44">
        <v>0.5</v>
      </c>
      <c r="T100" s="44">
        <v>0.5</v>
      </c>
      <c r="V100" s="44">
        <v>0.5</v>
      </c>
      <c r="W100" s="44">
        <v>0.5</v>
      </c>
      <c r="X100" s="44">
        <v>0.5</v>
      </c>
      <c r="AA100" s="44">
        <v>0.5</v>
      </c>
      <c r="AB100" s="44">
        <v>0.5</v>
      </c>
      <c r="AC100" s="44">
        <v>0.5</v>
      </c>
      <c r="AD100" s="44">
        <v>0.5</v>
      </c>
      <c r="AE100" s="44">
        <v>0.5</v>
      </c>
      <c r="AF100" s="44">
        <v>0.5</v>
      </c>
      <c r="AG100" s="44">
        <v>0.5</v>
      </c>
      <c r="AH100" s="44">
        <v>0.5</v>
      </c>
      <c r="AI100" s="44">
        <v>0.5</v>
      </c>
      <c r="AJ100" s="44">
        <v>0.5</v>
      </c>
      <c r="AK100" s="44">
        <v>0.5</v>
      </c>
      <c r="AL100"/>
      <c r="AM100" s="44">
        <v>0.5</v>
      </c>
      <c r="AN100" s="44">
        <v>0.5</v>
      </c>
      <c r="AO100" s="44">
        <v>0.5</v>
      </c>
      <c r="AP100" s="44">
        <v>0.5</v>
      </c>
      <c r="AQ100" s="44">
        <v>0.5</v>
      </c>
      <c r="AR100" s="44">
        <v>0.5</v>
      </c>
      <c r="AS100" s="44">
        <v>0.5</v>
      </c>
      <c r="AT100"/>
      <c r="AU100" s="44">
        <v>0.5</v>
      </c>
      <c r="AV100" s="44">
        <v>0.5</v>
      </c>
      <c r="AW100" s="44">
        <v>0.5</v>
      </c>
      <c r="AX100" s="44">
        <v>0.5</v>
      </c>
      <c r="AY100"/>
      <c r="AZ100" s="44">
        <v>0.5</v>
      </c>
      <c r="BA100"/>
      <c r="BB100"/>
      <c r="BC100" s="44">
        <v>0.5</v>
      </c>
    </row>
    <row r="101" spans="1:55" x14ac:dyDescent="0.25">
      <c r="A101" s="23" t="s">
        <v>513</v>
      </c>
      <c r="B101" s="3" t="s">
        <v>473</v>
      </c>
      <c r="C101" s="3" t="s">
        <v>483</v>
      </c>
      <c r="D101" s="3" t="s">
        <v>524</v>
      </c>
      <c r="E101" s="24" t="s">
        <v>514</v>
      </c>
      <c r="F101" s="24" t="s">
        <v>486</v>
      </c>
      <c r="G101" s="44">
        <f t="shared" ref="G101:H101" si="3">G99</f>
        <v>1</v>
      </c>
      <c r="H101" s="44">
        <f t="shared" si="3"/>
        <v>1</v>
      </c>
      <c r="I101" s="44">
        <f t="shared" ref="I101:BC101" si="4">10/0.1</f>
        <v>100</v>
      </c>
      <c r="J101" s="44">
        <f t="shared" si="4"/>
        <v>100</v>
      </c>
      <c r="K101" s="44">
        <f t="shared" si="4"/>
        <v>100</v>
      </c>
      <c r="L101" s="44">
        <f t="shared" si="4"/>
        <v>100</v>
      </c>
      <c r="M101" s="44">
        <f t="shared" si="4"/>
        <v>100</v>
      </c>
      <c r="N101" s="44">
        <f t="shared" si="4"/>
        <v>100</v>
      </c>
      <c r="O101" s="44">
        <f t="shared" si="4"/>
        <v>100</v>
      </c>
      <c r="P101" s="44">
        <f t="shared" si="4"/>
        <v>100</v>
      </c>
      <c r="R101" s="44">
        <f t="shared" si="4"/>
        <v>100</v>
      </c>
      <c r="S101" s="44">
        <f t="shared" si="4"/>
        <v>100</v>
      </c>
      <c r="T101" s="44">
        <f t="shared" si="4"/>
        <v>100</v>
      </c>
      <c r="V101" s="44">
        <f t="shared" si="4"/>
        <v>100</v>
      </c>
      <c r="W101" s="44">
        <f t="shared" si="4"/>
        <v>100</v>
      </c>
      <c r="X101" s="44">
        <f t="shared" si="4"/>
        <v>100</v>
      </c>
      <c r="AA101" s="44">
        <f t="shared" si="4"/>
        <v>100</v>
      </c>
      <c r="AB101" s="44">
        <f t="shared" si="4"/>
        <v>100</v>
      </c>
      <c r="AC101" s="44">
        <f t="shared" si="4"/>
        <v>100</v>
      </c>
      <c r="AD101" s="44">
        <f t="shared" si="4"/>
        <v>100</v>
      </c>
      <c r="AE101" s="44">
        <f t="shared" si="4"/>
        <v>100</v>
      </c>
      <c r="AF101" s="44">
        <f t="shared" si="4"/>
        <v>100</v>
      </c>
      <c r="AG101" s="44">
        <f t="shared" si="4"/>
        <v>100</v>
      </c>
      <c r="AH101" s="44">
        <f t="shared" si="4"/>
        <v>100</v>
      </c>
      <c r="AI101" s="44">
        <f t="shared" si="4"/>
        <v>100</v>
      </c>
      <c r="AJ101" s="44">
        <f t="shared" si="4"/>
        <v>100</v>
      </c>
      <c r="AK101" s="44">
        <f t="shared" si="4"/>
        <v>100</v>
      </c>
      <c r="AL101"/>
      <c r="AM101" s="44">
        <f t="shared" si="4"/>
        <v>100</v>
      </c>
      <c r="AN101" s="44">
        <f t="shared" si="4"/>
        <v>100</v>
      </c>
      <c r="AO101" s="44">
        <f t="shared" si="4"/>
        <v>100</v>
      </c>
      <c r="AP101" s="44">
        <f t="shared" si="4"/>
        <v>100</v>
      </c>
      <c r="AQ101" s="44">
        <f t="shared" si="4"/>
        <v>100</v>
      </c>
      <c r="AR101" s="44">
        <f t="shared" si="4"/>
        <v>100</v>
      </c>
      <c r="AS101" s="44">
        <f t="shared" si="4"/>
        <v>100</v>
      </c>
      <c r="AT101"/>
      <c r="AU101" s="44">
        <f t="shared" si="4"/>
        <v>100</v>
      </c>
      <c r="AV101" s="44">
        <f t="shared" si="4"/>
        <v>100</v>
      </c>
      <c r="AW101" s="44">
        <f t="shared" si="4"/>
        <v>100</v>
      </c>
      <c r="AX101" s="44">
        <f t="shared" si="4"/>
        <v>100</v>
      </c>
      <c r="AY101"/>
      <c r="AZ101" s="44">
        <f t="shared" si="4"/>
        <v>100</v>
      </c>
      <c r="BA101"/>
      <c r="BB101"/>
      <c r="BC101" s="44">
        <f t="shared" si="4"/>
        <v>100</v>
      </c>
    </row>
    <row r="102" spans="1:55" x14ac:dyDescent="0.25">
      <c r="A102" s="23" t="s">
        <v>515</v>
      </c>
      <c r="B102" s="3" t="s">
        <v>473</v>
      </c>
      <c r="C102" s="3" t="s">
        <v>483</v>
      </c>
      <c r="D102" s="3" t="s">
        <v>524</v>
      </c>
      <c r="E102" s="24" t="s">
        <v>514</v>
      </c>
      <c r="F102" s="24" t="s">
        <v>486</v>
      </c>
      <c r="G102" s="44">
        <f>3*G99</f>
        <v>3</v>
      </c>
      <c r="H102" s="44">
        <f t="shared" ref="H102" si="5">150*H99</f>
        <v>150</v>
      </c>
      <c r="I102" s="44">
        <f t="shared" ref="I102:BC102" si="6">150/0.1</f>
        <v>1500</v>
      </c>
      <c r="J102" s="44">
        <f t="shared" si="6"/>
        <v>1500</v>
      </c>
      <c r="K102" s="44">
        <f t="shared" si="6"/>
        <v>1500</v>
      </c>
      <c r="L102" s="44">
        <f t="shared" si="6"/>
        <v>1500</v>
      </c>
      <c r="M102" s="44">
        <f t="shared" si="6"/>
        <v>1500</v>
      </c>
      <c r="N102" s="44">
        <f t="shared" si="6"/>
        <v>1500</v>
      </c>
      <c r="O102" s="44">
        <f t="shared" si="6"/>
        <v>1500</v>
      </c>
      <c r="P102" s="44">
        <f t="shared" si="6"/>
        <v>1500</v>
      </c>
      <c r="R102" s="44">
        <f t="shared" si="6"/>
        <v>1500</v>
      </c>
      <c r="S102" s="44">
        <f t="shared" si="6"/>
        <v>1500</v>
      </c>
      <c r="T102" s="44">
        <f t="shared" si="6"/>
        <v>1500</v>
      </c>
      <c r="V102" s="44">
        <f t="shared" si="6"/>
        <v>1500</v>
      </c>
      <c r="W102" s="44">
        <f t="shared" si="6"/>
        <v>1500</v>
      </c>
      <c r="X102" s="44">
        <f t="shared" si="6"/>
        <v>1500</v>
      </c>
      <c r="AA102" s="44">
        <f t="shared" si="6"/>
        <v>1500</v>
      </c>
      <c r="AB102" s="44">
        <f t="shared" si="6"/>
        <v>1500</v>
      </c>
      <c r="AC102" s="44">
        <f t="shared" si="6"/>
        <v>1500</v>
      </c>
      <c r="AD102" s="44">
        <f t="shared" si="6"/>
        <v>1500</v>
      </c>
      <c r="AE102" s="44">
        <f t="shared" si="6"/>
        <v>1500</v>
      </c>
      <c r="AF102" s="44">
        <f t="shared" si="6"/>
        <v>1500</v>
      </c>
      <c r="AG102" s="44">
        <f t="shared" si="6"/>
        <v>1500</v>
      </c>
      <c r="AH102" s="44">
        <f t="shared" si="6"/>
        <v>1500</v>
      </c>
      <c r="AI102" s="44">
        <f t="shared" si="6"/>
        <v>1500</v>
      </c>
      <c r="AJ102" s="44">
        <f t="shared" si="6"/>
        <v>1500</v>
      </c>
      <c r="AK102" s="44">
        <f t="shared" si="6"/>
        <v>1500</v>
      </c>
      <c r="AL102"/>
      <c r="AM102" s="44">
        <f t="shared" si="6"/>
        <v>1500</v>
      </c>
      <c r="AN102" s="44">
        <f t="shared" si="6"/>
        <v>1500</v>
      </c>
      <c r="AO102" s="44">
        <f t="shared" si="6"/>
        <v>1500</v>
      </c>
      <c r="AP102" s="44">
        <f t="shared" si="6"/>
        <v>1500</v>
      </c>
      <c r="AQ102" s="44">
        <f t="shared" si="6"/>
        <v>1500</v>
      </c>
      <c r="AR102" s="44">
        <f t="shared" si="6"/>
        <v>1500</v>
      </c>
      <c r="AS102" s="44">
        <f t="shared" si="6"/>
        <v>1500</v>
      </c>
      <c r="AT102"/>
      <c r="AU102" s="44">
        <f t="shared" si="6"/>
        <v>1500</v>
      </c>
      <c r="AV102" s="44">
        <f t="shared" si="6"/>
        <v>1500</v>
      </c>
      <c r="AW102" s="44">
        <f t="shared" si="6"/>
        <v>1500</v>
      </c>
      <c r="AX102" s="44">
        <f t="shared" si="6"/>
        <v>1500</v>
      </c>
      <c r="AY102"/>
      <c r="AZ102" s="44">
        <f t="shared" si="6"/>
        <v>1500</v>
      </c>
      <c r="BA102"/>
      <c r="BB102"/>
      <c r="BC102" s="44">
        <f t="shared" si="6"/>
        <v>1500</v>
      </c>
    </row>
    <row r="103" spans="1:55" x14ac:dyDescent="0.25">
      <c r="A103" s="23" t="s">
        <v>516</v>
      </c>
      <c r="B103" s="3" t="s">
        <v>473</v>
      </c>
      <c r="C103" s="3" t="s">
        <v>483</v>
      </c>
      <c r="D103" s="3" t="s">
        <v>524</v>
      </c>
      <c r="E103" s="24" t="s">
        <v>514</v>
      </c>
      <c r="F103" s="24" t="s">
        <v>486</v>
      </c>
      <c r="G103" s="44">
        <f t="shared" ref="G103:H103" si="7">G94</f>
        <v>21</v>
      </c>
      <c r="H103" s="44">
        <f t="shared" si="7"/>
        <v>21</v>
      </c>
      <c r="I103" s="44">
        <f t="shared" ref="I103:BC103" si="8">20/0.1</f>
        <v>200</v>
      </c>
      <c r="J103" s="44">
        <f t="shared" si="8"/>
        <v>200</v>
      </c>
      <c r="K103" s="44">
        <f t="shared" si="8"/>
        <v>200</v>
      </c>
      <c r="L103" s="44">
        <f t="shared" si="8"/>
        <v>200</v>
      </c>
      <c r="M103" s="44">
        <f t="shared" si="8"/>
        <v>200</v>
      </c>
      <c r="N103" s="44">
        <f t="shared" si="8"/>
        <v>200</v>
      </c>
      <c r="O103" s="44">
        <f t="shared" si="8"/>
        <v>200</v>
      </c>
      <c r="P103" s="44">
        <f t="shared" si="8"/>
        <v>200</v>
      </c>
      <c r="R103" s="44">
        <f t="shared" si="8"/>
        <v>200</v>
      </c>
      <c r="S103" s="44">
        <f t="shared" si="8"/>
        <v>200</v>
      </c>
      <c r="T103" s="44">
        <f t="shared" si="8"/>
        <v>200</v>
      </c>
      <c r="V103" s="44">
        <f t="shared" si="8"/>
        <v>200</v>
      </c>
      <c r="W103" s="44">
        <f t="shared" si="8"/>
        <v>200</v>
      </c>
      <c r="X103" s="44">
        <f t="shared" si="8"/>
        <v>200</v>
      </c>
      <c r="AA103" s="44">
        <f t="shared" si="8"/>
        <v>200</v>
      </c>
      <c r="AB103" s="44">
        <f t="shared" si="8"/>
        <v>200</v>
      </c>
      <c r="AC103" s="44">
        <f t="shared" si="8"/>
        <v>200</v>
      </c>
      <c r="AD103" s="44">
        <f t="shared" si="8"/>
        <v>200</v>
      </c>
      <c r="AE103" s="44">
        <f t="shared" si="8"/>
        <v>200</v>
      </c>
      <c r="AF103" s="44">
        <f t="shared" si="8"/>
        <v>200</v>
      </c>
      <c r="AG103" s="44">
        <f t="shared" si="8"/>
        <v>200</v>
      </c>
      <c r="AH103" s="44">
        <f t="shared" si="8"/>
        <v>200</v>
      </c>
      <c r="AI103" s="44">
        <f t="shared" si="8"/>
        <v>200</v>
      </c>
      <c r="AJ103" s="44">
        <f t="shared" si="8"/>
        <v>200</v>
      </c>
      <c r="AK103" s="44">
        <f t="shared" si="8"/>
        <v>200</v>
      </c>
      <c r="AL103"/>
      <c r="AM103" s="44">
        <f t="shared" si="8"/>
        <v>200</v>
      </c>
      <c r="AN103" s="44">
        <f t="shared" si="8"/>
        <v>200</v>
      </c>
      <c r="AO103" s="44">
        <f t="shared" si="8"/>
        <v>200</v>
      </c>
      <c r="AP103" s="44">
        <f t="shared" si="8"/>
        <v>200</v>
      </c>
      <c r="AQ103" s="44">
        <f t="shared" si="8"/>
        <v>200</v>
      </c>
      <c r="AR103" s="44">
        <f t="shared" si="8"/>
        <v>200</v>
      </c>
      <c r="AS103" s="44">
        <f t="shared" si="8"/>
        <v>200</v>
      </c>
      <c r="AT103"/>
      <c r="AU103" s="44">
        <f t="shared" si="8"/>
        <v>200</v>
      </c>
      <c r="AV103" s="44">
        <f t="shared" si="8"/>
        <v>200</v>
      </c>
      <c r="AW103" s="44">
        <f t="shared" si="8"/>
        <v>200</v>
      </c>
      <c r="AX103" s="44">
        <f t="shared" si="8"/>
        <v>200</v>
      </c>
      <c r="AY103"/>
      <c r="AZ103" s="44">
        <f t="shared" si="8"/>
        <v>200</v>
      </c>
      <c r="BA103"/>
      <c r="BB103"/>
      <c r="BC103" s="44">
        <f t="shared" si="8"/>
        <v>200</v>
      </c>
    </row>
    <row r="104" spans="1:55" x14ac:dyDescent="0.25">
      <c r="A104" s="23" t="s">
        <v>517</v>
      </c>
      <c r="B104" s="3" t="s">
        <v>473</v>
      </c>
      <c r="C104" s="3" t="s">
        <v>483</v>
      </c>
      <c r="D104" s="3" t="s">
        <v>524</v>
      </c>
      <c r="E104" s="24" t="s">
        <v>514</v>
      </c>
      <c r="F104" s="24" t="s">
        <v>486</v>
      </c>
      <c r="G104" s="44">
        <f>10*G94</f>
        <v>210</v>
      </c>
      <c r="H104" s="44">
        <f t="shared" ref="H104" si="9">70*H94</f>
        <v>1470</v>
      </c>
      <c r="I104" s="44">
        <f t="shared" ref="I104:BC104" si="10">400/0.1</f>
        <v>4000</v>
      </c>
      <c r="J104" s="44">
        <f t="shared" si="10"/>
        <v>4000</v>
      </c>
      <c r="K104" s="44">
        <f t="shared" si="10"/>
        <v>4000</v>
      </c>
      <c r="L104" s="44">
        <f t="shared" si="10"/>
        <v>4000</v>
      </c>
      <c r="M104" s="44">
        <f t="shared" si="10"/>
        <v>4000</v>
      </c>
      <c r="N104" s="44">
        <f t="shared" si="10"/>
        <v>4000</v>
      </c>
      <c r="O104" s="44">
        <f t="shared" si="10"/>
        <v>4000</v>
      </c>
      <c r="P104" s="44">
        <f t="shared" si="10"/>
        <v>4000</v>
      </c>
      <c r="R104" s="44">
        <f t="shared" si="10"/>
        <v>4000</v>
      </c>
      <c r="S104" s="44">
        <f t="shared" si="10"/>
        <v>4000</v>
      </c>
      <c r="T104" s="44">
        <f t="shared" si="10"/>
        <v>4000</v>
      </c>
      <c r="V104" s="44">
        <f t="shared" si="10"/>
        <v>4000</v>
      </c>
      <c r="W104" s="44">
        <f t="shared" si="10"/>
        <v>4000</v>
      </c>
      <c r="X104" s="44">
        <f t="shared" si="10"/>
        <v>4000</v>
      </c>
      <c r="AA104" s="44">
        <f t="shared" si="10"/>
        <v>4000</v>
      </c>
      <c r="AB104" s="44">
        <f t="shared" si="10"/>
        <v>4000</v>
      </c>
      <c r="AC104" s="44">
        <f t="shared" si="10"/>
        <v>4000</v>
      </c>
      <c r="AD104" s="44">
        <f t="shared" si="10"/>
        <v>4000</v>
      </c>
      <c r="AE104" s="44">
        <f t="shared" si="10"/>
        <v>4000</v>
      </c>
      <c r="AF104" s="44">
        <f t="shared" si="10"/>
        <v>4000</v>
      </c>
      <c r="AG104" s="44">
        <f t="shared" si="10"/>
        <v>4000</v>
      </c>
      <c r="AH104" s="44">
        <f t="shared" si="10"/>
        <v>4000</v>
      </c>
      <c r="AI104" s="44">
        <f t="shared" si="10"/>
        <v>4000</v>
      </c>
      <c r="AJ104" s="44">
        <f t="shared" si="10"/>
        <v>4000</v>
      </c>
      <c r="AK104" s="44">
        <f t="shared" si="10"/>
        <v>4000</v>
      </c>
      <c r="AL104"/>
      <c r="AM104" s="44">
        <f t="shared" si="10"/>
        <v>4000</v>
      </c>
      <c r="AN104" s="44">
        <f t="shared" si="10"/>
        <v>4000</v>
      </c>
      <c r="AO104" s="44">
        <f t="shared" si="10"/>
        <v>4000</v>
      </c>
      <c r="AP104" s="44">
        <f t="shared" si="10"/>
        <v>4000</v>
      </c>
      <c r="AQ104" s="44">
        <f t="shared" si="10"/>
        <v>4000</v>
      </c>
      <c r="AR104" s="44">
        <f t="shared" si="10"/>
        <v>4000</v>
      </c>
      <c r="AS104" s="44">
        <f t="shared" si="10"/>
        <v>4000</v>
      </c>
      <c r="AT104"/>
      <c r="AU104" s="44">
        <f t="shared" si="10"/>
        <v>4000</v>
      </c>
      <c r="AV104" s="44">
        <f t="shared" si="10"/>
        <v>4000</v>
      </c>
      <c r="AW104" s="44">
        <f t="shared" si="10"/>
        <v>4000</v>
      </c>
      <c r="AX104" s="44">
        <f t="shared" si="10"/>
        <v>4000</v>
      </c>
      <c r="AY104"/>
      <c r="AZ104" s="44">
        <f t="shared" si="10"/>
        <v>4000</v>
      </c>
      <c r="BA104"/>
      <c r="BB104"/>
      <c r="BC104" s="44">
        <f t="shared" si="10"/>
        <v>4000</v>
      </c>
    </row>
    <row r="105" spans="1:55" x14ac:dyDescent="0.25">
      <c r="A105" s="23" t="s">
        <v>387</v>
      </c>
      <c r="B105" s="3" t="s">
        <v>473</v>
      </c>
      <c r="C105" s="3" t="s">
        <v>483</v>
      </c>
      <c r="D105" s="3" t="s">
        <v>524</v>
      </c>
      <c r="E105" s="24" t="s">
        <v>388</v>
      </c>
      <c r="F105" s="24" t="s">
        <v>106</v>
      </c>
      <c r="G105" s="44">
        <v>0</v>
      </c>
      <c r="H105" s="44">
        <f>H99</f>
        <v>1</v>
      </c>
      <c r="I105" s="44">
        <f t="shared" ref="I105:BC105" si="11">10/0.1</f>
        <v>100</v>
      </c>
      <c r="J105" s="44">
        <f t="shared" si="11"/>
        <v>100</v>
      </c>
      <c r="K105" s="44">
        <f t="shared" si="11"/>
        <v>100</v>
      </c>
      <c r="L105" s="44">
        <f t="shared" si="11"/>
        <v>100</v>
      </c>
      <c r="M105" s="44">
        <f t="shared" si="11"/>
        <v>100</v>
      </c>
      <c r="N105" s="44">
        <f t="shared" si="11"/>
        <v>100</v>
      </c>
      <c r="O105" s="44">
        <f t="shared" si="11"/>
        <v>100</v>
      </c>
      <c r="P105" s="44">
        <f t="shared" si="11"/>
        <v>100</v>
      </c>
      <c r="R105" s="44">
        <f t="shared" si="11"/>
        <v>100</v>
      </c>
      <c r="S105" s="44">
        <f t="shared" si="11"/>
        <v>100</v>
      </c>
      <c r="T105" s="44">
        <f t="shared" si="11"/>
        <v>100</v>
      </c>
      <c r="V105" s="44">
        <f t="shared" si="11"/>
        <v>100</v>
      </c>
      <c r="W105" s="44">
        <f t="shared" si="11"/>
        <v>100</v>
      </c>
      <c r="X105" s="44">
        <f t="shared" si="11"/>
        <v>100</v>
      </c>
      <c r="AA105" s="44">
        <f t="shared" si="11"/>
        <v>100</v>
      </c>
      <c r="AB105" s="44">
        <f t="shared" si="11"/>
        <v>100</v>
      </c>
      <c r="AC105" s="44">
        <f t="shared" si="11"/>
        <v>100</v>
      </c>
      <c r="AD105" s="44">
        <f t="shared" si="11"/>
        <v>100</v>
      </c>
      <c r="AE105" s="44">
        <f t="shared" si="11"/>
        <v>100</v>
      </c>
      <c r="AF105" s="44">
        <f t="shared" si="11"/>
        <v>100</v>
      </c>
      <c r="AG105" s="44">
        <f t="shared" si="11"/>
        <v>100</v>
      </c>
      <c r="AH105" s="44">
        <f t="shared" si="11"/>
        <v>100</v>
      </c>
      <c r="AI105" s="44">
        <f t="shared" si="11"/>
        <v>100</v>
      </c>
      <c r="AJ105" s="44">
        <f t="shared" si="11"/>
        <v>100</v>
      </c>
      <c r="AK105" s="44">
        <f t="shared" si="11"/>
        <v>100</v>
      </c>
      <c r="AL105"/>
      <c r="AM105" s="44">
        <f t="shared" si="11"/>
        <v>100</v>
      </c>
      <c r="AN105" s="44">
        <f t="shared" si="11"/>
        <v>100</v>
      </c>
      <c r="AO105" s="44">
        <f t="shared" si="11"/>
        <v>100</v>
      </c>
      <c r="AP105" s="44">
        <f t="shared" si="11"/>
        <v>100</v>
      </c>
      <c r="AQ105" s="44">
        <f t="shared" si="11"/>
        <v>100</v>
      </c>
      <c r="AR105" s="44">
        <f t="shared" si="11"/>
        <v>100</v>
      </c>
      <c r="AS105" s="44">
        <f t="shared" si="11"/>
        <v>100</v>
      </c>
      <c r="AT105"/>
      <c r="AU105" s="44">
        <f t="shared" si="11"/>
        <v>100</v>
      </c>
      <c r="AV105" s="44">
        <f t="shared" si="11"/>
        <v>100</v>
      </c>
      <c r="AW105" s="44">
        <f t="shared" si="11"/>
        <v>100</v>
      </c>
      <c r="AX105" s="44">
        <f t="shared" si="11"/>
        <v>100</v>
      </c>
      <c r="AY105"/>
      <c r="AZ105" s="44">
        <f t="shared" si="11"/>
        <v>100</v>
      </c>
      <c r="BA105"/>
      <c r="BB105"/>
      <c r="BC105" s="44">
        <f t="shared" si="11"/>
        <v>100</v>
      </c>
    </row>
    <row r="106" spans="1:55" x14ac:dyDescent="0.25">
      <c r="A106" s="23" t="s">
        <v>389</v>
      </c>
      <c r="B106" s="3" t="s">
        <v>473</v>
      </c>
      <c r="C106" s="3" t="s">
        <v>483</v>
      </c>
      <c r="D106" s="3" t="s">
        <v>524</v>
      </c>
      <c r="E106" s="24" t="s">
        <v>390</v>
      </c>
      <c r="F106" s="24" t="s">
        <v>106</v>
      </c>
      <c r="G106" s="44">
        <v>1589759.9999999998</v>
      </c>
      <c r="H106" s="44">
        <f>150*H99</f>
        <v>150</v>
      </c>
      <c r="I106" s="44">
        <f t="shared" ref="I106:BC106" si="12">150/0.1</f>
        <v>1500</v>
      </c>
      <c r="J106" s="44">
        <f t="shared" si="12"/>
        <v>1500</v>
      </c>
      <c r="K106" s="44">
        <f t="shared" si="12"/>
        <v>1500</v>
      </c>
      <c r="L106" s="44">
        <f t="shared" si="12"/>
        <v>1500</v>
      </c>
      <c r="M106" s="44">
        <f t="shared" si="12"/>
        <v>1500</v>
      </c>
      <c r="N106" s="44">
        <f t="shared" si="12"/>
        <v>1500</v>
      </c>
      <c r="O106" s="44">
        <f t="shared" si="12"/>
        <v>1500</v>
      </c>
      <c r="P106" s="44">
        <f t="shared" si="12"/>
        <v>1500</v>
      </c>
      <c r="R106" s="44">
        <f t="shared" si="12"/>
        <v>1500</v>
      </c>
      <c r="S106" s="44">
        <f t="shared" si="12"/>
        <v>1500</v>
      </c>
      <c r="T106" s="44">
        <f t="shared" si="12"/>
        <v>1500</v>
      </c>
      <c r="V106" s="44">
        <f t="shared" si="12"/>
        <v>1500</v>
      </c>
      <c r="W106" s="44">
        <f t="shared" si="12"/>
        <v>1500</v>
      </c>
      <c r="X106" s="44">
        <f t="shared" si="12"/>
        <v>1500</v>
      </c>
      <c r="AA106" s="44">
        <f t="shared" si="12"/>
        <v>1500</v>
      </c>
      <c r="AB106" s="44">
        <f t="shared" si="12"/>
        <v>1500</v>
      </c>
      <c r="AC106" s="44">
        <f t="shared" si="12"/>
        <v>1500</v>
      </c>
      <c r="AD106" s="44">
        <f t="shared" si="12"/>
        <v>1500</v>
      </c>
      <c r="AE106" s="44">
        <f t="shared" si="12"/>
        <v>1500</v>
      </c>
      <c r="AF106" s="44">
        <f t="shared" si="12"/>
        <v>1500</v>
      </c>
      <c r="AG106" s="44">
        <f t="shared" si="12"/>
        <v>1500</v>
      </c>
      <c r="AH106" s="44">
        <f t="shared" si="12"/>
        <v>1500</v>
      </c>
      <c r="AI106" s="44">
        <f t="shared" si="12"/>
        <v>1500</v>
      </c>
      <c r="AJ106" s="44">
        <f t="shared" si="12"/>
        <v>1500</v>
      </c>
      <c r="AK106" s="44">
        <f t="shared" si="12"/>
        <v>1500</v>
      </c>
      <c r="AL106"/>
      <c r="AM106" s="44">
        <f t="shared" si="12"/>
        <v>1500</v>
      </c>
      <c r="AN106" s="44">
        <f t="shared" si="12"/>
        <v>1500</v>
      </c>
      <c r="AO106" s="44">
        <f t="shared" si="12"/>
        <v>1500</v>
      </c>
      <c r="AP106" s="44">
        <f t="shared" si="12"/>
        <v>1500</v>
      </c>
      <c r="AQ106" s="44">
        <f t="shared" si="12"/>
        <v>1500</v>
      </c>
      <c r="AR106" s="44">
        <f t="shared" si="12"/>
        <v>1500</v>
      </c>
      <c r="AS106" s="44">
        <f t="shared" si="12"/>
        <v>1500</v>
      </c>
      <c r="AT106"/>
      <c r="AU106" s="44">
        <f t="shared" si="12"/>
        <v>1500</v>
      </c>
      <c r="AV106" s="44">
        <f t="shared" si="12"/>
        <v>1500</v>
      </c>
      <c r="AW106" s="44">
        <f t="shared" si="12"/>
        <v>1500</v>
      </c>
      <c r="AX106" s="44">
        <f t="shared" si="12"/>
        <v>1500</v>
      </c>
      <c r="AY106"/>
      <c r="AZ106" s="44">
        <f t="shared" si="12"/>
        <v>1500</v>
      </c>
      <c r="BA106"/>
      <c r="BB106"/>
      <c r="BC106" s="44">
        <f t="shared" si="12"/>
        <v>1500</v>
      </c>
    </row>
    <row r="107" spans="1:55" x14ac:dyDescent="0.25">
      <c r="A107" s="23" t="s">
        <v>391</v>
      </c>
      <c r="B107" s="3" t="s">
        <v>473</v>
      </c>
      <c r="C107" s="3" t="s">
        <v>483</v>
      </c>
      <c r="D107" s="3" t="s">
        <v>524</v>
      </c>
      <c r="E107" s="24" t="s">
        <v>392</v>
      </c>
      <c r="F107" s="24" t="s">
        <v>106</v>
      </c>
      <c r="G107" s="44">
        <v>6171428.5714285718</v>
      </c>
      <c r="H107" s="44">
        <f>H94</f>
        <v>21</v>
      </c>
      <c r="I107" s="44">
        <f t="shared" ref="I107:BC107" si="13">20/0.1</f>
        <v>200</v>
      </c>
      <c r="J107" s="44">
        <f t="shared" si="13"/>
        <v>200</v>
      </c>
      <c r="K107" s="44">
        <f t="shared" si="13"/>
        <v>200</v>
      </c>
      <c r="L107" s="44">
        <f t="shared" si="13"/>
        <v>200</v>
      </c>
      <c r="M107" s="44">
        <f t="shared" si="13"/>
        <v>200</v>
      </c>
      <c r="N107" s="44">
        <f t="shared" si="13"/>
        <v>200</v>
      </c>
      <c r="O107" s="44">
        <f t="shared" si="13"/>
        <v>200</v>
      </c>
      <c r="P107" s="44">
        <f t="shared" si="13"/>
        <v>200</v>
      </c>
      <c r="R107" s="44">
        <f t="shared" si="13"/>
        <v>200</v>
      </c>
      <c r="S107" s="44">
        <f t="shared" si="13"/>
        <v>200</v>
      </c>
      <c r="T107" s="44">
        <f t="shared" si="13"/>
        <v>200</v>
      </c>
      <c r="V107" s="44">
        <f t="shared" si="13"/>
        <v>200</v>
      </c>
      <c r="W107" s="44">
        <f t="shared" si="13"/>
        <v>200</v>
      </c>
      <c r="X107" s="44">
        <f t="shared" si="13"/>
        <v>200</v>
      </c>
      <c r="AA107" s="44">
        <f t="shared" si="13"/>
        <v>200</v>
      </c>
      <c r="AB107" s="44">
        <f t="shared" si="13"/>
        <v>200</v>
      </c>
      <c r="AC107" s="44">
        <f t="shared" si="13"/>
        <v>200</v>
      </c>
      <c r="AD107" s="44">
        <f t="shared" si="13"/>
        <v>200</v>
      </c>
      <c r="AE107" s="44">
        <f t="shared" si="13"/>
        <v>200</v>
      </c>
      <c r="AF107" s="44">
        <f t="shared" si="13"/>
        <v>200</v>
      </c>
      <c r="AG107" s="44">
        <f t="shared" si="13"/>
        <v>200</v>
      </c>
      <c r="AH107" s="44">
        <f t="shared" si="13"/>
        <v>200</v>
      </c>
      <c r="AI107" s="44">
        <f t="shared" si="13"/>
        <v>200</v>
      </c>
      <c r="AJ107" s="44">
        <f t="shared" si="13"/>
        <v>200</v>
      </c>
      <c r="AK107" s="44">
        <f t="shared" si="13"/>
        <v>200</v>
      </c>
      <c r="AL107"/>
      <c r="AM107" s="44">
        <f t="shared" si="13"/>
        <v>200</v>
      </c>
      <c r="AN107" s="44">
        <f t="shared" si="13"/>
        <v>200</v>
      </c>
      <c r="AO107" s="44">
        <f t="shared" si="13"/>
        <v>200</v>
      </c>
      <c r="AP107" s="44">
        <f t="shared" si="13"/>
        <v>200</v>
      </c>
      <c r="AQ107" s="44">
        <f t="shared" si="13"/>
        <v>200</v>
      </c>
      <c r="AR107" s="44">
        <f t="shared" si="13"/>
        <v>200</v>
      </c>
      <c r="AS107" s="44">
        <f t="shared" si="13"/>
        <v>200</v>
      </c>
      <c r="AT107"/>
      <c r="AU107" s="44">
        <f t="shared" si="13"/>
        <v>200</v>
      </c>
      <c r="AV107" s="44">
        <f t="shared" si="13"/>
        <v>200</v>
      </c>
      <c r="AW107" s="44">
        <f t="shared" si="13"/>
        <v>200</v>
      </c>
      <c r="AX107" s="44">
        <f t="shared" si="13"/>
        <v>200</v>
      </c>
      <c r="AY107"/>
      <c r="AZ107" s="44">
        <f t="shared" si="13"/>
        <v>200</v>
      </c>
      <c r="BA107"/>
      <c r="BB107"/>
      <c r="BC107" s="44">
        <f t="shared" si="13"/>
        <v>200</v>
      </c>
    </row>
    <row r="108" spans="1:55" x14ac:dyDescent="0.25">
      <c r="A108" s="23" t="s">
        <v>393</v>
      </c>
      <c r="B108" s="3" t="s">
        <v>473</v>
      </c>
      <c r="C108" s="3" t="s">
        <v>483</v>
      </c>
      <c r="D108" s="3" t="s">
        <v>524</v>
      </c>
      <c r="E108" s="24" t="s">
        <v>394</v>
      </c>
      <c r="F108" s="24" t="s">
        <v>106</v>
      </c>
      <c r="G108" s="44">
        <v>6171428.5714285718</v>
      </c>
      <c r="H108" s="44">
        <f>70*H94</f>
        <v>1470</v>
      </c>
      <c r="I108" s="44">
        <f t="shared" ref="I108:BC108" si="14">400/0.1</f>
        <v>4000</v>
      </c>
      <c r="J108" s="44">
        <f t="shared" si="14"/>
        <v>4000</v>
      </c>
      <c r="K108" s="44">
        <f t="shared" si="14"/>
        <v>4000</v>
      </c>
      <c r="L108" s="44">
        <f t="shared" si="14"/>
        <v>4000</v>
      </c>
      <c r="M108" s="44">
        <f t="shared" si="14"/>
        <v>4000</v>
      </c>
      <c r="N108" s="44">
        <f t="shared" si="14"/>
        <v>4000</v>
      </c>
      <c r="O108" s="44">
        <f t="shared" si="14"/>
        <v>4000</v>
      </c>
      <c r="P108" s="44">
        <f t="shared" si="14"/>
        <v>4000</v>
      </c>
      <c r="R108" s="44">
        <f t="shared" si="14"/>
        <v>4000</v>
      </c>
      <c r="S108" s="44">
        <f t="shared" si="14"/>
        <v>4000</v>
      </c>
      <c r="T108" s="44">
        <f t="shared" si="14"/>
        <v>4000</v>
      </c>
      <c r="V108" s="44">
        <f t="shared" si="14"/>
        <v>4000</v>
      </c>
      <c r="W108" s="44">
        <f t="shared" si="14"/>
        <v>4000</v>
      </c>
      <c r="X108" s="44">
        <f t="shared" si="14"/>
        <v>4000</v>
      </c>
      <c r="AA108" s="44">
        <f t="shared" si="14"/>
        <v>4000</v>
      </c>
      <c r="AB108" s="44">
        <f t="shared" si="14"/>
        <v>4000</v>
      </c>
      <c r="AC108" s="44">
        <f t="shared" si="14"/>
        <v>4000</v>
      </c>
      <c r="AD108" s="44">
        <f t="shared" si="14"/>
        <v>4000</v>
      </c>
      <c r="AE108" s="44">
        <f t="shared" si="14"/>
        <v>4000</v>
      </c>
      <c r="AF108" s="44">
        <f t="shared" si="14"/>
        <v>4000</v>
      </c>
      <c r="AG108" s="44">
        <f t="shared" si="14"/>
        <v>4000</v>
      </c>
      <c r="AH108" s="44">
        <f t="shared" si="14"/>
        <v>4000</v>
      </c>
      <c r="AI108" s="44">
        <f t="shared" si="14"/>
        <v>4000</v>
      </c>
      <c r="AJ108" s="44">
        <f t="shared" si="14"/>
        <v>4000</v>
      </c>
      <c r="AK108" s="44">
        <f t="shared" si="14"/>
        <v>4000</v>
      </c>
      <c r="AL108"/>
      <c r="AM108" s="44">
        <f t="shared" si="14"/>
        <v>4000</v>
      </c>
      <c r="AN108" s="44">
        <f t="shared" si="14"/>
        <v>4000</v>
      </c>
      <c r="AO108" s="44">
        <f t="shared" si="14"/>
        <v>4000</v>
      </c>
      <c r="AP108" s="44">
        <f t="shared" si="14"/>
        <v>4000</v>
      </c>
      <c r="AQ108" s="44">
        <f t="shared" si="14"/>
        <v>4000</v>
      </c>
      <c r="AR108" s="44">
        <f t="shared" si="14"/>
        <v>4000</v>
      </c>
      <c r="AS108" s="44">
        <f t="shared" si="14"/>
        <v>4000</v>
      </c>
      <c r="AT108"/>
      <c r="AU108" s="44">
        <f t="shared" si="14"/>
        <v>4000</v>
      </c>
      <c r="AV108" s="44">
        <f t="shared" si="14"/>
        <v>4000</v>
      </c>
      <c r="AW108" s="44">
        <f t="shared" si="14"/>
        <v>4000</v>
      </c>
      <c r="AX108" s="44">
        <f t="shared" si="14"/>
        <v>4000</v>
      </c>
      <c r="AY108"/>
      <c r="AZ108" s="44">
        <f t="shared" si="14"/>
        <v>4000</v>
      </c>
      <c r="BA108"/>
      <c r="BB108"/>
      <c r="BC108" s="44">
        <f t="shared" si="14"/>
        <v>4000</v>
      </c>
    </row>
    <row r="109" spans="1:55" x14ac:dyDescent="0.25">
      <c r="A109" s="23" t="s">
        <v>421</v>
      </c>
      <c r="B109" s="3" t="s">
        <v>473</v>
      </c>
      <c r="C109" s="3" t="s">
        <v>483</v>
      </c>
      <c r="D109" s="3" t="s">
        <v>524</v>
      </c>
      <c r="E109" s="24" t="s">
        <v>422</v>
      </c>
      <c r="F109" s="24" t="s">
        <v>433</v>
      </c>
      <c r="G109" s="44">
        <v>100</v>
      </c>
      <c r="H109" s="44">
        <f t="shared" si="2"/>
        <v>100</v>
      </c>
      <c r="I109" s="44">
        <v>100</v>
      </c>
      <c r="J109" s="44">
        <v>100</v>
      </c>
      <c r="K109" s="44">
        <v>100</v>
      </c>
      <c r="L109" s="44">
        <v>100</v>
      </c>
      <c r="M109" s="44">
        <v>100</v>
      </c>
      <c r="N109" s="44">
        <v>100</v>
      </c>
      <c r="O109" s="44">
        <v>100</v>
      </c>
      <c r="P109" s="44">
        <v>100</v>
      </c>
      <c r="R109" s="44">
        <v>100</v>
      </c>
      <c r="S109" s="44">
        <v>100</v>
      </c>
      <c r="T109" s="44">
        <v>100</v>
      </c>
      <c r="V109" s="44">
        <v>100</v>
      </c>
      <c r="W109" s="44">
        <v>100</v>
      </c>
      <c r="X109" s="44">
        <v>100</v>
      </c>
      <c r="AA109" s="44">
        <v>100</v>
      </c>
      <c r="AB109" s="44">
        <v>100</v>
      </c>
      <c r="AC109" s="44">
        <v>100</v>
      </c>
      <c r="AD109" s="44">
        <v>100</v>
      </c>
      <c r="AE109" s="44">
        <v>100</v>
      </c>
      <c r="AF109" s="44">
        <v>100</v>
      </c>
      <c r="AG109" s="44">
        <v>100</v>
      </c>
      <c r="AH109" s="44">
        <v>100</v>
      </c>
      <c r="AI109" s="44">
        <v>100</v>
      </c>
      <c r="AJ109" s="44">
        <v>100</v>
      </c>
      <c r="AK109" s="44">
        <v>100</v>
      </c>
      <c r="AL109"/>
      <c r="AM109" s="44">
        <v>100</v>
      </c>
      <c r="AN109" s="44">
        <v>100</v>
      </c>
      <c r="AO109" s="44">
        <v>100</v>
      </c>
      <c r="AP109" s="44">
        <v>100</v>
      </c>
      <c r="AQ109" s="44">
        <v>100</v>
      </c>
      <c r="AR109" s="44">
        <v>100</v>
      </c>
      <c r="AS109" s="44">
        <v>100</v>
      </c>
      <c r="AT109"/>
      <c r="AU109" s="44">
        <v>100</v>
      </c>
      <c r="AV109" s="44">
        <v>100</v>
      </c>
      <c r="AW109" s="44">
        <v>100</v>
      </c>
      <c r="AX109" s="44">
        <v>100</v>
      </c>
      <c r="AY109"/>
      <c r="AZ109" s="44">
        <v>100</v>
      </c>
      <c r="BA109"/>
      <c r="BB109"/>
      <c r="BC109" s="44">
        <v>100</v>
      </c>
    </row>
    <row r="110" spans="1:55" ht="14.45" customHeight="1" x14ac:dyDescent="0.25">
      <c r="A110" s="23" t="s">
        <v>423</v>
      </c>
      <c r="B110" s="3" t="s">
        <v>473</v>
      </c>
      <c r="C110" s="3" t="s">
        <v>483</v>
      </c>
      <c r="D110" s="3" t="s">
        <v>524</v>
      </c>
      <c r="E110" s="24" t="s">
        <v>424</v>
      </c>
      <c r="F110" s="24" t="s">
        <v>434</v>
      </c>
      <c r="G110" s="44">
        <v>280800</v>
      </c>
      <c r="H110" s="44">
        <f t="shared" si="2"/>
        <v>280800</v>
      </c>
      <c r="I110" s="44">
        <v>280800</v>
      </c>
      <c r="J110" s="44">
        <v>280800</v>
      </c>
      <c r="K110" s="44">
        <v>280800</v>
      </c>
      <c r="L110" s="44">
        <v>280800</v>
      </c>
      <c r="M110" s="44">
        <v>280800</v>
      </c>
      <c r="N110" s="44">
        <v>280800</v>
      </c>
      <c r="O110" s="44">
        <v>280800</v>
      </c>
      <c r="P110" s="44">
        <v>280800</v>
      </c>
      <c r="R110" s="44">
        <v>280800</v>
      </c>
      <c r="S110" s="44">
        <v>280800</v>
      </c>
      <c r="T110" s="44">
        <v>280800</v>
      </c>
      <c r="V110" s="44">
        <v>280800</v>
      </c>
      <c r="W110" s="44">
        <v>280800</v>
      </c>
      <c r="X110" s="44">
        <v>280800</v>
      </c>
      <c r="AA110" s="44">
        <v>280800</v>
      </c>
      <c r="AB110" s="44">
        <v>280800</v>
      </c>
      <c r="AC110" s="44">
        <v>280800</v>
      </c>
      <c r="AD110" s="44">
        <v>280800</v>
      </c>
      <c r="AE110" s="44">
        <v>280800</v>
      </c>
      <c r="AF110" s="44">
        <v>280800</v>
      </c>
      <c r="AG110" s="44">
        <v>280800</v>
      </c>
      <c r="AH110" s="44">
        <v>280800</v>
      </c>
      <c r="AI110" s="44">
        <v>280800</v>
      </c>
      <c r="AJ110" s="44">
        <v>280800</v>
      </c>
      <c r="AK110" s="44">
        <v>280800</v>
      </c>
      <c r="AL110"/>
      <c r="AM110" s="44">
        <v>280800</v>
      </c>
      <c r="AN110" s="44">
        <v>280800</v>
      </c>
      <c r="AO110" s="44">
        <v>280800</v>
      </c>
      <c r="AP110" s="44">
        <v>280800</v>
      </c>
      <c r="AQ110" s="44">
        <v>280800</v>
      </c>
      <c r="AR110" s="44">
        <v>280800</v>
      </c>
      <c r="AS110" s="44">
        <v>280800</v>
      </c>
      <c r="AT110"/>
      <c r="AU110" s="44">
        <v>280800</v>
      </c>
      <c r="AV110" s="44">
        <v>280800</v>
      </c>
      <c r="AW110" s="44">
        <v>280800</v>
      </c>
      <c r="AX110" s="44">
        <v>280800</v>
      </c>
      <c r="AY110"/>
      <c r="AZ110" s="44">
        <v>280800</v>
      </c>
      <c r="BA110"/>
      <c r="BB110"/>
      <c r="BC110" s="44">
        <v>280800</v>
      </c>
    </row>
    <row r="111" spans="1:55" x14ac:dyDescent="0.25">
      <c r="A111" s="23" t="s">
        <v>425</v>
      </c>
      <c r="B111" s="3" t="s">
        <v>473</v>
      </c>
      <c r="C111" s="3" t="s">
        <v>483</v>
      </c>
      <c r="D111" s="3" t="s">
        <v>524</v>
      </c>
      <c r="E111" s="24" t="s">
        <v>426</v>
      </c>
      <c r="F111" s="24" t="s">
        <v>435</v>
      </c>
      <c r="G111" s="44">
        <v>1.2847222222222224E-5</v>
      </c>
      <c r="H111" s="44">
        <f t="shared" si="2"/>
        <v>1.2847222222222224E-5</v>
      </c>
      <c r="I111" s="44">
        <f t="shared" ref="I111:BC111" si="15">1.11 / 10</f>
        <v>0.11100000000000002</v>
      </c>
      <c r="J111" s="44">
        <f t="shared" si="15"/>
        <v>0.11100000000000002</v>
      </c>
      <c r="K111" s="44">
        <f t="shared" si="15"/>
        <v>0.11100000000000002</v>
      </c>
      <c r="L111" s="44">
        <f t="shared" si="15"/>
        <v>0.11100000000000002</v>
      </c>
      <c r="M111" s="44">
        <f t="shared" si="15"/>
        <v>0.11100000000000002</v>
      </c>
      <c r="N111" s="44">
        <f t="shared" si="15"/>
        <v>0.11100000000000002</v>
      </c>
      <c r="O111" s="44">
        <f t="shared" si="15"/>
        <v>0.11100000000000002</v>
      </c>
      <c r="P111" s="44">
        <f t="shared" si="15"/>
        <v>0.11100000000000002</v>
      </c>
      <c r="R111" s="44">
        <f t="shared" si="15"/>
        <v>0.11100000000000002</v>
      </c>
      <c r="S111" s="44">
        <f t="shared" si="15"/>
        <v>0.11100000000000002</v>
      </c>
      <c r="T111" s="44">
        <f t="shared" si="15"/>
        <v>0.11100000000000002</v>
      </c>
      <c r="V111" s="44">
        <f t="shared" si="15"/>
        <v>0.11100000000000002</v>
      </c>
      <c r="W111" s="44">
        <f t="shared" si="15"/>
        <v>0.11100000000000002</v>
      </c>
      <c r="X111" s="44">
        <f t="shared" si="15"/>
        <v>0.11100000000000002</v>
      </c>
      <c r="AA111" s="44">
        <f t="shared" si="15"/>
        <v>0.11100000000000002</v>
      </c>
      <c r="AB111" s="44">
        <f t="shared" si="15"/>
        <v>0.11100000000000002</v>
      </c>
      <c r="AC111" s="44">
        <f t="shared" si="15"/>
        <v>0.11100000000000002</v>
      </c>
      <c r="AD111" s="44">
        <f t="shared" si="15"/>
        <v>0.11100000000000002</v>
      </c>
      <c r="AE111" s="44">
        <f t="shared" si="15"/>
        <v>0.11100000000000002</v>
      </c>
      <c r="AF111" s="44">
        <f t="shared" si="15"/>
        <v>0.11100000000000002</v>
      </c>
      <c r="AG111" s="44">
        <f t="shared" si="15"/>
        <v>0.11100000000000002</v>
      </c>
      <c r="AH111" s="44">
        <f t="shared" si="15"/>
        <v>0.11100000000000002</v>
      </c>
      <c r="AI111" s="44">
        <f t="shared" si="15"/>
        <v>0.11100000000000002</v>
      </c>
      <c r="AJ111" s="44">
        <f t="shared" si="15"/>
        <v>0.11100000000000002</v>
      </c>
      <c r="AK111" s="44">
        <f t="shared" si="15"/>
        <v>0.11100000000000002</v>
      </c>
      <c r="AL111"/>
      <c r="AM111" s="44">
        <f t="shared" si="15"/>
        <v>0.11100000000000002</v>
      </c>
      <c r="AN111" s="44">
        <f t="shared" si="15"/>
        <v>0.11100000000000002</v>
      </c>
      <c r="AO111" s="44">
        <f t="shared" si="15"/>
        <v>0.11100000000000002</v>
      </c>
      <c r="AP111" s="44">
        <f t="shared" si="15"/>
        <v>0.11100000000000002</v>
      </c>
      <c r="AQ111" s="44">
        <f t="shared" si="15"/>
        <v>0.11100000000000002</v>
      </c>
      <c r="AR111" s="44">
        <f t="shared" si="15"/>
        <v>0.11100000000000002</v>
      </c>
      <c r="AS111" s="44">
        <f t="shared" si="15"/>
        <v>0.11100000000000002</v>
      </c>
      <c r="AT111"/>
      <c r="AU111" s="44">
        <f t="shared" si="15"/>
        <v>0.11100000000000002</v>
      </c>
      <c r="AV111" s="44">
        <f t="shared" si="15"/>
        <v>0.11100000000000002</v>
      </c>
      <c r="AW111" s="44">
        <f t="shared" si="15"/>
        <v>0.11100000000000002</v>
      </c>
      <c r="AX111" s="44">
        <f t="shared" si="15"/>
        <v>0.11100000000000002</v>
      </c>
      <c r="AY111"/>
      <c r="AZ111" s="44">
        <f t="shared" si="15"/>
        <v>0.11100000000000002</v>
      </c>
      <c r="BA111"/>
      <c r="BB111"/>
      <c r="BC111" s="44">
        <f t="shared" si="15"/>
        <v>0.11100000000000002</v>
      </c>
    </row>
    <row r="112" spans="1:55" x14ac:dyDescent="0.25">
      <c r="A112" s="23" t="s">
        <v>427</v>
      </c>
      <c r="B112" s="3" t="s">
        <v>473</v>
      </c>
      <c r="C112" s="3" t="s">
        <v>483</v>
      </c>
      <c r="D112" s="3" t="s">
        <v>524</v>
      </c>
      <c r="E112" s="24" t="s">
        <v>428</v>
      </c>
      <c r="F112" s="24" t="s">
        <v>433</v>
      </c>
      <c r="G112" s="44">
        <v>100</v>
      </c>
      <c r="H112" s="44">
        <f t="shared" si="2"/>
        <v>100</v>
      </c>
      <c r="I112" s="44">
        <v>100</v>
      </c>
      <c r="J112" s="44">
        <v>100</v>
      </c>
      <c r="K112" s="44">
        <v>100</v>
      </c>
      <c r="L112" s="44">
        <v>100</v>
      </c>
      <c r="M112" s="44">
        <v>100</v>
      </c>
      <c r="N112" s="44">
        <v>100</v>
      </c>
      <c r="O112" s="44">
        <v>100</v>
      </c>
      <c r="P112" s="44">
        <v>100</v>
      </c>
      <c r="R112" s="44">
        <v>100</v>
      </c>
      <c r="S112" s="44">
        <v>100</v>
      </c>
      <c r="T112" s="44">
        <v>100</v>
      </c>
      <c r="V112" s="44">
        <v>100</v>
      </c>
      <c r="W112" s="44">
        <v>100</v>
      </c>
      <c r="X112" s="44">
        <v>100</v>
      </c>
      <c r="AA112" s="44">
        <v>100</v>
      </c>
      <c r="AB112" s="44">
        <v>100</v>
      </c>
      <c r="AC112" s="44">
        <v>100</v>
      </c>
      <c r="AD112" s="44">
        <v>100</v>
      </c>
      <c r="AE112" s="44">
        <v>100</v>
      </c>
      <c r="AF112" s="44">
        <v>100</v>
      </c>
      <c r="AG112" s="44">
        <v>100</v>
      </c>
      <c r="AH112" s="44">
        <v>100</v>
      </c>
      <c r="AI112" s="44">
        <v>100</v>
      </c>
      <c r="AJ112" s="44">
        <v>100</v>
      </c>
      <c r="AK112" s="44">
        <v>100</v>
      </c>
      <c r="AL112"/>
      <c r="AM112" s="44">
        <v>100</v>
      </c>
      <c r="AN112" s="44">
        <v>100</v>
      </c>
      <c r="AO112" s="44">
        <v>100</v>
      </c>
      <c r="AP112" s="44">
        <v>100</v>
      </c>
      <c r="AQ112" s="44">
        <v>100</v>
      </c>
      <c r="AR112" s="44">
        <v>100</v>
      </c>
      <c r="AS112" s="44">
        <v>100</v>
      </c>
      <c r="AT112"/>
      <c r="AU112" s="44">
        <v>100</v>
      </c>
      <c r="AV112" s="44">
        <v>100</v>
      </c>
      <c r="AW112" s="44">
        <v>100</v>
      </c>
      <c r="AX112" s="44">
        <v>100</v>
      </c>
      <c r="AY112"/>
      <c r="AZ112" s="44">
        <v>100</v>
      </c>
      <c r="BA112"/>
      <c r="BB112"/>
      <c r="BC112" s="44">
        <v>100</v>
      </c>
    </row>
    <row r="113" spans="1:55" ht="14.45" customHeight="1" x14ac:dyDescent="0.25">
      <c r="A113" s="23" t="s">
        <v>429</v>
      </c>
      <c r="B113" s="3" t="s">
        <v>473</v>
      </c>
      <c r="C113" s="3" t="s">
        <v>483</v>
      </c>
      <c r="D113" s="3" t="s">
        <v>524</v>
      </c>
      <c r="E113" s="24" t="s">
        <v>430</v>
      </c>
      <c r="F113" s="24" t="s">
        <v>434</v>
      </c>
      <c r="G113" s="44">
        <v>459648</v>
      </c>
      <c r="H113" s="44">
        <f t="shared" si="2"/>
        <v>459648</v>
      </c>
      <c r="I113" s="44">
        <v>459648</v>
      </c>
      <c r="J113" s="44">
        <v>459648</v>
      </c>
      <c r="K113" s="44">
        <v>459648</v>
      </c>
      <c r="L113" s="44">
        <v>459648</v>
      </c>
      <c r="M113" s="44">
        <v>459648</v>
      </c>
      <c r="N113" s="44">
        <v>459648</v>
      </c>
      <c r="O113" s="44">
        <v>459648</v>
      </c>
      <c r="P113" s="44">
        <v>459648</v>
      </c>
      <c r="R113" s="44">
        <v>459648</v>
      </c>
      <c r="S113" s="44">
        <v>459648</v>
      </c>
      <c r="T113" s="44">
        <v>459648</v>
      </c>
      <c r="V113" s="44">
        <v>459648</v>
      </c>
      <c r="W113" s="44">
        <v>459648</v>
      </c>
      <c r="X113" s="44">
        <v>459648</v>
      </c>
      <c r="AA113" s="44">
        <v>459648</v>
      </c>
      <c r="AB113" s="44">
        <v>459648</v>
      </c>
      <c r="AC113" s="44">
        <v>459648</v>
      </c>
      <c r="AD113" s="44">
        <v>459648</v>
      </c>
      <c r="AE113" s="44">
        <v>459648</v>
      </c>
      <c r="AF113" s="44">
        <v>459648</v>
      </c>
      <c r="AG113" s="44">
        <v>459648</v>
      </c>
      <c r="AH113" s="44">
        <v>459648</v>
      </c>
      <c r="AI113" s="44">
        <v>459648</v>
      </c>
      <c r="AJ113" s="44">
        <v>459648</v>
      </c>
      <c r="AK113" s="44">
        <v>459648</v>
      </c>
      <c r="AL113"/>
      <c r="AM113" s="44">
        <v>459648</v>
      </c>
      <c r="AN113" s="44">
        <v>459648</v>
      </c>
      <c r="AO113" s="44">
        <v>459648</v>
      </c>
      <c r="AP113" s="44">
        <v>459648</v>
      </c>
      <c r="AQ113" s="44">
        <v>459648</v>
      </c>
      <c r="AR113" s="44">
        <v>459648</v>
      </c>
      <c r="AS113" s="44">
        <v>459648</v>
      </c>
      <c r="AT113"/>
      <c r="AU113" s="44">
        <v>459648</v>
      </c>
      <c r="AV113" s="44">
        <v>459648</v>
      </c>
      <c r="AW113" s="44">
        <v>459648</v>
      </c>
      <c r="AX113" s="44">
        <v>459648</v>
      </c>
      <c r="AY113"/>
      <c r="AZ113" s="44">
        <v>459648</v>
      </c>
      <c r="BA113"/>
      <c r="BB113"/>
      <c r="BC113" s="44">
        <v>459648</v>
      </c>
    </row>
    <row r="114" spans="1:55" x14ac:dyDescent="0.25">
      <c r="A114" s="23" t="s">
        <v>431</v>
      </c>
      <c r="B114" s="3" t="s">
        <v>473</v>
      </c>
      <c r="C114" s="3" t="s">
        <v>483</v>
      </c>
      <c r="D114" s="3" t="s">
        <v>524</v>
      </c>
      <c r="E114" s="24" t="s">
        <v>432</v>
      </c>
      <c r="F114" s="24" t="s">
        <v>435</v>
      </c>
      <c r="G114" s="44">
        <v>1.2847222222222224E-5</v>
      </c>
      <c r="H114" s="44">
        <f t="shared" si="2"/>
        <v>1.2847222222222224E-5</v>
      </c>
      <c r="I114" s="44">
        <f t="shared" ref="I114:BC114" si="16">1.11/8</f>
        <v>0.13875000000000001</v>
      </c>
      <c r="J114" s="44">
        <f t="shared" si="16"/>
        <v>0.13875000000000001</v>
      </c>
      <c r="K114" s="44">
        <f t="shared" si="16"/>
        <v>0.13875000000000001</v>
      </c>
      <c r="L114" s="44">
        <f t="shared" si="16"/>
        <v>0.13875000000000001</v>
      </c>
      <c r="M114" s="44">
        <f t="shared" si="16"/>
        <v>0.13875000000000001</v>
      </c>
      <c r="N114" s="44">
        <f t="shared" si="16"/>
        <v>0.13875000000000001</v>
      </c>
      <c r="O114" s="44">
        <f t="shared" si="16"/>
        <v>0.13875000000000001</v>
      </c>
      <c r="P114" s="44">
        <f t="shared" si="16"/>
        <v>0.13875000000000001</v>
      </c>
      <c r="R114" s="44">
        <f t="shared" si="16"/>
        <v>0.13875000000000001</v>
      </c>
      <c r="S114" s="44">
        <f t="shared" si="16"/>
        <v>0.13875000000000001</v>
      </c>
      <c r="T114" s="44">
        <f t="shared" si="16"/>
        <v>0.13875000000000001</v>
      </c>
      <c r="V114" s="44">
        <f t="shared" si="16"/>
        <v>0.13875000000000001</v>
      </c>
      <c r="W114" s="44">
        <f t="shared" si="16"/>
        <v>0.13875000000000001</v>
      </c>
      <c r="X114" s="44">
        <f t="shared" si="16"/>
        <v>0.13875000000000001</v>
      </c>
      <c r="AA114" s="44">
        <f t="shared" si="16"/>
        <v>0.13875000000000001</v>
      </c>
      <c r="AB114" s="44">
        <f t="shared" si="16"/>
        <v>0.13875000000000001</v>
      </c>
      <c r="AC114" s="44">
        <f t="shared" si="16"/>
        <v>0.13875000000000001</v>
      </c>
      <c r="AD114" s="44">
        <f t="shared" si="16"/>
        <v>0.13875000000000001</v>
      </c>
      <c r="AE114" s="44">
        <f t="shared" si="16"/>
        <v>0.13875000000000001</v>
      </c>
      <c r="AF114" s="44">
        <f t="shared" si="16"/>
        <v>0.13875000000000001</v>
      </c>
      <c r="AG114" s="44">
        <f t="shared" si="16"/>
        <v>0.13875000000000001</v>
      </c>
      <c r="AH114" s="44">
        <f t="shared" si="16"/>
        <v>0.13875000000000001</v>
      </c>
      <c r="AI114" s="44">
        <f t="shared" si="16"/>
        <v>0.13875000000000001</v>
      </c>
      <c r="AJ114" s="44">
        <f t="shared" si="16"/>
        <v>0.13875000000000001</v>
      </c>
      <c r="AK114" s="44">
        <f t="shared" si="16"/>
        <v>0.13875000000000001</v>
      </c>
      <c r="AL114"/>
      <c r="AM114" s="44">
        <f t="shared" si="16"/>
        <v>0.13875000000000001</v>
      </c>
      <c r="AN114" s="44">
        <f t="shared" si="16"/>
        <v>0.13875000000000001</v>
      </c>
      <c r="AO114" s="44">
        <f t="shared" si="16"/>
        <v>0.13875000000000001</v>
      </c>
      <c r="AP114" s="44">
        <f t="shared" si="16"/>
        <v>0.13875000000000001</v>
      </c>
      <c r="AQ114" s="44">
        <f t="shared" si="16"/>
        <v>0.13875000000000001</v>
      </c>
      <c r="AR114" s="44">
        <f t="shared" si="16"/>
        <v>0.13875000000000001</v>
      </c>
      <c r="AS114" s="44">
        <f t="shared" si="16"/>
        <v>0.13875000000000001</v>
      </c>
      <c r="AT114"/>
      <c r="AU114" s="44">
        <f t="shared" si="16"/>
        <v>0.13875000000000001</v>
      </c>
      <c r="AV114" s="44">
        <f t="shared" si="16"/>
        <v>0.13875000000000001</v>
      </c>
      <c r="AW114" s="44">
        <f t="shared" si="16"/>
        <v>0.13875000000000001</v>
      </c>
      <c r="AX114" s="44">
        <f t="shared" si="16"/>
        <v>0.13875000000000001</v>
      </c>
      <c r="AY114"/>
      <c r="AZ114" s="44">
        <f t="shared" si="16"/>
        <v>0.13875000000000001</v>
      </c>
      <c r="BA114"/>
      <c r="BB114"/>
      <c r="BC114" s="44">
        <f t="shared" si="16"/>
        <v>0.13875000000000001</v>
      </c>
    </row>
    <row r="115" spans="1:55" x14ac:dyDescent="0.25">
      <c r="A115" s="23" t="s">
        <v>395</v>
      </c>
      <c r="B115" s="3" t="s">
        <v>473</v>
      </c>
      <c r="C115" s="3" t="s">
        <v>483</v>
      </c>
      <c r="D115" s="3" t="s">
        <v>524</v>
      </c>
      <c r="E115" s="24" t="s">
        <v>396</v>
      </c>
      <c r="F115" s="24" t="s">
        <v>106</v>
      </c>
      <c r="G115" s="44">
        <v>21600</v>
      </c>
      <c r="H115" s="44">
        <f t="shared" si="2"/>
        <v>21600</v>
      </c>
      <c r="I115" s="44">
        <v>21600</v>
      </c>
      <c r="J115" s="44">
        <v>21600</v>
      </c>
      <c r="K115" s="44">
        <v>21600</v>
      </c>
      <c r="L115" s="44">
        <v>21600</v>
      </c>
      <c r="M115" s="44">
        <v>21600</v>
      </c>
      <c r="N115" s="44">
        <v>21600</v>
      </c>
      <c r="O115" s="44">
        <v>21600</v>
      </c>
      <c r="P115" s="44">
        <v>21600</v>
      </c>
      <c r="R115" s="44">
        <v>21600</v>
      </c>
      <c r="S115" s="44">
        <v>21600</v>
      </c>
      <c r="T115" s="44">
        <v>21600</v>
      </c>
      <c r="V115" s="44">
        <v>21600</v>
      </c>
      <c r="W115" s="44">
        <v>21600</v>
      </c>
      <c r="X115" s="44">
        <v>21600</v>
      </c>
      <c r="AA115" s="44">
        <v>21600</v>
      </c>
      <c r="AB115" s="44">
        <v>21600</v>
      </c>
      <c r="AC115" s="44">
        <v>21600</v>
      </c>
      <c r="AD115" s="44">
        <v>21600</v>
      </c>
      <c r="AE115" s="44">
        <v>21600</v>
      </c>
      <c r="AF115" s="44">
        <v>21600</v>
      </c>
      <c r="AG115" s="44">
        <v>21600</v>
      </c>
      <c r="AH115" s="44">
        <v>21600</v>
      </c>
      <c r="AI115" s="44">
        <v>21600</v>
      </c>
      <c r="AJ115" s="44">
        <v>21600</v>
      </c>
      <c r="AK115" s="44">
        <v>21600</v>
      </c>
      <c r="AL115"/>
      <c r="AM115" s="44">
        <v>21600</v>
      </c>
      <c r="AN115" s="44">
        <v>21600</v>
      </c>
      <c r="AO115" s="44">
        <v>21600</v>
      </c>
      <c r="AP115" s="44">
        <v>21600</v>
      </c>
      <c r="AQ115" s="44">
        <v>21600</v>
      </c>
      <c r="AR115" s="44">
        <v>21600</v>
      </c>
      <c r="AS115" s="44">
        <v>21600</v>
      </c>
      <c r="AT115"/>
      <c r="AU115" s="44">
        <v>21600</v>
      </c>
      <c r="AV115" s="44">
        <v>21600</v>
      </c>
      <c r="AW115" s="44">
        <v>21600</v>
      </c>
      <c r="AX115" s="44">
        <v>21600</v>
      </c>
      <c r="AY115"/>
      <c r="AZ115" s="44">
        <v>21600</v>
      </c>
      <c r="BA115"/>
      <c r="BB115"/>
      <c r="BC115" s="44">
        <v>21600</v>
      </c>
    </row>
    <row r="116" spans="1:55" x14ac:dyDescent="0.25">
      <c r="A116" s="23" t="s">
        <v>397</v>
      </c>
      <c r="B116" s="3" t="s">
        <v>473</v>
      </c>
      <c r="C116" s="3" t="s">
        <v>483</v>
      </c>
      <c r="D116" s="3" t="s">
        <v>524</v>
      </c>
      <c r="E116" s="24" t="s">
        <v>398</v>
      </c>
      <c r="F116" s="24" t="s">
        <v>106</v>
      </c>
      <c r="G116" s="44">
        <v>172800</v>
      </c>
      <c r="H116" s="44">
        <f t="shared" si="2"/>
        <v>172800</v>
      </c>
      <c r="I116" s="44">
        <v>43200</v>
      </c>
      <c r="J116" s="44">
        <v>43200</v>
      </c>
      <c r="K116" s="44">
        <v>43200</v>
      </c>
      <c r="L116" s="44">
        <v>43200</v>
      </c>
      <c r="M116" s="44">
        <v>43200</v>
      </c>
      <c r="N116" s="44">
        <v>43200</v>
      </c>
      <c r="O116" s="44">
        <v>43200</v>
      </c>
      <c r="P116" s="44">
        <v>43200</v>
      </c>
      <c r="R116" s="44">
        <v>43200</v>
      </c>
      <c r="S116" s="44">
        <v>43200</v>
      </c>
      <c r="T116" s="44">
        <v>43200</v>
      </c>
      <c r="V116" s="44">
        <v>43200</v>
      </c>
      <c r="W116" s="44">
        <v>43200</v>
      </c>
      <c r="X116" s="44">
        <v>43200</v>
      </c>
      <c r="AA116" s="44">
        <v>43200</v>
      </c>
      <c r="AB116" s="44">
        <v>43200</v>
      </c>
      <c r="AC116" s="44">
        <v>43200</v>
      </c>
      <c r="AD116" s="44">
        <v>43200</v>
      </c>
      <c r="AE116" s="44">
        <v>43200</v>
      </c>
      <c r="AF116" s="44">
        <v>43200</v>
      </c>
      <c r="AG116" s="44">
        <v>43200</v>
      </c>
      <c r="AH116" s="44">
        <v>43200</v>
      </c>
      <c r="AI116" s="44">
        <v>43200</v>
      </c>
      <c r="AJ116" s="44">
        <v>43200</v>
      </c>
      <c r="AK116" s="44">
        <v>43200</v>
      </c>
      <c r="AL116"/>
      <c r="AM116" s="44">
        <v>43200</v>
      </c>
      <c r="AN116" s="44">
        <v>43200</v>
      </c>
      <c r="AO116" s="44">
        <v>43200</v>
      </c>
      <c r="AP116" s="44">
        <v>43200</v>
      </c>
      <c r="AQ116" s="44">
        <v>43200</v>
      </c>
      <c r="AR116" s="44">
        <v>43200</v>
      </c>
      <c r="AS116" s="44">
        <v>43200</v>
      </c>
      <c r="AT116"/>
      <c r="AU116" s="44">
        <v>43200</v>
      </c>
      <c r="AV116" s="44">
        <v>43200</v>
      </c>
      <c r="AW116" s="44">
        <v>43200</v>
      </c>
      <c r="AX116" s="44">
        <v>43200</v>
      </c>
      <c r="AY116"/>
      <c r="AZ116" s="44">
        <v>43200</v>
      </c>
      <c r="BA116"/>
      <c r="BB116"/>
      <c r="BC116" s="44">
        <v>43200</v>
      </c>
    </row>
    <row r="117" spans="1:55" x14ac:dyDescent="0.25">
      <c r="A117" s="13" t="s">
        <v>61</v>
      </c>
      <c r="B117" s="3" t="s">
        <v>473</v>
      </c>
      <c r="C117" s="3" t="s">
        <v>483</v>
      </c>
      <c r="D117" s="3" t="s">
        <v>524</v>
      </c>
      <c r="E117" s="14" t="s">
        <v>172</v>
      </c>
      <c r="F117" s="14" t="s">
        <v>111</v>
      </c>
      <c r="G117" s="44">
        <v>0.8</v>
      </c>
      <c r="H117" s="44">
        <f t="shared" si="2"/>
        <v>0.8</v>
      </c>
      <c r="I117" s="44">
        <v>0.8</v>
      </c>
      <c r="J117" s="44">
        <v>0.8</v>
      </c>
      <c r="K117" s="44">
        <v>0.8</v>
      </c>
      <c r="L117" s="44">
        <v>0.8</v>
      </c>
      <c r="M117" s="44">
        <v>0.8</v>
      </c>
      <c r="N117" s="44">
        <v>0.8</v>
      </c>
      <c r="O117" s="44">
        <v>0.8</v>
      </c>
      <c r="P117" s="44">
        <v>0.8</v>
      </c>
      <c r="R117" s="44">
        <v>0.8</v>
      </c>
      <c r="S117" s="44">
        <v>0.8</v>
      </c>
      <c r="T117" s="44">
        <v>0.8</v>
      </c>
      <c r="V117" s="44">
        <v>0.8</v>
      </c>
      <c r="W117" s="44">
        <v>0.8</v>
      </c>
      <c r="X117" s="44">
        <v>0.8</v>
      </c>
      <c r="AA117" s="44">
        <v>0.8</v>
      </c>
      <c r="AB117" s="44">
        <v>0.8</v>
      </c>
      <c r="AC117" s="44">
        <v>0.8</v>
      </c>
      <c r="AD117" s="44">
        <v>0.8</v>
      </c>
      <c r="AE117" s="44">
        <v>0.8</v>
      </c>
      <c r="AF117" s="44">
        <v>0.8</v>
      </c>
      <c r="AG117" s="44">
        <v>0.8</v>
      </c>
      <c r="AH117" s="44">
        <v>0.8</v>
      </c>
      <c r="AI117" s="44">
        <v>0.8</v>
      </c>
      <c r="AJ117" s="44">
        <v>0.8</v>
      </c>
      <c r="AK117" s="44">
        <v>0.8</v>
      </c>
      <c r="AL117"/>
      <c r="AM117" s="44">
        <v>0.8</v>
      </c>
      <c r="AN117" s="44">
        <v>0.8</v>
      </c>
      <c r="AO117" s="44">
        <v>0.8</v>
      </c>
      <c r="AP117" s="44">
        <v>0.8</v>
      </c>
      <c r="AQ117" s="44">
        <v>0.8</v>
      </c>
      <c r="AR117" s="44">
        <v>0.8</v>
      </c>
      <c r="AS117" s="44">
        <v>0.8</v>
      </c>
      <c r="AT117"/>
      <c r="AU117" s="44">
        <v>0.8</v>
      </c>
      <c r="AV117" s="44">
        <v>0.8</v>
      </c>
      <c r="AW117" s="44">
        <v>0.8</v>
      </c>
      <c r="AX117" s="44">
        <v>0.8</v>
      </c>
      <c r="AY117"/>
      <c r="AZ117" s="44">
        <v>0.8</v>
      </c>
      <c r="BA117"/>
      <c r="BB117"/>
      <c r="BC117" s="44">
        <v>0.8</v>
      </c>
    </row>
    <row r="118" spans="1:55" x14ac:dyDescent="0.25">
      <c r="A118" s="13" t="s">
        <v>62</v>
      </c>
      <c r="B118" s="3" t="s">
        <v>473</v>
      </c>
      <c r="C118" s="3" t="s">
        <v>483</v>
      </c>
      <c r="D118" s="3" t="s">
        <v>524</v>
      </c>
      <c r="E118" s="14" t="s">
        <v>173</v>
      </c>
      <c r="F118" s="14" t="s">
        <v>198</v>
      </c>
      <c r="G118" s="44">
        <v>2.0833333333333335E-4</v>
      </c>
      <c r="H118" s="44">
        <f t="shared" si="2"/>
        <v>2.0833333333333335E-4</v>
      </c>
      <c r="I118" s="44">
        <v>2.0833333333333335E-4</v>
      </c>
      <c r="J118" s="44">
        <v>2.0833333333333335E-4</v>
      </c>
      <c r="K118" s="44">
        <v>2.0833333333333335E-4</v>
      </c>
      <c r="L118" s="44">
        <v>2.0833333333333335E-4</v>
      </c>
      <c r="M118" s="44">
        <v>2.0833333333333335E-4</v>
      </c>
      <c r="N118" s="44">
        <v>2.0833333333333335E-4</v>
      </c>
      <c r="O118" s="44">
        <v>2.0833333333333335E-4</v>
      </c>
      <c r="P118" s="44">
        <v>2.0833333333333335E-4</v>
      </c>
      <c r="R118" s="44">
        <v>2.0833333333333335E-4</v>
      </c>
      <c r="S118" s="44">
        <v>2.0833333333333335E-4</v>
      </c>
      <c r="T118" s="44">
        <v>2.0833333333333335E-4</v>
      </c>
      <c r="V118" s="44">
        <v>2.0833333333333335E-4</v>
      </c>
      <c r="W118" s="44">
        <v>2.0833333333333335E-4</v>
      </c>
      <c r="X118" s="44">
        <v>2.0833333333333335E-4</v>
      </c>
      <c r="AA118" s="44">
        <v>2.0833333333333335E-4</v>
      </c>
      <c r="AB118" s="44">
        <v>2.0833333333333335E-4</v>
      </c>
      <c r="AC118" s="44">
        <v>2.0833333333333335E-4</v>
      </c>
      <c r="AD118" s="44">
        <v>2.0833333333333335E-4</v>
      </c>
      <c r="AE118" s="44">
        <v>2.0833333333333335E-4</v>
      </c>
      <c r="AF118" s="44">
        <v>2.0833333333333335E-4</v>
      </c>
      <c r="AG118" s="44">
        <v>2.0833333333333335E-4</v>
      </c>
      <c r="AH118" s="44">
        <v>2.0833333333333335E-4</v>
      </c>
      <c r="AI118" s="44">
        <v>2.0833333333333335E-4</v>
      </c>
      <c r="AJ118" s="44">
        <v>2.0833333333333335E-4</v>
      </c>
      <c r="AK118" s="44">
        <v>2.0833333333333335E-4</v>
      </c>
      <c r="AL118"/>
      <c r="AM118" s="44">
        <v>2.0833333333333335E-4</v>
      </c>
      <c r="AN118" s="44">
        <v>2.0833333333333335E-4</v>
      </c>
      <c r="AO118" s="44">
        <v>2.0833333333333335E-4</v>
      </c>
      <c r="AP118" s="44">
        <v>2.0833333333333335E-4</v>
      </c>
      <c r="AQ118" s="44">
        <v>2.0833333333333335E-4</v>
      </c>
      <c r="AR118" s="44">
        <v>2.0833333333333335E-4</v>
      </c>
      <c r="AS118" s="44">
        <v>2.0833333333333335E-4</v>
      </c>
      <c r="AT118"/>
      <c r="AU118" s="44">
        <v>2.0833333333333335E-4</v>
      </c>
      <c r="AV118" s="44">
        <v>2.0833333333333335E-4</v>
      </c>
      <c r="AW118" s="44">
        <v>2.0833333333333335E-4</v>
      </c>
      <c r="AX118" s="44">
        <v>2.0833333333333335E-4</v>
      </c>
      <c r="AY118"/>
      <c r="AZ118" s="44">
        <v>2.0833333333333335E-4</v>
      </c>
      <c r="BA118"/>
      <c r="BB118"/>
      <c r="BC118" s="44">
        <v>2.0833333333333335E-4</v>
      </c>
    </row>
    <row r="119" spans="1:55" x14ac:dyDescent="0.25">
      <c r="A119" s="13" t="s">
        <v>63</v>
      </c>
      <c r="B119" s="3" t="s">
        <v>473</v>
      </c>
      <c r="C119" s="3" t="s">
        <v>483</v>
      </c>
      <c r="D119" s="3" t="s">
        <v>524</v>
      </c>
      <c r="E119" s="14" t="s">
        <v>174</v>
      </c>
      <c r="F119" s="14" t="s">
        <v>110</v>
      </c>
      <c r="G119" s="44">
        <v>5.7899999999999998E-7</v>
      </c>
      <c r="H119" s="44">
        <f t="shared" si="2"/>
        <v>5.7899999999999998E-7</v>
      </c>
      <c r="I119" s="44">
        <v>5.7899999999999998E-7</v>
      </c>
      <c r="J119" s="44">
        <v>5.7899999999999998E-7</v>
      </c>
      <c r="K119" s="44">
        <v>5.7899999999999998E-7</v>
      </c>
      <c r="L119" s="44">
        <v>5.7899999999999998E-7</v>
      </c>
      <c r="M119" s="44">
        <v>5.7899999999999998E-7</v>
      </c>
      <c r="N119" s="44">
        <v>5.7899999999999998E-7</v>
      </c>
      <c r="O119" s="44">
        <v>5.7899999999999998E-7</v>
      </c>
      <c r="P119" s="44">
        <v>5.7899999999999998E-7</v>
      </c>
      <c r="R119" s="44">
        <v>5.7899999999999998E-7</v>
      </c>
      <c r="S119" s="44">
        <v>5.7899999999999998E-7</v>
      </c>
      <c r="T119" s="44">
        <v>5.7899999999999998E-7</v>
      </c>
      <c r="V119" s="44">
        <v>5.7899999999999998E-7</v>
      </c>
      <c r="W119" s="44">
        <v>5.7899999999999998E-7</v>
      </c>
      <c r="X119" s="44">
        <v>5.7899999999999998E-7</v>
      </c>
      <c r="AA119" s="44">
        <v>5.7899999999999998E-7</v>
      </c>
      <c r="AB119" s="44">
        <v>5.7899999999999998E-7</v>
      </c>
      <c r="AC119" s="44">
        <v>5.7899999999999998E-7</v>
      </c>
      <c r="AD119" s="44">
        <v>5.7899999999999998E-7</v>
      </c>
      <c r="AE119" s="44">
        <v>5.7899999999999998E-7</v>
      </c>
      <c r="AF119" s="44">
        <v>5.7899999999999998E-7</v>
      </c>
      <c r="AG119" s="44">
        <v>5.7899999999999998E-7</v>
      </c>
      <c r="AH119" s="44">
        <v>5.7899999999999998E-7</v>
      </c>
      <c r="AI119" s="44">
        <v>5.7899999999999998E-7</v>
      </c>
      <c r="AJ119" s="44">
        <v>5.7899999999999998E-7</v>
      </c>
      <c r="AK119" s="44">
        <v>5.7899999999999998E-7</v>
      </c>
      <c r="AL119"/>
      <c r="AM119" s="44">
        <v>5.7899999999999998E-7</v>
      </c>
      <c r="AN119" s="44">
        <v>5.7899999999999998E-7</v>
      </c>
      <c r="AO119" s="44">
        <v>5.7899999999999998E-7</v>
      </c>
      <c r="AP119" s="44">
        <v>5.7899999999999998E-7</v>
      </c>
      <c r="AQ119" s="44">
        <v>5.7899999999999998E-7</v>
      </c>
      <c r="AR119" s="44">
        <v>5.7899999999999998E-7</v>
      </c>
      <c r="AS119" s="44">
        <v>5.7899999999999998E-7</v>
      </c>
      <c r="AT119"/>
      <c r="AU119" s="44">
        <v>5.7899999999999998E-7</v>
      </c>
      <c r="AV119" s="44">
        <v>5.7899999999999998E-7</v>
      </c>
      <c r="AW119" s="44">
        <v>5.7899999999999998E-7</v>
      </c>
      <c r="AX119" s="44">
        <v>5.7899999999999998E-7</v>
      </c>
      <c r="AY119"/>
      <c r="AZ119" s="44">
        <v>5.7899999999999998E-7</v>
      </c>
      <c r="BA119"/>
      <c r="BB119"/>
      <c r="BC119" s="44">
        <v>5.7899999999999998E-7</v>
      </c>
    </row>
    <row r="120" spans="1:55" x14ac:dyDescent="0.25">
      <c r="A120" s="13" t="s">
        <v>64</v>
      </c>
      <c r="B120" s="3" t="s">
        <v>473</v>
      </c>
      <c r="C120" s="3" t="s">
        <v>483</v>
      </c>
      <c r="D120" s="3" t="s">
        <v>524</v>
      </c>
      <c r="E120" s="14" t="s">
        <v>175</v>
      </c>
      <c r="F120" s="14" t="s">
        <v>198</v>
      </c>
      <c r="G120" s="44">
        <v>2.0833333333333335E-4</v>
      </c>
      <c r="H120" s="44">
        <f t="shared" si="2"/>
        <v>2.0833333333333335E-4</v>
      </c>
      <c r="I120" s="44">
        <v>2.0833333333333335E-4</v>
      </c>
      <c r="J120" s="44">
        <v>2.0833333333333335E-4</v>
      </c>
      <c r="K120" s="44">
        <v>2.0833333333333335E-4</v>
      </c>
      <c r="L120" s="44">
        <v>2.0833333333333335E-4</v>
      </c>
      <c r="M120" s="44">
        <v>2.0833333333333335E-4</v>
      </c>
      <c r="N120" s="44">
        <v>2.0833333333333335E-4</v>
      </c>
      <c r="O120" s="44">
        <v>2.0833333333333335E-4</v>
      </c>
      <c r="P120" s="44">
        <v>2.0833333333333335E-4</v>
      </c>
      <c r="R120" s="44">
        <v>2.0833333333333335E-4</v>
      </c>
      <c r="S120" s="44">
        <v>2.0833333333333335E-4</v>
      </c>
      <c r="T120" s="44">
        <v>2.0833333333333335E-4</v>
      </c>
      <c r="V120" s="44">
        <v>2.0833333333333335E-4</v>
      </c>
      <c r="W120" s="44">
        <v>2.0833333333333335E-4</v>
      </c>
      <c r="X120" s="44">
        <v>2.0833333333333335E-4</v>
      </c>
      <c r="AA120" s="44">
        <v>2.0833333333333335E-4</v>
      </c>
      <c r="AB120" s="44">
        <v>2.0833333333333335E-4</v>
      </c>
      <c r="AC120" s="44">
        <v>2.0833333333333335E-4</v>
      </c>
      <c r="AD120" s="44">
        <v>2.0833333333333335E-4</v>
      </c>
      <c r="AE120" s="44">
        <v>2.0833333333333335E-4</v>
      </c>
      <c r="AF120" s="44">
        <v>2.0833333333333335E-4</v>
      </c>
      <c r="AG120" s="44">
        <v>2.0833333333333335E-4</v>
      </c>
      <c r="AH120" s="44">
        <v>2.0833333333333335E-4</v>
      </c>
      <c r="AI120" s="44">
        <v>2.0833333333333335E-4</v>
      </c>
      <c r="AJ120" s="44">
        <v>2.0833333333333335E-4</v>
      </c>
      <c r="AK120" s="44">
        <v>2.0833333333333335E-4</v>
      </c>
      <c r="AL120"/>
      <c r="AM120" s="44">
        <v>2.0833333333333335E-4</v>
      </c>
      <c r="AN120" s="44">
        <v>2.0833333333333335E-4</v>
      </c>
      <c r="AO120" s="44">
        <v>2.0833333333333335E-4</v>
      </c>
      <c r="AP120" s="44">
        <v>2.0833333333333335E-4</v>
      </c>
      <c r="AQ120" s="44">
        <v>2.0833333333333335E-4</v>
      </c>
      <c r="AR120" s="44">
        <v>2.0833333333333335E-4</v>
      </c>
      <c r="AS120" s="44">
        <v>2.0833333333333335E-4</v>
      </c>
      <c r="AT120"/>
      <c r="AU120" s="44">
        <v>2.0833333333333335E-4</v>
      </c>
      <c r="AV120" s="44">
        <v>2.0833333333333335E-4</v>
      </c>
      <c r="AW120" s="44">
        <v>2.0833333333333335E-4</v>
      </c>
      <c r="AX120" s="44">
        <v>2.0833333333333335E-4</v>
      </c>
      <c r="AY120"/>
      <c r="AZ120" s="44">
        <v>2.0833333333333335E-4</v>
      </c>
      <c r="BA120"/>
      <c r="BB120"/>
      <c r="BC120" s="44">
        <v>2.0833333333333335E-4</v>
      </c>
    </row>
    <row r="121" spans="1:55" x14ac:dyDescent="0.25">
      <c r="A121" s="13" t="s">
        <v>452</v>
      </c>
      <c r="B121" s="3" t="s">
        <v>473</v>
      </c>
      <c r="C121" s="3" t="s">
        <v>483</v>
      </c>
      <c r="D121" s="3" t="s">
        <v>524</v>
      </c>
      <c r="E121" s="14" t="s">
        <v>453</v>
      </c>
      <c r="F121" s="14" t="s">
        <v>198</v>
      </c>
      <c r="G121" s="44">
        <v>1.0000000000000001E-5</v>
      </c>
      <c r="H121" s="44">
        <f t="shared" si="2"/>
        <v>1.0000000000000001E-5</v>
      </c>
      <c r="I121" s="44">
        <v>0</v>
      </c>
      <c r="J121" s="44">
        <v>0</v>
      </c>
      <c r="K121" s="44">
        <v>0</v>
      </c>
      <c r="L121" s="44">
        <v>0</v>
      </c>
      <c r="M121" s="44">
        <v>0</v>
      </c>
      <c r="N121" s="44">
        <v>0</v>
      </c>
      <c r="O121" s="44">
        <v>0</v>
      </c>
      <c r="P121" s="44">
        <v>0</v>
      </c>
      <c r="R121" s="44">
        <v>0</v>
      </c>
      <c r="S121" s="44">
        <v>0</v>
      </c>
      <c r="T121" s="44">
        <v>0</v>
      </c>
      <c r="V121" s="44">
        <v>0</v>
      </c>
      <c r="W121" s="44">
        <v>0</v>
      </c>
      <c r="X121" s="44">
        <v>0</v>
      </c>
      <c r="AA121" s="44">
        <v>0</v>
      </c>
      <c r="AB121" s="44">
        <v>0</v>
      </c>
      <c r="AC121" s="44">
        <v>0</v>
      </c>
      <c r="AD121" s="44">
        <v>0</v>
      </c>
      <c r="AE121" s="44">
        <v>0</v>
      </c>
      <c r="AF121" s="44">
        <v>0</v>
      </c>
      <c r="AG121" s="44">
        <v>0</v>
      </c>
      <c r="AH121" s="44">
        <v>0</v>
      </c>
      <c r="AI121" s="44">
        <v>0</v>
      </c>
      <c r="AJ121" s="44">
        <v>0</v>
      </c>
      <c r="AK121" s="44">
        <v>0</v>
      </c>
      <c r="AL121"/>
      <c r="AM121" s="44">
        <v>0</v>
      </c>
      <c r="AN121" s="44">
        <v>0</v>
      </c>
      <c r="AO121" s="44">
        <v>0</v>
      </c>
      <c r="AP121" s="44">
        <v>0</v>
      </c>
      <c r="AQ121" s="44">
        <v>0</v>
      </c>
      <c r="AR121" s="44">
        <v>0</v>
      </c>
      <c r="AS121" s="44">
        <v>0</v>
      </c>
      <c r="AT121"/>
      <c r="AU121" s="44">
        <v>0</v>
      </c>
      <c r="AV121" s="44">
        <v>0</v>
      </c>
      <c r="AW121" s="44">
        <v>0</v>
      </c>
      <c r="AX121" s="44">
        <v>0</v>
      </c>
      <c r="AY121"/>
      <c r="AZ121" s="44">
        <v>0</v>
      </c>
      <c r="BA121"/>
      <c r="BB121"/>
      <c r="BC121" s="44">
        <v>0</v>
      </c>
    </row>
    <row r="122" spans="1:55" x14ac:dyDescent="0.25">
      <c r="A122" s="13" t="s">
        <v>454</v>
      </c>
      <c r="B122" s="3" t="s">
        <v>473</v>
      </c>
      <c r="C122" s="3" t="s">
        <v>483</v>
      </c>
      <c r="D122" s="3" t="s">
        <v>524</v>
      </c>
      <c r="E122" s="14" t="s">
        <v>455</v>
      </c>
      <c r="F122" s="14" t="s">
        <v>198</v>
      </c>
      <c r="G122" s="44">
        <v>1.0000000000000001E-5</v>
      </c>
      <c r="H122" s="44">
        <f t="shared" si="2"/>
        <v>1.0000000000000001E-5</v>
      </c>
      <c r="I122" s="44">
        <v>0</v>
      </c>
      <c r="J122" s="44">
        <v>0</v>
      </c>
      <c r="K122" s="44">
        <v>0</v>
      </c>
      <c r="L122" s="44">
        <v>0</v>
      </c>
      <c r="M122" s="44">
        <v>0</v>
      </c>
      <c r="N122" s="44">
        <v>0</v>
      </c>
      <c r="O122" s="44">
        <v>0</v>
      </c>
      <c r="P122" s="44">
        <v>0</v>
      </c>
      <c r="R122" s="44">
        <v>0</v>
      </c>
      <c r="S122" s="44">
        <v>0</v>
      </c>
      <c r="T122" s="44">
        <v>0</v>
      </c>
      <c r="V122" s="44">
        <v>0</v>
      </c>
      <c r="W122" s="44">
        <v>0</v>
      </c>
      <c r="X122" s="44">
        <v>0</v>
      </c>
      <c r="AA122" s="44">
        <v>0</v>
      </c>
      <c r="AB122" s="44">
        <v>0</v>
      </c>
      <c r="AC122" s="44">
        <v>0</v>
      </c>
      <c r="AD122" s="44">
        <v>0</v>
      </c>
      <c r="AE122" s="44">
        <v>0</v>
      </c>
      <c r="AF122" s="44">
        <v>0</v>
      </c>
      <c r="AG122" s="44">
        <v>0</v>
      </c>
      <c r="AH122" s="44">
        <v>0</v>
      </c>
      <c r="AI122" s="44">
        <v>0</v>
      </c>
      <c r="AJ122" s="44">
        <v>0</v>
      </c>
      <c r="AK122" s="44">
        <v>0</v>
      </c>
      <c r="AL122"/>
      <c r="AM122" s="44">
        <v>0</v>
      </c>
      <c r="AN122" s="44">
        <v>0</v>
      </c>
      <c r="AO122" s="44">
        <v>0</v>
      </c>
      <c r="AP122" s="44">
        <v>0</v>
      </c>
      <c r="AQ122" s="44">
        <v>0</v>
      </c>
      <c r="AR122" s="44">
        <v>0</v>
      </c>
      <c r="AS122" s="44">
        <v>0</v>
      </c>
      <c r="AT122"/>
      <c r="AU122" s="44">
        <v>0</v>
      </c>
      <c r="AV122" s="44">
        <v>0</v>
      </c>
      <c r="AW122" s="44">
        <v>0</v>
      </c>
      <c r="AX122" s="44">
        <v>0</v>
      </c>
      <c r="AY122"/>
      <c r="AZ122" s="44">
        <v>0</v>
      </c>
      <c r="BA122"/>
      <c r="BB122"/>
      <c r="BC122" s="44">
        <v>0</v>
      </c>
    </row>
    <row r="123" spans="1:55" x14ac:dyDescent="0.25">
      <c r="A123" s="38" t="s">
        <v>444</v>
      </c>
      <c r="B123" s="3" t="s">
        <v>473</v>
      </c>
      <c r="C123" s="3" t="s">
        <v>483</v>
      </c>
      <c r="D123" s="3" t="s">
        <v>524</v>
      </c>
      <c r="E123" s="39" t="s">
        <v>178</v>
      </c>
      <c r="F123" s="39" t="s">
        <v>179</v>
      </c>
      <c r="G123" s="44">
        <v>1.9999999999999999E-7</v>
      </c>
      <c r="H123" s="44">
        <f t="shared" si="2"/>
        <v>1.9999999999999999E-7</v>
      </c>
      <c r="I123" s="44">
        <v>5.9999999999999997E-7</v>
      </c>
      <c r="J123" s="44">
        <v>5.9999999999999997E-7</v>
      </c>
      <c r="K123" s="44">
        <v>5.9999999999999997E-7</v>
      </c>
      <c r="L123" s="44">
        <v>5.9999999999999997E-7</v>
      </c>
      <c r="M123" s="44">
        <v>5.9999999999999997E-7</v>
      </c>
      <c r="N123" s="44">
        <v>5.9999999999999997E-7</v>
      </c>
      <c r="O123" s="44">
        <v>5.9999999999999997E-7</v>
      </c>
      <c r="P123" s="44">
        <v>5.9999999999999997E-7</v>
      </c>
      <c r="R123" s="44">
        <v>0</v>
      </c>
      <c r="S123" s="44">
        <v>0</v>
      </c>
      <c r="T123" s="44">
        <v>0</v>
      </c>
      <c r="V123" s="44">
        <v>5.9999999999999997E-7</v>
      </c>
      <c r="W123" s="44">
        <v>5.9999999999999997E-7</v>
      </c>
      <c r="X123" s="44">
        <v>5.9999999999999997E-7</v>
      </c>
      <c r="AA123" s="44">
        <v>5.9999999999999997E-7</v>
      </c>
      <c r="AB123" s="44">
        <v>5.9999999999999997E-7</v>
      </c>
      <c r="AC123" s="44">
        <v>5.9999999999999997E-7</v>
      </c>
      <c r="AD123" s="44">
        <v>5.9999999999999997E-7</v>
      </c>
      <c r="AE123" s="44">
        <v>5.9999999999999997E-7</v>
      </c>
      <c r="AF123" s="44">
        <v>5.9999999999999997E-7</v>
      </c>
      <c r="AG123" s="44">
        <v>5.9999999999999997E-7</v>
      </c>
      <c r="AH123" s="44">
        <v>5.9999999999999997E-7</v>
      </c>
      <c r="AI123" s="44">
        <v>5.9999999999999997E-7</v>
      </c>
      <c r="AJ123" s="44">
        <v>5.9999999999999997E-7</v>
      </c>
      <c r="AK123" s="44">
        <v>5.9999999999999997E-7</v>
      </c>
      <c r="AL123"/>
      <c r="AM123" s="44">
        <v>5.9999999999999997E-7</v>
      </c>
      <c r="AN123" s="44">
        <v>5.9999999999999997E-7</v>
      </c>
      <c r="AO123" s="44">
        <v>5.9999999999999997E-7</v>
      </c>
      <c r="AP123" s="44">
        <v>5.9999999999999997E-7</v>
      </c>
      <c r="AQ123" s="44">
        <v>5.9999999999999997E-7</v>
      </c>
      <c r="AR123" s="44">
        <v>5.9999999999999997E-7</v>
      </c>
      <c r="AS123" s="44">
        <v>5.9999999999999997E-7</v>
      </c>
      <c r="AT123"/>
      <c r="AU123" s="44">
        <v>5.9999999999999997E-7</v>
      </c>
      <c r="AV123" s="44">
        <v>5.9999999999999997E-7</v>
      </c>
      <c r="AW123" s="44">
        <v>5.9999999999999997E-7</v>
      </c>
      <c r="AX123" s="44">
        <v>5.9999999999999997E-7</v>
      </c>
      <c r="AY123"/>
      <c r="AZ123" s="44">
        <v>5.9999999999999997E-7</v>
      </c>
      <c r="BA123"/>
      <c r="BB123"/>
      <c r="BC123" s="44">
        <v>9.9999999999999995E-8</v>
      </c>
    </row>
    <row r="124" spans="1:55" x14ac:dyDescent="0.25">
      <c r="A124" s="38" t="s">
        <v>67</v>
      </c>
      <c r="B124" s="3" t="s">
        <v>473</v>
      </c>
      <c r="C124" s="3" t="s">
        <v>483</v>
      </c>
      <c r="D124" s="3" t="s">
        <v>524</v>
      </c>
      <c r="E124" s="39" t="s">
        <v>445</v>
      </c>
      <c r="F124" s="39" t="s">
        <v>446</v>
      </c>
      <c r="G124" s="44">
        <f>1000 * 0.000001 / 12</f>
        <v>8.3333333333333331E-5</v>
      </c>
      <c r="H124" s="44">
        <f t="shared" si="2"/>
        <v>8.3333333333333331E-5</v>
      </c>
      <c r="I124" s="44">
        <f t="shared" ref="I124:BC124" si="17">1000 * 0.000001 / 12</f>
        <v>8.3333333333333331E-5</v>
      </c>
      <c r="J124" s="44">
        <f t="shared" si="17"/>
        <v>8.3333333333333331E-5</v>
      </c>
      <c r="K124" s="44">
        <f t="shared" si="17"/>
        <v>8.3333333333333331E-5</v>
      </c>
      <c r="L124" s="44">
        <f t="shared" si="17"/>
        <v>8.3333333333333331E-5</v>
      </c>
      <c r="M124" s="44">
        <f t="shared" si="17"/>
        <v>8.3333333333333331E-5</v>
      </c>
      <c r="N124" s="44">
        <f t="shared" si="17"/>
        <v>8.3333333333333331E-5</v>
      </c>
      <c r="O124" s="44">
        <f t="shared" si="17"/>
        <v>8.3333333333333331E-5</v>
      </c>
      <c r="P124" s="44">
        <f t="shared" si="17"/>
        <v>8.3333333333333331E-5</v>
      </c>
      <c r="R124" s="44">
        <f t="shared" si="17"/>
        <v>8.3333333333333331E-5</v>
      </c>
      <c r="S124" s="44">
        <f t="shared" si="17"/>
        <v>8.3333333333333331E-5</v>
      </c>
      <c r="T124" s="44">
        <f t="shared" si="17"/>
        <v>8.3333333333333331E-5</v>
      </c>
      <c r="V124" s="44">
        <f t="shared" si="17"/>
        <v>8.3333333333333331E-5</v>
      </c>
      <c r="W124" s="44">
        <f t="shared" si="17"/>
        <v>8.3333333333333331E-5</v>
      </c>
      <c r="X124" s="44">
        <f t="shared" si="17"/>
        <v>8.3333333333333331E-5</v>
      </c>
      <c r="AA124" s="44">
        <f t="shared" si="17"/>
        <v>8.3333333333333331E-5</v>
      </c>
      <c r="AB124" s="44">
        <f t="shared" si="17"/>
        <v>8.3333333333333331E-5</v>
      </c>
      <c r="AC124" s="44">
        <f t="shared" si="17"/>
        <v>8.3333333333333331E-5</v>
      </c>
      <c r="AD124" s="44">
        <f t="shared" si="17"/>
        <v>8.3333333333333331E-5</v>
      </c>
      <c r="AE124" s="44">
        <f t="shared" si="17"/>
        <v>8.3333333333333331E-5</v>
      </c>
      <c r="AF124" s="44">
        <f t="shared" si="17"/>
        <v>8.3333333333333331E-5</v>
      </c>
      <c r="AG124" s="44">
        <f t="shared" si="17"/>
        <v>8.3333333333333331E-5</v>
      </c>
      <c r="AH124" s="44">
        <f t="shared" si="17"/>
        <v>8.3333333333333331E-5</v>
      </c>
      <c r="AI124" s="44">
        <f t="shared" si="17"/>
        <v>8.3333333333333331E-5</v>
      </c>
      <c r="AJ124" s="44">
        <f t="shared" si="17"/>
        <v>8.3333333333333331E-5</v>
      </c>
      <c r="AK124" s="44">
        <f t="shared" si="17"/>
        <v>8.3333333333333331E-5</v>
      </c>
      <c r="AL124"/>
      <c r="AM124" s="44">
        <f t="shared" si="17"/>
        <v>8.3333333333333331E-5</v>
      </c>
      <c r="AN124" s="44">
        <f t="shared" si="17"/>
        <v>8.3333333333333331E-5</v>
      </c>
      <c r="AO124" s="44">
        <f t="shared" si="17"/>
        <v>8.3333333333333331E-5</v>
      </c>
      <c r="AP124" s="44">
        <f t="shared" si="17"/>
        <v>8.3333333333333331E-5</v>
      </c>
      <c r="AQ124" s="44">
        <f t="shared" si="17"/>
        <v>8.3333333333333331E-5</v>
      </c>
      <c r="AR124" s="44">
        <f t="shared" si="17"/>
        <v>8.3333333333333331E-5</v>
      </c>
      <c r="AS124" s="44">
        <f t="shared" si="17"/>
        <v>8.3333333333333331E-5</v>
      </c>
      <c r="AT124"/>
      <c r="AU124" s="44">
        <f t="shared" si="17"/>
        <v>8.3333333333333331E-5</v>
      </c>
      <c r="AV124" s="44">
        <f t="shared" si="17"/>
        <v>8.3333333333333331E-5</v>
      </c>
      <c r="AW124" s="44">
        <f t="shared" si="17"/>
        <v>8.3333333333333331E-5</v>
      </c>
      <c r="AX124" s="44">
        <f t="shared" si="17"/>
        <v>8.3333333333333331E-5</v>
      </c>
      <c r="AY124"/>
      <c r="AZ124" s="44">
        <f t="shared" si="17"/>
        <v>8.3333333333333331E-5</v>
      </c>
      <c r="BA124"/>
      <c r="BB124"/>
      <c r="BC124" s="44">
        <f t="shared" si="17"/>
        <v>8.3333333333333331E-5</v>
      </c>
    </row>
    <row r="125" spans="1:55" x14ac:dyDescent="0.25">
      <c r="A125" s="38" t="s">
        <v>448</v>
      </c>
      <c r="B125" s="3" t="s">
        <v>473</v>
      </c>
      <c r="C125" s="3" t="s">
        <v>483</v>
      </c>
      <c r="D125" s="3" t="s">
        <v>524</v>
      </c>
      <c r="E125" s="39" t="s">
        <v>449</v>
      </c>
      <c r="F125" s="39" t="s">
        <v>94</v>
      </c>
      <c r="G125" s="44" t="s">
        <v>87</v>
      </c>
      <c r="H125" s="44" t="str">
        <f t="shared" si="2"/>
        <v>False</v>
      </c>
      <c r="I125" s="44" t="s">
        <v>86</v>
      </c>
      <c r="J125" s="44" t="s">
        <v>86</v>
      </c>
      <c r="K125" s="44" t="s">
        <v>86</v>
      </c>
      <c r="L125" s="44" t="s">
        <v>86</v>
      </c>
      <c r="M125" s="44" t="s">
        <v>86</v>
      </c>
      <c r="N125" s="44" t="s">
        <v>86</v>
      </c>
      <c r="O125" s="44" t="s">
        <v>86</v>
      </c>
      <c r="P125" s="44" t="s">
        <v>86</v>
      </c>
      <c r="R125" s="44" t="s">
        <v>86</v>
      </c>
      <c r="S125" s="44" t="s">
        <v>86</v>
      </c>
      <c r="T125" s="44" t="s">
        <v>86</v>
      </c>
      <c r="V125" s="44" t="s">
        <v>86</v>
      </c>
      <c r="W125" s="44" t="s">
        <v>86</v>
      </c>
      <c r="X125" s="44" t="s">
        <v>86</v>
      </c>
      <c r="AA125" s="44" t="s">
        <v>86</v>
      </c>
      <c r="AB125" s="44" t="s">
        <v>86</v>
      </c>
      <c r="AC125" s="44" t="s">
        <v>86</v>
      </c>
      <c r="AD125" s="44" t="s">
        <v>86</v>
      </c>
      <c r="AE125" s="44" t="s">
        <v>86</v>
      </c>
      <c r="AF125" s="44" t="s">
        <v>86</v>
      </c>
      <c r="AG125" s="44" t="s">
        <v>86</v>
      </c>
      <c r="AH125" s="44" t="s">
        <v>86</v>
      </c>
      <c r="AI125" s="44" t="s">
        <v>86</v>
      </c>
      <c r="AJ125" s="44" t="s">
        <v>86</v>
      </c>
      <c r="AK125" s="44" t="s">
        <v>86</v>
      </c>
      <c r="AL125"/>
      <c r="AM125" s="44" t="s">
        <v>86</v>
      </c>
      <c r="AN125" s="44" t="s">
        <v>86</v>
      </c>
      <c r="AO125" s="44" t="s">
        <v>86</v>
      </c>
      <c r="AP125" s="44" t="s">
        <v>86</v>
      </c>
      <c r="AQ125" s="44" t="s">
        <v>86</v>
      </c>
      <c r="AR125" s="44" t="s">
        <v>86</v>
      </c>
      <c r="AS125" s="44" t="s">
        <v>86</v>
      </c>
      <c r="AT125"/>
      <c r="AU125" s="44" t="s">
        <v>86</v>
      </c>
      <c r="AV125" s="44" t="s">
        <v>86</v>
      </c>
      <c r="AW125" s="44" t="s">
        <v>86</v>
      </c>
      <c r="AX125" s="44" t="s">
        <v>86</v>
      </c>
      <c r="AY125"/>
      <c r="AZ125" s="44" t="s">
        <v>86</v>
      </c>
      <c r="BA125"/>
      <c r="BB125"/>
      <c r="BC125" s="44" t="s">
        <v>86</v>
      </c>
    </row>
    <row r="126" spans="1:55" x14ac:dyDescent="0.25">
      <c r="A126" s="21" t="s">
        <v>66</v>
      </c>
      <c r="B126" s="3" t="s">
        <v>473</v>
      </c>
      <c r="C126" s="3" t="s">
        <v>483</v>
      </c>
      <c r="D126" s="3" t="s">
        <v>524</v>
      </c>
      <c r="E126" s="22" t="s">
        <v>177</v>
      </c>
      <c r="F126" s="22" t="s">
        <v>199</v>
      </c>
      <c r="G126" s="44">
        <v>5.0000000000000001E-4</v>
      </c>
      <c r="H126" s="44">
        <v>5.0000000000000001E-4</v>
      </c>
      <c r="I126" s="44">
        <v>5.0000000000000001E-4</v>
      </c>
      <c r="J126" s="44">
        <v>5.0000000000000001E-4</v>
      </c>
      <c r="K126" s="44">
        <v>5.0000000000000001E-4</v>
      </c>
      <c r="L126" s="44">
        <v>5.0000000000000001E-4</v>
      </c>
      <c r="M126" s="44">
        <v>5.0000000000000001E-4</v>
      </c>
      <c r="N126" s="44">
        <v>5.0000000000000001E-4</v>
      </c>
      <c r="O126" s="44">
        <v>5.0000000000000001E-4</v>
      </c>
      <c r="P126" s="44">
        <v>5.0000000000000001E-4</v>
      </c>
      <c r="R126" s="44">
        <f>0.00000000005</f>
        <v>5.0000000000000002E-11</v>
      </c>
      <c r="S126" s="44">
        <f>0.00000000005</f>
        <v>5.0000000000000002E-11</v>
      </c>
      <c r="T126" s="44">
        <f>0.00000000005</f>
        <v>5.0000000000000002E-11</v>
      </c>
      <c r="V126" s="44">
        <v>5.0000000000000001E-4</v>
      </c>
      <c r="W126" s="44">
        <v>5.0000000000000001E-4</v>
      </c>
      <c r="X126" s="44">
        <v>5.0000000000000001E-4</v>
      </c>
      <c r="AA126" s="44">
        <v>5.0000000000000001E-4</v>
      </c>
      <c r="AB126" s="44">
        <v>5.0000000000000001E-4</v>
      </c>
      <c r="AC126" s="44">
        <v>5.0000000000000001E-4</v>
      </c>
      <c r="AD126" s="44">
        <v>5.0000000000000001E-4</v>
      </c>
      <c r="AE126" s="44">
        <v>5.0000000000000001E-4</v>
      </c>
      <c r="AF126" s="44">
        <v>5.0000000000000001E-4</v>
      </c>
      <c r="AG126" s="44">
        <v>5.0000000000000001E-4</v>
      </c>
      <c r="AH126" s="44">
        <v>5.0000000000000001E-4</v>
      </c>
      <c r="AI126" s="44">
        <v>5.0000000000000001E-4</v>
      </c>
      <c r="AJ126" s="44">
        <v>5.0000000000000001E-4</v>
      </c>
      <c r="AK126" s="44">
        <v>5.0000000000000001E-4</v>
      </c>
      <c r="AL126"/>
      <c r="AM126" s="44">
        <v>5.0000000000000001E-4</v>
      </c>
      <c r="AN126" s="44">
        <v>5.0000000000000001E-4</v>
      </c>
      <c r="AO126" s="44">
        <v>5.0000000000000001E-4</v>
      </c>
      <c r="AP126" s="44">
        <v>5.0000000000000001E-4</v>
      </c>
      <c r="AQ126" s="44">
        <v>5.0000000000000001E-4</v>
      </c>
      <c r="AR126" s="44">
        <v>5.0000000000000001E-4</v>
      </c>
      <c r="AS126" s="44">
        <v>5.0000000000000001E-4</v>
      </c>
      <c r="AT126"/>
      <c r="AU126" s="44">
        <v>5.0000000000000001E-4</v>
      </c>
      <c r="AV126" s="44">
        <v>5.0000000000000001E-4</v>
      </c>
      <c r="AW126" s="44">
        <v>5.0000000000000001E-4</v>
      </c>
      <c r="AX126" s="44">
        <v>5.0000000000000001E-4</v>
      </c>
      <c r="AY126"/>
      <c r="AZ126" s="44">
        <v>5.0000000000000001E-4</v>
      </c>
      <c r="BA126"/>
      <c r="BB126"/>
      <c r="BC126" s="44">
        <v>5.0000000000000001E-4</v>
      </c>
    </row>
    <row r="127" spans="1:55" x14ac:dyDescent="0.25">
      <c r="A127" s="21" t="s">
        <v>441</v>
      </c>
      <c r="B127" s="3" t="s">
        <v>473</v>
      </c>
      <c r="C127" s="3" t="s">
        <v>483</v>
      </c>
      <c r="D127" s="3" t="s">
        <v>524</v>
      </c>
      <c r="E127" s="22" t="s">
        <v>442</v>
      </c>
      <c r="F127" s="22" t="s">
        <v>443</v>
      </c>
      <c r="G127" s="44">
        <v>1.0000000000000001E-9</v>
      </c>
      <c r="H127" s="44">
        <f t="shared" si="2"/>
        <v>1.0000000000000001E-9</v>
      </c>
      <c r="I127" s="44">
        <v>4.9999999999999999E-13</v>
      </c>
      <c r="J127" s="44">
        <v>4.9999999999999999E-13</v>
      </c>
      <c r="K127" s="44">
        <v>4.9999999999999999E-13</v>
      </c>
      <c r="L127" s="44">
        <v>4.9999999999999999E-13</v>
      </c>
      <c r="M127" s="44">
        <v>4.9999999999999999E-13</v>
      </c>
      <c r="N127" s="44">
        <v>4.9999999999999999E-13</v>
      </c>
      <c r="O127" s="44">
        <v>4.9999999999999999E-13</v>
      </c>
      <c r="P127" s="44">
        <v>4.9999999999999999E-13</v>
      </c>
      <c r="R127" s="44">
        <v>4.9999999999999999E-13</v>
      </c>
      <c r="S127" s="44">
        <v>4.9999999999999999E-13</v>
      </c>
      <c r="T127" s="44">
        <v>4.9999999999999999E-13</v>
      </c>
      <c r="V127" s="44">
        <v>4.9999999999999999E-13</v>
      </c>
      <c r="W127" s="44">
        <v>4.9999999999999999E-13</v>
      </c>
      <c r="X127" s="44">
        <v>4.9999999999999999E-13</v>
      </c>
      <c r="AA127" s="44">
        <v>4.9999999999999999E-13</v>
      </c>
      <c r="AB127" s="44">
        <v>4.9999999999999999E-13</v>
      </c>
      <c r="AC127" s="44">
        <v>4.9999999999999999E-13</v>
      </c>
      <c r="AD127" s="44">
        <v>4.9999999999999999E-13</v>
      </c>
      <c r="AE127" s="44">
        <v>4.9999999999999999E-13</v>
      </c>
      <c r="AF127" s="44">
        <v>4.9999999999999999E-13</v>
      </c>
      <c r="AG127" s="44">
        <v>4.9999999999999999E-13</v>
      </c>
      <c r="AH127" s="44">
        <v>4.9999999999999999E-13</v>
      </c>
      <c r="AI127" s="44">
        <v>4.9999999999999999E-13</v>
      </c>
      <c r="AJ127" s="44">
        <v>4.9999999999999999E-13</v>
      </c>
      <c r="AK127" s="44">
        <v>4.9999999999999999E-13</v>
      </c>
      <c r="AL127"/>
      <c r="AM127" s="44">
        <v>4.9999999999999999E-13</v>
      </c>
      <c r="AN127" s="44">
        <v>4.9999999999999999E-13</v>
      </c>
      <c r="AO127" s="44">
        <v>4.9999999999999999E-13</v>
      </c>
      <c r="AP127" s="44">
        <v>4.9999999999999999E-13</v>
      </c>
      <c r="AQ127" s="44">
        <v>4.9999999999999999E-13</v>
      </c>
      <c r="AR127" s="44">
        <v>4.9999999999999999E-13</v>
      </c>
      <c r="AS127" s="44">
        <v>4.9999999999999999E-13</v>
      </c>
      <c r="AT127"/>
      <c r="AU127" s="44">
        <v>4.9999999999999999E-13</v>
      </c>
      <c r="AV127" s="44">
        <v>4.9999999999999999E-13</v>
      </c>
      <c r="AW127" s="44">
        <v>4.9999999999999999E-13</v>
      </c>
      <c r="AX127" s="44">
        <v>4.9999999999999999E-13</v>
      </c>
      <c r="AY127"/>
      <c r="AZ127" s="44">
        <v>4.9999999999999999E-13</v>
      </c>
      <c r="BA127"/>
      <c r="BB127"/>
      <c r="BC127" s="44">
        <v>4.9999999999999999E-13</v>
      </c>
    </row>
    <row r="128" spans="1:55" x14ac:dyDescent="0.25">
      <c r="A128" s="21" t="s">
        <v>228</v>
      </c>
      <c r="B128" s="3" t="s">
        <v>473</v>
      </c>
      <c r="C128" s="3" t="s">
        <v>483</v>
      </c>
      <c r="D128" s="3" t="s">
        <v>524</v>
      </c>
      <c r="E128" s="22" t="s">
        <v>311</v>
      </c>
      <c r="F128" s="22" t="s">
        <v>109</v>
      </c>
      <c r="G128" s="44">
        <v>10</v>
      </c>
      <c r="H128" s="44">
        <f t="shared" si="2"/>
        <v>10</v>
      </c>
      <c r="I128" s="44">
        <v>10</v>
      </c>
      <c r="J128" s="44">
        <v>10</v>
      </c>
      <c r="K128" s="44">
        <v>10</v>
      </c>
      <c r="L128" s="44">
        <v>10</v>
      </c>
      <c r="M128" s="44">
        <v>10</v>
      </c>
      <c r="N128" s="44">
        <v>10</v>
      </c>
      <c r="O128" s="44">
        <v>10</v>
      </c>
      <c r="P128" s="44">
        <v>10</v>
      </c>
      <c r="R128" s="44">
        <v>10</v>
      </c>
      <c r="S128" s="44">
        <v>10</v>
      </c>
      <c r="T128" s="44">
        <v>10</v>
      </c>
      <c r="V128" s="44">
        <v>10</v>
      </c>
      <c r="W128" s="44">
        <v>10</v>
      </c>
      <c r="X128" s="44">
        <v>10</v>
      </c>
      <c r="AA128" s="44">
        <v>10</v>
      </c>
      <c r="AB128" s="44">
        <v>10</v>
      </c>
      <c r="AC128" s="44">
        <v>10</v>
      </c>
      <c r="AD128" s="44">
        <v>10</v>
      </c>
      <c r="AE128" s="44">
        <v>10</v>
      </c>
      <c r="AF128" s="44">
        <v>10</v>
      </c>
      <c r="AG128" s="44">
        <v>10</v>
      </c>
      <c r="AH128" s="44">
        <v>10</v>
      </c>
      <c r="AI128" s="44">
        <v>10</v>
      </c>
      <c r="AJ128" s="44">
        <v>10</v>
      </c>
      <c r="AK128" s="44">
        <v>10</v>
      </c>
      <c r="AL128"/>
      <c r="AM128" s="44">
        <v>10</v>
      </c>
      <c r="AN128" s="44">
        <v>10</v>
      </c>
      <c r="AO128" s="44">
        <v>10</v>
      </c>
      <c r="AP128" s="44">
        <v>10</v>
      </c>
      <c r="AQ128" s="44">
        <v>10</v>
      </c>
      <c r="AR128" s="44">
        <v>10</v>
      </c>
      <c r="AS128" s="44">
        <v>10</v>
      </c>
      <c r="AT128"/>
      <c r="AU128" s="44">
        <v>10</v>
      </c>
      <c r="AV128" s="44">
        <v>10</v>
      </c>
      <c r="AW128" s="44">
        <v>10</v>
      </c>
      <c r="AX128" s="44">
        <v>10</v>
      </c>
      <c r="AY128"/>
      <c r="AZ128" s="44">
        <v>10</v>
      </c>
      <c r="BA128"/>
      <c r="BB128"/>
      <c r="BC128" s="44">
        <v>10</v>
      </c>
    </row>
    <row r="129" spans="1:55" x14ac:dyDescent="0.25">
      <c r="A129" s="21" t="s">
        <v>229</v>
      </c>
      <c r="B129" s="3" t="s">
        <v>473</v>
      </c>
      <c r="C129" s="3" t="s">
        <v>483</v>
      </c>
      <c r="D129" s="3" t="s">
        <v>524</v>
      </c>
      <c r="E129" s="22" t="s">
        <v>312</v>
      </c>
      <c r="F129" s="22" t="s">
        <v>301</v>
      </c>
      <c r="G129" s="44">
        <v>-0.04</v>
      </c>
      <c r="H129" s="44">
        <f t="shared" si="2"/>
        <v>-0.04</v>
      </c>
      <c r="I129" s="44">
        <v>-0.04</v>
      </c>
      <c r="J129" s="44">
        <v>-0.04</v>
      </c>
      <c r="K129" s="44">
        <v>-0.04</v>
      </c>
      <c r="L129" s="44">
        <v>-0.04</v>
      </c>
      <c r="M129" s="44">
        <v>-0.04</v>
      </c>
      <c r="N129" s="44">
        <v>-0.04</v>
      </c>
      <c r="O129" s="44">
        <v>-0.04</v>
      </c>
      <c r="P129" s="44">
        <v>-0.04</v>
      </c>
      <c r="R129" s="44">
        <v>-0.04</v>
      </c>
      <c r="S129" s="44">
        <v>-0.04</v>
      </c>
      <c r="T129" s="44">
        <v>-0.04</v>
      </c>
      <c r="V129" s="44">
        <v>-0.04</v>
      </c>
      <c r="W129" s="44">
        <v>-0.04</v>
      </c>
      <c r="X129" s="44">
        <v>-0.04</v>
      </c>
      <c r="AA129" s="44">
        <v>-0.04</v>
      </c>
      <c r="AB129" s="44">
        <v>-0.04</v>
      </c>
      <c r="AC129" s="44">
        <v>-0.04</v>
      </c>
      <c r="AD129" s="44">
        <v>-0.04</v>
      </c>
      <c r="AE129" s="44">
        <v>-0.04</v>
      </c>
      <c r="AF129" s="44">
        <v>-0.04</v>
      </c>
      <c r="AG129" s="44">
        <v>-0.04</v>
      </c>
      <c r="AH129" s="44">
        <v>-0.04</v>
      </c>
      <c r="AI129" s="44">
        <v>-0.04</v>
      </c>
      <c r="AJ129" s="44">
        <v>-0.04</v>
      </c>
      <c r="AK129" s="44">
        <v>-0.04</v>
      </c>
      <c r="AL129"/>
      <c r="AM129" s="44">
        <v>-0.04</v>
      </c>
      <c r="AN129" s="44">
        <v>-0.04</v>
      </c>
      <c r="AO129" s="44">
        <v>-0.04</v>
      </c>
      <c r="AP129" s="44">
        <v>-0.04</v>
      </c>
      <c r="AQ129" s="44">
        <v>-0.04</v>
      </c>
      <c r="AR129" s="44">
        <v>-0.04</v>
      </c>
      <c r="AS129" s="44">
        <v>-0.04</v>
      </c>
      <c r="AT129"/>
      <c r="AU129" s="44">
        <v>-0.04</v>
      </c>
      <c r="AV129" s="44">
        <v>-0.04</v>
      </c>
      <c r="AW129" s="44">
        <v>-0.04</v>
      </c>
      <c r="AX129" s="44">
        <v>-0.04</v>
      </c>
      <c r="AY129"/>
      <c r="AZ129" s="44">
        <v>-0.04</v>
      </c>
      <c r="BA129"/>
      <c r="BB129"/>
      <c r="BC129" s="44">
        <v>-0.04</v>
      </c>
    </row>
    <row r="130" spans="1:55" x14ac:dyDescent="0.25">
      <c r="A130" s="21" t="s">
        <v>230</v>
      </c>
      <c r="B130" s="3" t="s">
        <v>473</v>
      </c>
      <c r="C130" s="3" t="s">
        <v>483</v>
      </c>
      <c r="D130" s="3" t="s">
        <v>524</v>
      </c>
      <c r="E130" s="22" t="s">
        <v>313</v>
      </c>
      <c r="F130" s="22" t="s">
        <v>100</v>
      </c>
      <c r="G130" s="44">
        <v>2.9</v>
      </c>
      <c r="H130" s="44">
        <f t="shared" si="2"/>
        <v>2.9</v>
      </c>
      <c r="I130" s="44">
        <v>2.9</v>
      </c>
      <c r="J130" s="44">
        <v>2.9</v>
      </c>
      <c r="K130" s="44">
        <v>2.9</v>
      </c>
      <c r="L130" s="44">
        <v>2.9</v>
      </c>
      <c r="M130" s="44">
        <v>2.9</v>
      </c>
      <c r="N130" s="44">
        <v>2.9</v>
      </c>
      <c r="O130" s="44">
        <v>2.9</v>
      </c>
      <c r="P130" s="44">
        <v>2.9</v>
      </c>
      <c r="R130" s="44">
        <v>2.9</v>
      </c>
      <c r="S130" s="44">
        <v>2.9</v>
      </c>
      <c r="T130" s="44">
        <v>2.9</v>
      </c>
      <c r="V130" s="44">
        <v>2.9</v>
      </c>
      <c r="W130" s="44">
        <v>2.9</v>
      </c>
      <c r="X130" s="44">
        <v>2.9</v>
      </c>
      <c r="AA130" s="44">
        <v>2.9</v>
      </c>
      <c r="AB130" s="44">
        <v>2.9</v>
      </c>
      <c r="AC130" s="44">
        <v>2.9</v>
      </c>
      <c r="AD130" s="44">
        <v>2.9</v>
      </c>
      <c r="AE130" s="44">
        <v>2.9</v>
      </c>
      <c r="AF130" s="44">
        <v>2.9</v>
      </c>
      <c r="AG130" s="44">
        <v>2.9</v>
      </c>
      <c r="AH130" s="44">
        <v>2.9</v>
      </c>
      <c r="AI130" s="44">
        <v>2.9</v>
      </c>
      <c r="AJ130" s="44">
        <v>2.9</v>
      </c>
      <c r="AK130" s="44">
        <v>2.9</v>
      </c>
      <c r="AL130"/>
      <c r="AM130" s="44">
        <v>2.9</v>
      </c>
      <c r="AN130" s="44">
        <v>2.9</v>
      </c>
      <c r="AO130" s="44">
        <v>2.9</v>
      </c>
      <c r="AP130" s="44">
        <v>2.9</v>
      </c>
      <c r="AQ130" s="44">
        <v>2.9</v>
      </c>
      <c r="AR130" s="44">
        <v>2.9</v>
      </c>
      <c r="AS130" s="44">
        <v>2.9</v>
      </c>
      <c r="AT130"/>
      <c r="AU130" s="44">
        <v>2.9</v>
      </c>
      <c r="AV130" s="44">
        <v>2.9</v>
      </c>
      <c r="AW130" s="44">
        <v>2.9</v>
      </c>
      <c r="AX130" s="44">
        <v>2.9</v>
      </c>
      <c r="AY130"/>
      <c r="AZ130" s="44">
        <v>2.9</v>
      </c>
      <c r="BA130"/>
      <c r="BB130"/>
      <c r="BC130" s="44">
        <v>2.9</v>
      </c>
    </row>
    <row r="131" spans="1:55" x14ac:dyDescent="0.25">
      <c r="A131" s="21" t="s">
        <v>231</v>
      </c>
      <c r="B131" s="3" t="s">
        <v>473</v>
      </c>
      <c r="C131" s="3" t="s">
        <v>483</v>
      </c>
      <c r="D131" s="3" t="s">
        <v>524</v>
      </c>
      <c r="E131" s="22" t="s">
        <v>314</v>
      </c>
      <c r="F131" s="22" t="s">
        <v>95</v>
      </c>
      <c r="G131" s="44">
        <v>1</v>
      </c>
      <c r="H131" s="44">
        <f t="shared" si="2"/>
        <v>1</v>
      </c>
      <c r="I131" s="44">
        <v>1</v>
      </c>
      <c r="J131" s="44">
        <v>1</v>
      </c>
      <c r="K131" s="44">
        <v>1</v>
      </c>
      <c r="L131" s="44">
        <v>1</v>
      </c>
      <c r="M131" s="44">
        <v>1</v>
      </c>
      <c r="N131" s="44">
        <v>1</v>
      </c>
      <c r="O131" s="44">
        <v>1</v>
      </c>
      <c r="P131" s="44">
        <v>1</v>
      </c>
      <c r="R131" s="44">
        <v>1</v>
      </c>
      <c r="S131" s="44">
        <v>1</v>
      </c>
      <c r="T131" s="44">
        <v>1</v>
      </c>
      <c r="V131" s="44">
        <v>1</v>
      </c>
      <c r="W131" s="44">
        <v>1</v>
      </c>
      <c r="X131" s="44">
        <v>1</v>
      </c>
      <c r="AA131" s="44">
        <v>1</v>
      </c>
      <c r="AB131" s="44">
        <v>1</v>
      </c>
      <c r="AC131" s="44">
        <v>1</v>
      </c>
      <c r="AD131" s="44">
        <v>1</v>
      </c>
      <c r="AE131" s="44">
        <v>1</v>
      </c>
      <c r="AF131" s="44">
        <v>1</v>
      </c>
      <c r="AG131" s="44">
        <v>1</v>
      </c>
      <c r="AH131" s="44">
        <v>1</v>
      </c>
      <c r="AI131" s="44">
        <v>1</v>
      </c>
      <c r="AJ131" s="44">
        <v>1</v>
      </c>
      <c r="AK131" s="44">
        <v>1</v>
      </c>
      <c r="AL131"/>
      <c r="AM131" s="44">
        <v>1</v>
      </c>
      <c r="AN131" s="44">
        <v>1</v>
      </c>
      <c r="AO131" s="44">
        <v>1</v>
      </c>
      <c r="AP131" s="44">
        <v>1</v>
      </c>
      <c r="AQ131" s="44">
        <v>1</v>
      </c>
      <c r="AR131" s="44">
        <v>1</v>
      </c>
      <c r="AS131" s="44">
        <v>1</v>
      </c>
      <c r="AT131"/>
      <c r="AU131" s="44">
        <v>1</v>
      </c>
      <c r="AV131" s="44">
        <v>1</v>
      </c>
      <c r="AW131" s="44">
        <v>1</v>
      </c>
      <c r="AX131" s="44">
        <v>1</v>
      </c>
      <c r="AY131"/>
      <c r="AZ131" s="44">
        <v>1</v>
      </c>
      <c r="BA131"/>
      <c r="BB131"/>
      <c r="BC131" s="44">
        <v>1</v>
      </c>
    </row>
    <row r="132" spans="1:55" x14ac:dyDescent="0.25">
      <c r="A132" s="21" t="s">
        <v>68</v>
      </c>
      <c r="B132" s="3" t="s">
        <v>473</v>
      </c>
      <c r="C132" s="3" t="s">
        <v>483</v>
      </c>
      <c r="D132" s="3" t="s">
        <v>524</v>
      </c>
      <c r="E132" s="22" t="s">
        <v>178</v>
      </c>
      <c r="F132" s="22" t="s">
        <v>179</v>
      </c>
      <c r="G132" s="44">
        <v>6.0000000000000002E-5</v>
      </c>
      <c r="H132" s="44">
        <f t="shared" si="2"/>
        <v>6.0000000000000002E-5</v>
      </c>
      <c r="I132" s="44">
        <v>1.9999999999999999E-7</v>
      </c>
      <c r="J132" s="44">
        <v>1.9999999999999999E-7</v>
      </c>
      <c r="K132" s="44">
        <v>1.9999999999999999E-7</v>
      </c>
      <c r="L132" s="44">
        <v>1.9999999999999999E-7</v>
      </c>
      <c r="M132" s="44">
        <v>1.9999999999999999E-7</v>
      </c>
      <c r="N132" s="44">
        <v>1.9999999999999999E-7</v>
      </c>
      <c r="O132" s="44">
        <v>1.9999999999999999E-7</v>
      </c>
      <c r="P132" s="44">
        <v>1.9999999999999999E-7</v>
      </c>
      <c r="R132" s="44">
        <v>1.9999999999999999E-7</v>
      </c>
      <c r="S132" s="44">
        <v>1.9999999999999999E-7</v>
      </c>
      <c r="T132" s="44">
        <v>1.9999999999999999E-7</v>
      </c>
      <c r="V132" s="44">
        <v>1.9999999999999999E-7</v>
      </c>
      <c r="W132" s="44">
        <v>1.9999999999999999E-7</v>
      </c>
      <c r="X132" s="44">
        <v>1.9999999999999999E-7</v>
      </c>
      <c r="AA132" s="44">
        <v>1.9999999999999999E-7</v>
      </c>
      <c r="AB132" s="44">
        <v>1.9999999999999999E-7</v>
      </c>
      <c r="AC132" s="44">
        <v>1.9999999999999999E-7</v>
      </c>
      <c r="AD132" s="44">
        <v>1.9999999999999999E-7</v>
      </c>
      <c r="AE132" s="44">
        <v>1.9999999999999999E-7</v>
      </c>
      <c r="AF132" s="44">
        <v>1.9999999999999999E-7</v>
      </c>
      <c r="AG132" s="44">
        <v>1.9999999999999999E-7</v>
      </c>
      <c r="AH132" s="44">
        <v>1.9999999999999999E-7</v>
      </c>
      <c r="AI132" s="44">
        <v>1.9999999999999999E-7</v>
      </c>
      <c r="AJ132" s="44">
        <v>1.9999999999999999E-7</v>
      </c>
      <c r="AK132" s="44">
        <v>1.9999999999999999E-7</v>
      </c>
      <c r="AL132"/>
      <c r="AM132" s="44">
        <v>1.9999999999999999E-7</v>
      </c>
      <c r="AN132" s="44">
        <v>1.9999999999999999E-7</v>
      </c>
      <c r="AO132" s="44">
        <v>1.9999999999999999E-7</v>
      </c>
      <c r="AP132" s="44">
        <v>1.9999999999999999E-7</v>
      </c>
      <c r="AQ132" s="44">
        <v>1.9999999999999999E-7</v>
      </c>
      <c r="AR132" s="44">
        <v>1.9999999999999999E-7</v>
      </c>
      <c r="AS132" s="44">
        <v>1.9999999999999999E-7</v>
      </c>
      <c r="AT132"/>
      <c r="AU132" s="44">
        <v>1.9999999999999999E-7</v>
      </c>
      <c r="AV132" s="44">
        <v>1.9999999999999999E-7</v>
      </c>
      <c r="AW132" s="44">
        <v>1.9999999999999999E-7</v>
      </c>
      <c r="AX132" s="44">
        <v>1.9999999999999999E-7</v>
      </c>
      <c r="AY132"/>
      <c r="AZ132" s="44">
        <v>1.9999999999999999E-7</v>
      </c>
      <c r="BA132"/>
      <c r="BB132"/>
      <c r="BC132" s="44">
        <v>1.9999999999999999E-7</v>
      </c>
    </row>
    <row r="133" spans="1:55" x14ac:dyDescent="0.25">
      <c r="A133" s="21" t="s">
        <v>525</v>
      </c>
      <c r="B133" s="3" t="s">
        <v>473</v>
      </c>
      <c r="C133" s="3" t="s">
        <v>483</v>
      </c>
      <c r="D133" s="3" t="s">
        <v>524</v>
      </c>
      <c r="E133" s="22" t="s">
        <v>315</v>
      </c>
      <c r="F133" s="22" t="s">
        <v>109</v>
      </c>
      <c r="G133" s="44">
        <v>1.9999999999999999E-7</v>
      </c>
      <c r="H133" s="44">
        <f t="shared" ref="H133" si="18">G133</f>
        <v>1.9999999999999999E-7</v>
      </c>
      <c r="I133" s="44">
        <v>1.9999999999999999E-7</v>
      </c>
      <c r="J133" s="44">
        <v>1.9999999999999999E-7</v>
      </c>
      <c r="K133" s="44">
        <v>1.9999999999999999E-7</v>
      </c>
      <c r="L133" s="44">
        <v>1.9999999999999999E-7</v>
      </c>
      <c r="M133" s="44">
        <v>1.9999999999999999E-7</v>
      </c>
      <c r="N133" s="44">
        <v>1.9999999999999999E-7</v>
      </c>
      <c r="O133" s="44">
        <v>1.9999999999999999E-7</v>
      </c>
      <c r="P133" s="44">
        <v>1.9999999999999999E-7</v>
      </c>
      <c r="R133" s="55">
        <v>0</v>
      </c>
      <c r="S133" s="55">
        <v>0</v>
      </c>
      <c r="T133" s="55">
        <v>0</v>
      </c>
      <c r="V133" s="44">
        <v>1.9999999999999999E-7</v>
      </c>
      <c r="W133" s="44">
        <v>1.9999999999999999E-7</v>
      </c>
      <c r="X133" s="44">
        <v>1.9999999999999999E-7</v>
      </c>
      <c r="AA133" s="44">
        <v>1.9999999999999999E-7</v>
      </c>
      <c r="AB133" s="44">
        <v>1.9999999999999999E-7</v>
      </c>
      <c r="AC133" s="44">
        <v>1.9999999999999999E-7</v>
      </c>
      <c r="AD133" s="44">
        <v>1.9999999999999999E-7</v>
      </c>
      <c r="AE133" s="44">
        <v>1.9999999999999999E-7</v>
      </c>
      <c r="AF133" s="44">
        <v>1.9999999999999999E-7</v>
      </c>
      <c r="AG133" s="44">
        <v>1.9999999999999999E-7</v>
      </c>
      <c r="AH133" s="44">
        <v>1.9999999999999999E-7</v>
      </c>
      <c r="AI133" s="44">
        <v>1.9999999999999999E-7</v>
      </c>
      <c r="AJ133" s="44">
        <v>1.9999999999999999E-7</v>
      </c>
      <c r="AK133" s="44">
        <v>1.9999999999999999E-7</v>
      </c>
      <c r="AL133"/>
      <c r="AM133" s="44">
        <v>1.9999999999999999E-7</v>
      </c>
      <c r="AN133" s="44">
        <v>1.9999999999999999E-7</v>
      </c>
      <c r="AO133" s="44">
        <v>1.9999999999999999E-7</v>
      </c>
      <c r="AP133" s="44">
        <v>1.9999999999999999E-7</v>
      </c>
      <c r="AQ133" s="44">
        <v>1.9999999999999999E-7</v>
      </c>
      <c r="AR133" s="44">
        <v>1.9999999999999999E-7</v>
      </c>
      <c r="AS133" s="44">
        <v>1.9999999999999999E-7</v>
      </c>
      <c r="AT133"/>
      <c r="AU133" s="44">
        <v>1.9999999999999999E-7</v>
      </c>
      <c r="AV133" s="44">
        <v>1.9999999999999999E-7</v>
      </c>
      <c r="AW133" s="44">
        <v>1.9999999999999999E-7</v>
      </c>
      <c r="AX133" s="44">
        <v>1.9999999999999999E-7</v>
      </c>
      <c r="AY133"/>
      <c r="AZ133" s="44">
        <v>1.9999999999999999E-7</v>
      </c>
      <c r="BA133"/>
      <c r="BB133"/>
      <c r="BC133" s="44">
        <v>1.9999999999999999E-7</v>
      </c>
    </row>
    <row r="134" spans="1:55" x14ac:dyDescent="0.25">
      <c r="A134" s="21" t="s">
        <v>232</v>
      </c>
      <c r="B134" s="3" t="s">
        <v>473</v>
      </c>
      <c r="C134" s="3" t="s">
        <v>483</v>
      </c>
      <c r="D134" s="3" t="s">
        <v>524</v>
      </c>
      <c r="E134" s="22" t="s">
        <v>315</v>
      </c>
      <c r="F134" s="22" t="s">
        <v>109</v>
      </c>
      <c r="G134" s="44">
        <v>10</v>
      </c>
      <c r="H134" s="44">
        <f t="shared" ref="H134:H197" si="19">G134</f>
        <v>10</v>
      </c>
      <c r="I134" s="44">
        <v>10</v>
      </c>
      <c r="J134" s="44">
        <v>10</v>
      </c>
      <c r="K134" s="44">
        <v>10</v>
      </c>
      <c r="L134" s="44">
        <v>10</v>
      </c>
      <c r="M134" s="44">
        <v>10</v>
      </c>
      <c r="N134" s="44">
        <v>10</v>
      </c>
      <c r="O134" s="44">
        <v>10</v>
      </c>
      <c r="P134" s="44">
        <v>10</v>
      </c>
      <c r="R134" s="44">
        <v>10</v>
      </c>
      <c r="S134" s="44">
        <v>10</v>
      </c>
      <c r="T134" s="44">
        <v>10</v>
      </c>
      <c r="V134" s="44">
        <v>10</v>
      </c>
      <c r="W134" s="44">
        <v>10</v>
      </c>
      <c r="X134" s="44">
        <v>10</v>
      </c>
      <c r="AA134" s="44">
        <v>10</v>
      </c>
      <c r="AB134" s="44">
        <v>10</v>
      </c>
      <c r="AC134" s="44">
        <v>10</v>
      </c>
      <c r="AD134" s="44">
        <v>10</v>
      </c>
      <c r="AE134" s="44">
        <v>10</v>
      </c>
      <c r="AF134" s="44">
        <v>10</v>
      </c>
      <c r="AG134" s="44">
        <v>10</v>
      </c>
      <c r="AH134" s="44">
        <v>10</v>
      </c>
      <c r="AI134" s="44">
        <v>10</v>
      </c>
      <c r="AJ134" s="44">
        <v>10</v>
      </c>
      <c r="AK134" s="44">
        <v>10</v>
      </c>
      <c r="AL134"/>
      <c r="AM134" s="44">
        <v>10</v>
      </c>
      <c r="AN134" s="44">
        <v>10</v>
      </c>
      <c r="AO134" s="44">
        <v>10</v>
      </c>
      <c r="AP134" s="44">
        <v>10</v>
      </c>
      <c r="AQ134" s="44">
        <v>10</v>
      </c>
      <c r="AR134" s="44">
        <v>10</v>
      </c>
      <c r="AS134" s="44">
        <v>10</v>
      </c>
      <c r="AT134"/>
      <c r="AU134" s="44">
        <v>10</v>
      </c>
      <c r="AV134" s="44">
        <v>10</v>
      </c>
      <c r="AW134" s="44">
        <v>10</v>
      </c>
      <c r="AX134" s="44">
        <v>10</v>
      </c>
      <c r="AY134"/>
      <c r="AZ134" s="44">
        <v>10</v>
      </c>
      <c r="BA134"/>
      <c r="BB134"/>
      <c r="BC134" s="44">
        <v>10</v>
      </c>
    </row>
    <row r="135" spans="1:55" x14ac:dyDescent="0.25">
      <c r="A135" s="21" t="s">
        <v>233</v>
      </c>
      <c r="B135" s="3" t="s">
        <v>473</v>
      </c>
      <c r="C135" s="3" t="s">
        <v>483</v>
      </c>
      <c r="D135" s="3" t="s">
        <v>524</v>
      </c>
      <c r="E135" s="22" t="s">
        <v>316</v>
      </c>
      <c r="F135" s="22" t="s">
        <v>301</v>
      </c>
      <c r="G135" s="44">
        <v>-0.04</v>
      </c>
      <c r="H135" s="44">
        <f t="shared" si="19"/>
        <v>-0.04</v>
      </c>
      <c r="I135" s="44">
        <v>-0.04</v>
      </c>
      <c r="J135" s="44">
        <v>-0.04</v>
      </c>
      <c r="K135" s="44">
        <v>-0.04</v>
      </c>
      <c r="L135" s="44">
        <v>-0.04</v>
      </c>
      <c r="M135" s="44">
        <v>-0.04</v>
      </c>
      <c r="N135" s="44">
        <v>-0.04</v>
      </c>
      <c r="O135" s="44">
        <v>-0.04</v>
      </c>
      <c r="P135" s="44">
        <v>-0.04</v>
      </c>
      <c r="R135" s="44">
        <v>-0.04</v>
      </c>
      <c r="S135" s="44">
        <v>-0.04</v>
      </c>
      <c r="T135" s="44">
        <v>-0.04</v>
      </c>
      <c r="V135" s="44">
        <v>-0.04</v>
      </c>
      <c r="W135" s="44">
        <v>-0.04</v>
      </c>
      <c r="X135" s="44">
        <v>-0.04</v>
      </c>
      <c r="AA135" s="44">
        <v>-0.04</v>
      </c>
      <c r="AB135" s="44">
        <v>-0.04</v>
      </c>
      <c r="AC135" s="44">
        <v>-0.04</v>
      </c>
      <c r="AD135" s="44">
        <v>-0.04</v>
      </c>
      <c r="AE135" s="44">
        <v>-0.04</v>
      </c>
      <c r="AF135" s="44">
        <v>-0.04</v>
      </c>
      <c r="AG135" s="44">
        <v>-0.04</v>
      </c>
      <c r="AH135" s="44">
        <v>-0.04</v>
      </c>
      <c r="AI135" s="44">
        <v>-0.04</v>
      </c>
      <c r="AJ135" s="44">
        <v>-0.04</v>
      </c>
      <c r="AK135" s="44">
        <v>-0.04</v>
      </c>
      <c r="AL135"/>
      <c r="AM135" s="44">
        <v>-0.04</v>
      </c>
      <c r="AN135" s="44">
        <v>-0.04</v>
      </c>
      <c r="AO135" s="44">
        <v>-0.04</v>
      </c>
      <c r="AP135" s="44">
        <v>-0.04</v>
      </c>
      <c r="AQ135" s="44">
        <v>-0.04</v>
      </c>
      <c r="AR135" s="44">
        <v>-0.04</v>
      </c>
      <c r="AS135" s="44">
        <v>-0.04</v>
      </c>
      <c r="AT135"/>
      <c r="AU135" s="44">
        <v>-0.04</v>
      </c>
      <c r="AV135" s="44">
        <v>-0.04</v>
      </c>
      <c r="AW135" s="44">
        <v>-0.04</v>
      </c>
      <c r="AX135" s="44">
        <v>-0.04</v>
      </c>
      <c r="AY135"/>
      <c r="AZ135" s="44">
        <v>-0.04</v>
      </c>
      <c r="BA135"/>
      <c r="BB135"/>
      <c r="BC135" s="44">
        <v>-0.04</v>
      </c>
    </row>
    <row r="136" spans="1:55" x14ac:dyDescent="0.25">
      <c r="A136" s="21" t="s">
        <v>234</v>
      </c>
      <c r="B136" s="3" t="s">
        <v>473</v>
      </c>
      <c r="C136" s="3" t="s">
        <v>483</v>
      </c>
      <c r="D136" s="3" t="s">
        <v>524</v>
      </c>
      <c r="E136" s="22" t="s">
        <v>317</v>
      </c>
      <c r="F136" s="22" t="s">
        <v>100</v>
      </c>
      <c r="G136" s="44">
        <v>2.9</v>
      </c>
      <c r="H136" s="44">
        <f t="shared" si="19"/>
        <v>2.9</v>
      </c>
      <c r="I136" s="44">
        <v>2.9</v>
      </c>
      <c r="J136" s="44">
        <v>2.9</v>
      </c>
      <c r="K136" s="44">
        <v>2.9</v>
      </c>
      <c r="L136" s="44">
        <v>2.9</v>
      </c>
      <c r="M136" s="44">
        <v>2.9</v>
      </c>
      <c r="N136" s="44">
        <v>2.9</v>
      </c>
      <c r="O136" s="44">
        <v>2.9</v>
      </c>
      <c r="P136" s="44">
        <v>2.9</v>
      </c>
      <c r="R136" s="44">
        <v>2.9</v>
      </c>
      <c r="S136" s="44">
        <v>2.9</v>
      </c>
      <c r="T136" s="44">
        <v>2.9</v>
      </c>
      <c r="V136" s="44">
        <v>2.9</v>
      </c>
      <c r="W136" s="44">
        <v>2.9</v>
      </c>
      <c r="X136" s="44">
        <v>2.9</v>
      </c>
      <c r="AA136" s="44">
        <v>2.9</v>
      </c>
      <c r="AB136" s="44">
        <v>2.9</v>
      </c>
      <c r="AC136" s="44">
        <v>2.9</v>
      </c>
      <c r="AD136" s="44">
        <v>2.9</v>
      </c>
      <c r="AE136" s="44">
        <v>2.9</v>
      </c>
      <c r="AF136" s="44">
        <v>2.9</v>
      </c>
      <c r="AG136" s="44">
        <v>2.9</v>
      </c>
      <c r="AH136" s="44">
        <v>2.9</v>
      </c>
      <c r="AI136" s="44">
        <v>2.9</v>
      </c>
      <c r="AJ136" s="44">
        <v>2.9</v>
      </c>
      <c r="AK136" s="44">
        <v>2.9</v>
      </c>
      <c r="AL136"/>
      <c r="AM136" s="44">
        <v>2.9</v>
      </c>
      <c r="AN136" s="44">
        <v>2.9</v>
      </c>
      <c r="AO136" s="44">
        <v>2.9</v>
      </c>
      <c r="AP136" s="44">
        <v>2.9</v>
      </c>
      <c r="AQ136" s="44">
        <v>2.9</v>
      </c>
      <c r="AR136" s="44">
        <v>2.9</v>
      </c>
      <c r="AS136" s="44">
        <v>2.9</v>
      </c>
      <c r="AT136"/>
      <c r="AU136" s="44">
        <v>2.9</v>
      </c>
      <c r="AV136" s="44">
        <v>2.9</v>
      </c>
      <c r="AW136" s="44">
        <v>2.9</v>
      </c>
      <c r="AX136" s="44">
        <v>2.9</v>
      </c>
      <c r="AY136"/>
      <c r="AZ136" s="44">
        <v>2.9</v>
      </c>
      <c r="BA136"/>
      <c r="BB136"/>
      <c r="BC136" s="44">
        <v>2.9</v>
      </c>
    </row>
    <row r="137" spans="1:55" x14ac:dyDescent="0.25">
      <c r="A137" s="21" t="s">
        <v>235</v>
      </c>
      <c r="B137" s="3" t="s">
        <v>473</v>
      </c>
      <c r="C137" s="3" t="s">
        <v>483</v>
      </c>
      <c r="D137" s="3" t="s">
        <v>524</v>
      </c>
      <c r="E137" s="22" t="s">
        <v>318</v>
      </c>
      <c r="F137" s="22" t="s">
        <v>95</v>
      </c>
      <c r="G137" s="44">
        <v>1</v>
      </c>
      <c r="H137" s="44">
        <f t="shared" si="19"/>
        <v>1</v>
      </c>
      <c r="I137" s="44">
        <v>1</v>
      </c>
      <c r="J137" s="44">
        <v>1</v>
      </c>
      <c r="K137" s="44">
        <v>1</v>
      </c>
      <c r="L137" s="44">
        <v>1</v>
      </c>
      <c r="M137" s="44">
        <v>1</v>
      </c>
      <c r="N137" s="44">
        <v>1</v>
      </c>
      <c r="O137" s="44">
        <v>1</v>
      </c>
      <c r="P137" s="44">
        <v>1</v>
      </c>
      <c r="R137" s="44">
        <v>1</v>
      </c>
      <c r="S137" s="44">
        <v>1</v>
      </c>
      <c r="T137" s="44">
        <v>1</v>
      </c>
      <c r="V137" s="44">
        <v>1</v>
      </c>
      <c r="W137" s="44">
        <v>1</v>
      </c>
      <c r="X137" s="44">
        <v>1</v>
      </c>
      <c r="AA137" s="44">
        <v>1</v>
      </c>
      <c r="AB137" s="44">
        <v>1</v>
      </c>
      <c r="AC137" s="44">
        <v>1</v>
      </c>
      <c r="AD137" s="44">
        <v>1</v>
      </c>
      <c r="AE137" s="44">
        <v>1</v>
      </c>
      <c r="AF137" s="44">
        <v>1</v>
      </c>
      <c r="AG137" s="44">
        <v>1</v>
      </c>
      <c r="AH137" s="44">
        <v>1</v>
      </c>
      <c r="AI137" s="44">
        <v>1</v>
      </c>
      <c r="AJ137" s="44">
        <v>1</v>
      </c>
      <c r="AK137" s="44">
        <v>1</v>
      </c>
      <c r="AL137"/>
      <c r="AM137" s="44">
        <v>1</v>
      </c>
      <c r="AN137" s="44">
        <v>1</v>
      </c>
      <c r="AO137" s="44">
        <v>1</v>
      </c>
      <c r="AP137" s="44">
        <v>1</v>
      </c>
      <c r="AQ137" s="44">
        <v>1</v>
      </c>
      <c r="AR137" s="44">
        <v>1</v>
      </c>
      <c r="AS137" s="44">
        <v>1</v>
      </c>
      <c r="AT137"/>
      <c r="AU137" s="44">
        <v>1</v>
      </c>
      <c r="AV137" s="44">
        <v>1</v>
      </c>
      <c r="AW137" s="44">
        <v>1</v>
      </c>
      <c r="AX137" s="44">
        <v>1</v>
      </c>
      <c r="AY137"/>
      <c r="AZ137" s="44">
        <v>1</v>
      </c>
      <c r="BA137"/>
      <c r="BB137"/>
      <c r="BC137" s="44">
        <v>1</v>
      </c>
    </row>
    <row r="138" spans="1:55" x14ac:dyDescent="0.25">
      <c r="A138" s="21" t="s">
        <v>69</v>
      </c>
      <c r="B138" s="3" t="s">
        <v>473</v>
      </c>
      <c r="C138" s="3" t="s">
        <v>483</v>
      </c>
      <c r="D138" s="3" t="s">
        <v>524</v>
      </c>
      <c r="E138" s="22" t="s">
        <v>180</v>
      </c>
      <c r="F138" s="22" t="s">
        <v>100</v>
      </c>
      <c r="G138" s="44">
        <v>0</v>
      </c>
      <c r="H138" s="44">
        <f t="shared" si="19"/>
        <v>0</v>
      </c>
      <c r="I138" s="44">
        <v>0</v>
      </c>
      <c r="J138" s="44">
        <v>0</v>
      </c>
      <c r="K138" s="44">
        <v>0</v>
      </c>
      <c r="L138" s="44">
        <v>0</v>
      </c>
      <c r="M138" s="44">
        <v>0</v>
      </c>
      <c r="N138" s="44">
        <v>0</v>
      </c>
      <c r="O138" s="44">
        <v>0</v>
      </c>
      <c r="P138" s="44">
        <v>0</v>
      </c>
      <c r="R138" s="44">
        <v>0</v>
      </c>
      <c r="S138" s="44">
        <v>0</v>
      </c>
      <c r="T138" s="44">
        <v>0</v>
      </c>
      <c r="V138" s="44">
        <v>0</v>
      </c>
      <c r="W138" s="44">
        <v>0</v>
      </c>
      <c r="X138" s="44">
        <v>0</v>
      </c>
      <c r="AA138" s="44">
        <v>0</v>
      </c>
      <c r="AB138" s="44">
        <v>0</v>
      </c>
      <c r="AC138" s="44">
        <v>0</v>
      </c>
      <c r="AD138" s="44">
        <v>0</v>
      </c>
      <c r="AE138" s="44">
        <v>0</v>
      </c>
      <c r="AF138" s="44">
        <v>0</v>
      </c>
      <c r="AG138" s="44">
        <v>0</v>
      </c>
      <c r="AH138" s="44">
        <v>0</v>
      </c>
      <c r="AI138" s="44">
        <v>0</v>
      </c>
      <c r="AJ138" s="44">
        <v>0</v>
      </c>
      <c r="AK138" s="44">
        <v>0</v>
      </c>
      <c r="AL138"/>
      <c r="AM138" s="44">
        <v>0</v>
      </c>
      <c r="AN138" s="44">
        <v>0</v>
      </c>
      <c r="AO138" s="44">
        <v>0</v>
      </c>
      <c r="AP138" s="44">
        <v>0</v>
      </c>
      <c r="AQ138" s="44">
        <v>0</v>
      </c>
      <c r="AR138" s="44">
        <v>0</v>
      </c>
      <c r="AS138" s="44">
        <v>0</v>
      </c>
      <c r="AT138"/>
      <c r="AU138" s="44">
        <v>0</v>
      </c>
      <c r="AV138" s="44">
        <v>0</v>
      </c>
      <c r="AW138" s="44">
        <v>0</v>
      </c>
      <c r="AX138" s="44">
        <v>0</v>
      </c>
      <c r="AY138"/>
      <c r="AZ138" s="44">
        <v>0</v>
      </c>
      <c r="BA138"/>
      <c r="BB138"/>
      <c r="BC138" s="44">
        <v>0</v>
      </c>
    </row>
    <row r="139" spans="1:55" x14ac:dyDescent="0.25">
      <c r="A139" s="40" t="s">
        <v>70</v>
      </c>
      <c r="B139" s="3" t="s">
        <v>473</v>
      </c>
      <c r="C139" s="3" t="s">
        <v>483</v>
      </c>
      <c r="D139" s="3" t="s">
        <v>524</v>
      </c>
      <c r="E139" s="41" t="s">
        <v>181</v>
      </c>
      <c r="F139" s="41" t="s">
        <v>198</v>
      </c>
      <c r="G139" s="44">
        <v>1.6666666666666666E-4</v>
      </c>
      <c r="H139" s="44">
        <f t="shared" si="19"/>
        <v>1.6666666666666666E-4</v>
      </c>
      <c r="I139" s="44">
        <v>5.0000000000000004E-6</v>
      </c>
      <c r="J139" s="44">
        <v>5.0000000000000004E-6</v>
      </c>
      <c r="K139" s="44">
        <v>5.0000000000000004E-6</v>
      </c>
      <c r="L139" s="44">
        <v>5.0000000000000004E-6</v>
      </c>
      <c r="M139" s="44">
        <v>5.0000000000000004E-6</v>
      </c>
      <c r="N139" s="44">
        <v>5.0000000000000004E-6</v>
      </c>
      <c r="O139" s="44">
        <v>5.0000000000000004E-6</v>
      </c>
      <c r="P139" s="44">
        <v>5.0000000000000004E-6</v>
      </c>
      <c r="R139" s="44">
        <v>5.0000000000000004E-6</v>
      </c>
      <c r="S139" s="44">
        <v>5.0000000000000004E-6</v>
      </c>
      <c r="T139" s="44">
        <v>5.0000000000000004E-6</v>
      </c>
      <c r="V139" s="44">
        <v>5.0000000000000004E-6</v>
      </c>
      <c r="W139" s="44">
        <v>5.0000000000000004E-6</v>
      </c>
      <c r="X139" s="44">
        <v>5.0000000000000004E-6</v>
      </c>
      <c r="AA139" s="44">
        <v>5.0000000000000004E-6</v>
      </c>
      <c r="AB139" s="44">
        <v>5.0000000000000004E-6</v>
      </c>
      <c r="AC139" s="44">
        <v>5.0000000000000004E-6</v>
      </c>
      <c r="AD139" s="44">
        <v>5.0000000000000004E-6</v>
      </c>
      <c r="AE139" s="44">
        <v>5.0000000000000004E-6</v>
      </c>
      <c r="AF139" s="44">
        <v>5.0000000000000004E-6</v>
      </c>
      <c r="AG139" s="44">
        <v>5.0000000000000004E-6</v>
      </c>
      <c r="AH139" s="44">
        <v>5.0000000000000004E-6</v>
      </c>
      <c r="AI139" s="44">
        <v>5.0000000000000004E-6</v>
      </c>
      <c r="AJ139" s="44">
        <v>5.0000000000000004E-6</v>
      </c>
      <c r="AK139" s="44">
        <v>5.0000000000000004E-6</v>
      </c>
      <c r="AL139"/>
      <c r="AM139" s="44">
        <v>5.0000000000000004E-6</v>
      </c>
      <c r="AN139" s="44">
        <v>5.0000000000000004E-6</v>
      </c>
      <c r="AO139" s="44">
        <v>5.0000000000000004E-6</v>
      </c>
      <c r="AP139" s="44">
        <v>5.0000000000000004E-6</v>
      </c>
      <c r="AQ139" s="44">
        <v>5.0000000000000004E-6</v>
      </c>
      <c r="AR139" s="44">
        <v>5.0000000000000004E-6</v>
      </c>
      <c r="AS139" s="44">
        <v>5.0000000000000004E-6</v>
      </c>
      <c r="AT139"/>
      <c r="AU139" s="44">
        <v>5.0000000000000004E-6</v>
      </c>
      <c r="AV139" s="44">
        <v>5.0000000000000004E-6</v>
      </c>
      <c r="AW139" s="44">
        <v>5.0000000000000004E-6</v>
      </c>
      <c r="AX139" s="44">
        <v>5.0000000000000004E-6</v>
      </c>
      <c r="AY139"/>
      <c r="AZ139" s="44">
        <v>5.0000000000000004E-6</v>
      </c>
      <c r="BA139"/>
      <c r="BB139"/>
      <c r="BC139" s="44">
        <v>5.0000000000000004E-6</v>
      </c>
    </row>
    <row r="140" spans="1:55" x14ac:dyDescent="0.25">
      <c r="A140" s="23" t="s">
        <v>56</v>
      </c>
      <c r="B140" s="3" t="s">
        <v>473</v>
      </c>
      <c r="C140" s="3" t="s">
        <v>483</v>
      </c>
      <c r="D140" s="3" t="s">
        <v>524</v>
      </c>
      <c r="E140" s="24" t="s">
        <v>167</v>
      </c>
      <c r="F140" s="24" t="s">
        <v>198</v>
      </c>
      <c r="G140" s="44">
        <v>0</v>
      </c>
      <c r="H140" s="44">
        <f t="shared" si="19"/>
        <v>0</v>
      </c>
      <c r="I140" s="44">
        <v>0</v>
      </c>
      <c r="J140" s="44">
        <v>0</v>
      </c>
      <c r="K140" s="44">
        <v>0</v>
      </c>
      <c r="L140" s="44">
        <v>0</v>
      </c>
      <c r="M140" s="44">
        <v>0</v>
      </c>
      <c r="N140" s="44">
        <v>0</v>
      </c>
      <c r="O140" s="44">
        <v>0</v>
      </c>
      <c r="P140" s="44">
        <v>0</v>
      </c>
      <c r="R140" s="44">
        <v>0</v>
      </c>
      <c r="S140" s="44">
        <v>0</v>
      </c>
      <c r="T140" s="44">
        <v>0</v>
      </c>
      <c r="V140" s="44">
        <v>0</v>
      </c>
      <c r="W140" s="44">
        <v>0</v>
      </c>
      <c r="X140" s="44">
        <v>0</v>
      </c>
      <c r="AA140" s="44">
        <v>0</v>
      </c>
      <c r="AB140" s="44">
        <v>0</v>
      </c>
      <c r="AC140" s="44">
        <v>0</v>
      </c>
      <c r="AD140" s="44">
        <v>0</v>
      </c>
      <c r="AE140" s="44">
        <v>0</v>
      </c>
      <c r="AF140" s="44">
        <v>0</v>
      </c>
      <c r="AG140" s="44">
        <v>0</v>
      </c>
      <c r="AH140" s="44">
        <v>0</v>
      </c>
      <c r="AI140" s="44">
        <v>0</v>
      </c>
      <c r="AJ140" s="44">
        <v>0</v>
      </c>
      <c r="AK140" s="44">
        <v>0</v>
      </c>
      <c r="AL140"/>
      <c r="AM140" s="44">
        <v>0</v>
      </c>
      <c r="AN140" s="44">
        <v>0</v>
      </c>
      <c r="AO140" s="44">
        <v>0</v>
      </c>
      <c r="AP140" s="44">
        <v>0</v>
      </c>
      <c r="AQ140" s="44">
        <v>0</v>
      </c>
      <c r="AR140" s="44">
        <v>0</v>
      </c>
      <c r="AS140" s="44">
        <v>0</v>
      </c>
      <c r="AT140"/>
      <c r="AU140" s="44">
        <v>0</v>
      </c>
      <c r="AV140" s="44">
        <v>0</v>
      </c>
      <c r="AW140" s="44">
        <v>0</v>
      </c>
      <c r="AX140" s="44">
        <v>0</v>
      </c>
      <c r="AY140"/>
      <c r="AZ140" s="44">
        <v>0</v>
      </c>
      <c r="BA140"/>
      <c r="BB140"/>
      <c r="BC140" s="44">
        <v>0</v>
      </c>
    </row>
    <row r="141" spans="1:55" x14ac:dyDescent="0.25">
      <c r="A141" s="23" t="s">
        <v>57</v>
      </c>
      <c r="B141" s="3" t="s">
        <v>473</v>
      </c>
      <c r="C141" s="3" t="s">
        <v>483</v>
      </c>
      <c r="D141" s="3" t="s">
        <v>524</v>
      </c>
      <c r="E141" s="24" t="s">
        <v>168</v>
      </c>
      <c r="F141" s="24" t="s">
        <v>198</v>
      </c>
      <c r="G141" s="44">
        <v>2E-3</v>
      </c>
      <c r="H141" s="44">
        <f t="shared" si="19"/>
        <v>2E-3</v>
      </c>
      <c r="I141" s="44">
        <v>2E-3</v>
      </c>
      <c r="J141" s="44">
        <v>2E-3</v>
      </c>
      <c r="K141" s="44">
        <v>2E-3</v>
      </c>
      <c r="L141" s="44">
        <v>2E-3</v>
      </c>
      <c r="M141" s="44">
        <v>2E-3</v>
      </c>
      <c r="N141" s="44">
        <v>2E-3</v>
      </c>
      <c r="O141" s="44">
        <v>2E-3</v>
      </c>
      <c r="P141" s="44">
        <v>2E-3</v>
      </c>
      <c r="R141" s="44">
        <v>2E-3</v>
      </c>
      <c r="S141" s="44">
        <v>2E-3</v>
      </c>
      <c r="T141" s="44">
        <v>2E-3</v>
      </c>
      <c r="V141" s="44">
        <v>2E-3</v>
      </c>
      <c r="W141" s="44">
        <v>2E-3</v>
      </c>
      <c r="X141" s="44">
        <v>2E-3</v>
      </c>
      <c r="AA141" s="44">
        <v>2E-3</v>
      </c>
      <c r="AB141" s="44">
        <v>2E-3</v>
      </c>
      <c r="AC141" s="44">
        <v>2E-3</v>
      </c>
      <c r="AD141" s="44">
        <v>2E-3</v>
      </c>
      <c r="AE141" s="44">
        <v>2E-3</v>
      </c>
      <c r="AF141" s="44">
        <v>2E-3</v>
      </c>
      <c r="AG141" s="44">
        <v>2E-3</v>
      </c>
      <c r="AH141" s="44">
        <v>2E-3</v>
      </c>
      <c r="AI141" s="44">
        <v>2E-3</v>
      </c>
      <c r="AJ141" s="44">
        <v>2E-3</v>
      </c>
      <c r="AK141" s="44">
        <v>2E-3</v>
      </c>
      <c r="AL141"/>
      <c r="AM141" s="44">
        <v>2E-3</v>
      </c>
      <c r="AN141" s="44">
        <v>2E-3</v>
      </c>
      <c r="AO141" s="44">
        <v>2E-3</v>
      </c>
      <c r="AP141" s="44">
        <v>2E-3</v>
      </c>
      <c r="AQ141" s="44">
        <v>2E-3</v>
      </c>
      <c r="AR141" s="44">
        <v>2E-3</v>
      </c>
      <c r="AS141" s="44">
        <v>2E-3</v>
      </c>
      <c r="AT141"/>
      <c r="AU141" s="44">
        <v>2E-3</v>
      </c>
      <c r="AV141" s="44">
        <v>2E-3</v>
      </c>
      <c r="AW141" s="44">
        <v>2E-3</v>
      </c>
      <c r="AX141" s="44">
        <v>2E-3</v>
      </c>
      <c r="AY141"/>
      <c r="AZ141" s="44">
        <v>2E-3</v>
      </c>
      <c r="BA141"/>
      <c r="BB141"/>
      <c r="BC141" s="44">
        <v>2E-3</v>
      </c>
    </row>
    <row r="142" spans="1:55" x14ac:dyDescent="0.25">
      <c r="A142" s="23" t="s">
        <v>58</v>
      </c>
      <c r="B142" s="3" t="s">
        <v>473</v>
      </c>
      <c r="C142" s="3" t="s">
        <v>483</v>
      </c>
      <c r="D142" s="3" t="s">
        <v>524</v>
      </c>
      <c r="E142" s="24" t="s">
        <v>169</v>
      </c>
      <c r="F142" s="24" t="s">
        <v>198</v>
      </c>
      <c r="G142" s="44">
        <v>3.9999999999999998E-6</v>
      </c>
      <c r="H142" s="44">
        <f t="shared" si="19"/>
        <v>3.9999999999999998E-6</v>
      </c>
      <c r="I142" s="44">
        <v>3.9999999999999998E-6</v>
      </c>
      <c r="J142" s="44">
        <v>3.9999999999999998E-6</v>
      </c>
      <c r="K142" s="44">
        <v>3.9999999999999998E-6</v>
      </c>
      <c r="L142" s="44">
        <v>3.9999999999999998E-6</v>
      </c>
      <c r="M142" s="44">
        <v>3.9999999999999998E-6</v>
      </c>
      <c r="N142" s="44">
        <v>3.9999999999999998E-6</v>
      </c>
      <c r="O142" s="44">
        <v>3.9999999999999998E-6</v>
      </c>
      <c r="P142" s="44">
        <v>3.9999999999999998E-6</v>
      </c>
      <c r="R142" s="44">
        <v>3.9999999999999998E-6</v>
      </c>
      <c r="S142" s="44">
        <v>3.9999999999999998E-6</v>
      </c>
      <c r="T142" s="44">
        <v>3.9999999999999998E-6</v>
      </c>
      <c r="V142" s="44">
        <v>3.9999999999999998E-6</v>
      </c>
      <c r="W142" s="44">
        <v>3.9999999999999998E-6</v>
      </c>
      <c r="X142" s="44">
        <v>3.9999999999999998E-6</v>
      </c>
      <c r="AA142" s="44">
        <v>3.9999999999999998E-6</v>
      </c>
      <c r="AB142" s="44">
        <v>3.9999999999999998E-6</v>
      </c>
      <c r="AC142" s="44">
        <v>3.9999999999999998E-6</v>
      </c>
      <c r="AD142" s="44">
        <v>3.9999999999999998E-6</v>
      </c>
      <c r="AE142" s="44">
        <v>3.9999999999999998E-6</v>
      </c>
      <c r="AF142" s="44">
        <v>3.9999999999999998E-6</v>
      </c>
      <c r="AG142" s="44">
        <v>3.9999999999999998E-6</v>
      </c>
      <c r="AH142" s="44">
        <v>3.9999999999999998E-6</v>
      </c>
      <c r="AI142" s="44">
        <v>3.9999999999999998E-6</v>
      </c>
      <c r="AJ142" s="44">
        <v>3.9999999999999998E-6</v>
      </c>
      <c r="AK142" s="44">
        <v>3.9999999999999998E-6</v>
      </c>
      <c r="AL142"/>
      <c r="AM142" s="44">
        <v>3.9999999999999998E-6</v>
      </c>
      <c r="AN142" s="44">
        <v>3.9999999999999998E-6</v>
      </c>
      <c r="AO142" s="44">
        <v>3.9999999999999998E-6</v>
      </c>
      <c r="AP142" s="44">
        <v>3.9999999999999998E-6</v>
      </c>
      <c r="AQ142" s="44">
        <v>3.9999999999999998E-6</v>
      </c>
      <c r="AR142" s="44">
        <v>3.9999999999999998E-6</v>
      </c>
      <c r="AS142" s="44">
        <v>3.9999999999999998E-6</v>
      </c>
      <c r="AT142"/>
      <c r="AU142" s="44">
        <v>3.9999999999999998E-6</v>
      </c>
      <c r="AV142" s="44">
        <v>3.9999999999999998E-6</v>
      </c>
      <c r="AW142" s="44">
        <v>3.9999999999999998E-6</v>
      </c>
      <c r="AX142" s="44">
        <v>3.9999999999999998E-6</v>
      </c>
      <c r="AY142"/>
      <c r="AZ142" s="44">
        <v>3.9999999999999998E-6</v>
      </c>
      <c r="BA142"/>
      <c r="BB142"/>
      <c r="BC142" s="44">
        <v>3.9999999999999998E-6</v>
      </c>
    </row>
    <row r="143" spans="1:55" x14ac:dyDescent="0.25">
      <c r="A143" s="23" t="s">
        <v>71</v>
      </c>
      <c r="B143" s="3" t="s">
        <v>473</v>
      </c>
      <c r="C143" s="3" t="s">
        <v>483</v>
      </c>
      <c r="D143" s="3" t="s">
        <v>524</v>
      </c>
      <c r="E143" s="24" t="s">
        <v>183</v>
      </c>
      <c r="F143" s="24" t="s">
        <v>200</v>
      </c>
      <c r="G143" s="44">
        <v>3.7699999999999999E-10</v>
      </c>
      <c r="H143" s="44">
        <f t="shared" si="19"/>
        <v>3.7699999999999999E-10</v>
      </c>
      <c r="I143" s="44">
        <v>3.7699999999999999E-10</v>
      </c>
      <c r="J143" s="44">
        <v>3.7699999999999999E-10</v>
      </c>
      <c r="K143" s="44">
        <v>3.7699999999999999E-10</v>
      </c>
      <c r="L143" s="44">
        <v>3.7699999999999999E-10</v>
      </c>
      <c r="M143" s="44">
        <v>3.7699999999999999E-10</v>
      </c>
      <c r="N143" s="44">
        <v>3.7699999999999999E-10</v>
      </c>
      <c r="O143" s="44">
        <v>3.7699999999999999E-10</v>
      </c>
      <c r="P143" s="44">
        <v>3.7699999999999999E-10</v>
      </c>
      <c r="R143" s="44">
        <v>3.7699999999999999E-10</v>
      </c>
      <c r="S143" s="44">
        <v>3.7699999999999999E-10</v>
      </c>
      <c r="T143" s="44">
        <v>3.7699999999999999E-10</v>
      </c>
      <c r="V143" s="44">
        <v>3.7699999999999999E-10</v>
      </c>
      <c r="W143" s="44">
        <v>3.7699999999999999E-10</v>
      </c>
      <c r="X143" s="44">
        <v>3.7699999999999999E-10</v>
      </c>
      <c r="AA143" s="44">
        <v>3.7699999999999999E-10</v>
      </c>
      <c r="AB143" s="44">
        <v>3.7699999999999999E-10</v>
      </c>
      <c r="AC143" s="44">
        <v>3.7699999999999999E-10</v>
      </c>
      <c r="AD143" s="44">
        <v>3.7699999999999999E-10</v>
      </c>
      <c r="AE143" s="44">
        <v>3.7699999999999999E-10</v>
      </c>
      <c r="AF143" s="44">
        <v>3.7699999999999999E-10</v>
      </c>
      <c r="AG143" s="44">
        <v>3.7699999999999999E-10</v>
      </c>
      <c r="AH143" s="44">
        <v>3.7699999999999999E-10</v>
      </c>
      <c r="AI143" s="44">
        <v>3.7699999999999999E-10</v>
      </c>
      <c r="AJ143" s="44">
        <v>3.7699999999999999E-10</v>
      </c>
      <c r="AK143" s="44">
        <v>3.7699999999999999E-10</v>
      </c>
      <c r="AL143"/>
      <c r="AM143" s="44">
        <v>3.7699999999999999E-10</v>
      </c>
      <c r="AN143" s="44">
        <v>3.7699999999999999E-10</v>
      </c>
      <c r="AO143" s="44">
        <v>3.7699999999999999E-10</v>
      </c>
      <c r="AP143" s="44">
        <v>3.7699999999999999E-10</v>
      </c>
      <c r="AQ143" s="44">
        <v>3.7699999999999999E-10</v>
      </c>
      <c r="AR143" s="44">
        <v>3.7699999999999999E-10</v>
      </c>
      <c r="AS143" s="44">
        <v>3.7699999999999999E-10</v>
      </c>
      <c r="AT143"/>
      <c r="AU143" s="44">
        <v>3.7699999999999999E-10</v>
      </c>
      <c r="AV143" s="44">
        <v>3.7699999999999999E-10</v>
      </c>
      <c r="AW143" s="44">
        <v>3.7699999999999999E-10</v>
      </c>
      <c r="AX143" s="44">
        <v>3.7699999999999999E-10</v>
      </c>
      <c r="AY143"/>
      <c r="AZ143" s="44">
        <v>3.7699999999999999E-10</v>
      </c>
      <c r="BA143"/>
      <c r="BB143"/>
      <c r="BC143" s="44">
        <v>3.7699999999999999E-10</v>
      </c>
    </row>
    <row r="144" spans="1:55" x14ac:dyDescent="0.25">
      <c r="A144" s="23" t="s">
        <v>236</v>
      </c>
      <c r="B144" s="3" t="s">
        <v>473</v>
      </c>
      <c r="C144" s="3" t="s">
        <v>483</v>
      </c>
      <c r="D144" s="3" t="s">
        <v>524</v>
      </c>
      <c r="E144" s="24" t="s">
        <v>303</v>
      </c>
      <c r="F144" s="24" t="s">
        <v>109</v>
      </c>
      <c r="G144" s="44">
        <v>20</v>
      </c>
      <c r="H144" s="44">
        <f t="shared" si="19"/>
        <v>20</v>
      </c>
      <c r="I144" s="44">
        <v>20</v>
      </c>
      <c r="J144" s="44">
        <v>20</v>
      </c>
      <c r="K144" s="44">
        <v>20</v>
      </c>
      <c r="L144" s="44">
        <v>20</v>
      </c>
      <c r="M144" s="44">
        <v>20</v>
      </c>
      <c r="N144" s="44">
        <v>20</v>
      </c>
      <c r="O144" s="44">
        <v>20</v>
      </c>
      <c r="P144" s="44">
        <v>20</v>
      </c>
      <c r="R144" s="44">
        <v>20</v>
      </c>
      <c r="S144" s="44">
        <v>20</v>
      </c>
      <c r="T144" s="44">
        <v>20</v>
      </c>
      <c r="V144" s="44">
        <v>20</v>
      </c>
      <c r="W144" s="44">
        <v>20</v>
      </c>
      <c r="X144" s="44">
        <v>20</v>
      </c>
      <c r="AA144" s="44">
        <v>20</v>
      </c>
      <c r="AB144" s="44">
        <v>20</v>
      </c>
      <c r="AC144" s="44">
        <v>20</v>
      </c>
      <c r="AD144" s="44">
        <v>20</v>
      </c>
      <c r="AE144" s="44">
        <v>20</v>
      </c>
      <c r="AF144" s="44">
        <v>20</v>
      </c>
      <c r="AG144" s="44">
        <v>20</v>
      </c>
      <c r="AH144" s="44">
        <v>20</v>
      </c>
      <c r="AI144" s="44">
        <v>20</v>
      </c>
      <c r="AJ144" s="44">
        <v>20</v>
      </c>
      <c r="AK144" s="44">
        <v>20</v>
      </c>
      <c r="AL144"/>
      <c r="AM144" s="44">
        <v>20</v>
      </c>
      <c r="AN144" s="44">
        <v>20</v>
      </c>
      <c r="AO144" s="44">
        <v>20</v>
      </c>
      <c r="AP144" s="44">
        <v>20</v>
      </c>
      <c r="AQ144" s="44">
        <v>20</v>
      </c>
      <c r="AR144" s="44">
        <v>20</v>
      </c>
      <c r="AS144" s="44">
        <v>20</v>
      </c>
      <c r="AT144"/>
      <c r="AU144" s="44">
        <v>20</v>
      </c>
      <c r="AV144" s="44">
        <v>20</v>
      </c>
      <c r="AW144" s="44">
        <v>20</v>
      </c>
      <c r="AX144" s="44">
        <v>20</v>
      </c>
      <c r="AY144"/>
      <c r="AZ144" s="44">
        <v>20</v>
      </c>
      <c r="BA144"/>
      <c r="BB144"/>
      <c r="BC144" s="44">
        <v>20</v>
      </c>
    </row>
    <row r="145" spans="1:55" x14ac:dyDescent="0.25">
      <c r="A145" s="23" t="s">
        <v>237</v>
      </c>
      <c r="B145" s="3" t="s">
        <v>473</v>
      </c>
      <c r="C145" s="3" t="s">
        <v>483</v>
      </c>
      <c r="D145" s="3" t="s">
        <v>524</v>
      </c>
      <c r="E145" s="24" t="s">
        <v>304</v>
      </c>
      <c r="F145" s="24" t="s">
        <v>301</v>
      </c>
      <c r="G145" s="44">
        <v>-0.06</v>
      </c>
      <c r="H145" s="44">
        <f t="shared" si="19"/>
        <v>-0.06</v>
      </c>
      <c r="I145" s="44">
        <v>-0.06</v>
      </c>
      <c r="J145" s="44">
        <v>-0.06</v>
      </c>
      <c r="K145" s="44">
        <v>-0.06</v>
      </c>
      <c r="L145" s="44">
        <v>-0.06</v>
      </c>
      <c r="M145" s="44">
        <v>-0.06</v>
      </c>
      <c r="N145" s="44">
        <v>-0.06</v>
      </c>
      <c r="O145" s="44">
        <v>-0.06</v>
      </c>
      <c r="P145" s="44">
        <v>-0.06</v>
      </c>
      <c r="R145" s="44">
        <v>-0.06</v>
      </c>
      <c r="S145" s="44">
        <v>-0.06</v>
      </c>
      <c r="T145" s="44">
        <v>-0.06</v>
      </c>
      <c r="V145" s="44">
        <v>-0.06</v>
      </c>
      <c r="W145" s="44">
        <v>-0.06</v>
      </c>
      <c r="X145" s="44">
        <v>-0.06</v>
      </c>
      <c r="AA145" s="44">
        <v>-0.06</v>
      </c>
      <c r="AB145" s="44">
        <v>-0.06</v>
      </c>
      <c r="AC145" s="44">
        <v>-0.06</v>
      </c>
      <c r="AD145" s="44">
        <v>-0.06</v>
      </c>
      <c r="AE145" s="44">
        <v>-0.06</v>
      </c>
      <c r="AF145" s="44">
        <v>-0.06</v>
      </c>
      <c r="AG145" s="44">
        <v>-0.06</v>
      </c>
      <c r="AH145" s="44">
        <v>-0.06</v>
      </c>
      <c r="AI145" s="44">
        <v>-0.06</v>
      </c>
      <c r="AJ145" s="44">
        <v>-0.06</v>
      </c>
      <c r="AK145" s="44">
        <v>-0.06</v>
      </c>
      <c r="AL145"/>
      <c r="AM145" s="44">
        <v>-0.06</v>
      </c>
      <c r="AN145" s="44">
        <v>-0.06</v>
      </c>
      <c r="AO145" s="44">
        <v>-0.06</v>
      </c>
      <c r="AP145" s="44">
        <v>-0.06</v>
      </c>
      <c r="AQ145" s="44">
        <v>-0.06</v>
      </c>
      <c r="AR145" s="44">
        <v>-0.06</v>
      </c>
      <c r="AS145" s="44">
        <v>-0.06</v>
      </c>
      <c r="AT145"/>
      <c r="AU145" s="44">
        <v>-0.06</v>
      </c>
      <c r="AV145" s="44">
        <v>-0.06</v>
      </c>
      <c r="AW145" s="44">
        <v>-0.06</v>
      </c>
      <c r="AX145" s="44">
        <v>-0.06</v>
      </c>
      <c r="AY145"/>
      <c r="AZ145" s="44">
        <v>-0.06</v>
      </c>
      <c r="BA145"/>
      <c r="BB145"/>
      <c r="BC145" s="44">
        <v>-0.06</v>
      </c>
    </row>
    <row r="146" spans="1:55" x14ac:dyDescent="0.25">
      <c r="A146" s="23" t="s">
        <v>238</v>
      </c>
      <c r="B146" s="3" t="s">
        <v>473</v>
      </c>
      <c r="C146" s="3" t="s">
        <v>483</v>
      </c>
      <c r="D146" s="3" t="s">
        <v>524</v>
      </c>
      <c r="E146" s="24" t="s">
        <v>305</v>
      </c>
      <c r="F146" s="24" t="s">
        <v>100</v>
      </c>
      <c r="G146" s="44">
        <v>0.89100000000000001</v>
      </c>
      <c r="H146" s="44">
        <f t="shared" si="19"/>
        <v>0.89100000000000001</v>
      </c>
      <c r="I146" s="44">
        <v>0.89100000000000001</v>
      </c>
      <c r="J146" s="44">
        <v>0.89100000000000001</v>
      </c>
      <c r="K146" s="44">
        <v>0.89100000000000001</v>
      </c>
      <c r="L146" s="44">
        <v>0.89100000000000001</v>
      </c>
      <c r="M146" s="44">
        <v>0.89100000000000001</v>
      </c>
      <c r="N146" s="44">
        <v>0.89100000000000001</v>
      </c>
      <c r="O146" s="44">
        <v>0.89100000000000001</v>
      </c>
      <c r="P146" s="44">
        <v>0.89100000000000001</v>
      </c>
      <c r="R146" s="44">
        <v>0.89100000000000001</v>
      </c>
      <c r="S146" s="44">
        <v>0.89100000000000001</v>
      </c>
      <c r="T146" s="44">
        <v>0.89100000000000001</v>
      </c>
      <c r="V146" s="44">
        <v>0.89100000000000001</v>
      </c>
      <c r="W146" s="44">
        <v>0.89100000000000001</v>
      </c>
      <c r="X146" s="44">
        <v>0.89100000000000001</v>
      </c>
      <c r="AA146" s="44">
        <v>0.89100000000000001</v>
      </c>
      <c r="AB146" s="44">
        <v>0.89100000000000001</v>
      </c>
      <c r="AC146" s="44">
        <v>0.89100000000000001</v>
      </c>
      <c r="AD146" s="44">
        <v>0.89100000000000001</v>
      </c>
      <c r="AE146" s="44">
        <v>0.89100000000000001</v>
      </c>
      <c r="AF146" s="44">
        <v>0.89100000000000001</v>
      </c>
      <c r="AG146" s="44">
        <v>0.89100000000000001</v>
      </c>
      <c r="AH146" s="44">
        <v>0.89100000000000001</v>
      </c>
      <c r="AI146" s="44">
        <v>0.89100000000000001</v>
      </c>
      <c r="AJ146" s="44">
        <v>0.89100000000000001</v>
      </c>
      <c r="AK146" s="44">
        <v>0.89100000000000001</v>
      </c>
      <c r="AL146"/>
      <c r="AM146" s="44">
        <v>0.89100000000000001</v>
      </c>
      <c r="AN146" s="44">
        <v>0.89100000000000001</v>
      </c>
      <c r="AO146" s="44">
        <v>0.89100000000000001</v>
      </c>
      <c r="AP146" s="44">
        <v>0.89100000000000001</v>
      </c>
      <c r="AQ146" s="44">
        <v>0.89100000000000001</v>
      </c>
      <c r="AR146" s="44">
        <v>0.89100000000000001</v>
      </c>
      <c r="AS146" s="44">
        <v>0.89100000000000001</v>
      </c>
      <c r="AT146"/>
      <c r="AU146" s="44">
        <v>0.89100000000000001</v>
      </c>
      <c r="AV146" s="44">
        <v>0.89100000000000001</v>
      </c>
      <c r="AW146" s="44">
        <v>0.89100000000000001</v>
      </c>
      <c r="AX146" s="44">
        <v>0.89100000000000001</v>
      </c>
      <c r="AY146"/>
      <c r="AZ146" s="44">
        <v>0.89100000000000001</v>
      </c>
      <c r="BA146"/>
      <c r="BB146"/>
      <c r="BC146" s="44">
        <v>0.89100000000000001</v>
      </c>
    </row>
    <row r="147" spans="1:55" x14ac:dyDescent="0.25">
      <c r="A147" s="23" t="s">
        <v>239</v>
      </c>
      <c r="B147" s="3" t="s">
        <v>473</v>
      </c>
      <c r="C147" s="3" t="s">
        <v>483</v>
      </c>
      <c r="D147" s="3" t="s">
        <v>524</v>
      </c>
      <c r="E147" s="24" t="s">
        <v>306</v>
      </c>
      <c r="F147" s="24" t="s">
        <v>95</v>
      </c>
      <c r="G147" s="44">
        <v>1</v>
      </c>
      <c r="H147" s="44">
        <f t="shared" si="19"/>
        <v>1</v>
      </c>
      <c r="I147" s="44">
        <v>1</v>
      </c>
      <c r="J147" s="44">
        <v>1</v>
      </c>
      <c r="K147" s="44">
        <v>1</v>
      </c>
      <c r="L147" s="44">
        <v>1</v>
      </c>
      <c r="M147" s="44">
        <v>1</v>
      </c>
      <c r="N147" s="44">
        <v>1</v>
      </c>
      <c r="O147" s="44">
        <v>1</v>
      </c>
      <c r="P147" s="44">
        <v>1</v>
      </c>
      <c r="R147" s="44">
        <v>1</v>
      </c>
      <c r="S147" s="44">
        <v>1</v>
      </c>
      <c r="T147" s="44">
        <v>1</v>
      </c>
      <c r="V147" s="44">
        <v>1</v>
      </c>
      <c r="W147" s="44">
        <v>1</v>
      </c>
      <c r="X147" s="44">
        <v>1</v>
      </c>
      <c r="AA147" s="44">
        <v>1</v>
      </c>
      <c r="AB147" s="44">
        <v>1</v>
      </c>
      <c r="AC147" s="44">
        <v>1</v>
      </c>
      <c r="AD147" s="44">
        <v>1</v>
      </c>
      <c r="AE147" s="44">
        <v>1</v>
      </c>
      <c r="AF147" s="44">
        <v>1</v>
      </c>
      <c r="AG147" s="44">
        <v>1</v>
      </c>
      <c r="AH147" s="44">
        <v>1</v>
      </c>
      <c r="AI147" s="44">
        <v>1</v>
      </c>
      <c r="AJ147" s="44">
        <v>1</v>
      </c>
      <c r="AK147" s="44">
        <v>1</v>
      </c>
      <c r="AL147"/>
      <c r="AM147" s="44">
        <v>1</v>
      </c>
      <c r="AN147" s="44">
        <v>1</v>
      </c>
      <c r="AO147" s="44">
        <v>1</v>
      </c>
      <c r="AP147" s="44">
        <v>1</v>
      </c>
      <c r="AQ147" s="44">
        <v>1</v>
      </c>
      <c r="AR147" s="44">
        <v>1</v>
      </c>
      <c r="AS147" s="44">
        <v>1</v>
      </c>
      <c r="AT147"/>
      <c r="AU147" s="44">
        <v>1</v>
      </c>
      <c r="AV147" s="44">
        <v>1</v>
      </c>
      <c r="AW147" s="44">
        <v>1</v>
      </c>
      <c r="AX147" s="44">
        <v>1</v>
      </c>
      <c r="AY147"/>
      <c r="AZ147" s="44">
        <v>1</v>
      </c>
      <c r="BA147"/>
      <c r="BB147"/>
      <c r="BC147" s="44">
        <v>1</v>
      </c>
    </row>
    <row r="148" spans="1:55" x14ac:dyDescent="0.25">
      <c r="A148" s="23" t="s">
        <v>72</v>
      </c>
      <c r="B148" s="3" t="s">
        <v>473</v>
      </c>
      <c r="C148" s="3" t="s">
        <v>483</v>
      </c>
      <c r="D148" s="3" t="s">
        <v>524</v>
      </c>
      <c r="E148" s="24" t="s">
        <v>184</v>
      </c>
      <c r="F148" s="24" t="s">
        <v>198</v>
      </c>
      <c r="G148" s="44">
        <v>4.0000000000000003E-5</v>
      </c>
      <c r="H148" s="44">
        <f t="shared" si="19"/>
        <v>4.0000000000000003E-5</v>
      </c>
      <c r="I148" s="44">
        <v>4.0000000000000003E-5</v>
      </c>
      <c r="J148" s="44">
        <v>4.0000000000000003E-5</v>
      </c>
      <c r="K148" s="44">
        <v>4.0000000000000003E-5</v>
      </c>
      <c r="L148" s="44">
        <v>4.0000000000000003E-5</v>
      </c>
      <c r="M148" s="44">
        <v>4.0000000000000003E-5</v>
      </c>
      <c r="N148" s="44">
        <v>4.0000000000000003E-5</v>
      </c>
      <c r="O148" s="44">
        <v>4.0000000000000003E-5</v>
      </c>
      <c r="P148" s="44">
        <v>4.0000000000000003E-5</v>
      </c>
      <c r="R148" s="44">
        <v>4.0000000000000003E-5</v>
      </c>
      <c r="S148" s="44">
        <v>4.0000000000000003E-5</v>
      </c>
      <c r="T148" s="44">
        <v>4.0000000000000003E-5</v>
      </c>
      <c r="V148" s="44">
        <v>4.0000000000000003E-5</v>
      </c>
      <c r="W148" s="44">
        <v>4.0000000000000003E-5</v>
      </c>
      <c r="X148" s="44">
        <v>4.0000000000000003E-5</v>
      </c>
      <c r="AA148" s="44">
        <v>4.0000000000000003E-5</v>
      </c>
      <c r="AB148" s="44">
        <v>4.0000000000000003E-5</v>
      </c>
      <c r="AC148" s="44">
        <v>4.0000000000000003E-5</v>
      </c>
      <c r="AD148" s="44">
        <v>4.0000000000000003E-5</v>
      </c>
      <c r="AE148" s="44">
        <v>4.0000000000000003E-5</v>
      </c>
      <c r="AF148" s="44">
        <v>4.0000000000000003E-5</v>
      </c>
      <c r="AG148" s="44">
        <v>4.0000000000000003E-5</v>
      </c>
      <c r="AH148" s="44">
        <v>4.0000000000000003E-5</v>
      </c>
      <c r="AI148" s="44">
        <v>4.0000000000000003E-5</v>
      </c>
      <c r="AJ148" s="44">
        <v>4.0000000000000003E-5</v>
      </c>
      <c r="AK148" s="44">
        <v>4.0000000000000003E-5</v>
      </c>
      <c r="AL148"/>
      <c r="AM148" s="44">
        <v>4.0000000000000003E-5</v>
      </c>
      <c r="AN148" s="44">
        <v>4.0000000000000003E-5</v>
      </c>
      <c r="AO148" s="44">
        <v>4.0000000000000003E-5</v>
      </c>
      <c r="AP148" s="44">
        <v>4.0000000000000003E-5</v>
      </c>
      <c r="AQ148" s="44">
        <v>4.0000000000000003E-5</v>
      </c>
      <c r="AR148" s="44">
        <v>4.0000000000000003E-5</v>
      </c>
      <c r="AS148" s="44">
        <v>4.0000000000000003E-5</v>
      </c>
      <c r="AT148"/>
      <c r="AU148" s="44">
        <v>4.0000000000000003E-5</v>
      </c>
      <c r="AV148" s="44">
        <v>4.0000000000000003E-5</v>
      </c>
      <c r="AW148" s="44">
        <v>4.0000000000000003E-5</v>
      </c>
      <c r="AX148" s="44">
        <v>4.0000000000000003E-5</v>
      </c>
      <c r="AY148"/>
      <c r="AZ148" s="44">
        <v>4.0000000000000003E-5</v>
      </c>
      <c r="BA148"/>
      <c r="BB148"/>
      <c r="BC148" s="44">
        <v>4.0000000000000003E-5</v>
      </c>
    </row>
    <row r="149" spans="1:55" x14ac:dyDescent="0.25">
      <c r="A149" s="13" t="s">
        <v>73</v>
      </c>
      <c r="B149" s="3" t="s">
        <v>473</v>
      </c>
      <c r="C149" s="3" t="s">
        <v>483</v>
      </c>
      <c r="D149" s="3" t="s">
        <v>524</v>
      </c>
      <c r="E149" s="14" t="s">
        <v>186</v>
      </c>
      <c r="F149" s="14" t="s">
        <v>200</v>
      </c>
      <c r="G149" s="44">
        <v>5.8333333333333335E-9</v>
      </c>
      <c r="H149" s="44">
        <f t="shared" si="19"/>
        <v>5.8333333333333335E-9</v>
      </c>
      <c r="I149" s="44">
        <v>5.8333333333333335E-9</v>
      </c>
      <c r="J149" s="44">
        <v>5.8333333333333335E-9</v>
      </c>
      <c r="K149" s="44">
        <v>5.8333333333333335E-9</v>
      </c>
      <c r="L149" s="44">
        <v>5.8333333333333335E-9</v>
      </c>
      <c r="M149" s="44">
        <v>5.8333333333333335E-9</v>
      </c>
      <c r="N149" s="44">
        <v>5.8333333333333335E-9</v>
      </c>
      <c r="O149" s="44">
        <v>5.8333333333333335E-9</v>
      </c>
      <c r="P149" s="44">
        <v>5.8333333333333335E-9</v>
      </c>
      <c r="R149" s="44">
        <v>5.8333333333333335E-9</v>
      </c>
      <c r="S149" s="44">
        <v>5.8333333333333335E-9</v>
      </c>
      <c r="T149" s="44">
        <v>5.8333333333333335E-9</v>
      </c>
      <c r="V149" s="44">
        <v>5.8333333333333335E-9</v>
      </c>
      <c r="W149" s="44">
        <v>5.8333333333333335E-9</v>
      </c>
      <c r="X149" s="44">
        <v>5.8333333333333335E-9</v>
      </c>
      <c r="AA149" s="44">
        <v>5.8333333333333335E-9</v>
      </c>
      <c r="AB149" s="44">
        <v>5.8333333333333335E-9</v>
      </c>
      <c r="AC149" s="44">
        <v>5.8333333333333335E-9</v>
      </c>
      <c r="AD149" s="44">
        <v>5.8333333333333335E-9</v>
      </c>
      <c r="AE149" s="44">
        <v>5.8333333333333335E-9</v>
      </c>
      <c r="AF149" s="44">
        <v>5.8333333333333335E-9</v>
      </c>
      <c r="AG149" s="44">
        <v>5.8333333333333335E-9</v>
      </c>
      <c r="AH149" s="44">
        <v>5.8333333333333335E-9</v>
      </c>
      <c r="AI149" s="44">
        <v>5.8333333333333335E-9</v>
      </c>
      <c r="AJ149" s="44">
        <v>5.8333333333333335E-9</v>
      </c>
      <c r="AK149" s="44">
        <v>5.8333333333333335E-9</v>
      </c>
      <c r="AL149"/>
      <c r="AM149" s="44">
        <v>5.8333333333333335E-9</v>
      </c>
      <c r="AN149" s="44">
        <v>5.8333333333333335E-9</v>
      </c>
      <c r="AO149" s="44">
        <v>5.8333333333333335E-9</v>
      </c>
      <c r="AP149" s="44">
        <v>5.8333333333333335E-9</v>
      </c>
      <c r="AQ149" s="44">
        <v>5.8333333333333335E-9</v>
      </c>
      <c r="AR149" s="44">
        <v>5.8333333333333335E-9</v>
      </c>
      <c r="AS149" s="44">
        <v>5.8333333333333335E-9</v>
      </c>
      <c r="AT149"/>
      <c r="AU149" s="44">
        <v>5.8333333333333335E-9</v>
      </c>
      <c r="AV149" s="44">
        <v>5.8333333333333335E-9</v>
      </c>
      <c r="AW149" s="44">
        <v>5.8333333333333335E-9</v>
      </c>
      <c r="AX149" s="44">
        <v>5.8333333333333335E-9</v>
      </c>
      <c r="AY149"/>
      <c r="AZ149" s="44">
        <v>5.8333333333333335E-9</v>
      </c>
      <c r="BA149"/>
      <c r="BB149"/>
      <c r="BC149" s="44">
        <v>5.8333333333333335E-9</v>
      </c>
    </row>
    <row r="150" spans="1:55" x14ac:dyDescent="0.25">
      <c r="A150" s="13" t="s">
        <v>240</v>
      </c>
      <c r="B150" s="3" t="s">
        <v>473</v>
      </c>
      <c r="C150" s="3" t="s">
        <v>483</v>
      </c>
      <c r="D150" s="3" t="s">
        <v>524</v>
      </c>
      <c r="E150" s="14" t="s">
        <v>307</v>
      </c>
      <c r="F150" s="14" t="s">
        <v>109</v>
      </c>
      <c r="G150" s="44">
        <v>20</v>
      </c>
      <c r="H150" s="44">
        <f t="shared" si="19"/>
        <v>20</v>
      </c>
      <c r="I150" s="44">
        <v>20</v>
      </c>
      <c r="J150" s="44">
        <v>20</v>
      </c>
      <c r="K150" s="44">
        <v>20</v>
      </c>
      <c r="L150" s="44">
        <v>20</v>
      </c>
      <c r="M150" s="44">
        <v>20</v>
      </c>
      <c r="N150" s="44">
        <v>20</v>
      </c>
      <c r="O150" s="44">
        <v>20</v>
      </c>
      <c r="P150" s="44">
        <v>20</v>
      </c>
      <c r="R150" s="44">
        <v>20</v>
      </c>
      <c r="S150" s="44">
        <v>20</v>
      </c>
      <c r="T150" s="44">
        <v>20</v>
      </c>
      <c r="V150" s="44">
        <v>20</v>
      </c>
      <c r="W150" s="44">
        <v>20</v>
      </c>
      <c r="X150" s="44">
        <v>20</v>
      </c>
      <c r="AA150" s="44">
        <v>20</v>
      </c>
      <c r="AB150" s="44">
        <v>20</v>
      </c>
      <c r="AC150" s="44">
        <v>20</v>
      </c>
      <c r="AD150" s="44">
        <v>20</v>
      </c>
      <c r="AE150" s="44">
        <v>20</v>
      </c>
      <c r="AF150" s="44">
        <v>20</v>
      </c>
      <c r="AG150" s="44">
        <v>20</v>
      </c>
      <c r="AH150" s="44">
        <v>20</v>
      </c>
      <c r="AI150" s="44">
        <v>20</v>
      </c>
      <c r="AJ150" s="44">
        <v>20</v>
      </c>
      <c r="AK150" s="44">
        <v>20</v>
      </c>
      <c r="AL150"/>
      <c r="AM150" s="44">
        <v>20</v>
      </c>
      <c r="AN150" s="44">
        <v>20</v>
      </c>
      <c r="AO150" s="44">
        <v>20</v>
      </c>
      <c r="AP150" s="44">
        <v>20</v>
      </c>
      <c r="AQ150" s="44">
        <v>20</v>
      </c>
      <c r="AR150" s="44">
        <v>20</v>
      </c>
      <c r="AS150" s="44">
        <v>20</v>
      </c>
      <c r="AT150"/>
      <c r="AU150" s="44">
        <v>20</v>
      </c>
      <c r="AV150" s="44">
        <v>20</v>
      </c>
      <c r="AW150" s="44">
        <v>20</v>
      </c>
      <c r="AX150" s="44">
        <v>20</v>
      </c>
      <c r="AY150"/>
      <c r="AZ150" s="44">
        <v>20</v>
      </c>
      <c r="BA150"/>
      <c r="BB150"/>
      <c r="BC150" s="44">
        <v>20</v>
      </c>
    </row>
    <row r="151" spans="1:55" x14ac:dyDescent="0.25">
      <c r="A151" s="13" t="s">
        <v>241</v>
      </c>
      <c r="B151" s="3" t="s">
        <v>473</v>
      </c>
      <c r="C151" s="3" t="s">
        <v>483</v>
      </c>
      <c r="D151" s="3" t="s">
        <v>524</v>
      </c>
      <c r="E151" s="14" t="s">
        <v>308</v>
      </c>
      <c r="F151" s="14" t="s">
        <v>301</v>
      </c>
      <c r="G151" s="44">
        <v>-0.06</v>
      </c>
      <c r="H151" s="44">
        <f t="shared" si="19"/>
        <v>-0.06</v>
      </c>
      <c r="I151" s="44">
        <v>-0.06</v>
      </c>
      <c r="J151" s="44">
        <v>-0.06</v>
      </c>
      <c r="K151" s="44">
        <v>-0.06</v>
      </c>
      <c r="L151" s="44">
        <v>-0.06</v>
      </c>
      <c r="M151" s="44">
        <v>-0.06</v>
      </c>
      <c r="N151" s="44">
        <v>-0.06</v>
      </c>
      <c r="O151" s="44">
        <v>-0.06</v>
      </c>
      <c r="P151" s="44">
        <v>-0.06</v>
      </c>
      <c r="R151" s="44">
        <v>-0.06</v>
      </c>
      <c r="S151" s="44">
        <v>-0.06</v>
      </c>
      <c r="T151" s="44">
        <v>-0.06</v>
      </c>
      <c r="V151" s="44">
        <v>-0.06</v>
      </c>
      <c r="W151" s="44">
        <v>-0.06</v>
      </c>
      <c r="X151" s="44">
        <v>-0.06</v>
      </c>
      <c r="AA151" s="44">
        <v>-0.06</v>
      </c>
      <c r="AB151" s="44">
        <v>-0.06</v>
      </c>
      <c r="AC151" s="44">
        <v>-0.06</v>
      </c>
      <c r="AD151" s="44">
        <v>-0.06</v>
      </c>
      <c r="AE151" s="44">
        <v>-0.06</v>
      </c>
      <c r="AF151" s="44">
        <v>-0.06</v>
      </c>
      <c r="AG151" s="44">
        <v>-0.06</v>
      </c>
      <c r="AH151" s="44">
        <v>-0.06</v>
      </c>
      <c r="AI151" s="44">
        <v>-0.06</v>
      </c>
      <c r="AJ151" s="44">
        <v>-0.06</v>
      </c>
      <c r="AK151" s="44">
        <v>-0.06</v>
      </c>
      <c r="AL151"/>
      <c r="AM151" s="44">
        <v>-0.06</v>
      </c>
      <c r="AN151" s="44">
        <v>-0.06</v>
      </c>
      <c r="AO151" s="44">
        <v>-0.06</v>
      </c>
      <c r="AP151" s="44">
        <v>-0.06</v>
      </c>
      <c r="AQ151" s="44">
        <v>-0.06</v>
      </c>
      <c r="AR151" s="44">
        <v>-0.06</v>
      </c>
      <c r="AS151" s="44">
        <v>-0.06</v>
      </c>
      <c r="AT151"/>
      <c r="AU151" s="44">
        <v>-0.06</v>
      </c>
      <c r="AV151" s="44">
        <v>-0.06</v>
      </c>
      <c r="AW151" s="44">
        <v>-0.06</v>
      </c>
      <c r="AX151" s="44">
        <v>-0.06</v>
      </c>
      <c r="AY151"/>
      <c r="AZ151" s="44">
        <v>-0.06</v>
      </c>
      <c r="BA151"/>
      <c r="BB151"/>
      <c r="BC151" s="44">
        <v>-0.06</v>
      </c>
    </row>
    <row r="152" spans="1:55" x14ac:dyDescent="0.25">
      <c r="A152" s="13" t="s">
        <v>242</v>
      </c>
      <c r="B152" s="3" t="s">
        <v>473</v>
      </c>
      <c r="C152" s="3" t="s">
        <v>483</v>
      </c>
      <c r="D152" s="3" t="s">
        <v>524</v>
      </c>
      <c r="E152" s="14" t="s">
        <v>309</v>
      </c>
      <c r="F152" s="14" t="s">
        <v>100</v>
      </c>
      <c r="G152" s="44">
        <v>0.89100000000000001</v>
      </c>
      <c r="H152" s="44">
        <f t="shared" si="19"/>
        <v>0.89100000000000001</v>
      </c>
      <c r="I152" s="44">
        <v>0.89100000000000001</v>
      </c>
      <c r="J152" s="44">
        <v>0.89100000000000001</v>
      </c>
      <c r="K152" s="44">
        <v>0.89100000000000001</v>
      </c>
      <c r="L152" s="44">
        <v>0.89100000000000001</v>
      </c>
      <c r="M152" s="44">
        <v>0.89100000000000001</v>
      </c>
      <c r="N152" s="44">
        <v>0.89100000000000001</v>
      </c>
      <c r="O152" s="44">
        <v>0.89100000000000001</v>
      </c>
      <c r="P152" s="44">
        <v>0.89100000000000001</v>
      </c>
      <c r="R152" s="44">
        <v>0.89100000000000001</v>
      </c>
      <c r="S152" s="44">
        <v>0.89100000000000001</v>
      </c>
      <c r="T152" s="44">
        <v>0.89100000000000001</v>
      </c>
      <c r="V152" s="44">
        <v>0.89100000000000001</v>
      </c>
      <c r="W152" s="44">
        <v>0.89100000000000001</v>
      </c>
      <c r="X152" s="44">
        <v>0.89100000000000001</v>
      </c>
      <c r="AA152" s="44">
        <v>0.89100000000000001</v>
      </c>
      <c r="AB152" s="44">
        <v>0.89100000000000001</v>
      </c>
      <c r="AC152" s="44">
        <v>0.89100000000000001</v>
      </c>
      <c r="AD152" s="44">
        <v>0.89100000000000001</v>
      </c>
      <c r="AE152" s="44">
        <v>0.89100000000000001</v>
      </c>
      <c r="AF152" s="44">
        <v>0.89100000000000001</v>
      </c>
      <c r="AG152" s="44">
        <v>0.89100000000000001</v>
      </c>
      <c r="AH152" s="44">
        <v>0.89100000000000001</v>
      </c>
      <c r="AI152" s="44">
        <v>0.89100000000000001</v>
      </c>
      <c r="AJ152" s="44">
        <v>0.89100000000000001</v>
      </c>
      <c r="AK152" s="44">
        <v>0.89100000000000001</v>
      </c>
      <c r="AL152"/>
      <c r="AM152" s="44">
        <v>0.89100000000000001</v>
      </c>
      <c r="AN152" s="44">
        <v>0.89100000000000001</v>
      </c>
      <c r="AO152" s="44">
        <v>0.89100000000000001</v>
      </c>
      <c r="AP152" s="44">
        <v>0.89100000000000001</v>
      </c>
      <c r="AQ152" s="44">
        <v>0.89100000000000001</v>
      </c>
      <c r="AR152" s="44">
        <v>0.89100000000000001</v>
      </c>
      <c r="AS152" s="44">
        <v>0.89100000000000001</v>
      </c>
      <c r="AT152"/>
      <c r="AU152" s="44">
        <v>0.89100000000000001</v>
      </c>
      <c r="AV152" s="44">
        <v>0.89100000000000001</v>
      </c>
      <c r="AW152" s="44">
        <v>0.89100000000000001</v>
      </c>
      <c r="AX152" s="44">
        <v>0.89100000000000001</v>
      </c>
      <c r="AY152"/>
      <c r="AZ152" s="44">
        <v>0.89100000000000001</v>
      </c>
      <c r="BA152"/>
      <c r="BB152"/>
      <c r="BC152" s="44">
        <v>0.89100000000000001</v>
      </c>
    </row>
    <row r="153" spans="1:55" x14ac:dyDescent="0.25">
      <c r="A153" s="13" t="s">
        <v>243</v>
      </c>
      <c r="B153" s="3" t="s">
        <v>473</v>
      </c>
      <c r="C153" s="3" t="s">
        <v>483</v>
      </c>
      <c r="D153" s="3" t="s">
        <v>524</v>
      </c>
      <c r="E153" s="14" t="s">
        <v>310</v>
      </c>
      <c r="F153" s="14" t="s">
        <v>95</v>
      </c>
      <c r="G153" s="44">
        <v>1</v>
      </c>
      <c r="H153" s="44">
        <f t="shared" si="19"/>
        <v>1</v>
      </c>
      <c r="I153" s="44">
        <v>1</v>
      </c>
      <c r="J153" s="44">
        <v>1</v>
      </c>
      <c r="K153" s="44">
        <v>1</v>
      </c>
      <c r="L153" s="44">
        <v>1</v>
      </c>
      <c r="M153" s="44">
        <v>1</v>
      </c>
      <c r="N153" s="44">
        <v>1</v>
      </c>
      <c r="O153" s="44">
        <v>1</v>
      </c>
      <c r="P153" s="44">
        <v>1</v>
      </c>
      <c r="R153" s="44">
        <v>1</v>
      </c>
      <c r="S153" s="44">
        <v>1</v>
      </c>
      <c r="T153" s="44">
        <v>1</v>
      </c>
      <c r="V153" s="44">
        <v>1</v>
      </c>
      <c r="W153" s="44">
        <v>1</v>
      </c>
      <c r="X153" s="44">
        <v>1</v>
      </c>
      <c r="AA153" s="44">
        <v>1</v>
      </c>
      <c r="AB153" s="44">
        <v>1</v>
      </c>
      <c r="AC153" s="44">
        <v>1</v>
      </c>
      <c r="AD153" s="44">
        <v>1</v>
      </c>
      <c r="AE153" s="44">
        <v>1</v>
      </c>
      <c r="AF153" s="44">
        <v>1</v>
      </c>
      <c r="AG153" s="44">
        <v>1</v>
      </c>
      <c r="AH153" s="44">
        <v>1</v>
      </c>
      <c r="AI153" s="44">
        <v>1</v>
      </c>
      <c r="AJ153" s="44">
        <v>1</v>
      </c>
      <c r="AK153" s="44">
        <v>1</v>
      </c>
      <c r="AL153"/>
      <c r="AM153" s="44">
        <v>1</v>
      </c>
      <c r="AN153" s="44">
        <v>1</v>
      </c>
      <c r="AO153" s="44">
        <v>1</v>
      </c>
      <c r="AP153" s="44">
        <v>1</v>
      </c>
      <c r="AQ153" s="44">
        <v>1</v>
      </c>
      <c r="AR153" s="44">
        <v>1</v>
      </c>
      <c r="AS153" s="44">
        <v>1</v>
      </c>
      <c r="AT153"/>
      <c r="AU153" s="44">
        <v>1</v>
      </c>
      <c r="AV153" s="44">
        <v>1</v>
      </c>
      <c r="AW153" s="44">
        <v>1</v>
      </c>
      <c r="AX153" s="44">
        <v>1</v>
      </c>
      <c r="AY153"/>
      <c r="AZ153" s="44">
        <v>1</v>
      </c>
      <c r="BA153"/>
      <c r="BB153"/>
      <c r="BC153" s="44">
        <v>1</v>
      </c>
    </row>
    <row r="154" spans="1:55" x14ac:dyDescent="0.25">
      <c r="A154" s="13" t="s">
        <v>74</v>
      </c>
      <c r="B154" s="3" t="s">
        <v>473</v>
      </c>
      <c r="C154" s="3" t="s">
        <v>483</v>
      </c>
      <c r="D154" s="3" t="s">
        <v>524</v>
      </c>
      <c r="E154" s="14" t="s">
        <v>185</v>
      </c>
      <c r="F154" s="14" t="s">
        <v>198</v>
      </c>
      <c r="G154" s="44">
        <v>4.0000000000000003E-5</v>
      </c>
      <c r="H154" s="44">
        <f t="shared" si="19"/>
        <v>4.0000000000000003E-5</v>
      </c>
      <c r="I154" s="44">
        <v>4.0000000000000003E-5</v>
      </c>
      <c r="J154" s="44">
        <v>4.0000000000000003E-5</v>
      </c>
      <c r="K154" s="44">
        <v>4.0000000000000003E-5</v>
      </c>
      <c r="L154" s="44">
        <v>4.0000000000000003E-5</v>
      </c>
      <c r="M154" s="44">
        <v>4.0000000000000003E-5</v>
      </c>
      <c r="N154" s="44">
        <v>4.0000000000000003E-5</v>
      </c>
      <c r="O154" s="44">
        <v>4.0000000000000003E-5</v>
      </c>
      <c r="P154" s="44">
        <v>4.0000000000000003E-5</v>
      </c>
      <c r="R154" s="44">
        <v>4.0000000000000003E-5</v>
      </c>
      <c r="S154" s="44">
        <v>4.0000000000000003E-5</v>
      </c>
      <c r="T154" s="44">
        <v>4.0000000000000003E-5</v>
      </c>
      <c r="V154" s="44">
        <v>4.0000000000000003E-5</v>
      </c>
      <c r="W154" s="44">
        <v>4.0000000000000003E-5</v>
      </c>
      <c r="X154" s="44">
        <v>4.0000000000000003E-5</v>
      </c>
      <c r="AA154" s="44">
        <v>4.0000000000000003E-5</v>
      </c>
      <c r="AB154" s="44">
        <v>4.0000000000000003E-5</v>
      </c>
      <c r="AC154" s="44">
        <v>4.0000000000000003E-5</v>
      </c>
      <c r="AD154" s="44">
        <v>4.0000000000000003E-5</v>
      </c>
      <c r="AE154" s="44">
        <v>4.0000000000000003E-5</v>
      </c>
      <c r="AF154" s="44">
        <v>4.0000000000000003E-5</v>
      </c>
      <c r="AG154" s="44">
        <v>4.0000000000000003E-5</v>
      </c>
      <c r="AH154" s="44">
        <v>4.0000000000000003E-5</v>
      </c>
      <c r="AI154" s="44">
        <v>4.0000000000000003E-5</v>
      </c>
      <c r="AJ154" s="44">
        <v>4.0000000000000003E-5</v>
      </c>
      <c r="AK154" s="44">
        <v>4.0000000000000003E-5</v>
      </c>
      <c r="AL154"/>
      <c r="AM154" s="44">
        <v>4.0000000000000003E-5</v>
      </c>
      <c r="AN154" s="44">
        <v>4.0000000000000003E-5</v>
      </c>
      <c r="AO154" s="44">
        <v>4.0000000000000003E-5</v>
      </c>
      <c r="AP154" s="44">
        <v>4.0000000000000003E-5</v>
      </c>
      <c r="AQ154" s="44">
        <v>4.0000000000000003E-5</v>
      </c>
      <c r="AR154" s="44">
        <v>4.0000000000000003E-5</v>
      </c>
      <c r="AS154" s="44">
        <v>4.0000000000000003E-5</v>
      </c>
      <c r="AT154"/>
      <c r="AU154" s="44">
        <v>4.0000000000000003E-5</v>
      </c>
      <c r="AV154" s="44">
        <v>4.0000000000000003E-5</v>
      </c>
      <c r="AW154" s="44">
        <v>4.0000000000000003E-5</v>
      </c>
      <c r="AX154" s="44">
        <v>4.0000000000000003E-5</v>
      </c>
      <c r="AY154"/>
      <c r="AZ154" s="44">
        <v>4.0000000000000003E-5</v>
      </c>
      <c r="BA154"/>
      <c r="BB154"/>
      <c r="BC154" s="44">
        <v>4.0000000000000003E-5</v>
      </c>
    </row>
    <row r="155" spans="1:55" x14ac:dyDescent="0.25">
      <c r="A155" s="9" t="s">
        <v>75</v>
      </c>
      <c r="B155" s="3" t="s">
        <v>473</v>
      </c>
      <c r="C155" s="3" t="s">
        <v>483</v>
      </c>
      <c r="D155" s="3" t="s">
        <v>524</v>
      </c>
      <c r="E155" s="10" t="s">
        <v>187</v>
      </c>
      <c r="F155" s="10" t="s">
        <v>200</v>
      </c>
      <c r="G155" s="44">
        <v>4.9999999999999998E-8</v>
      </c>
      <c r="H155" s="44">
        <f t="shared" si="19"/>
        <v>4.9999999999999998E-8</v>
      </c>
      <c r="I155" s="44">
        <v>4.0000000000000001E-8</v>
      </c>
      <c r="J155" s="44">
        <v>4.0000000000000001E-8</v>
      </c>
      <c r="K155" s="44">
        <v>4.0000000000000001E-8</v>
      </c>
      <c r="L155" s="44">
        <v>4.0000000000000001E-8</v>
      </c>
      <c r="M155" s="44">
        <v>4.0000000000000001E-8</v>
      </c>
      <c r="N155" s="44">
        <v>4.0000000000000001E-8</v>
      </c>
      <c r="O155" s="44">
        <v>4.0000000000000001E-8</v>
      </c>
      <c r="P155" s="44">
        <v>4.0000000000000001E-8</v>
      </c>
      <c r="R155" s="44">
        <v>4.0000000000000001E-8</v>
      </c>
      <c r="S155" s="44">
        <v>4.0000000000000001E-8</v>
      </c>
      <c r="T155" s="44">
        <v>4.0000000000000001E-8</v>
      </c>
      <c r="V155" s="44">
        <v>4.0000000000000001E-8</v>
      </c>
      <c r="W155" s="44">
        <v>4.0000000000000001E-8</v>
      </c>
      <c r="X155" s="44">
        <v>4.0000000000000001E-8</v>
      </c>
      <c r="AA155" s="44">
        <v>4.0000000000000001E-8</v>
      </c>
      <c r="AB155" s="44">
        <v>4.0000000000000001E-8</v>
      </c>
      <c r="AC155" s="44">
        <v>4.0000000000000001E-8</v>
      </c>
      <c r="AD155" s="44">
        <v>4.0000000000000001E-8</v>
      </c>
      <c r="AE155" s="44">
        <v>4.0000000000000001E-8</v>
      </c>
      <c r="AF155" s="44">
        <v>4.0000000000000001E-8</v>
      </c>
      <c r="AG155" s="44">
        <v>4.0000000000000001E-8</v>
      </c>
      <c r="AH155" s="44">
        <v>4.0000000000000001E-8</v>
      </c>
      <c r="AI155" s="44">
        <v>4.0000000000000001E-8</v>
      </c>
      <c r="AJ155" s="44">
        <v>4.0000000000000001E-8</v>
      </c>
      <c r="AK155" s="44">
        <v>4.0000000000000001E-8</v>
      </c>
      <c r="AL155"/>
      <c r="AM155" s="44">
        <v>4.0000000000000001E-8</v>
      </c>
      <c r="AN155" s="44">
        <v>4.0000000000000001E-8</v>
      </c>
      <c r="AO155" s="44">
        <v>4.0000000000000001E-8</v>
      </c>
      <c r="AP155" s="44">
        <v>4.0000000000000001E-8</v>
      </c>
      <c r="AQ155" s="44">
        <v>4.0000000000000001E-8</v>
      </c>
      <c r="AR155" s="44">
        <v>4.0000000000000001E-8</v>
      </c>
      <c r="AS155" s="44">
        <v>4.0000000000000001E-8</v>
      </c>
      <c r="AT155"/>
      <c r="AU155" s="44">
        <v>4.0000000000000001E-8</v>
      </c>
      <c r="AV155" s="44">
        <v>4.0000000000000001E-8</v>
      </c>
      <c r="AW155" s="44">
        <v>4.0000000000000001E-8</v>
      </c>
      <c r="AX155" s="44">
        <v>4.0000000000000001E-8</v>
      </c>
      <c r="AY155"/>
      <c r="AZ155" s="44">
        <v>4.0000000000000001E-8</v>
      </c>
      <c r="BA155"/>
      <c r="BB155"/>
      <c r="BC155" s="44">
        <v>4.0000000000000001E-8</v>
      </c>
    </row>
    <row r="156" spans="1:55" x14ac:dyDescent="0.25">
      <c r="A156" s="9" t="s">
        <v>218</v>
      </c>
      <c r="B156" s="3" t="s">
        <v>473</v>
      </c>
      <c r="C156" s="3" t="s">
        <v>483</v>
      </c>
      <c r="D156" s="3" t="s">
        <v>524</v>
      </c>
      <c r="E156" s="10" t="s">
        <v>298</v>
      </c>
      <c r="F156" s="10" t="s">
        <v>109</v>
      </c>
      <c r="G156" s="44">
        <v>20</v>
      </c>
      <c r="H156" s="44">
        <f t="shared" si="19"/>
        <v>20</v>
      </c>
      <c r="I156" s="44">
        <v>20</v>
      </c>
      <c r="J156" s="44">
        <v>20</v>
      </c>
      <c r="K156" s="44">
        <v>20</v>
      </c>
      <c r="L156" s="44">
        <v>20</v>
      </c>
      <c r="M156" s="44">
        <v>20</v>
      </c>
      <c r="N156" s="44">
        <v>20</v>
      </c>
      <c r="O156" s="44">
        <v>20</v>
      </c>
      <c r="P156" s="44">
        <v>20</v>
      </c>
      <c r="R156" s="44">
        <v>20</v>
      </c>
      <c r="S156" s="44">
        <v>20</v>
      </c>
      <c r="T156" s="44">
        <v>20</v>
      </c>
      <c r="V156" s="44">
        <v>20</v>
      </c>
      <c r="W156" s="44">
        <v>20</v>
      </c>
      <c r="X156" s="44">
        <v>20</v>
      </c>
      <c r="AA156" s="44">
        <v>20</v>
      </c>
      <c r="AB156" s="44">
        <v>20</v>
      </c>
      <c r="AC156" s="44">
        <v>20</v>
      </c>
      <c r="AD156" s="44">
        <v>20</v>
      </c>
      <c r="AE156" s="44">
        <v>20</v>
      </c>
      <c r="AF156" s="44">
        <v>20</v>
      </c>
      <c r="AG156" s="44">
        <v>20</v>
      </c>
      <c r="AH156" s="44">
        <v>20</v>
      </c>
      <c r="AI156" s="44">
        <v>20</v>
      </c>
      <c r="AJ156" s="44">
        <v>20</v>
      </c>
      <c r="AK156" s="44">
        <v>20</v>
      </c>
      <c r="AL156"/>
      <c r="AM156" s="44">
        <v>20</v>
      </c>
      <c r="AN156" s="44">
        <v>20</v>
      </c>
      <c r="AO156" s="44">
        <v>20</v>
      </c>
      <c r="AP156" s="44">
        <v>20</v>
      </c>
      <c r="AQ156" s="44">
        <v>20</v>
      </c>
      <c r="AR156" s="44">
        <v>20</v>
      </c>
      <c r="AS156" s="44">
        <v>20</v>
      </c>
      <c r="AT156"/>
      <c r="AU156" s="44">
        <v>20</v>
      </c>
      <c r="AV156" s="44">
        <v>20</v>
      </c>
      <c r="AW156" s="44">
        <v>20</v>
      </c>
      <c r="AX156" s="44">
        <v>20</v>
      </c>
      <c r="AY156"/>
      <c r="AZ156" s="44">
        <v>20</v>
      </c>
      <c r="BA156"/>
      <c r="BB156"/>
      <c r="BC156" s="44">
        <v>20</v>
      </c>
    </row>
    <row r="157" spans="1:55" x14ac:dyDescent="0.25">
      <c r="A157" s="9" t="s">
        <v>219</v>
      </c>
      <c r="B157" s="3" t="s">
        <v>473</v>
      </c>
      <c r="C157" s="3" t="s">
        <v>483</v>
      </c>
      <c r="D157" s="3" t="s">
        <v>524</v>
      </c>
      <c r="E157" s="10" t="s">
        <v>299</v>
      </c>
      <c r="F157" s="10" t="s">
        <v>301</v>
      </c>
      <c r="G157" s="44">
        <v>-4.4200000000000003E-2</v>
      </c>
      <c r="H157" s="44">
        <f t="shared" si="19"/>
        <v>-4.4200000000000003E-2</v>
      </c>
      <c r="I157" s="44">
        <v>-4.4200000000000003E-2</v>
      </c>
      <c r="J157" s="44">
        <v>-4.4200000000000003E-2</v>
      </c>
      <c r="K157" s="44">
        <v>-4.4200000000000003E-2</v>
      </c>
      <c r="L157" s="44">
        <v>-4.4200000000000003E-2</v>
      </c>
      <c r="M157" s="44">
        <v>-4.4200000000000003E-2</v>
      </c>
      <c r="N157" s="44">
        <v>-4.4200000000000003E-2</v>
      </c>
      <c r="O157" s="44">
        <v>-4.4200000000000003E-2</v>
      </c>
      <c r="P157" s="44">
        <v>-4.4200000000000003E-2</v>
      </c>
      <c r="R157" s="44">
        <v>-4.4200000000000003E-2</v>
      </c>
      <c r="S157" s="44">
        <v>-4.4200000000000003E-2</v>
      </c>
      <c r="T157" s="44">
        <v>-4.4200000000000003E-2</v>
      </c>
      <c r="V157" s="44">
        <v>-4.4200000000000003E-2</v>
      </c>
      <c r="W157" s="44">
        <v>-4.4200000000000003E-2</v>
      </c>
      <c r="X157" s="44">
        <v>-4.4200000000000003E-2</v>
      </c>
      <c r="AA157" s="44">
        <v>-4.4200000000000003E-2</v>
      </c>
      <c r="AB157" s="44">
        <v>-4.4200000000000003E-2</v>
      </c>
      <c r="AC157" s="44">
        <v>-4.4200000000000003E-2</v>
      </c>
      <c r="AD157" s="44">
        <v>-4.4200000000000003E-2</v>
      </c>
      <c r="AE157" s="44">
        <v>-4.4200000000000003E-2</v>
      </c>
      <c r="AF157" s="44">
        <v>-4.4200000000000003E-2</v>
      </c>
      <c r="AG157" s="44">
        <v>-4.4200000000000003E-2</v>
      </c>
      <c r="AH157" s="44">
        <v>-4.4200000000000003E-2</v>
      </c>
      <c r="AI157" s="44">
        <v>-4.4200000000000003E-2</v>
      </c>
      <c r="AJ157" s="44">
        <v>-4.4200000000000003E-2</v>
      </c>
      <c r="AK157" s="44">
        <v>-4.4200000000000003E-2</v>
      </c>
      <c r="AL157"/>
      <c r="AM157" s="44">
        <v>-4.4200000000000003E-2</v>
      </c>
      <c r="AN157" s="44">
        <v>-4.4200000000000003E-2</v>
      </c>
      <c r="AO157" s="44">
        <v>-4.4200000000000003E-2</v>
      </c>
      <c r="AP157" s="44">
        <v>-4.4200000000000003E-2</v>
      </c>
      <c r="AQ157" s="44">
        <v>-4.4200000000000003E-2</v>
      </c>
      <c r="AR157" s="44">
        <v>-4.4200000000000003E-2</v>
      </c>
      <c r="AS157" s="44">
        <v>-4.4200000000000003E-2</v>
      </c>
      <c r="AT157"/>
      <c r="AU157" s="44">
        <v>-4.4200000000000003E-2</v>
      </c>
      <c r="AV157" s="44">
        <v>-4.4200000000000003E-2</v>
      </c>
      <c r="AW157" s="44">
        <v>-4.4200000000000003E-2</v>
      </c>
      <c r="AX157" s="44">
        <v>-4.4200000000000003E-2</v>
      </c>
      <c r="AY157"/>
      <c r="AZ157" s="44">
        <v>-4.4200000000000003E-2</v>
      </c>
      <c r="BA157"/>
      <c r="BB157"/>
      <c r="BC157" s="44">
        <v>-4.4200000000000003E-2</v>
      </c>
    </row>
    <row r="158" spans="1:55" x14ac:dyDescent="0.25">
      <c r="A158" s="9" t="s">
        <v>220</v>
      </c>
      <c r="B158" s="3" t="s">
        <v>473</v>
      </c>
      <c r="C158" s="3" t="s">
        <v>483</v>
      </c>
      <c r="D158" s="3" t="s">
        <v>524</v>
      </c>
      <c r="E158" s="10" t="s">
        <v>300</v>
      </c>
      <c r="F158" s="10" t="s">
        <v>100</v>
      </c>
      <c r="G158" s="44">
        <v>1.55</v>
      </c>
      <c r="H158" s="44">
        <f t="shared" si="19"/>
        <v>1.55</v>
      </c>
      <c r="I158" s="44">
        <v>1.55</v>
      </c>
      <c r="J158" s="44">
        <v>1.55</v>
      </c>
      <c r="K158" s="44">
        <v>1.55</v>
      </c>
      <c r="L158" s="44">
        <v>1.55</v>
      </c>
      <c r="M158" s="44">
        <v>1.55</v>
      </c>
      <c r="N158" s="44">
        <v>1.55</v>
      </c>
      <c r="O158" s="44">
        <v>1.55</v>
      </c>
      <c r="P158" s="44">
        <v>1.55</v>
      </c>
      <c r="R158" s="44">
        <v>1.55</v>
      </c>
      <c r="S158" s="44">
        <v>1.55</v>
      </c>
      <c r="T158" s="44">
        <v>1.55</v>
      </c>
      <c r="V158" s="44">
        <v>1.55</v>
      </c>
      <c r="W158" s="44">
        <v>1.55</v>
      </c>
      <c r="X158" s="44">
        <v>1.55</v>
      </c>
      <c r="AA158" s="44">
        <v>1.55</v>
      </c>
      <c r="AB158" s="44">
        <v>1.55</v>
      </c>
      <c r="AC158" s="44">
        <v>1.55</v>
      </c>
      <c r="AD158" s="44">
        <v>1.55</v>
      </c>
      <c r="AE158" s="44">
        <v>1.55</v>
      </c>
      <c r="AF158" s="44">
        <v>1.55</v>
      </c>
      <c r="AG158" s="44">
        <v>1.55</v>
      </c>
      <c r="AH158" s="44">
        <v>1.55</v>
      </c>
      <c r="AI158" s="44">
        <v>1.55</v>
      </c>
      <c r="AJ158" s="44">
        <v>1.55</v>
      </c>
      <c r="AK158" s="44">
        <v>1.55</v>
      </c>
      <c r="AL158"/>
      <c r="AM158" s="44">
        <v>1.55</v>
      </c>
      <c r="AN158" s="44">
        <v>1.55</v>
      </c>
      <c r="AO158" s="44">
        <v>1.55</v>
      </c>
      <c r="AP158" s="44">
        <v>1.55</v>
      </c>
      <c r="AQ158" s="44">
        <v>1.55</v>
      </c>
      <c r="AR158" s="44">
        <v>1.55</v>
      </c>
      <c r="AS158" s="44">
        <v>1.55</v>
      </c>
      <c r="AT158"/>
      <c r="AU158" s="44">
        <v>1.55</v>
      </c>
      <c r="AV158" s="44">
        <v>1.55</v>
      </c>
      <c r="AW158" s="44">
        <v>1.55</v>
      </c>
      <c r="AX158" s="44">
        <v>1.55</v>
      </c>
      <c r="AY158"/>
      <c r="AZ158" s="44">
        <v>1.55</v>
      </c>
      <c r="BA158"/>
      <c r="BB158"/>
      <c r="BC158" s="44">
        <v>1.55</v>
      </c>
    </row>
    <row r="159" spans="1:55" x14ac:dyDescent="0.25">
      <c r="A159" s="9" t="s">
        <v>221</v>
      </c>
      <c r="B159" s="3" t="s">
        <v>473</v>
      </c>
      <c r="C159" s="3" t="s">
        <v>483</v>
      </c>
      <c r="D159" s="3" t="s">
        <v>524</v>
      </c>
      <c r="E159" s="10" t="s">
        <v>302</v>
      </c>
      <c r="F159" s="10" t="s">
        <v>95</v>
      </c>
      <c r="G159" s="44">
        <v>1</v>
      </c>
      <c r="H159" s="44">
        <f t="shared" si="19"/>
        <v>1</v>
      </c>
      <c r="I159" s="44">
        <v>1</v>
      </c>
      <c r="J159" s="44">
        <v>1</v>
      </c>
      <c r="K159" s="44">
        <v>1</v>
      </c>
      <c r="L159" s="44">
        <v>1</v>
      </c>
      <c r="M159" s="44">
        <v>1</v>
      </c>
      <c r="N159" s="44">
        <v>1</v>
      </c>
      <c r="O159" s="44">
        <v>1</v>
      </c>
      <c r="P159" s="44">
        <v>1</v>
      </c>
      <c r="R159" s="44">
        <v>1</v>
      </c>
      <c r="S159" s="44">
        <v>1</v>
      </c>
      <c r="T159" s="44">
        <v>1</v>
      </c>
      <c r="V159" s="44">
        <v>1</v>
      </c>
      <c r="W159" s="44">
        <v>1</v>
      </c>
      <c r="X159" s="44">
        <v>1</v>
      </c>
      <c r="AA159" s="44">
        <v>1</v>
      </c>
      <c r="AB159" s="44">
        <v>1</v>
      </c>
      <c r="AC159" s="44">
        <v>1</v>
      </c>
      <c r="AD159" s="44">
        <v>1</v>
      </c>
      <c r="AE159" s="44">
        <v>1</v>
      </c>
      <c r="AF159" s="44">
        <v>1</v>
      </c>
      <c r="AG159" s="44">
        <v>1</v>
      </c>
      <c r="AH159" s="44">
        <v>1</v>
      </c>
      <c r="AI159" s="44">
        <v>1</v>
      </c>
      <c r="AJ159" s="44">
        <v>1</v>
      </c>
      <c r="AK159" s="44">
        <v>1</v>
      </c>
      <c r="AL159"/>
      <c r="AM159" s="44">
        <v>1</v>
      </c>
      <c r="AN159" s="44">
        <v>1</v>
      </c>
      <c r="AO159" s="44">
        <v>1</v>
      </c>
      <c r="AP159" s="44">
        <v>1</v>
      </c>
      <c r="AQ159" s="44">
        <v>1</v>
      </c>
      <c r="AR159" s="44">
        <v>1</v>
      </c>
      <c r="AS159" s="44">
        <v>1</v>
      </c>
      <c r="AT159"/>
      <c r="AU159" s="44">
        <v>1</v>
      </c>
      <c r="AV159" s="44">
        <v>1</v>
      </c>
      <c r="AW159" s="44">
        <v>1</v>
      </c>
      <c r="AX159" s="44">
        <v>1</v>
      </c>
      <c r="AY159"/>
      <c r="AZ159" s="44">
        <v>1</v>
      </c>
      <c r="BA159"/>
      <c r="BB159"/>
      <c r="BC159" s="44">
        <v>1</v>
      </c>
    </row>
    <row r="160" spans="1:55" x14ac:dyDescent="0.25">
      <c r="A160" s="9" t="s">
        <v>76</v>
      </c>
      <c r="B160" s="3" t="s">
        <v>473</v>
      </c>
      <c r="C160" s="3" t="s">
        <v>483</v>
      </c>
      <c r="D160" s="3" t="s">
        <v>524</v>
      </c>
      <c r="E160" s="10" t="s">
        <v>188</v>
      </c>
      <c r="F160" s="10" t="s">
        <v>198</v>
      </c>
      <c r="G160" s="44">
        <v>2.7799999999999998E-4</v>
      </c>
      <c r="H160" s="44">
        <f t="shared" si="19"/>
        <v>2.7799999999999998E-4</v>
      </c>
      <c r="I160" s="44">
        <v>2.7799999999999998E-4</v>
      </c>
      <c r="J160" s="44">
        <v>2.7799999999999998E-4</v>
      </c>
      <c r="K160" s="44">
        <v>2.7799999999999998E-4</v>
      </c>
      <c r="L160" s="44">
        <v>2.7799999999999998E-4</v>
      </c>
      <c r="M160" s="44">
        <v>2.7799999999999998E-4</v>
      </c>
      <c r="N160" s="44">
        <v>2.7799999999999998E-4</v>
      </c>
      <c r="O160" s="44">
        <v>2.7799999999999998E-4</v>
      </c>
      <c r="P160" s="44">
        <v>2.7799999999999998E-4</v>
      </c>
      <c r="R160" s="44">
        <v>2.7799999999999998E-4</v>
      </c>
      <c r="S160" s="44">
        <v>2.7799999999999998E-4</v>
      </c>
      <c r="T160" s="44">
        <v>2.7799999999999998E-4</v>
      </c>
      <c r="V160" s="44">
        <v>2.7799999999999998E-4</v>
      </c>
      <c r="W160" s="44">
        <v>2.7799999999999998E-4</v>
      </c>
      <c r="X160" s="44">
        <v>2.7799999999999998E-4</v>
      </c>
      <c r="AA160" s="44">
        <v>2.7799999999999998E-4</v>
      </c>
      <c r="AB160" s="44">
        <v>2.7799999999999998E-4</v>
      </c>
      <c r="AC160" s="44">
        <v>2.7799999999999998E-4</v>
      </c>
      <c r="AD160" s="44">
        <v>2.7799999999999998E-4</v>
      </c>
      <c r="AE160" s="44">
        <v>2.7799999999999998E-4</v>
      </c>
      <c r="AF160" s="44">
        <v>2.7799999999999998E-4</v>
      </c>
      <c r="AG160" s="44">
        <v>2.7799999999999998E-4</v>
      </c>
      <c r="AH160" s="44">
        <v>2.7799999999999998E-4</v>
      </c>
      <c r="AI160" s="44">
        <v>2.7799999999999998E-4</v>
      </c>
      <c r="AJ160" s="44">
        <v>2.7799999999999998E-4</v>
      </c>
      <c r="AK160" s="44">
        <v>2.7799999999999998E-4</v>
      </c>
      <c r="AL160"/>
      <c r="AM160" s="44">
        <v>2.7799999999999998E-4</v>
      </c>
      <c r="AN160" s="44">
        <v>2.7799999999999998E-4</v>
      </c>
      <c r="AO160" s="44">
        <v>2.7799999999999998E-4</v>
      </c>
      <c r="AP160" s="44">
        <v>2.7799999999999998E-4</v>
      </c>
      <c r="AQ160" s="44">
        <v>2.7799999999999998E-4</v>
      </c>
      <c r="AR160" s="44">
        <v>2.7799999999999998E-4</v>
      </c>
      <c r="AS160" s="44">
        <v>2.7799999999999998E-4</v>
      </c>
      <c r="AT160"/>
      <c r="AU160" s="44">
        <v>2.7799999999999998E-4</v>
      </c>
      <c r="AV160" s="44">
        <v>2.7799999999999998E-4</v>
      </c>
      <c r="AW160" s="44">
        <v>2.7799999999999998E-4</v>
      </c>
      <c r="AX160" s="44">
        <v>2.7799999999999998E-4</v>
      </c>
      <c r="AY160"/>
      <c r="AZ160" s="44">
        <v>2.7799999999999998E-4</v>
      </c>
      <c r="BA160"/>
      <c r="BB160"/>
      <c r="BC160" s="44">
        <v>2.7799999999999998E-4</v>
      </c>
    </row>
    <row r="161" spans="1:55" x14ac:dyDescent="0.25">
      <c r="A161" s="25" t="s">
        <v>78</v>
      </c>
      <c r="B161" s="3" t="s">
        <v>473</v>
      </c>
      <c r="C161" s="3" t="s">
        <v>483</v>
      </c>
      <c r="D161" s="3" t="s">
        <v>524</v>
      </c>
      <c r="E161" s="26" t="s">
        <v>189</v>
      </c>
      <c r="F161" s="26" t="s">
        <v>201</v>
      </c>
      <c r="G161" s="44">
        <v>4.7300000000000001E-7</v>
      </c>
      <c r="H161" s="44">
        <v>4.7300000000000001E-7</v>
      </c>
      <c r="I161" s="44">
        <v>2.4999999999999998E-12</v>
      </c>
      <c r="J161" s="44">
        <v>2.4999999999999998E-12</v>
      </c>
      <c r="K161" s="44">
        <v>2.4999999999999998E-12</v>
      </c>
      <c r="L161" s="44">
        <v>2.4999999999999998E-12</v>
      </c>
      <c r="M161" s="44">
        <v>2.4999999999999998E-12</v>
      </c>
      <c r="N161" s="44">
        <v>2.4999999999999998E-12</v>
      </c>
      <c r="O161" s="44">
        <v>2.4999999999999998E-12</v>
      </c>
      <c r="P161" s="44">
        <v>2.4999999999999998E-12</v>
      </c>
      <c r="R161" s="44">
        <v>2.4999999999999998E-12</v>
      </c>
      <c r="S161" s="44">
        <v>2.4999999999999998E-12</v>
      </c>
      <c r="T161" s="44">
        <v>2.4999999999999998E-12</v>
      </c>
      <c r="V161" s="44">
        <v>2.4999999999999998E-12</v>
      </c>
      <c r="W161" s="44">
        <v>2.4999999999999998E-12</v>
      </c>
      <c r="X161" s="44">
        <v>2.4999999999999998E-12</v>
      </c>
      <c r="AA161" s="44">
        <v>2.4999999999999998E-12</v>
      </c>
      <c r="AB161" s="44">
        <v>2.4999999999999998E-12</v>
      </c>
      <c r="AC161" s="44">
        <v>2.4999999999999998E-12</v>
      </c>
      <c r="AD161" s="44">
        <v>2.4999999999999998E-12</v>
      </c>
      <c r="AE161" s="44">
        <v>2.4999999999999998E-12</v>
      </c>
      <c r="AF161" s="44">
        <v>2.4999999999999998E-12</v>
      </c>
      <c r="AG161" s="44">
        <v>2.4999999999999998E-12</v>
      </c>
      <c r="AH161" s="44">
        <v>2.4999999999999998E-12</v>
      </c>
      <c r="AI161" s="44">
        <v>2.4999999999999998E-12</v>
      </c>
      <c r="AJ161" s="44">
        <v>2.4999999999999998E-12</v>
      </c>
      <c r="AK161" s="44">
        <v>2.4999999999999998E-12</v>
      </c>
      <c r="AL161"/>
      <c r="AM161" s="44">
        <v>2.4999999999999998E-12</v>
      </c>
      <c r="AN161" s="44">
        <v>2.4999999999999998E-12</v>
      </c>
      <c r="AO161" s="44">
        <v>2.4999999999999998E-12</v>
      </c>
      <c r="AP161" s="44">
        <v>2.4999999999999998E-12</v>
      </c>
      <c r="AQ161" s="44">
        <v>2.4999999999999998E-12</v>
      </c>
      <c r="AR161" s="44">
        <v>2.4999999999999998E-12</v>
      </c>
      <c r="AS161" s="44">
        <v>2.4999999999999998E-12</v>
      </c>
      <c r="AT161"/>
      <c r="AU161" s="44">
        <v>2.4999999999999998E-12</v>
      </c>
      <c r="AV161" s="44">
        <v>2.4999999999999998E-12</v>
      </c>
      <c r="AW161" s="44">
        <v>2.4999999999999998E-12</v>
      </c>
      <c r="AX161" s="44">
        <v>2.4999999999999998E-12</v>
      </c>
      <c r="AY161"/>
      <c r="AZ161" s="44">
        <v>2.4999999999999998E-12</v>
      </c>
      <c r="BA161"/>
      <c r="BB161"/>
      <c r="BC161" s="44">
        <v>2.4999999999999998E-12</v>
      </c>
    </row>
    <row r="162" spans="1:55" x14ac:dyDescent="0.25">
      <c r="A162" s="25" t="s">
        <v>245</v>
      </c>
      <c r="B162" s="3" t="s">
        <v>473</v>
      </c>
      <c r="C162" s="3" t="s">
        <v>483</v>
      </c>
      <c r="D162" s="3" t="s">
        <v>524</v>
      </c>
      <c r="E162" s="26" t="s">
        <v>319</v>
      </c>
      <c r="F162" s="26" t="s">
        <v>109</v>
      </c>
      <c r="G162" s="44">
        <v>20</v>
      </c>
      <c r="H162" s="44">
        <f t="shared" si="19"/>
        <v>20</v>
      </c>
      <c r="I162" s="44">
        <v>20</v>
      </c>
      <c r="J162" s="44">
        <v>20</v>
      </c>
      <c r="K162" s="44">
        <v>20</v>
      </c>
      <c r="L162" s="44">
        <v>20</v>
      </c>
      <c r="M162" s="44">
        <v>20</v>
      </c>
      <c r="N162" s="44">
        <v>20</v>
      </c>
      <c r="O162" s="44">
        <v>20</v>
      </c>
      <c r="P162" s="44">
        <v>20</v>
      </c>
      <c r="R162" s="44">
        <v>20</v>
      </c>
      <c r="S162" s="44">
        <v>20</v>
      </c>
      <c r="T162" s="44">
        <v>20</v>
      </c>
      <c r="V162" s="44">
        <v>20</v>
      </c>
      <c r="W162" s="44">
        <v>20</v>
      </c>
      <c r="X162" s="44">
        <v>20</v>
      </c>
      <c r="AA162" s="44">
        <v>20</v>
      </c>
      <c r="AB162" s="44">
        <v>20</v>
      </c>
      <c r="AC162" s="44">
        <v>20</v>
      </c>
      <c r="AD162" s="44">
        <v>20</v>
      </c>
      <c r="AE162" s="44">
        <v>20</v>
      </c>
      <c r="AF162" s="44">
        <v>20</v>
      </c>
      <c r="AG162" s="44">
        <v>20</v>
      </c>
      <c r="AH162" s="44">
        <v>20</v>
      </c>
      <c r="AI162" s="44">
        <v>20</v>
      </c>
      <c r="AJ162" s="44">
        <v>20</v>
      </c>
      <c r="AK162" s="44">
        <v>20</v>
      </c>
      <c r="AL162"/>
      <c r="AM162" s="44">
        <v>20</v>
      </c>
      <c r="AN162" s="44">
        <v>20</v>
      </c>
      <c r="AO162" s="44">
        <v>20</v>
      </c>
      <c r="AP162" s="44">
        <v>20</v>
      </c>
      <c r="AQ162" s="44">
        <v>20</v>
      </c>
      <c r="AR162" s="44">
        <v>20</v>
      </c>
      <c r="AS162" s="44">
        <v>20</v>
      </c>
      <c r="AT162"/>
      <c r="AU162" s="44">
        <v>20</v>
      </c>
      <c r="AV162" s="44">
        <v>20</v>
      </c>
      <c r="AW162" s="44">
        <v>20</v>
      </c>
      <c r="AX162" s="44">
        <v>20</v>
      </c>
      <c r="AY162"/>
      <c r="AZ162" s="44">
        <v>20</v>
      </c>
      <c r="BA162"/>
      <c r="BB162"/>
      <c r="BC162" s="44">
        <v>20</v>
      </c>
    </row>
    <row r="163" spans="1:55" x14ac:dyDescent="0.25">
      <c r="A163" s="25" t="s">
        <v>246</v>
      </c>
      <c r="B163" s="3" t="s">
        <v>473</v>
      </c>
      <c r="C163" s="3" t="s">
        <v>483</v>
      </c>
      <c r="D163" s="3" t="s">
        <v>524</v>
      </c>
      <c r="E163" s="26" t="s">
        <v>320</v>
      </c>
      <c r="F163" s="26" t="s">
        <v>301</v>
      </c>
      <c r="G163" s="44">
        <v>0</v>
      </c>
      <c r="H163" s="44">
        <f t="shared" si="19"/>
        <v>0</v>
      </c>
      <c r="I163" s="44">
        <v>0</v>
      </c>
      <c r="J163" s="44">
        <v>0</v>
      </c>
      <c r="K163" s="44">
        <v>0</v>
      </c>
      <c r="L163" s="44">
        <v>0</v>
      </c>
      <c r="M163" s="44">
        <v>0</v>
      </c>
      <c r="N163" s="44">
        <v>0</v>
      </c>
      <c r="O163" s="44">
        <v>0</v>
      </c>
      <c r="P163" s="44">
        <v>0</v>
      </c>
      <c r="R163" s="44">
        <v>0</v>
      </c>
      <c r="S163" s="44">
        <v>0</v>
      </c>
      <c r="T163" s="44">
        <v>0</v>
      </c>
      <c r="V163" s="44">
        <v>0</v>
      </c>
      <c r="W163" s="44">
        <v>0</v>
      </c>
      <c r="X163" s="44">
        <v>0</v>
      </c>
      <c r="AA163" s="44">
        <v>0</v>
      </c>
      <c r="AB163" s="44">
        <v>0</v>
      </c>
      <c r="AC163" s="44">
        <v>0</v>
      </c>
      <c r="AD163" s="44">
        <v>0</v>
      </c>
      <c r="AE163" s="44">
        <v>0</v>
      </c>
      <c r="AF163" s="44">
        <v>0</v>
      </c>
      <c r="AG163" s="44">
        <v>0</v>
      </c>
      <c r="AH163" s="44">
        <v>0</v>
      </c>
      <c r="AI163" s="44">
        <v>0</v>
      </c>
      <c r="AJ163" s="44">
        <v>0</v>
      </c>
      <c r="AK163" s="44">
        <v>0</v>
      </c>
      <c r="AL163"/>
      <c r="AM163" s="44">
        <v>0</v>
      </c>
      <c r="AN163" s="44">
        <v>0</v>
      </c>
      <c r="AO163" s="44">
        <v>0</v>
      </c>
      <c r="AP163" s="44">
        <v>0</v>
      </c>
      <c r="AQ163" s="44">
        <v>0</v>
      </c>
      <c r="AR163" s="44">
        <v>0</v>
      </c>
      <c r="AS163" s="44">
        <v>0</v>
      </c>
      <c r="AT163"/>
      <c r="AU163" s="44">
        <v>0</v>
      </c>
      <c r="AV163" s="44">
        <v>0</v>
      </c>
      <c r="AW163" s="44">
        <v>0</v>
      </c>
      <c r="AX163" s="44">
        <v>0</v>
      </c>
      <c r="AY163"/>
      <c r="AZ163" s="44">
        <v>0</v>
      </c>
      <c r="BA163"/>
      <c r="BB163"/>
      <c r="BC163" s="44">
        <v>0</v>
      </c>
    </row>
    <row r="164" spans="1:55" x14ac:dyDescent="0.25">
      <c r="A164" s="25" t="s">
        <v>247</v>
      </c>
      <c r="B164" s="3" t="s">
        <v>473</v>
      </c>
      <c r="C164" s="3" t="s">
        <v>483</v>
      </c>
      <c r="D164" s="3" t="s">
        <v>524</v>
      </c>
      <c r="E164" s="26" t="s">
        <v>321</v>
      </c>
      <c r="F164" s="26" t="s">
        <v>100</v>
      </c>
      <c r="G164" s="44">
        <v>1</v>
      </c>
      <c r="H164" s="44">
        <f t="shared" si="19"/>
        <v>1</v>
      </c>
      <c r="I164" s="44">
        <v>1</v>
      </c>
      <c r="J164" s="44">
        <v>1</v>
      </c>
      <c r="K164" s="44">
        <v>1</v>
      </c>
      <c r="L164" s="44">
        <v>1</v>
      </c>
      <c r="M164" s="44">
        <v>1</v>
      </c>
      <c r="N164" s="44">
        <v>1</v>
      </c>
      <c r="O164" s="44">
        <v>1</v>
      </c>
      <c r="P164" s="44">
        <v>1</v>
      </c>
      <c r="R164" s="44">
        <v>1</v>
      </c>
      <c r="S164" s="44">
        <v>1</v>
      </c>
      <c r="T164" s="44">
        <v>1</v>
      </c>
      <c r="V164" s="44">
        <v>1</v>
      </c>
      <c r="W164" s="44">
        <v>1</v>
      </c>
      <c r="X164" s="44">
        <v>1</v>
      </c>
      <c r="AA164" s="44">
        <v>1</v>
      </c>
      <c r="AB164" s="44">
        <v>1</v>
      </c>
      <c r="AC164" s="44">
        <v>1</v>
      </c>
      <c r="AD164" s="44">
        <v>1</v>
      </c>
      <c r="AE164" s="44">
        <v>1</v>
      </c>
      <c r="AF164" s="44">
        <v>1</v>
      </c>
      <c r="AG164" s="44">
        <v>1</v>
      </c>
      <c r="AH164" s="44">
        <v>1</v>
      </c>
      <c r="AI164" s="44">
        <v>1</v>
      </c>
      <c r="AJ164" s="44">
        <v>1</v>
      </c>
      <c r="AK164" s="44">
        <v>1</v>
      </c>
      <c r="AL164"/>
      <c r="AM164" s="44">
        <v>1</v>
      </c>
      <c r="AN164" s="44">
        <v>1</v>
      </c>
      <c r="AO164" s="44">
        <v>1</v>
      </c>
      <c r="AP164" s="44">
        <v>1</v>
      </c>
      <c r="AQ164" s="44">
        <v>1</v>
      </c>
      <c r="AR164" s="44">
        <v>1</v>
      </c>
      <c r="AS164" s="44">
        <v>1</v>
      </c>
      <c r="AT164"/>
      <c r="AU164" s="44">
        <v>1</v>
      </c>
      <c r="AV164" s="44">
        <v>1</v>
      </c>
      <c r="AW164" s="44">
        <v>1</v>
      </c>
      <c r="AX164" s="44">
        <v>1</v>
      </c>
      <c r="AY164"/>
      <c r="AZ164" s="44">
        <v>1</v>
      </c>
      <c r="BA164"/>
      <c r="BB164"/>
      <c r="BC164" s="44">
        <v>1</v>
      </c>
    </row>
    <row r="165" spans="1:55" x14ac:dyDescent="0.25">
      <c r="A165" s="25" t="s">
        <v>248</v>
      </c>
      <c r="B165" s="3" t="s">
        <v>473</v>
      </c>
      <c r="C165" s="3" t="s">
        <v>483</v>
      </c>
      <c r="D165" s="3" t="s">
        <v>524</v>
      </c>
      <c r="E165" s="26" t="s">
        <v>322</v>
      </c>
      <c r="F165" s="26" t="s">
        <v>95</v>
      </c>
      <c r="G165" s="44">
        <v>0</v>
      </c>
      <c r="H165" s="44">
        <f t="shared" si="19"/>
        <v>0</v>
      </c>
      <c r="I165" s="44">
        <v>0</v>
      </c>
      <c r="J165" s="44">
        <v>0</v>
      </c>
      <c r="K165" s="44">
        <v>0</v>
      </c>
      <c r="L165" s="44">
        <v>0</v>
      </c>
      <c r="M165" s="44">
        <v>0</v>
      </c>
      <c r="N165" s="44">
        <v>0</v>
      </c>
      <c r="O165" s="44">
        <v>0</v>
      </c>
      <c r="P165" s="44">
        <v>0</v>
      </c>
      <c r="R165" s="44">
        <v>0</v>
      </c>
      <c r="S165" s="44">
        <v>0</v>
      </c>
      <c r="T165" s="44">
        <v>0</v>
      </c>
      <c r="V165" s="44">
        <v>0</v>
      </c>
      <c r="W165" s="44">
        <v>0</v>
      </c>
      <c r="X165" s="44">
        <v>0</v>
      </c>
      <c r="AA165" s="44">
        <v>0</v>
      </c>
      <c r="AB165" s="44">
        <v>0</v>
      </c>
      <c r="AC165" s="44">
        <v>0</v>
      </c>
      <c r="AD165" s="44">
        <v>0</v>
      </c>
      <c r="AE165" s="44">
        <v>0</v>
      </c>
      <c r="AF165" s="44">
        <v>0</v>
      </c>
      <c r="AG165" s="44">
        <v>0</v>
      </c>
      <c r="AH165" s="44">
        <v>0</v>
      </c>
      <c r="AI165" s="44">
        <v>0</v>
      </c>
      <c r="AJ165" s="44">
        <v>0</v>
      </c>
      <c r="AK165" s="44">
        <v>0</v>
      </c>
      <c r="AL165"/>
      <c r="AM165" s="44">
        <v>0</v>
      </c>
      <c r="AN165" s="44">
        <v>0</v>
      </c>
      <c r="AO165" s="44">
        <v>0</v>
      </c>
      <c r="AP165" s="44">
        <v>0</v>
      </c>
      <c r="AQ165" s="44">
        <v>0</v>
      </c>
      <c r="AR165" s="44">
        <v>0</v>
      </c>
      <c r="AS165" s="44">
        <v>0</v>
      </c>
      <c r="AT165"/>
      <c r="AU165" s="44">
        <v>0</v>
      </c>
      <c r="AV165" s="44">
        <v>0</v>
      </c>
      <c r="AW165" s="44">
        <v>0</v>
      </c>
      <c r="AX165" s="44">
        <v>0</v>
      </c>
      <c r="AY165"/>
      <c r="AZ165" s="44">
        <v>0</v>
      </c>
      <c r="BA165"/>
      <c r="BB165"/>
      <c r="BC165" s="44">
        <v>0</v>
      </c>
    </row>
    <row r="166" spans="1:55" x14ac:dyDescent="0.25">
      <c r="A166" s="25" t="s">
        <v>79</v>
      </c>
      <c r="B166" s="3" t="s">
        <v>473</v>
      </c>
      <c r="C166" s="3" t="s">
        <v>483</v>
      </c>
      <c r="D166" s="3" t="s">
        <v>524</v>
      </c>
      <c r="E166" s="26" t="s">
        <v>190</v>
      </c>
      <c r="F166" s="26" t="s">
        <v>100</v>
      </c>
      <c r="G166" s="44">
        <v>0.4</v>
      </c>
      <c r="H166" s="44">
        <f t="shared" si="19"/>
        <v>0.4</v>
      </c>
      <c r="I166" s="44">
        <v>0.4</v>
      </c>
      <c r="J166" s="44">
        <v>0.4</v>
      </c>
      <c r="K166" s="44">
        <v>0.4</v>
      </c>
      <c r="L166" s="44">
        <v>0.4</v>
      </c>
      <c r="M166" s="44">
        <v>0.4</v>
      </c>
      <c r="N166" s="44">
        <v>0.4</v>
      </c>
      <c r="O166" s="44">
        <v>0.4</v>
      </c>
      <c r="P166" s="44">
        <v>0.4</v>
      </c>
      <c r="R166" s="44">
        <v>0.4</v>
      </c>
      <c r="S166" s="44">
        <v>0.4</v>
      </c>
      <c r="T166" s="44">
        <v>0.4</v>
      </c>
      <c r="V166" s="44">
        <v>0.4</v>
      </c>
      <c r="W166" s="44">
        <v>0.4</v>
      </c>
      <c r="X166" s="44">
        <v>0.4</v>
      </c>
      <c r="AA166" s="44">
        <v>0.4</v>
      </c>
      <c r="AB166" s="44">
        <v>0.4</v>
      </c>
      <c r="AC166" s="44">
        <v>0.4</v>
      </c>
      <c r="AD166" s="44">
        <v>0.4</v>
      </c>
      <c r="AE166" s="44">
        <v>0.4</v>
      </c>
      <c r="AF166" s="44">
        <v>0.4</v>
      </c>
      <c r="AG166" s="44">
        <v>0.4</v>
      </c>
      <c r="AH166" s="44">
        <v>0.4</v>
      </c>
      <c r="AI166" s="44">
        <v>0.4</v>
      </c>
      <c r="AJ166" s="44">
        <v>0.4</v>
      </c>
      <c r="AK166" s="44">
        <v>0.4</v>
      </c>
      <c r="AL166"/>
      <c r="AM166" s="44">
        <v>0.4</v>
      </c>
      <c r="AN166" s="44">
        <v>0.4</v>
      </c>
      <c r="AO166" s="44">
        <v>0.4</v>
      </c>
      <c r="AP166" s="44">
        <v>0.4</v>
      </c>
      <c r="AQ166" s="44">
        <v>0.4</v>
      </c>
      <c r="AR166" s="44">
        <v>0.4</v>
      </c>
      <c r="AS166" s="44">
        <v>0.4</v>
      </c>
      <c r="AT166"/>
      <c r="AU166" s="44">
        <v>0.4</v>
      </c>
      <c r="AV166" s="44">
        <v>0.4</v>
      </c>
      <c r="AW166" s="44">
        <v>0.4</v>
      </c>
      <c r="AX166" s="44">
        <v>0.4</v>
      </c>
      <c r="AY166"/>
      <c r="AZ166" s="44">
        <v>0.4</v>
      </c>
      <c r="BA166"/>
      <c r="BB166"/>
      <c r="BC166" s="44">
        <v>0.4</v>
      </c>
    </row>
    <row r="167" spans="1:55" x14ac:dyDescent="0.25">
      <c r="A167" s="31" t="s">
        <v>80</v>
      </c>
      <c r="B167" s="3" t="s">
        <v>473</v>
      </c>
      <c r="C167" s="3" t="s">
        <v>483</v>
      </c>
      <c r="D167" s="3" t="s">
        <v>524</v>
      </c>
      <c r="E167" s="32" t="s">
        <v>191</v>
      </c>
      <c r="F167" s="32" t="s">
        <v>200</v>
      </c>
      <c r="G167" s="44">
        <v>3.2100000000000002E-6</v>
      </c>
      <c r="H167" s="44">
        <f t="shared" si="19"/>
        <v>3.2100000000000002E-6</v>
      </c>
      <c r="I167" s="44">
        <v>2.0000000000000001E-9</v>
      </c>
      <c r="J167" s="44">
        <v>2.0000000000000001E-9</v>
      </c>
      <c r="K167" s="44">
        <v>2.0000000000000001E-9</v>
      </c>
      <c r="L167" s="44">
        <v>2.0000000000000001E-9</v>
      </c>
      <c r="M167" s="44">
        <v>2.0000000000000001E-9</v>
      </c>
      <c r="N167" s="44">
        <v>2.0000000000000001E-9</v>
      </c>
      <c r="O167" s="44">
        <v>2.0000000000000001E-9</v>
      </c>
      <c r="P167" s="44">
        <v>2.0000000000000001E-9</v>
      </c>
      <c r="R167" s="44">
        <v>2.0000000000000001E-9</v>
      </c>
      <c r="S167" s="44">
        <v>2.0000000000000001E-9</v>
      </c>
      <c r="T167" s="44">
        <v>2.0000000000000001E-9</v>
      </c>
      <c r="V167" s="44">
        <v>2.0000000000000001E-9</v>
      </c>
      <c r="W167" s="44">
        <v>2.0000000000000001E-9</v>
      </c>
      <c r="X167" s="44">
        <v>2.0000000000000001E-9</v>
      </c>
      <c r="AA167" s="44">
        <v>2.0000000000000001E-9</v>
      </c>
      <c r="AB167" s="44">
        <v>2.0000000000000001E-9</v>
      </c>
      <c r="AC167" s="44">
        <v>2.0000000000000001E-9</v>
      </c>
      <c r="AD167" s="44">
        <v>2.0000000000000001E-9</v>
      </c>
      <c r="AE167" s="44">
        <v>2.0000000000000001E-9</v>
      </c>
      <c r="AF167" s="44">
        <v>2.0000000000000001E-9</v>
      </c>
      <c r="AG167" s="44">
        <v>2.0000000000000001E-9</v>
      </c>
      <c r="AH167" s="44">
        <v>2.0000000000000001E-9</v>
      </c>
      <c r="AI167" s="44">
        <v>2.0000000000000001E-9</v>
      </c>
      <c r="AJ167" s="44">
        <v>2.0000000000000001E-9</v>
      </c>
      <c r="AK167" s="44">
        <v>2.0000000000000001E-9</v>
      </c>
      <c r="AL167"/>
      <c r="AM167" s="44">
        <v>2.0000000000000001E-9</v>
      </c>
      <c r="AN167" s="44">
        <v>2.0000000000000001E-9</v>
      </c>
      <c r="AO167" s="44">
        <v>2.0000000000000001E-9</v>
      </c>
      <c r="AP167" s="44">
        <v>2.0000000000000001E-9</v>
      </c>
      <c r="AQ167" s="44">
        <v>2.0000000000000001E-9</v>
      </c>
      <c r="AR167" s="44">
        <v>2.0000000000000001E-9</v>
      </c>
      <c r="AS167" s="44">
        <v>2.0000000000000001E-9</v>
      </c>
      <c r="AT167"/>
      <c r="AU167" s="44">
        <v>2.0000000000000001E-9</v>
      </c>
      <c r="AV167" s="44">
        <v>2.0000000000000001E-9</v>
      </c>
      <c r="AW167" s="44">
        <v>2.0000000000000001E-9</v>
      </c>
      <c r="AX167" s="44">
        <v>2.0000000000000001E-9</v>
      </c>
      <c r="AY167"/>
      <c r="AZ167" s="44">
        <v>2.0000000000000001E-9</v>
      </c>
      <c r="BA167"/>
      <c r="BB167"/>
      <c r="BC167" s="44">
        <v>2.0000000000000001E-9</v>
      </c>
    </row>
    <row r="168" spans="1:55" x14ac:dyDescent="0.25">
      <c r="A168" s="31" t="s">
        <v>249</v>
      </c>
      <c r="B168" s="3" t="s">
        <v>473</v>
      </c>
      <c r="C168" s="3" t="s">
        <v>483</v>
      </c>
      <c r="D168" s="3" t="s">
        <v>524</v>
      </c>
      <c r="E168" s="32" t="s">
        <v>323</v>
      </c>
      <c r="F168" s="32" t="s">
        <v>109</v>
      </c>
      <c r="G168" s="44">
        <v>25</v>
      </c>
      <c r="H168" s="44">
        <f t="shared" si="19"/>
        <v>25</v>
      </c>
      <c r="I168" s="44">
        <v>25</v>
      </c>
      <c r="J168" s="44">
        <v>25</v>
      </c>
      <c r="K168" s="44">
        <v>25</v>
      </c>
      <c r="L168" s="44">
        <v>25</v>
      </c>
      <c r="M168" s="44">
        <v>25</v>
      </c>
      <c r="N168" s="44">
        <v>25</v>
      </c>
      <c r="O168" s="44">
        <v>25</v>
      </c>
      <c r="P168" s="44">
        <v>25</v>
      </c>
      <c r="R168" s="44">
        <v>25</v>
      </c>
      <c r="S168" s="44">
        <v>25</v>
      </c>
      <c r="T168" s="44">
        <v>25</v>
      </c>
      <c r="V168" s="44">
        <v>25</v>
      </c>
      <c r="W168" s="44">
        <v>25</v>
      </c>
      <c r="X168" s="44">
        <v>25</v>
      </c>
      <c r="AA168" s="44">
        <v>25</v>
      </c>
      <c r="AB168" s="44">
        <v>25</v>
      </c>
      <c r="AC168" s="44">
        <v>25</v>
      </c>
      <c r="AD168" s="44">
        <v>25</v>
      </c>
      <c r="AE168" s="44">
        <v>25</v>
      </c>
      <c r="AF168" s="44">
        <v>25</v>
      </c>
      <c r="AG168" s="44">
        <v>25</v>
      </c>
      <c r="AH168" s="44">
        <v>25</v>
      </c>
      <c r="AI168" s="44">
        <v>25</v>
      </c>
      <c r="AJ168" s="44">
        <v>25</v>
      </c>
      <c r="AK168" s="44">
        <v>25</v>
      </c>
      <c r="AL168"/>
      <c r="AM168" s="44">
        <v>25</v>
      </c>
      <c r="AN168" s="44">
        <v>25</v>
      </c>
      <c r="AO168" s="44">
        <v>25</v>
      </c>
      <c r="AP168" s="44">
        <v>25</v>
      </c>
      <c r="AQ168" s="44">
        <v>25</v>
      </c>
      <c r="AR168" s="44">
        <v>25</v>
      </c>
      <c r="AS168" s="44">
        <v>25</v>
      </c>
      <c r="AT168"/>
      <c r="AU168" s="44">
        <v>25</v>
      </c>
      <c r="AV168" s="44">
        <v>25</v>
      </c>
      <c r="AW168" s="44">
        <v>25</v>
      </c>
      <c r="AX168" s="44">
        <v>25</v>
      </c>
      <c r="AY168"/>
      <c r="AZ168" s="44">
        <v>25</v>
      </c>
      <c r="BA168"/>
      <c r="BB168"/>
      <c r="BC168" s="44">
        <v>25</v>
      </c>
    </row>
    <row r="169" spans="1:55" x14ac:dyDescent="0.25">
      <c r="A169" s="31" t="s">
        <v>250</v>
      </c>
      <c r="B169" s="3" t="s">
        <v>473</v>
      </c>
      <c r="C169" s="3" t="s">
        <v>483</v>
      </c>
      <c r="D169" s="3" t="s">
        <v>524</v>
      </c>
      <c r="E169" s="32" t="s">
        <v>324</v>
      </c>
      <c r="F169" s="32" t="s">
        <v>301</v>
      </c>
      <c r="G169" s="44">
        <v>0</v>
      </c>
      <c r="H169" s="44">
        <f t="shared" si="19"/>
        <v>0</v>
      </c>
      <c r="I169" s="44">
        <v>0</v>
      </c>
      <c r="J169" s="44">
        <v>0</v>
      </c>
      <c r="K169" s="44">
        <v>0</v>
      </c>
      <c r="L169" s="44">
        <v>0</v>
      </c>
      <c r="M169" s="44">
        <v>0</v>
      </c>
      <c r="N169" s="44">
        <v>0</v>
      </c>
      <c r="O169" s="44">
        <v>0</v>
      </c>
      <c r="P169" s="44">
        <v>0</v>
      </c>
      <c r="R169" s="44">
        <v>0</v>
      </c>
      <c r="S169" s="44">
        <v>0</v>
      </c>
      <c r="T169" s="44">
        <v>0</v>
      </c>
      <c r="V169" s="44">
        <v>0</v>
      </c>
      <c r="W169" s="44">
        <v>0</v>
      </c>
      <c r="X169" s="44">
        <v>0</v>
      </c>
      <c r="AA169" s="44">
        <v>0</v>
      </c>
      <c r="AB169" s="44">
        <v>0</v>
      </c>
      <c r="AC169" s="44">
        <v>0</v>
      </c>
      <c r="AD169" s="44">
        <v>0</v>
      </c>
      <c r="AE169" s="44">
        <v>0</v>
      </c>
      <c r="AF169" s="44">
        <v>0</v>
      </c>
      <c r="AG169" s="44">
        <v>0</v>
      </c>
      <c r="AH169" s="44">
        <v>0</v>
      </c>
      <c r="AI169" s="44">
        <v>0</v>
      </c>
      <c r="AJ169" s="44">
        <v>0</v>
      </c>
      <c r="AK169" s="44">
        <v>0</v>
      </c>
      <c r="AL169"/>
      <c r="AM169" s="44">
        <v>0</v>
      </c>
      <c r="AN169" s="44">
        <v>0</v>
      </c>
      <c r="AO169" s="44">
        <v>0</v>
      </c>
      <c r="AP169" s="44">
        <v>0</v>
      </c>
      <c r="AQ169" s="44">
        <v>0</v>
      </c>
      <c r="AR169" s="44">
        <v>0</v>
      </c>
      <c r="AS169" s="44">
        <v>0</v>
      </c>
      <c r="AT169"/>
      <c r="AU169" s="44">
        <v>0</v>
      </c>
      <c r="AV169" s="44">
        <v>0</v>
      </c>
      <c r="AW169" s="44">
        <v>0</v>
      </c>
      <c r="AX169" s="44">
        <v>0</v>
      </c>
      <c r="AY169"/>
      <c r="AZ169" s="44">
        <v>0</v>
      </c>
      <c r="BA169"/>
      <c r="BB169"/>
      <c r="BC169" s="44">
        <v>0</v>
      </c>
    </row>
    <row r="170" spans="1:55" x14ac:dyDescent="0.25">
      <c r="A170" s="31" t="s">
        <v>251</v>
      </c>
      <c r="B170" s="3" t="s">
        <v>473</v>
      </c>
      <c r="C170" s="3" t="s">
        <v>483</v>
      </c>
      <c r="D170" s="3" t="s">
        <v>524</v>
      </c>
      <c r="E170" s="32" t="s">
        <v>325</v>
      </c>
      <c r="F170" s="32" t="s">
        <v>100</v>
      </c>
      <c r="G170" s="44">
        <v>3.98</v>
      </c>
      <c r="H170" s="44">
        <f t="shared" si="19"/>
        <v>3.98</v>
      </c>
      <c r="I170" s="44">
        <v>3.98</v>
      </c>
      <c r="J170" s="44">
        <v>3.98</v>
      </c>
      <c r="K170" s="44">
        <v>3.98</v>
      </c>
      <c r="L170" s="44">
        <v>3.98</v>
      </c>
      <c r="M170" s="44">
        <v>3.98</v>
      </c>
      <c r="N170" s="44">
        <v>3.98</v>
      </c>
      <c r="O170" s="44">
        <v>3.98</v>
      </c>
      <c r="P170" s="44">
        <v>3.98</v>
      </c>
      <c r="R170" s="44">
        <v>3.98</v>
      </c>
      <c r="S170" s="44">
        <v>3.98</v>
      </c>
      <c r="T170" s="44">
        <v>3.98</v>
      </c>
      <c r="V170" s="44">
        <v>3.98</v>
      </c>
      <c r="W170" s="44">
        <v>3.98</v>
      </c>
      <c r="X170" s="44">
        <v>3.98</v>
      </c>
      <c r="AA170" s="44">
        <v>3.98</v>
      </c>
      <c r="AB170" s="44">
        <v>3.98</v>
      </c>
      <c r="AC170" s="44">
        <v>3.98</v>
      </c>
      <c r="AD170" s="44">
        <v>3.98</v>
      </c>
      <c r="AE170" s="44">
        <v>3.98</v>
      </c>
      <c r="AF170" s="44">
        <v>3.98</v>
      </c>
      <c r="AG170" s="44">
        <v>3.98</v>
      </c>
      <c r="AH170" s="44">
        <v>3.98</v>
      </c>
      <c r="AI170" s="44">
        <v>3.98</v>
      </c>
      <c r="AJ170" s="44">
        <v>3.98</v>
      </c>
      <c r="AK170" s="44">
        <v>3.98</v>
      </c>
      <c r="AL170"/>
      <c r="AM170" s="44">
        <v>3.98</v>
      </c>
      <c r="AN170" s="44">
        <v>3.98</v>
      </c>
      <c r="AO170" s="44">
        <v>3.98</v>
      </c>
      <c r="AP170" s="44">
        <v>3.98</v>
      </c>
      <c r="AQ170" s="44">
        <v>3.98</v>
      </c>
      <c r="AR170" s="44">
        <v>3.98</v>
      </c>
      <c r="AS170" s="44">
        <v>3.98</v>
      </c>
      <c r="AT170"/>
      <c r="AU170" s="44">
        <v>3.98</v>
      </c>
      <c r="AV170" s="44">
        <v>3.98</v>
      </c>
      <c r="AW170" s="44">
        <v>3.98</v>
      </c>
      <c r="AX170" s="44">
        <v>3.98</v>
      </c>
      <c r="AY170"/>
      <c r="AZ170" s="44">
        <v>3.98</v>
      </c>
      <c r="BA170"/>
      <c r="BB170"/>
      <c r="BC170" s="44">
        <v>3.98</v>
      </c>
    </row>
    <row r="171" spans="1:55" x14ac:dyDescent="0.25">
      <c r="A171" s="31" t="s">
        <v>252</v>
      </c>
      <c r="B171" s="3" t="s">
        <v>473</v>
      </c>
      <c r="C171" s="3" t="s">
        <v>483</v>
      </c>
      <c r="D171" s="3" t="s">
        <v>524</v>
      </c>
      <c r="E171" s="32" t="s">
        <v>326</v>
      </c>
      <c r="F171" s="32" t="s">
        <v>95</v>
      </c>
      <c r="G171" s="44">
        <v>1</v>
      </c>
      <c r="H171" s="44">
        <f t="shared" si="19"/>
        <v>1</v>
      </c>
      <c r="I171" s="44">
        <v>1</v>
      </c>
      <c r="J171" s="44">
        <v>1</v>
      </c>
      <c r="K171" s="44">
        <v>1</v>
      </c>
      <c r="L171" s="44">
        <v>1</v>
      </c>
      <c r="M171" s="44">
        <v>1</v>
      </c>
      <c r="N171" s="44">
        <v>1</v>
      </c>
      <c r="O171" s="44">
        <v>1</v>
      </c>
      <c r="P171" s="44">
        <v>1</v>
      </c>
      <c r="R171" s="44">
        <v>1</v>
      </c>
      <c r="S171" s="44">
        <v>1</v>
      </c>
      <c r="T171" s="44">
        <v>1</v>
      </c>
      <c r="V171" s="44">
        <v>1</v>
      </c>
      <c r="W171" s="44">
        <v>1</v>
      </c>
      <c r="X171" s="44">
        <v>1</v>
      </c>
      <c r="AA171" s="44">
        <v>1</v>
      </c>
      <c r="AB171" s="44">
        <v>1</v>
      </c>
      <c r="AC171" s="44">
        <v>1</v>
      </c>
      <c r="AD171" s="44">
        <v>1</v>
      </c>
      <c r="AE171" s="44">
        <v>1</v>
      </c>
      <c r="AF171" s="44">
        <v>1</v>
      </c>
      <c r="AG171" s="44">
        <v>1</v>
      </c>
      <c r="AH171" s="44">
        <v>1</v>
      </c>
      <c r="AI171" s="44">
        <v>1</v>
      </c>
      <c r="AJ171" s="44">
        <v>1</v>
      </c>
      <c r="AK171" s="44">
        <v>1</v>
      </c>
      <c r="AL171"/>
      <c r="AM171" s="44">
        <v>1</v>
      </c>
      <c r="AN171" s="44">
        <v>1</v>
      </c>
      <c r="AO171" s="44">
        <v>1</v>
      </c>
      <c r="AP171" s="44">
        <v>1</v>
      </c>
      <c r="AQ171" s="44">
        <v>1</v>
      </c>
      <c r="AR171" s="44">
        <v>1</v>
      </c>
      <c r="AS171" s="44">
        <v>1</v>
      </c>
      <c r="AT171"/>
      <c r="AU171" s="44">
        <v>1</v>
      </c>
      <c r="AV171" s="44">
        <v>1</v>
      </c>
      <c r="AW171" s="44">
        <v>1</v>
      </c>
      <c r="AX171" s="44">
        <v>1</v>
      </c>
      <c r="AY171"/>
      <c r="AZ171" s="44">
        <v>1</v>
      </c>
      <c r="BA171"/>
      <c r="BB171"/>
      <c r="BC171" s="44">
        <v>1</v>
      </c>
    </row>
    <row r="172" spans="1:55" x14ac:dyDescent="0.25">
      <c r="A172" s="31" t="s">
        <v>81</v>
      </c>
      <c r="B172" s="3" t="s">
        <v>473</v>
      </c>
      <c r="C172" s="3" t="s">
        <v>483</v>
      </c>
      <c r="D172" s="3" t="s">
        <v>524</v>
      </c>
      <c r="E172" s="32" t="s">
        <v>192</v>
      </c>
      <c r="F172" s="32" t="s">
        <v>198</v>
      </c>
      <c r="G172" s="44">
        <v>1.6666666666666666E-4</v>
      </c>
      <c r="H172" s="44">
        <f t="shared" si="19"/>
        <v>1.6666666666666666E-4</v>
      </c>
      <c r="I172" s="44">
        <v>1.6666666666666666E-4</v>
      </c>
      <c r="J172" s="44">
        <v>1.6666666666666666E-4</v>
      </c>
      <c r="K172" s="44">
        <v>1.6666666666666666E-4</v>
      </c>
      <c r="L172" s="44">
        <v>1.6666666666666666E-4</v>
      </c>
      <c r="M172" s="44">
        <v>1.6666666666666666E-4</v>
      </c>
      <c r="N172" s="44">
        <v>1.6666666666666666E-4</v>
      </c>
      <c r="O172" s="44">
        <v>1.6666666666666666E-4</v>
      </c>
      <c r="P172" s="44">
        <v>1.6666666666666666E-4</v>
      </c>
      <c r="R172" s="44">
        <v>1.6666666666666666E-4</v>
      </c>
      <c r="S172" s="44">
        <v>1.6666666666666666E-4</v>
      </c>
      <c r="T172" s="44">
        <v>1.6666666666666666E-4</v>
      </c>
      <c r="V172" s="44">
        <v>1.6666666666666666E-4</v>
      </c>
      <c r="W172" s="44">
        <v>1.6666666666666666E-4</v>
      </c>
      <c r="X172" s="44">
        <v>1.6666666666666666E-4</v>
      </c>
      <c r="AA172" s="44">
        <v>1.6666666666666666E-4</v>
      </c>
      <c r="AB172" s="44">
        <v>1.6666666666666666E-4</v>
      </c>
      <c r="AC172" s="44">
        <v>1.6666666666666666E-4</v>
      </c>
      <c r="AD172" s="44">
        <v>1.6666666666666666E-4</v>
      </c>
      <c r="AE172" s="44">
        <v>1.6666666666666666E-4</v>
      </c>
      <c r="AF172" s="44">
        <v>1.6666666666666666E-4</v>
      </c>
      <c r="AG172" s="44">
        <v>1.6666666666666666E-4</v>
      </c>
      <c r="AH172" s="44">
        <v>1.6666666666666666E-4</v>
      </c>
      <c r="AI172" s="44">
        <v>1.6666666666666666E-4</v>
      </c>
      <c r="AJ172" s="44">
        <v>1.6666666666666666E-4</v>
      </c>
      <c r="AK172" s="44">
        <v>1.6666666666666666E-4</v>
      </c>
      <c r="AL172"/>
      <c r="AM172" s="44">
        <v>1.6666666666666666E-4</v>
      </c>
      <c r="AN172" s="44">
        <v>1.6666666666666666E-4</v>
      </c>
      <c r="AO172" s="44">
        <v>1.6666666666666666E-4</v>
      </c>
      <c r="AP172" s="44">
        <v>1.6666666666666666E-4</v>
      </c>
      <c r="AQ172" s="44">
        <v>1.6666666666666666E-4</v>
      </c>
      <c r="AR172" s="44">
        <v>1.6666666666666666E-4</v>
      </c>
      <c r="AS172" s="44">
        <v>1.6666666666666666E-4</v>
      </c>
      <c r="AT172"/>
      <c r="AU172" s="44">
        <v>1.6666666666666666E-4</v>
      </c>
      <c r="AV172" s="44">
        <v>1.6666666666666666E-4</v>
      </c>
      <c r="AW172" s="44">
        <v>1.6666666666666666E-4</v>
      </c>
      <c r="AX172" s="44">
        <v>1.6666666666666666E-4</v>
      </c>
      <c r="AY172"/>
      <c r="AZ172" s="44">
        <v>1.6666666666666666E-4</v>
      </c>
      <c r="BA172"/>
      <c r="BB172"/>
      <c r="BC172" s="44">
        <v>1.6666666666666666E-4</v>
      </c>
    </row>
    <row r="173" spans="1:55" x14ac:dyDescent="0.25">
      <c r="A173" s="11" t="s">
        <v>253</v>
      </c>
      <c r="B173" s="3" t="s">
        <v>473</v>
      </c>
      <c r="C173" s="3" t="s">
        <v>483</v>
      </c>
      <c r="D173" s="3" t="s">
        <v>524</v>
      </c>
      <c r="E173" s="12" t="s">
        <v>327</v>
      </c>
      <c r="F173" s="12" t="s">
        <v>328</v>
      </c>
      <c r="G173" s="44">
        <v>1E-8</v>
      </c>
      <c r="H173" s="44">
        <f t="shared" si="19"/>
        <v>1E-8</v>
      </c>
      <c r="I173" s="44">
        <v>1E-8</v>
      </c>
      <c r="J173" s="44">
        <v>1E-8</v>
      </c>
      <c r="K173" s="44">
        <v>1E-8</v>
      </c>
      <c r="L173" s="44">
        <v>1E-8</v>
      </c>
      <c r="M173" s="44">
        <v>1E-8</v>
      </c>
      <c r="N173" s="44">
        <v>1E-8</v>
      </c>
      <c r="O173" s="44">
        <v>1E-8</v>
      </c>
      <c r="P173" s="44">
        <v>1E-8</v>
      </c>
      <c r="R173" s="44">
        <v>1E-8</v>
      </c>
      <c r="S173" s="44">
        <v>1E-8</v>
      </c>
      <c r="T173" s="44">
        <v>1E-8</v>
      </c>
      <c r="V173" s="44">
        <v>1E-8</v>
      </c>
      <c r="W173" s="44">
        <v>1E-8</v>
      </c>
      <c r="X173" s="44">
        <v>1E-8</v>
      </c>
      <c r="AA173" s="44">
        <v>1E-8</v>
      </c>
      <c r="AB173" s="44">
        <v>1E-8</v>
      </c>
      <c r="AC173" s="44">
        <v>1E-8</v>
      </c>
      <c r="AD173" s="44">
        <v>1E-8</v>
      </c>
      <c r="AE173" s="44">
        <v>1E-8</v>
      </c>
      <c r="AF173" s="44">
        <v>1E-8</v>
      </c>
      <c r="AG173" s="44">
        <v>1E-8</v>
      </c>
      <c r="AH173" s="44">
        <v>1E-8</v>
      </c>
      <c r="AI173" s="44">
        <v>1E-8</v>
      </c>
      <c r="AJ173" s="44">
        <v>1E-8</v>
      </c>
      <c r="AK173" s="44">
        <v>1E-8</v>
      </c>
      <c r="AL173"/>
      <c r="AM173" s="44">
        <v>1E-8</v>
      </c>
      <c r="AN173" s="44">
        <v>1E-8</v>
      </c>
      <c r="AO173" s="44">
        <v>1E-8</v>
      </c>
      <c r="AP173" s="44">
        <v>1E-8</v>
      </c>
      <c r="AQ173" s="44">
        <v>1E-8</v>
      </c>
      <c r="AR173" s="44">
        <v>1E-8</v>
      </c>
      <c r="AS173" s="44">
        <v>1E-8</v>
      </c>
      <c r="AT173"/>
      <c r="AU173" s="44">
        <v>1E-8</v>
      </c>
      <c r="AV173" s="44">
        <v>1E-8</v>
      </c>
      <c r="AW173" s="44">
        <v>1E-8</v>
      </c>
      <c r="AX173" s="44">
        <v>1E-8</v>
      </c>
      <c r="AY173"/>
      <c r="AZ173" s="44">
        <v>1E-8</v>
      </c>
      <c r="BA173"/>
      <c r="BB173"/>
      <c r="BC173" s="44">
        <v>1E-8</v>
      </c>
    </row>
    <row r="174" spans="1:55" x14ac:dyDescent="0.25">
      <c r="A174" s="11" t="s">
        <v>254</v>
      </c>
      <c r="B174" s="3" t="s">
        <v>473</v>
      </c>
      <c r="C174" s="3" t="s">
        <v>483</v>
      </c>
      <c r="D174" s="3" t="s">
        <v>524</v>
      </c>
      <c r="E174" s="12" t="s">
        <v>329</v>
      </c>
      <c r="F174" s="12" t="s">
        <v>109</v>
      </c>
      <c r="G174" s="44">
        <v>20</v>
      </c>
      <c r="H174" s="44">
        <f t="shared" si="19"/>
        <v>20</v>
      </c>
      <c r="I174" s="44">
        <v>20</v>
      </c>
      <c r="J174" s="44">
        <v>20</v>
      </c>
      <c r="K174" s="44">
        <v>20</v>
      </c>
      <c r="L174" s="44">
        <v>20</v>
      </c>
      <c r="M174" s="44">
        <v>20</v>
      </c>
      <c r="N174" s="44">
        <v>20</v>
      </c>
      <c r="O174" s="44">
        <v>20</v>
      </c>
      <c r="P174" s="44">
        <v>20</v>
      </c>
      <c r="R174" s="44">
        <v>20</v>
      </c>
      <c r="S174" s="44">
        <v>20</v>
      </c>
      <c r="T174" s="44">
        <v>20</v>
      </c>
      <c r="V174" s="44">
        <v>20</v>
      </c>
      <c r="W174" s="44">
        <v>20</v>
      </c>
      <c r="X174" s="44">
        <v>20</v>
      </c>
      <c r="AA174" s="44">
        <v>20</v>
      </c>
      <c r="AB174" s="44">
        <v>20</v>
      </c>
      <c r="AC174" s="44">
        <v>20</v>
      </c>
      <c r="AD174" s="44">
        <v>20</v>
      </c>
      <c r="AE174" s="44">
        <v>20</v>
      </c>
      <c r="AF174" s="44">
        <v>20</v>
      </c>
      <c r="AG174" s="44">
        <v>20</v>
      </c>
      <c r="AH174" s="44">
        <v>20</v>
      </c>
      <c r="AI174" s="44">
        <v>20</v>
      </c>
      <c r="AJ174" s="44">
        <v>20</v>
      </c>
      <c r="AK174" s="44">
        <v>20</v>
      </c>
      <c r="AL174"/>
      <c r="AM174" s="44">
        <v>20</v>
      </c>
      <c r="AN174" s="44">
        <v>20</v>
      </c>
      <c r="AO174" s="44">
        <v>20</v>
      </c>
      <c r="AP174" s="44">
        <v>20</v>
      </c>
      <c r="AQ174" s="44">
        <v>20</v>
      </c>
      <c r="AR174" s="44">
        <v>20</v>
      </c>
      <c r="AS174" s="44">
        <v>20</v>
      </c>
      <c r="AT174"/>
      <c r="AU174" s="44">
        <v>20</v>
      </c>
      <c r="AV174" s="44">
        <v>20</v>
      </c>
      <c r="AW174" s="44">
        <v>20</v>
      </c>
      <c r="AX174" s="44">
        <v>20</v>
      </c>
      <c r="AY174"/>
      <c r="AZ174" s="44">
        <v>20</v>
      </c>
      <c r="BA174"/>
      <c r="BB174"/>
      <c r="BC174" s="44">
        <v>20</v>
      </c>
    </row>
    <row r="175" spans="1:55" x14ac:dyDescent="0.25">
      <c r="A175" s="11" t="s">
        <v>255</v>
      </c>
      <c r="B175" s="3" t="s">
        <v>473</v>
      </c>
      <c r="C175" s="3" t="s">
        <v>483</v>
      </c>
      <c r="D175" s="3" t="s">
        <v>524</v>
      </c>
      <c r="E175" s="12" t="s">
        <v>330</v>
      </c>
      <c r="F175" s="12" t="s">
        <v>301</v>
      </c>
      <c r="G175" s="44">
        <v>0</v>
      </c>
      <c r="H175" s="44">
        <f t="shared" si="19"/>
        <v>0</v>
      </c>
      <c r="I175" s="44">
        <v>0</v>
      </c>
      <c r="J175" s="44">
        <v>0</v>
      </c>
      <c r="K175" s="44">
        <v>0</v>
      </c>
      <c r="L175" s="44">
        <v>0</v>
      </c>
      <c r="M175" s="44">
        <v>0</v>
      </c>
      <c r="N175" s="44">
        <v>0</v>
      </c>
      <c r="O175" s="44">
        <v>0</v>
      </c>
      <c r="P175" s="44">
        <v>0</v>
      </c>
      <c r="R175" s="44">
        <v>0</v>
      </c>
      <c r="S175" s="44">
        <v>0</v>
      </c>
      <c r="T175" s="44">
        <v>0</v>
      </c>
      <c r="V175" s="44">
        <v>0</v>
      </c>
      <c r="W175" s="44">
        <v>0</v>
      </c>
      <c r="X175" s="44">
        <v>0</v>
      </c>
      <c r="AA175" s="44">
        <v>0</v>
      </c>
      <c r="AB175" s="44">
        <v>0</v>
      </c>
      <c r="AC175" s="44">
        <v>0</v>
      </c>
      <c r="AD175" s="44">
        <v>0</v>
      </c>
      <c r="AE175" s="44">
        <v>0</v>
      </c>
      <c r="AF175" s="44">
        <v>0</v>
      </c>
      <c r="AG175" s="44">
        <v>0</v>
      </c>
      <c r="AH175" s="44">
        <v>0</v>
      </c>
      <c r="AI175" s="44">
        <v>0</v>
      </c>
      <c r="AJ175" s="44">
        <v>0</v>
      </c>
      <c r="AK175" s="44">
        <v>0</v>
      </c>
      <c r="AL175"/>
      <c r="AM175" s="44">
        <v>0</v>
      </c>
      <c r="AN175" s="44">
        <v>0</v>
      </c>
      <c r="AO175" s="44">
        <v>0</v>
      </c>
      <c r="AP175" s="44">
        <v>0</v>
      </c>
      <c r="AQ175" s="44">
        <v>0</v>
      </c>
      <c r="AR175" s="44">
        <v>0</v>
      </c>
      <c r="AS175" s="44">
        <v>0</v>
      </c>
      <c r="AT175"/>
      <c r="AU175" s="44">
        <v>0</v>
      </c>
      <c r="AV175" s="44">
        <v>0</v>
      </c>
      <c r="AW175" s="44">
        <v>0</v>
      </c>
      <c r="AX175" s="44">
        <v>0</v>
      </c>
      <c r="AY175"/>
      <c r="AZ175" s="44">
        <v>0</v>
      </c>
      <c r="BA175"/>
      <c r="BB175"/>
      <c r="BC175" s="44">
        <v>0</v>
      </c>
    </row>
    <row r="176" spans="1:55" x14ac:dyDescent="0.25">
      <c r="A176" s="11" t="s">
        <v>256</v>
      </c>
      <c r="B176" s="3" t="s">
        <v>473</v>
      </c>
      <c r="C176" s="3" t="s">
        <v>483</v>
      </c>
      <c r="D176" s="3" t="s">
        <v>524</v>
      </c>
      <c r="E176" s="12" t="s">
        <v>331</v>
      </c>
      <c r="F176" s="12" t="s">
        <v>100</v>
      </c>
      <c r="G176" s="44">
        <v>2</v>
      </c>
      <c r="H176" s="44">
        <f t="shared" si="19"/>
        <v>2</v>
      </c>
      <c r="I176" s="44">
        <v>2</v>
      </c>
      <c r="J176" s="44">
        <v>2</v>
      </c>
      <c r="K176" s="44">
        <v>2</v>
      </c>
      <c r="L176" s="44">
        <v>2</v>
      </c>
      <c r="M176" s="44">
        <v>2</v>
      </c>
      <c r="N176" s="44">
        <v>2</v>
      </c>
      <c r="O176" s="44">
        <v>2</v>
      </c>
      <c r="P176" s="44">
        <v>2</v>
      </c>
      <c r="R176" s="44">
        <v>2</v>
      </c>
      <c r="S176" s="44">
        <v>2</v>
      </c>
      <c r="T176" s="44">
        <v>2</v>
      </c>
      <c r="V176" s="44">
        <v>2</v>
      </c>
      <c r="W176" s="44">
        <v>2</v>
      </c>
      <c r="X176" s="44">
        <v>2</v>
      </c>
      <c r="AA176" s="44">
        <v>2</v>
      </c>
      <c r="AB176" s="44">
        <v>2</v>
      </c>
      <c r="AC176" s="44">
        <v>2</v>
      </c>
      <c r="AD176" s="44">
        <v>2</v>
      </c>
      <c r="AE176" s="44">
        <v>2</v>
      </c>
      <c r="AF176" s="44">
        <v>2</v>
      </c>
      <c r="AG176" s="44">
        <v>2</v>
      </c>
      <c r="AH176" s="44">
        <v>2</v>
      </c>
      <c r="AI176" s="44">
        <v>2</v>
      </c>
      <c r="AJ176" s="44">
        <v>2</v>
      </c>
      <c r="AK176" s="44">
        <v>2</v>
      </c>
      <c r="AL176"/>
      <c r="AM176" s="44">
        <v>2</v>
      </c>
      <c r="AN176" s="44">
        <v>2</v>
      </c>
      <c r="AO176" s="44">
        <v>2</v>
      </c>
      <c r="AP176" s="44">
        <v>2</v>
      </c>
      <c r="AQ176" s="44">
        <v>2</v>
      </c>
      <c r="AR176" s="44">
        <v>2</v>
      </c>
      <c r="AS176" s="44">
        <v>2</v>
      </c>
      <c r="AT176"/>
      <c r="AU176" s="44">
        <v>2</v>
      </c>
      <c r="AV176" s="44">
        <v>2</v>
      </c>
      <c r="AW176" s="44">
        <v>2</v>
      </c>
      <c r="AX176" s="44">
        <v>2</v>
      </c>
      <c r="AY176"/>
      <c r="AZ176" s="44">
        <v>2</v>
      </c>
      <c r="BA176"/>
      <c r="BB176"/>
      <c r="BC176" s="44">
        <v>2</v>
      </c>
    </row>
    <row r="177" spans="1:55" x14ac:dyDescent="0.25">
      <c r="A177" s="11" t="s">
        <v>257</v>
      </c>
      <c r="B177" s="3" t="s">
        <v>473</v>
      </c>
      <c r="C177" s="3" t="s">
        <v>483</v>
      </c>
      <c r="D177" s="3" t="s">
        <v>524</v>
      </c>
      <c r="E177" s="12" t="s">
        <v>332</v>
      </c>
      <c r="F177" s="12" t="s">
        <v>95</v>
      </c>
      <c r="G177" s="44">
        <v>1</v>
      </c>
      <c r="H177" s="44">
        <f t="shared" si="19"/>
        <v>1</v>
      </c>
      <c r="I177" s="44">
        <v>1</v>
      </c>
      <c r="J177" s="44">
        <v>1</v>
      </c>
      <c r="K177" s="44">
        <v>1</v>
      </c>
      <c r="L177" s="44">
        <v>1</v>
      </c>
      <c r="M177" s="44">
        <v>1</v>
      </c>
      <c r="N177" s="44">
        <v>1</v>
      </c>
      <c r="O177" s="44">
        <v>1</v>
      </c>
      <c r="P177" s="44">
        <v>1</v>
      </c>
      <c r="R177" s="44">
        <v>1</v>
      </c>
      <c r="S177" s="44">
        <v>1</v>
      </c>
      <c r="T177" s="44">
        <v>1</v>
      </c>
      <c r="V177" s="44">
        <v>1</v>
      </c>
      <c r="W177" s="44">
        <v>1</v>
      </c>
      <c r="X177" s="44">
        <v>1</v>
      </c>
      <c r="AA177" s="44">
        <v>1</v>
      </c>
      <c r="AB177" s="44">
        <v>1</v>
      </c>
      <c r="AC177" s="44">
        <v>1</v>
      </c>
      <c r="AD177" s="44">
        <v>1</v>
      </c>
      <c r="AE177" s="44">
        <v>1</v>
      </c>
      <c r="AF177" s="44">
        <v>1</v>
      </c>
      <c r="AG177" s="44">
        <v>1</v>
      </c>
      <c r="AH177" s="44">
        <v>1</v>
      </c>
      <c r="AI177" s="44">
        <v>1</v>
      </c>
      <c r="AJ177" s="44">
        <v>1</v>
      </c>
      <c r="AK177" s="44">
        <v>1</v>
      </c>
      <c r="AL177"/>
      <c r="AM177" s="44">
        <v>1</v>
      </c>
      <c r="AN177" s="44">
        <v>1</v>
      </c>
      <c r="AO177" s="44">
        <v>1</v>
      </c>
      <c r="AP177" s="44">
        <v>1</v>
      </c>
      <c r="AQ177" s="44">
        <v>1</v>
      </c>
      <c r="AR177" s="44">
        <v>1</v>
      </c>
      <c r="AS177" s="44">
        <v>1</v>
      </c>
      <c r="AT177"/>
      <c r="AU177" s="44">
        <v>1</v>
      </c>
      <c r="AV177" s="44">
        <v>1</v>
      </c>
      <c r="AW177" s="44">
        <v>1</v>
      </c>
      <c r="AX177" s="44">
        <v>1</v>
      </c>
      <c r="AY177"/>
      <c r="AZ177" s="44">
        <v>1</v>
      </c>
      <c r="BA177"/>
      <c r="BB177"/>
      <c r="BC177" s="44">
        <v>1</v>
      </c>
    </row>
    <row r="178" spans="1:55" x14ac:dyDescent="0.25">
      <c r="A178" s="11" t="s">
        <v>258</v>
      </c>
      <c r="B178" s="3" t="s">
        <v>473</v>
      </c>
      <c r="C178" s="3" t="s">
        <v>483</v>
      </c>
      <c r="D178" s="3" t="s">
        <v>524</v>
      </c>
      <c r="E178" s="12" t="s">
        <v>349</v>
      </c>
      <c r="F178" s="12" t="s">
        <v>198</v>
      </c>
      <c r="G178" s="44">
        <v>8.3333333333333331E-5</v>
      </c>
      <c r="H178" s="44">
        <f t="shared" si="19"/>
        <v>8.3333333333333331E-5</v>
      </c>
      <c r="I178" s="44">
        <v>8.3333333333333331E-5</v>
      </c>
      <c r="J178" s="44">
        <v>8.3333333333333331E-5</v>
      </c>
      <c r="K178" s="44">
        <v>8.3333333333333331E-5</v>
      </c>
      <c r="L178" s="44">
        <v>8.3333333333333331E-5</v>
      </c>
      <c r="M178" s="44">
        <v>8.3333333333333331E-5</v>
      </c>
      <c r="N178" s="44">
        <v>8.3333333333333331E-5</v>
      </c>
      <c r="O178" s="44">
        <v>8.3333333333333331E-5</v>
      </c>
      <c r="P178" s="44">
        <v>8.3333333333333331E-5</v>
      </c>
      <c r="R178" s="44">
        <v>8.3333333333333331E-5</v>
      </c>
      <c r="S178" s="44">
        <v>8.3333333333333331E-5</v>
      </c>
      <c r="T178" s="44">
        <v>8.3333333333333331E-5</v>
      </c>
      <c r="V178" s="44">
        <v>8.3333333333333331E-5</v>
      </c>
      <c r="W178" s="44">
        <v>8.3333333333333331E-5</v>
      </c>
      <c r="X178" s="44">
        <v>8.3333333333333331E-5</v>
      </c>
      <c r="AA178" s="44">
        <v>8.3333333333333331E-5</v>
      </c>
      <c r="AB178" s="44">
        <v>8.3333333333333331E-5</v>
      </c>
      <c r="AC178" s="44">
        <v>8.3333333333333331E-5</v>
      </c>
      <c r="AD178" s="44">
        <v>8.3333333333333331E-5</v>
      </c>
      <c r="AE178" s="44">
        <v>8.3333333333333331E-5</v>
      </c>
      <c r="AF178" s="44">
        <v>8.3333333333333331E-5</v>
      </c>
      <c r="AG178" s="44">
        <v>8.3333333333333331E-5</v>
      </c>
      <c r="AH178" s="44">
        <v>8.3333333333333331E-5</v>
      </c>
      <c r="AI178" s="44">
        <v>8.3333333333333331E-5</v>
      </c>
      <c r="AJ178" s="44">
        <v>8.3333333333333331E-5</v>
      </c>
      <c r="AK178" s="44">
        <v>8.3333333333333331E-5</v>
      </c>
      <c r="AL178"/>
      <c r="AM178" s="44">
        <v>8.3333333333333331E-5</v>
      </c>
      <c r="AN178" s="44">
        <v>8.3333333333333331E-5</v>
      </c>
      <c r="AO178" s="44">
        <v>8.3333333333333331E-5</v>
      </c>
      <c r="AP178" s="44">
        <v>8.3333333333333331E-5</v>
      </c>
      <c r="AQ178" s="44">
        <v>8.3333333333333331E-5</v>
      </c>
      <c r="AR178" s="44">
        <v>8.3333333333333331E-5</v>
      </c>
      <c r="AS178" s="44">
        <v>8.3333333333333331E-5</v>
      </c>
      <c r="AT178"/>
      <c r="AU178" s="44">
        <v>8.3333333333333331E-5</v>
      </c>
      <c r="AV178" s="44">
        <v>8.3333333333333331E-5</v>
      </c>
      <c r="AW178" s="44">
        <v>8.3333333333333331E-5</v>
      </c>
      <c r="AX178" s="44">
        <v>8.3333333333333331E-5</v>
      </c>
      <c r="AY178"/>
      <c r="AZ178" s="44">
        <v>8.3333333333333331E-5</v>
      </c>
      <c r="BA178"/>
      <c r="BB178"/>
      <c r="BC178" s="44">
        <v>8.3333333333333331E-5</v>
      </c>
    </row>
    <row r="179" spans="1:55" x14ac:dyDescent="0.25">
      <c r="A179" s="11" t="s">
        <v>259</v>
      </c>
      <c r="B179" s="3" t="s">
        <v>473</v>
      </c>
      <c r="C179" s="3" t="s">
        <v>483</v>
      </c>
      <c r="D179" s="3" t="s">
        <v>524</v>
      </c>
      <c r="E179" s="12" t="s">
        <v>350</v>
      </c>
      <c r="F179" s="12" t="s">
        <v>100</v>
      </c>
      <c r="G179" s="44">
        <v>1</v>
      </c>
      <c r="H179" s="44">
        <f t="shared" si="19"/>
        <v>1</v>
      </c>
      <c r="I179" s="44">
        <v>1</v>
      </c>
      <c r="J179" s="44">
        <v>1</v>
      </c>
      <c r="K179" s="44">
        <v>1</v>
      </c>
      <c r="L179" s="44">
        <v>1</v>
      </c>
      <c r="M179" s="44">
        <v>1</v>
      </c>
      <c r="N179" s="44">
        <v>1</v>
      </c>
      <c r="O179" s="44">
        <v>1</v>
      </c>
      <c r="P179" s="44">
        <v>1</v>
      </c>
      <c r="R179" s="44">
        <v>1</v>
      </c>
      <c r="S179" s="44">
        <v>1</v>
      </c>
      <c r="T179" s="44">
        <v>1</v>
      </c>
      <c r="V179" s="44">
        <v>1</v>
      </c>
      <c r="W179" s="44">
        <v>1</v>
      </c>
      <c r="X179" s="44">
        <v>1</v>
      </c>
      <c r="AA179" s="44">
        <v>1</v>
      </c>
      <c r="AB179" s="44">
        <v>1</v>
      </c>
      <c r="AC179" s="44">
        <v>1</v>
      </c>
      <c r="AD179" s="44">
        <v>1</v>
      </c>
      <c r="AE179" s="44">
        <v>1</v>
      </c>
      <c r="AF179" s="44">
        <v>1</v>
      </c>
      <c r="AG179" s="44">
        <v>1</v>
      </c>
      <c r="AH179" s="44">
        <v>1</v>
      </c>
      <c r="AI179" s="44">
        <v>1</v>
      </c>
      <c r="AJ179" s="44">
        <v>1</v>
      </c>
      <c r="AK179" s="44">
        <v>1</v>
      </c>
      <c r="AL179"/>
      <c r="AM179" s="44">
        <v>1</v>
      </c>
      <c r="AN179" s="44">
        <v>1</v>
      </c>
      <c r="AO179" s="44">
        <v>1</v>
      </c>
      <c r="AP179" s="44">
        <v>1</v>
      </c>
      <c r="AQ179" s="44">
        <v>1</v>
      </c>
      <c r="AR179" s="44">
        <v>1</v>
      </c>
      <c r="AS179" s="44">
        <v>1</v>
      </c>
      <c r="AT179"/>
      <c r="AU179" s="44">
        <v>1</v>
      </c>
      <c r="AV179" s="44">
        <v>1</v>
      </c>
      <c r="AW179" s="44">
        <v>1</v>
      </c>
      <c r="AX179" s="44">
        <v>1</v>
      </c>
      <c r="AY179"/>
      <c r="AZ179" s="44">
        <v>1</v>
      </c>
      <c r="BA179"/>
      <c r="BB179"/>
      <c r="BC179" s="44">
        <v>1</v>
      </c>
    </row>
    <row r="180" spans="1:55" x14ac:dyDescent="0.25">
      <c r="A180" s="27" t="s">
        <v>260</v>
      </c>
      <c r="B180" s="3" t="s">
        <v>473</v>
      </c>
      <c r="C180" s="3" t="s">
        <v>483</v>
      </c>
      <c r="D180" s="3" t="s">
        <v>524</v>
      </c>
      <c r="E180" s="28" t="s">
        <v>351</v>
      </c>
      <c r="F180" s="28" t="s">
        <v>352</v>
      </c>
      <c r="G180" s="44">
        <v>2.3533050791148895E-8</v>
      </c>
      <c r="H180" s="44">
        <f t="shared" si="19"/>
        <v>2.3533050791148895E-8</v>
      </c>
      <c r="I180" s="44">
        <v>2.3533050791148899E-8</v>
      </c>
      <c r="J180" s="44">
        <v>2.3533050791148899E-8</v>
      </c>
      <c r="K180" s="44">
        <v>2.3533050791148899E-8</v>
      </c>
      <c r="L180" s="44">
        <v>2.3533050791148899E-8</v>
      </c>
      <c r="M180" s="44">
        <v>2.3533050791148899E-8</v>
      </c>
      <c r="N180" s="44">
        <v>2.3533050791148899E-8</v>
      </c>
      <c r="O180" s="44">
        <v>2.3533050791148899E-8</v>
      </c>
      <c r="P180" s="44">
        <v>2.3533050791148899E-8</v>
      </c>
      <c r="R180" s="44">
        <v>2.3533050791148899E-8</v>
      </c>
      <c r="S180" s="44">
        <v>2.3533050791148899E-8</v>
      </c>
      <c r="T180" s="44">
        <v>2.3533050791148899E-8</v>
      </c>
      <c r="V180" s="44">
        <v>2.3533050791148899E-8</v>
      </c>
      <c r="W180" s="44">
        <v>2.3533050791148899E-8</v>
      </c>
      <c r="X180" s="44">
        <v>2.3533050791148899E-8</v>
      </c>
      <c r="AA180" s="44">
        <v>2.3533050791148899E-8</v>
      </c>
      <c r="AB180" s="44">
        <v>2.3533050791148899E-8</v>
      </c>
      <c r="AC180" s="44">
        <v>2.3533050791148899E-8</v>
      </c>
      <c r="AD180" s="44">
        <v>2.3533050791148899E-8</v>
      </c>
      <c r="AE180" s="44">
        <v>2.3533050791148899E-8</v>
      </c>
      <c r="AF180" s="44">
        <v>2.3533050791148899E-8</v>
      </c>
      <c r="AG180" s="44">
        <v>2.3533050791148899E-8</v>
      </c>
      <c r="AH180" s="44">
        <v>2.3533050791148899E-8</v>
      </c>
      <c r="AI180" s="44">
        <v>2.3533050791148899E-8</v>
      </c>
      <c r="AJ180" s="44">
        <v>2.3533050791148899E-8</v>
      </c>
      <c r="AK180" s="44">
        <v>2.3533050791148899E-8</v>
      </c>
      <c r="AL180"/>
      <c r="AM180" s="44">
        <v>2.3533050791148899E-8</v>
      </c>
      <c r="AN180" s="44">
        <v>2.3533050791148899E-8</v>
      </c>
      <c r="AO180" s="44">
        <v>2.3533050791148899E-8</v>
      </c>
      <c r="AP180" s="44">
        <v>2.3533050791148899E-8</v>
      </c>
      <c r="AQ180" s="44">
        <v>2.3533050791148899E-8</v>
      </c>
      <c r="AR180" s="44">
        <v>2.3533050791148899E-8</v>
      </c>
      <c r="AS180" s="44">
        <v>2.3533050791148899E-8</v>
      </c>
      <c r="AT180"/>
      <c r="AU180" s="44">
        <v>2.3533050791148899E-8</v>
      </c>
      <c r="AV180" s="44">
        <v>2.3533050791148899E-8</v>
      </c>
      <c r="AW180" s="44">
        <v>2.3533050791148899E-8</v>
      </c>
      <c r="AX180" s="44">
        <v>2.3533050791148899E-8</v>
      </c>
      <c r="AY180"/>
      <c r="AZ180" s="44">
        <v>2.3533050791148899E-8</v>
      </c>
      <c r="BA180"/>
      <c r="BB180"/>
      <c r="BC180" s="44">
        <v>2.3533050791148899E-8</v>
      </c>
    </row>
    <row r="181" spans="1:55" x14ac:dyDescent="0.25">
      <c r="A181" s="27" t="s">
        <v>261</v>
      </c>
      <c r="B181" s="3" t="s">
        <v>473</v>
      </c>
      <c r="C181" s="3" t="s">
        <v>483</v>
      </c>
      <c r="D181" s="3" t="s">
        <v>524</v>
      </c>
      <c r="E181" s="28" t="s">
        <v>333</v>
      </c>
      <c r="F181" s="28" t="s">
        <v>109</v>
      </c>
      <c r="G181" s="44">
        <v>20</v>
      </c>
      <c r="H181" s="44">
        <f t="shared" si="19"/>
        <v>20</v>
      </c>
      <c r="I181" s="44">
        <v>20</v>
      </c>
      <c r="J181" s="44">
        <v>20</v>
      </c>
      <c r="K181" s="44">
        <v>20</v>
      </c>
      <c r="L181" s="44">
        <v>20</v>
      </c>
      <c r="M181" s="44">
        <v>20</v>
      </c>
      <c r="N181" s="44">
        <v>20</v>
      </c>
      <c r="O181" s="44">
        <v>20</v>
      </c>
      <c r="P181" s="44">
        <v>20</v>
      </c>
      <c r="R181" s="44">
        <v>20</v>
      </c>
      <c r="S181" s="44">
        <v>20</v>
      </c>
      <c r="T181" s="44">
        <v>20</v>
      </c>
      <c r="V181" s="44">
        <v>20</v>
      </c>
      <c r="W181" s="44">
        <v>20</v>
      </c>
      <c r="X181" s="44">
        <v>20</v>
      </c>
      <c r="AA181" s="44">
        <v>20</v>
      </c>
      <c r="AB181" s="44">
        <v>20</v>
      </c>
      <c r="AC181" s="44">
        <v>20</v>
      </c>
      <c r="AD181" s="44">
        <v>20</v>
      </c>
      <c r="AE181" s="44">
        <v>20</v>
      </c>
      <c r="AF181" s="44">
        <v>20</v>
      </c>
      <c r="AG181" s="44">
        <v>20</v>
      </c>
      <c r="AH181" s="44">
        <v>20</v>
      </c>
      <c r="AI181" s="44">
        <v>20</v>
      </c>
      <c r="AJ181" s="44">
        <v>20</v>
      </c>
      <c r="AK181" s="44">
        <v>20</v>
      </c>
      <c r="AL181"/>
      <c r="AM181" s="44">
        <v>20</v>
      </c>
      <c r="AN181" s="44">
        <v>20</v>
      </c>
      <c r="AO181" s="44">
        <v>20</v>
      </c>
      <c r="AP181" s="44">
        <v>20</v>
      </c>
      <c r="AQ181" s="44">
        <v>20</v>
      </c>
      <c r="AR181" s="44">
        <v>20</v>
      </c>
      <c r="AS181" s="44">
        <v>20</v>
      </c>
      <c r="AT181"/>
      <c r="AU181" s="44">
        <v>20</v>
      </c>
      <c r="AV181" s="44">
        <v>20</v>
      </c>
      <c r="AW181" s="44">
        <v>20</v>
      </c>
      <c r="AX181" s="44">
        <v>20</v>
      </c>
      <c r="AY181"/>
      <c r="AZ181" s="44">
        <v>20</v>
      </c>
      <c r="BA181"/>
      <c r="BB181"/>
      <c r="BC181" s="44">
        <v>20</v>
      </c>
    </row>
    <row r="182" spans="1:55" x14ac:dyDescent="0.25">
      <c r="A182" s="27" t="s">
        <v>262</v>
      </c>
      <c r="B182" s="3" t="s">
        <v>473</v>
      </c>
      <c r="C182" s="3" t="s">
        <v>483</v>
      </c>
      <c r="D182" s="3" t="s">
        <v>524</v>
      </c>
      <c r="E182" s="28" t="s">
        <v>334</v>
      </c>
      <c r="F182" s="28" t="s">
        <v>301</v>
      </c>
      <c r="G182" s="44">
        <v>-0.187</v>
      </c>
      <c r="H182" s="44">
        <f t="shared" si="19"/>
        <v>-0.187</v>
      </c>
      <c r="I182" s="44">
        <v>-0.187</v>
      </c>
      <c r="J182" s="44">
        <v>-0.187</v>
      </c>
      <c r="K182" s="44">
        <v>-0.187</v>
      </c>
      <c r="L182" s="44">
        <v>-0.187</v>
      </c>
      <c r="M182" s="44">
        <v>-0.187</v>
      </c>
      <c r="N182" s="44">
        <v>-0.187</v>
      </c>
      <c r="O182" s="44">
        <v>-0.187</v>
      </c>
      <c r="P182" s="44">
        <v>-0.187</v>
      </c>
      <c r="R182" s="44">
        <v>-0.187</v>
      </c>
      <c r="S182" s="44">
        <v>-0.187</v>
      </c>
      <c r="T182" s="44">
        <v>-0.187</v>
      </c>
      <c r="V182" s="44">
        <v>-0.187</v>
      </c>
      <c r="W182" s="44">
        <v>-0.187</v>
      </c>
      <c r="X182" s="44">
        <v>-0.187</v>
      </c>
      <c r="AA182" s="44">
        <v>-0.187</v>
      </c>
      <c r="AB182" s="44">
        <v>-0.187</v>
      </c>
      <c r="AC182" s="44">
        <v>-0.187</v>
      </c>
      <c r="AD182" s="44">
        <v>-0.187</v>
      </c>
      <c r="AE182" s="44">
        <v>-0.187</v>
      </c>
      <c r="AF182" s="44">
        <v>-0.187</v>
      </c>
      <c r="AG182" s="44">
        <v>-0.187</v>
      </c>
      <c r="AH182" s="44">
        <v>-0.187</v>
      </c>
      <c r="AI182" s="44">
        <v>-0.187</v>
      </c>
      <c r="AJ182" s="44">
        <v>-0.187</v>
      </c>
      <c r="AK182" s="44">
        <v>-0.187</v>
      </c>
      <c r="AL182"/>
      <c r="AM182" s="44">
        <v>-0.187</v>
      </c>
      <c r="AN182" s="44">
        <v>-0.187</v>
      </c>
      <c r="AO182" s="44">
        <v>-0.187</v>
      </c>
      <c r="AP182" s="44">
        <v>-0.187</v>
      </c>
      <c r="AQ182" s="44">
        <v>-0.187</v>
      </c>
      <c r="AR182" s="44">
        <v>-0.187</v>
      </c>
      <c r="AS182" s="44">
        <v>-0.187</v>
      </c>
      <c r="AT182"/>
      <c r="AU182" s="44">
        <v>-0.187</v>
      </c>
      <c r="AV182" s="44">
        <v>-0.187</v>
      </c>
      <c r="AW182" s="44">
        <v>-0.187</v>
      </c>
      <c r="AX182" s="44">
        <v>-0.187</v>
      </c>
      <c r="AY182"/>
      <c r="AZ182" s="44">
        <v>-0.187</v>
      </c>
      <c r="BA182"/>
      <c r="BB182"/>
      <c r="BC182" s="44">
        <v>-0.187</v>
      </c>
    </row>
    <row r="183" spans="1:55" x14ac:dyDescent="0.25">
      <c r="A183" s="27" t="s">
        <v>263</v>
      </c>
      <c r="B183" s="3" t="s">
        <v>473</v>
      </c>
      <c r="C183" s="3" t="s">
        <v>483</v>
      </c>
      <c r="D183" s="3" t="s">
        <v>524</v>
      </c>
      <c r="E183" s="28" t="s">
        <v>335</v>
      </c>
      <c r="F183" s="28" t="s">
        <v>100</v>
      </c>
      <c r="G183" s="44">
        <v>2.48</v>
      </c>
      <c r="H183" s="44">
        <f t="shared" si="19"/>
        <v>2.48</v>
      </c>
      <c r="I183" s="44">
        <v>2.48</v>
      </c>
      <c r="J183" s="44">
        <v>2.48</v>
      </c>
      <c r="K183" s="44">
        <v>2.48</v>
      </c>
      <c r="L183" s="44">
        <v>2.48</v>
      </c>
      <c r="M183" s="44">
        <v>2.48</v>
      </c>
      <c r="N183" s="44">
        <v>2.48</v>
      </c>
      <c r="O183" s="44">
        <v>2.48</v>
      </c>
      <c r="P183" s="44">
        <v>2.48</v>
      </c>
      <c r="R183" s="44">
        <v>2.48</v>
      </c>
      <c r="S183" s="44">
        <v>2.48</v>
      </c>
      <c r="T183" s="44">
        <v>2.48</v>
      </c>
      <c r="V183" s="44">
        <v>2.48</v>
      </c>
      <c r="W183" s="44">
        <v>2.48</v>
      </c>
      <c r="X183" s="44">
        <v>2.48</v>
      </c>
      <c r="AA183" s="44">
        <v>2.48</v>
      </c>
      <c r="AB183" s="44">
        <v>2.48</v>
      </c>
      <c r="AC183" s="44">
        <v>2.48</v>
      </c>
      <c r="AD183" s="44">
        <v>2.48</v>
      </c>
      <c r="AE183" s="44">
        <v>2.48</v>
      </c>
      <c r="AF183" s="44">
        <v>2.48</v>
      </c>
      <c r="AG183" s="44">
        <v>2.48</v>
      </c>
      <c r="AH183" s="44">
        <v>2.48</v>
      </c>
      <c r="AI183" s="44">
        <v>2.48</v>
      </c>
      <c r="AJ183" s="44">
        <v>2.48</v>
      </c>
      <c r="AK183" s="44">
        <v>2.48</v>
      </c>
      <c r="AL183"/>
      <c r="AM183" s="44">
        <v>2.48</v>
      </c>
      <c r="AN183" s="44">
        <v>2.48</v>
      </c>
      <c r="AO183" s="44">
        <v>2.48</v>
      </c>
      <c r="AP183" s="44">
        <v>2.48</v>
      </c>
      <c r="AQ183" s="44">
        <v>2.48</v>
      </c>
      <c r="AR183" s="44">
        <v>2.48</v>
      </c>
      <c r="AS183" s="44">
        <v>2.48</v>
      </c>
      <c r="AT183"/>
      <c r="AU183" s="44">
        <v>2.48</v>
      </c>
      <c r="AV183" s="44">
        <v>2.48</v>
      </c>
      <c r="AW183" s="44">
        <v>2.48</v>
      </c>
      <c r="AX183" s="44">
        <v>2.48</v>
      </c>
      <c r="AY183"/>
      <c r="AZ183" s="44">
        <v>2.48</v>
      </c>
      <c r="BA183"/>
      <c r="BB183"/>
      <c r="BC183" s="44">
        <v>2.48</v>
      </c>
    </row>
    <row r="184" spans="1:55" x14ac:dyDescent="0.25">
      <c r="A184" s="27" t="s">
        <v>264</v>
      </c>
      <c r="B184" s="3" t="s">
        <v>473</v>
      </c>
      <c r="C184" s="3" t="s">
        <v>483</v>
      </c>
      <c r="D184" s="3" t="s">
        <v>524</v>
      </c>
      <c r="E184" s="28" t="s">
        <v>336</v>
      </c>
      <c r="F184" s="28" t="s">
        <v>95</v>
      </c>
      <c r="G184" s="44">
        <v>1</v>
      </c>
      <c r="H184" s="44">
        <f t="shared" si="19"/>
        <v>1</v>
      </c>
      <c r="I184" s="44">
        <v>1</v>
      </c>
      <c r="J184" s="44">
        <v>1</v>
      </c>
      <c r="K184" s="44">
        <v>1</v>
      </c>
      <c r="L184" s="44">
        <v>1</v>
      </c>
      <c r="M184" s="44">
        <v>1</v>
      </c>
      <c r="N184" s="44">
        <v>1</v>
      </c>
      <c r="O184" s="44">
        <v>1</v>
      </c>
      <c r="P184" s="44">
        <v>1</v>
      </c>
      <c r="R184" s="44">
        <v>1</v>
      </c>
      <c r="S184" s="44">
        <v>1</v>
      </c>
      <c r="T184" s="44">
        <v>1</v>
      </c>
      <c r="V184" s="44">
        <v>1</v>
      </c>
      <c r="W184" s="44">
        <v>1</v>
      </c>
      <c r="X184" s="44">
        <v>1</v>
      </c>
      <c r="AA184" s="44">
        <v>1</v>
      </c>
      <c r="AB184" s="44">
        <v>1</v>
      </c>
      <c r="AC184" s="44">
        <v>1</v>
      </c>
      <c r="AD184" s="44">
        <v>1</v>
      </c>
      <c r="AE184" s="44">
        <v>1</v>
      </c>
      <c r="AF184" s="44">
        <v>1</v>
      </c>
      <c r="AG184" s="44">
        <v>1</v>
      </c>
      <c r="AH184" s="44">
        <v>1</v>
      </c>
      <c r="AI184" s="44">
        <v>1</v>
      </c>
      <c r="AJ184" s="44">
        <v>1</v>
      </c>
      <c r="AK184" s="44">
        <v>1</v>
      </c>
      <c r="AL184"/>
      <c r="AM184" s="44">
        <v>1</v>
      </c>
      <c r="AN184" s="44">
        <v>1</v>
      </c>
      <c r="AO184" s="44">
        <v>1</v>
      </c>
      <c r="AP184" s="44">
        <v>1</v>
      </c>
      <c r="AQ184" s="44">
        <v>1</v>
      </c>
      <c r="AR184" s="44">
        <v>1</v>
      </c>
      <c r="AS184" s="44">
        <v>1</v>
      </c>
      <c r="AT184"/>
      <c r="AU184" s="44">
        <v>1</v>
      </c>
      <c r="AV184" s="44">
        <v>1</v>
      </c>
      <c r="AW184" s="44">
        <v>1</v>
      </c>
      <c r="AX184" s="44">
        <v>1</v>
      </c>
      <c r="AY184"/>
      <c r="AZ184" s="44">
        <v>1</v>
      </c>
      <c r="BA184"/>
      <c r="BB184"/>
      <c r="BC184" s="44">
        <v>1</v>
      </c>
    </row>
    <row r="185" spans="1:55" x14ac:dyDescent="0.25">
      <c r="A185" s="27" t="s">
        <v>265</v>
      </c>
      <c r="B185" s="3" t="s">
        <v>473</v>
      </c>
      <c r="C185" s="3" t="s">
        <v>483</v>
      </c>
      <c r="D185" s="3" t="s">
        <v>524</v>
      </c>
      <c r="E185" s="28" t="s">
        <v>353</v>
      </c>
      <c r="F185" s="28" t="s">
        <v>354</v>
      </c>
      <c r="G185" s="44">
        <v>6.1060227588121015E-4</v>
      </c>
      <c r="H185" s="44">
        <f t="shared" si="19"/>
        <v>6.1060227588121015E-4</v>
      </c>
      <c r="I185" s="44">
        <v>6.1060227588121015E-4</v>
      </c>
      <c r="J185" s="44">
        <v>6.1060227588121015E-4</v>
      </c>
      <c r="K185" s="44">
        <v>6.1060227588121015E-4</v>
      </c>
      <c r="L185" s="44">
        <v>6.1060227588121015E-4</v>
      </c>
      <c r="M185" s="44">
        <v>6.1060227588121015E-4</v>
      </c>
      <c r="N185" s="44">
        <v>6.1060227588121015E-4</v>
      </c>
      <c r="O185" s="44">
        <v>6.1060227588121015E-4</v>
      </c>
      <c r="P185" s="44">
        <v>6.1060227588121015E-4</v>
      </c>
      <c r="R185" s="44">
        <v>6.1060227588121015E-4</v>
      </c>
      <c r="S185" s="44">
        <v>6.1060227588121015E-4</v>
      </c>
      <c r="T185" s="44">
        <v>6.1060227588121015E-4</v>
      </c>
      <c r="V185" s="44">
        <v>6.1060227588121015E-4</v>
      </c>
      <c r="W185" s="44">
        <v>6.1060227588121015E-4</v>
      </c>
      <c r="X185" s="44">
        <v>6.1060227588121015E-4</v>
      </c>
      <c r="AA185" s="44">
        <v>6.1060227588121015E-4</v>
      </c>
      <c r="AB185" s="44">
        <v>6.1060227588121015E-4</v>
      </c>
      <c r="AC185" s="44">
        <v>6.1060227588121015E-4</v>
      </c>
      <c r="AD185" s="44">
        <v>6.1060227588121015E-4</v>
      </c>
      <c r="AE185" s="44">
        <v>6.1060227588121015E-4</v>
      </c>
      <c r="AF185" s="44">
        <v>6.1060227588121015E-4</v>
      </c>
      <c r="AG185" s="44">
        <v>6.1060227588121015E-4</v>
      </c>
      <c r="AH185" s="44">
        <v>6.1060227588121015E-4</v>
      </c>
      <c r="AI185" s="44">
        <v>6.1060227588121015E-4</v>
      </c>
      <c r="AJ185" s="44">
        <v>6.1060227588121015E-4</v>
      </c>
      <c r="AK185" s="44">
        <v>6.1060227588121015E-4</v>
      </c>
      <c r="AL185"/>
      <c r="AM185" s="44">
        <v>6.1060227588121015E-4</v>
      </c>
      <c r="AN185" s="44">
        <v>6.1060227588121015E-4</v>
      </c>
      <c r="AO185" s="44">
        <v>6.1060227588121015E-4</v>
      </c>
      <c r="AP185" s="44">
        <v>6.1060227588121015E-4</v>
      </c>
      <c r="AQ185" s="44">
        <v>6.1060227588121015E-4</v>
      </c>
      <c r="AR185" s="44">
        <v>6.1060227588121015E-4</v>
      </c>
      <c r="AS185" s="44">
        <v>6.1060227588121015E-4</v>
      </c>
      <c r="AT185"/>
      <c r="AU185" s="44">
        <v>6.1060227588121015E-4</v>
      </c>
      <c r="AV185" s="44">
        <v>6.1060227588121015E-4</v>
      </c>
      <c r="AW185" s="44">
        <v>6.1060227588121015E-4</v>
      </c>
      <c r="AX185" s="44">
        <v>6.1060227588121015E-4</v>
      </c>
      <c r="AY185"/>
      <c r="AZ185" s="44">
        <v>6.1060227588121015E-4</v>
      </c>
      <c r="BA185"/>
      <c r="BB185"/>
      <c r="BC185" s="44">
        <v>6.1060227588121015E-4</v>
      </c>
    </row>
    <row r="186" spans="1:55" x14ac:dyDescent="0.25">
      <c r="A186" s="23" t="s">
        <v>266</v>
      </c>
      <c r="B186" s="3" t="s">
        <v>473</v>
      </c>
      <c r="C186" s="3" t="s">
        <v>483</v>
      </c>
      <c r="D186" s="3" t="s">
        <v>524</v>
      </c>
      <c r="E186" s="24" t="s">
        <v>193</v>
      </c>
      <c r="F186" s="24" t="s">
        <v>200</v>
      </c>
      <c r="G186" s="44">
        <v>6.41E-9</v>
      </c>
      <c r="H186" s="44">
        <f t="shared" si="19"/>
        <v>6.41E-9</v>
      </c>
      <c r="I186" s="44">
        <v>3.9999999999999998E-7</v>
      </c>
      <c r="J186" s="44">
        <v>3.9999999999999998E-7</v>
      </c>
      <c r="K186" s="44">
        <v>3.9999999999999998E-7</v>
      </c>
      <c r="L186" s="44">
        <v>3.9999999999999998E-7</v>
      </c>
      <c r="M186" s="44">
        <v>3.9999999999999998E-7</v>
      </c>
      <c r="N186" s="44">
        <v>3.9999999999999998E-7</v>
      </c>
      <c r="O186" s="44">
        <v>3.9999999999999998E-7</v>
      </c>
      <c r="P186" s="44">
        <v>3.9999999999999998E-7</v>
      </c>
      <c r="R186" s="44">
        <v>3.9999999999999998E-7</v>
      </c>
      <c r="S186" s="44">
        <v>3.9999999999999998E-7</v>
      </c>
      <c r="T186" s="44">
        <v>3.9999999999999998E-7</v>
      </c>
      <c r="V186" s="44">
        <v>3.9999999999999998E-7</v>
      </c>
      <c r="W186" s="44">
        <v>3.9999999999999998E-7</v>
      </c>
      <c r="X186" s="44">
        <v>3.9999999999999998E-7</v>
      </c>
      <c r="AA186" s="44">
        <v>3.9999999999999998E-7</v>
      </c>
      <c r="AB186" s="44">
        <v>3.9999999999999998E-7</v>
      </c>
      <c r="AC186" s="44">
        <v>3.9999999999999998E-7</v>
      </c>
      <c r="AD186" s="44">
        <v>3.9999999999999998E-7</v>
      </c>
      <c r="AE186" s="44">
        <v>3.9999999999999998E-7</v>
      </c>
      <c r="AF186" s="44">
        <v>3.9999999999999998E-7</v>
      </c>
      <c r="AG186" s="44">
        <v>3.9999999999999998E-7</v>
      </c>
      <c r="AH186" s="44">
        <v>3.9999999999999998E-7</v>
      </c>
      <c r="AI186" s="44">
        <v>3.9999999999999998E-7</v>
      </c>
      <c r="AJ186" s="44">
        <v>3.9999999999999998E-7</v>
      </c>
      <c r="AK186" s="44">
        <v>3.9999999999999998E-7</v>
      </c>
      <c r="AL186"/>
      <c r="AM186" s="44">
        <v>3.9999999999999998E-7</v>
      </c>
      <c r="AN186" s="44">
        <v>3.9999999999999998E-7</v>
      </c>
      <c r="AO186" s="44">
        <v>3.9999999999999998E-7</v>
      </c>
      <c r="AP186" s="44">
        <v>3.9999999999999998E-7</v>
      </c>
      <c r="AQ186" s="44">
        <v>3.9999999999999998E-7</v>
      </c>
      <c r="AR186" s="44">
        <v>3.9999999999999998E-7</v>
      </c>
      <c r="AS186" s="44">
        <v>3.9999999999999998E-7</v>
      </c>
      <c r="AT186"/>
      <c r="AU186" s="44">
        <v>3.9999999999999998E-7</v>
      </c>
      <c r="AV186" s="44">
        <v>3.9999999999999998E-7</v>
      </c>
      <c r="AW186" s="44">
        <v>3.9999999999999998E-7</v>
      </c>
      <c r="AX186" s="44">
        <v>3.9999999999999998E-7</v>
      </c>
      <c r="AY186"/>
      <c r="AZ186" s="44">
        <v>3.9999999999999998E-7</v>
      </c>
      <c r="BA186"/>
      <c r="BB186"/>
      <c r="BC186" s="44">
        <v>3.9999999999999998E-7</v>
      </c>
    </row>
    <row r="187" spans="1:55" x14ac:dyDescent="0.25">
      <c r="A187" s="23" t="s">
        <v>267</v>
      </c>
      <c r="B187" s="3" t="s">
        <v>473</v>
      </c>
      <c r="C187" s="3" t="s">
        <v>483</v>
      </c>
      <c r="D187" s="3" t="s">
        <v>524</v>
      </c>
      <c r="E187" s="24" t="s">
        <v>337</v>
      </c>
      <c r="F187" s="24" t="s">
        <v>109</v>
      </c>
      <c r="G187" s="44">
        <v>25</v>
      </c>
      <c r="H187" s="44">
        <f t="shared" si="19"/>
        <v>25</v>
      </c>
      <c r="I187" s="44">
        <v>25</v>
      </c>
      <c r="J187" s="44">
        <v>25</v>
      </c>
      <c r="K187" s="44">
        <v>25</v>
      </c>
      <c r="L187" s="44">
        <v>25</v>
      </c>
      <c r="M187" s="44">
        <v>25</v>
      </c>
      <c r="N187" s="44">
        <v>25</v>
      </c>
      <c r="O187" s="44">
        <v>25</v>
      </c>
      <c r="P187" s="44">
        <v>25</v>
      </c>
      <c r="R187" s="44">
        <v>25</v>
      </c>
      <c r="S187" s="44">
        <v>25</v>
      </c>
      <c r="T187" s="44">
        <v>25</v>
      </c>
      <c r="V187" s="44">
        <v>25</v>
      </c>
      <c r="W187" s="44">
        <v>25</v>
      </c>
      <c r="X187" s="44">
        <v>25</v>
      </c>
      <c r="AA187" s="44">
        <v>25</v>
      </c>
      <c r="AB187" s="44">
        <v>25</v>
      </c>
      <c r="AC187" s="44">
        <v>25</v>
      </c>
      <c r="AD187" s="44">
        <v>25</v>
      </c>
      <c r="AE187" s="44">
        <v>25</v>
      </c>
      <c r="AF187" s="44">
        <v>25</v>
      </c>
      <c r="AG187" s="44">
        <v>25</v>
      </c>
      <c r="AH187" s="44">
        <v>25</v>
      </c>
      <c r="AI187" s="44">
        <v>25</v>
      </c>
      <c r="AJ187" s="44">
        <v>25</v>
      </c>
      <c r="AK187" s="44">
        <v>25</v>
      </c>
      <c r="AL187"/>
      <c r="AM187" s="44">
        <v>25</v>
      </c>
      <c r="AN187" s="44">
        <v>25</v>
      </c>
      <c r="AO187" s="44">
        <v>25</v>
      </c>
      <c r="AP187" s="44">
        <v>25</v>
      </c>
      <c r="AQ187" s="44">
        <v>25</v>
      </c>
      <c r="AR187" s="44">
        <v>25</v>
      </c>
      <c r="AS187" s="44">
        <v>25</v>
      </c>
      <c r="AT187"/>
      <c r="AU187" s="44">
        <v>25</v>
      </c>
      <c r="AV187" s="44">
        <v>25</v>
      </c>
      <c r="AW187" s="44">
        <v>25</v>
      </c>
      <c r="AX187" s="44">
        <v>25</v>
      </c>
      <c r="AY187"/>
      <c r="AZ187" s="44">
        <v>25</v>
      </c>
      <c r="BA187"/>
      <c r="BB187"/>
      <c r="BC187" s="44">
        <v>25</v>
      </c>
    </row>
    <row r="188" spans="1:55" x14ac:dyDescent="0.25">
      <c r="A188" s="23" t="s">
        <v>268</v>
      </c>
      <c r="B188" s="3" t="s">
        <v>473</v>
      </c>
      <c r="C188" s="3" t="s">
        <v>483</v>
      </c>
      <c r="D188" s="3" t="s">
        <v>524</v>
      </c>
      <c r="E188" s="24" t="s">
        <v>338</v>
      </c>
      <c r="F188" s="24" t="s">
        <v>301</v>
      </c>
      <c r="G188" s="44">
        <v>0</v>
      </c>
      <c r="H188" s="44">
        <f t="shared" si="19"/>
        <v>0</v>
      </c>
      <c r="I188" s="44">
        <v>0</v>
      </c>
      <c r="J188" s="44">
        <v>0</v>
      </c>
      <c r="K188" s="44">
        <v>0</v>
      </c>
      <c r="L188" s="44">
        <v>0</v>
      </c>
      <c r="M188" s="44">
        <v>0</v>
      </c>
      <c r="N188" s="44">
        <v>0</v>
      </c>
      <c r="O188" s="44">
        <v>0</v>
      </c>
      <c r="P188" s="44">
        <v>0</v>
      </c>
      <c r="R188" s="44">
        <v>0</v>
      </c>
      <c r="S188" s="44">
        <v>0</v>
      </c>
      <c r="T188" s="44">
        <v>0</v>
      </c>
      <c r="V188" s="44">
        <v>0</v>
      </c>
      <c r="W188" s="44">
        <v>0</v>
      </c>
      <c r="X188" s="44">
        <v>0</v>
      </c>
      <c r="AA188" s="44">
        <v>0</v>
      </c>
      <c r="AB188" s="44">
        <v>0</v>
      </c>
      <c r="AC188" s="44">
        <v>0</v>
      </c>
      <c r="AD188" s="44">
        <v>0</v>
      </c>
      <c r="AE188" s="44">
        <v>0</v>
      </c>
      <c r="AF188" s="44">
        <v>0</v>
      </c>
      <c r="AG188" s="44">
        <v>0</v>
      </c>
      <c r="AH188" s="44">
        <v>0</v>
      </c>
      <c r="AI188" s="44">
        <v>0</v>
      </c>
      <c r="AJ188" s="44">
        <v>0</v>
      </c>
      <c r="AK188" s="44">
        <v>0</v>
      </c>
      <c r="AL188"/>
      <c r="AM188" s="44">
        <v>0</v>
      </c>
      <c r="AN188" s="44">
        <v>0</v>
      </c>
      <c r="AO188" s="44">
        <v>0</v>
      </c>
      <c r="AP188" s="44">
        <v>0</v>
      </c>
      <c r="AQ188" s="44">
        <v>0</v>
      </c>
      <c r="AR188" s="44">
        <v>0</v>
      </c>
      <c r="AS188" s="44">
        <v>0</v>
      </c>
      <c r="AT188"/>
      <c r="AU188" s="44">
        <v>0</v>
      </c>
      <c r="AV188" s="44">
        <v>0</v>
      </c>
      <c r="AW188" s="44">
        <v>0</v>
      </c>
      <c r="AX188" s="44">
        <v>0</v>
      </c>
      <c r="AY188"/>
      <c r="AZ188" s="44">
        <v>0</v>
      </c>
      <c r="BA188"/>
      <c r="BB188"/>
      <c r="BC188" s="44">
        <v>0</v>
      </c>
    </row>
    <row r="189" spans="1:55" x14ac:dyDescent="0.25">
      <c r="A189" s="23" t="s">
        <v>269</v>
      </c>
      <c r="B189" s="3" t="s">
        <v>473</v>
      </c>
      <c r="C189" s="3" t="s">
        <v>483</v>
      </c>
      <c r="D189" s="3" t="s">
        <v>524</v>
      </c>
      <c r="E189" s="24" t="s">
        <v>339</v>
      </c>
      <c r="F189" s="24" t="s">
        <v>100</v>
      </c>
      <c r="G189" s="44">
        <v>3.98</v>
      </c>
      <c r="H189" s="44">
        <f t="shared" si="19"/>
        <v>3.98</v>
      </c>
      <c r="I189" s="44">
        <v>3.98</v>
      </c>
      <c r="J189" s="44">
        <v>3.98</v>
      </c>
      <c r="K189" s="44">
        <v>3.98</v>
      </c>
      <c r="L189" s="44">
        <v>3.98</v>
      </c>
      <c r="M189" s="44">
        <v>3.98</v>
      </c>
      <c r="N189" s="44">
        <v>3.98</v>
      </c>
      <c r="O189" s="44">
        <v>3.98</v>
      </c>
      <c r="P189" s="44">
        <v>3.98</v>
      </c>
      <c r="R189" s="44">
        <v>3.98</v>
      </c>
      <c r="S189" s="44">
        <v>3.98</v>
      </c>
      <c r="T189" s="44">
        <v>3.98</v>
      </c>
      <c r="V189" s="44">
        <v>3.98</v>
      </c>
      <c r="W189" s="44">
        <v>3.98</v>
      </c>
      <c r="X189" s="44">
        <v>3.98</v>
      </c>
      <c r="AA189" s="44">
        <v>3.98</v>
      </c>
      <c r="AB189" s="44">
        <v>3.98</v>
      </c>
      <c r="AC189" s="44">
        <v>3.98</v>
      </c>
      <c r="AD189" s="44">
        <v>3.98</v>
      </c>
      <c r="AE189" s="44">
        <v>3.98</v>
      </c>
      <c r="AF189" s="44">
        <v>3.98</v>
      </c>
      <c r="AG189" s="44">
        <v>3.98</v>
      </c>
      <c r="AH189" s="44">
        <v>3.98</v>
      </c>
      <c r="AI189" s="44">
        <v>3.98</v>
      </c>
      <c r="AJ189" s="44">
        <v>3.98</v>
      </c>
      <c r="AK189" s="44">
        <v>3.98</v>
      </c>
      <c r="AL189"/>
      <c r="AM189" s="44">
        <v>3.98</v>
      </c>
      <c r="AN189" s="44">
        <v>3.98</v>
      </c>
      <c r="AO189" s="44">
        <v>3.98</v>
      </c>
      <c r="AP189" s="44">
        <v>3.98</v>
      </c>
      <c r="AQ189" s="44">
        <v>3.98</v>
      </c>
      <c r="AR189" s="44">
        <v>3.98</v>
      </c>
      <c r="AS189" s="44">
        <v>3.98</v>
      </c>
      <c r="AT189"/>
      <c r="AU189" s="44">
        <v>3.98</v>
      </c>
      <c r="AV189" s="44">
        <v>3.98</v>
      </c>
      <c r="AW189" s="44">
        <v>3.98</v>
      </c>
      <c r="AX189" s="44">
        <v>3.98</v>
      </c>
      <c r="AY189"/>
      <c r="AZ189" s="44">
        <v>3.98</v>
      </c>
      <c r="BA189"/>
      <c r="BB189"/>
      <c r="BC189" s="44">
        <v>3.98</v>
      </c>
    </row>
    <row r="190" spans="1:55" x14ac:dyDescent="0.25">
      <c r="A190" s="23" t="s">
        <v>270</v>
      </c>
      <c r="B190" s="3" t="s">
        <v>473</v>
      </c>
      <c r="C190" s="3" t="s">
        <v>483</v>
      </c>
      <c r="D190" s="3" t="s">
        <v>524</v>
      </c>
      <c r="E190" s="24" t="s">
        <v>340</v>
      </c>
      <c r="F190" s="24" t="s">
        <v>95</v>
      </c>
      <c r="G190" s="44">
        <v>1</v>
      </c>
      <c r="H190" s="44">
        <f t="shared" si="19"/>
        <v>1</v>
      </c>
      <c r="I190" s="44">
        <v>1</v>
      </c>
      <c r="J190" s="44">
        <v>1</v>
      </c>
      <c r="K190" s="44">
        <v>1</v>
      </c>
      <c r="L190" s="44">
        <v>1</v>
      </c>
      <c r="M190" s="44">
        <v>1</v>
      </c>
      <c r="N190" s="44">
        <v>1</v>
      </c>
      <c r="O190" s="44">
        <v>1</v>
      </c>
      <c r="P190" s="44">
        <v>1</v>
      </c>
      <c r="R190" s="44">
        <v>1</v>
      </c>
      <c r="S190" s="44">
        <v>1</v>
      </c>
      <c r="T190" s="44">
        <v>1</v>
      </c>
      <c r="V190" s="44">
        <v>1</v>
      </c>
      <c r="W190" s="44">
        <v>1</v>
      </c>
      <c r="X190" s="44">
        <v>1</v>
      </c>
      <c r="AA190" s="44">
        <v>1</v>
      </c>
      <c r="AB190" s="44">
        <v>1</v>
      </c>
      <c r="AC190" s="44">
        <v>1</v>
      </c>
      <c r="AD190" s="44">
        <v>1</v>
      </c>
      <c r="AE190" s="44">
        <v>1</v>
      </c>
      <c r="AF190" s="44">
        <v>1</v>
      </c>
      <c r="AG190" s="44">
        <v>1</v>
      </c>
      <c r="AH190" s="44">
        <v>1</v>
      </c>
      <c r="AI190" s="44">
        <v>1</v>
      </c>
      <c r="AJ190" s="44">
        <v>1</v>
      </c>
      <c r="AK190" s="44">
        <v>1</v>
      </c>
      <c r="AL190"/>
      <c r="AM190" s="44">
        <v>1</v>
      </c>
      <c r="AN190" s="44">
        <v>1</v>
      </c>
      <c r="AO190" s="44">
        <v>1</v>
      </c>
      <c r="AP190" s="44">
        <v>1</v>
      </c>
      <c r="AQ190" s="44">
        <v>1</v>
      </c>
      <c r="AR190" s="44">
        <v>1</v>
      </c>
      <c r="AS190" s="44">
        <v>1</v>
      </c>
      <c r="AT190"/>
      <c r="AU190" s="44">
        <v>1</v>
      </c>
      <c r="AV190" s="44">
        <v>1</v>
      </c>
      <c r="AW190" s="44">
        <v>1</v>
      </c>
      <c r="AX190" s="44">
        <v>1</v>
      </c>
      <c r="AY190"/>
      <c r="AZ190" s="44">
        <v>1</v>
      </c>
      <c r="BA190"/>
      <c r="BB190"/>
      <c r="BC190" s="44">
        <v>1</v>
      </c>
    </row>
    <row r="191" spans="1:55" x14ac:dyDescent="0.25">
      <c r="A191" s="23" t="s">
        <v>271</v>
      </c>
      <c r="B191" s="3" t="s">
        <v>473</v>
      </c>
      <c r="C191" s="3" t="s">
        <v>483</v>
      </c>
      <c r="D191" s="3" t="s">
        <v>524</v>
      </c>
      <c r="E191" s="24" t="s">
        <v>194</v>
      </c>
      <c r="F191" s="24" t="s">
        <v>198</v>
      </c>
      <c r="G191" s="44">
        <v>8.3333333333333331E-5</v>
      </c>
      <c r="H191" s="44">
        <f t="shared" si="19"/>
        <v>8.3333333333333331E-5</v>
      </c>
      <c r="I191" s="44">
        <v>8.3333333333333331E-5</v>
      </c>
      <c r="J191" s="44">
        <v>8.3333333333333331E-5</v>
      </c>
      <c r="K191" s="44">
        <v>8.3333333333333331E-5</v>
      </c>
      <c r="L191" s="44">
        <v>8.3333333333333331E-5</v>
      </c>
      <c r="M191" s="44">
        <v>8.3333333333333331E-5</v>
      </c>
      <c r="N191" s="44">
        <v>8.3333333333333331E-5</v>
      </c>
      <c r="O191" s="44">
        <v>8.3333333333333331E-5</v>
      </c>
      <c r="P191" s="44">
        <v>8.3333333333333331E-5</v>
      </c>
      <c r="R191" s="44">
        <v>8.3333333333333331E-5</v>
      </c>
      <c r="S191" s="44">
        <v>8.3333333333333331E-5</v>
      </c>
      <c r="T191" s="44">
        <v>8.3333333333333331E-5</v>
      </c>
      <c r="V191" s="44">
        <v>8.3333333333333331E-5</v>
      </c>
      <c r="W191" s="44">
        <v>8.3333333333333331E-5</v>
      </c>
      <c r="X191" s="44">
        <v>8.3333333333333331E-5</v>
      </c>
      <c r="AA191" s="44">
        <v>8.3333333333333331E-5</v>
      </c>
      <c r="AB191" s="44">
        <v>8.3333333333333331E-5</v>
      </c>
      <c r="AC191" s="44">
        <v>8.3333333333333331E-5</v>
      </c>
      <c r="AD191" s="44">
        <v>8.3333333333333331E-5</v>
      </c>
      <c r="AE191" s="44">
        <v>8.3333333333333331E-5</v>
      </c>
      <c r="AF191" s="44">
        <v>8.3333333333333331E-5</v>
      </c>
      <c r="AG191" s="44">
        <v>8.3333333333333331E-5</v>
      </c>
      <c r="AH191" s="44">
        <v>8.3333333333333331E-5</v>
      </c>
      <c r="AI191" s="44">
        <v>8.3333333333333331E-5</v>
      </c>
      <c r="AJ191" s="44">
        <v>8.3333333333333331E-5</v>
      </c>
      <c r="AK191" s="44">
        <v>8.3333333333333331E-5</v>
      </c>
      <c r="AL191"/>
      <c r="AM191" s="44">
        <v>8.3333333333333331E-5</v>
      </c>
      <c r="AN191" s="44">
        <v>8.3333333333333331E-5</v>
      </c>
      <c r="AO191" s="44">
        <v>8.3333333333333331E-5</v>
      </c>
      <c r="AP191" s="44">
        <v>8.3333333333333331E-5</v>
      </c>
      <c r="AQ191" s="44">
        <v>8.3333333333333331E-5</v>
      </c>
      <c r="AR191" s="44">
        <v>8.3333333333333331E-5</v>
      </c>
      <c r="AS191" s="44">
        <v>8.3333333333333331E-5</v>
      </c>
      <c r="AT191"/>
      <c r="AU191" s="44">
        <v>8.3333333333333331E-5</v>
      </c>
      <c r="AV191" s="44">
        <v>8.3333333333333331E-5</v>
      </c>
      <c r="AW191" s="44">
        <v>8.3333333333333331E-5</v>
      </c>
      <c r="AX191" s="44">
        <v>8.3333333333333331E-5</v>
      </c>
      <c r="AY191"/>
      <c r="AZ191" s="44">
        <v>8.3333333333333331E-5</v>
      </c>
      <c r="BA191"/>
      <c r="BB191"/>
      <c r="BC191" s="44">
        <v>8.3333333333333331E-5</v>
      </c>
    </row>
    <row r="192" spans="1:55" x14ac:dyDescent="0.25">
      <c r="A192" s="7" t="s">
        <v>272</v>
      </c>
      <c r="B192" s="3" t="s">
        <v>473</v>
      </c>
      <c r="C192" s="3" t="s">
        <v>483</v>
      </c>
      <c r="D192" s="3" t="s">
        <v>524</v>
      </c>
      <c r="E192" s="8" t="s">
        <v>355</v>
      </c>
      <c r="F192" s="8" t="s">
        <v>200</v>
      </c>
      <c r="G192" s="44">
        <v>6.41E-9</v>
      </c>
      <c r="H192" s="44">
        <f t="shared" si="19"/>
        <v>6.41E-9</v>
      </c>
      <c r="I192" s="44">
        <v>3.9999999999999998E-7</v>
      </c>
      <c r="J192" s="44">
        <v>3.9999999999999998E-7</v>
      </c>
      <c r="K192" s="44">
        <v>3.9999999999999998E-7</v>
      </c>
      <c r="L192" s="44">
        <v>3.9999999999999998E-7</v>
      </c>
      <c r="M192" s="44">
        <v>3.9999999999999998E-7</v>
      </c>
      <c r="N192" s="44">
        <v>3.9999999999999998E-7</v>
      </c>
      <c r="O192" s="44">
        <v>3.9999999999999998E-7</v>
      </c>
      <c r="P192" s="44">
        <v>3.9999999999999998E-7</v>
      </c>
      <c r="R192" s="44">
        <v>3.9999999999999998E-7</v>
      </c>
      <c r="S192" s="44">
        <v>3.9999999999999998E-7</v>
      </c>
      <c r="T192" s="44">
        <v>3.9999999999999998E-7</v>
      </c>
      <c r="V192" s="44">
        <v>3.9999999999999998E-7</v>
      </c>
      <c r="W192" s="44">
        <v>3.9999999999999998E-7</v>
      </c>
      <c r="X192" s="44">
        <v>3.9999999999999998E-7</v>
      </c>
      <c r="AA192" s="44">
        <v>3.9999999999999998E-7</v>
      </c>
      <c r="AB192" s="44">
        <v>3.9999999999999998E-7</v>
      </c>
      <c r="AC192" s="44">
        <v>3.9999999999999998E-7</v>
      </c>
      <c r="AD192" s="44">
        <v>3.9999999999999998E-7</v>
      </c>
      <c r="AE192" s="44">
        <v>3.9999999999999998E-7</v>
      </c>
      <c r="AF192" s="44">
        <v>3.9999999999999998E-7</v>
      </c>
      <c r="AG192" s="44">
        <v>3.9999999999999998E-7</v>
      </c>
      <c r="AH192" s="44">
        <v>3.9999999999999998E-7</v>
      </c>
      <c r="AI192" s="44">
        <v>3.9999999999999998E-7</v>
      </c>
      <c r="AJ192" s="44">
        <v>3.9999999999999998E-7</v>
      </c>
      <c r="AK192" s="44">
        <v>3.9999999999999998E-7</v>
      </c>
      <c r="AL192"/>
      <c r="AM192" s="44">
        <v>3.9999999999999998E-7</v>
      </c>
      <c r="AN192" s="44">
        <v>3.9999999999999998E-7</v>
      </c>
      <c r="AO192" s="44">
        <v>3.9999999999999998E-7</v>
      </c>
      <c r="AP192" s="44">
        <v>3.9999999999999998E-7</v>
      </c>
      <c r="AQ192" s="44">
        <v>3.9999999999999998E-7</v>
      </c>
      <c r="AR192" s="44">
        <v>3.9999999999999998E-7</v>
      </c>
      <c r="AS192" s="44">
        <v>3.9999999999999998E-7</v>
      </c>
      <c r="AT192"/>
      <c r="AU192" s="44">
        <v>3.9999999999999998E-7</v>
      </c>
      <c r="AV192" s="44">
        <v>3.9999999999999998E-7</v>
      </c>
      <c r="AW192" s="44">
        <v>3.9999999999999998E-7</v>
      </c>
      <c r="AX192" s="44">
        <v>3.9999999999999998E-7</v>
      </c>
      <c r="AY192"/>
      <c r="AZ192" s="44">
        <v>3.9999999999999998E-7</v>
      </c>
      <c r="BA192"/>
      <c r="BB192"/>
      <c r="BC192" s="44">
        <v>3.9999999999999998E-7</v>
      </c>
    </row>
    <row r="193" spans="1:63" x14ac:dyDescent="0.25">
      <c r="A193" s="7" t="s">
        <v>273</v>
      </c>
      <c r="B193" s="3" t="s">
        <v>473</v>
      </c>
      <c r="C193" s="3" t="s">
        <v>483</v>
      </c>
      <c r="D193" s="3" t="s">
        <v>524</v>
      </c>
      <c r="E193" s="8" t="s">
        <v>341</v>
      </c>
      <c r="F193" s="8" t="s">
        <v>109</v>
      </c>
      <c r="G193" s="44">
        <v>25</v>
      </c>
      <c r="H193" s="44">
        <f t="shared" si="19"/>
        <v>25</v>
      </c>
      <c r="I193" s="44">
        <v>25</v>
      </c>
      <c r="J193" s="44">
        <v>25</v>
      </c>
      <c r="K193" s="44">
        <v>25</v>
      </c>
      <c r="L193" s="44">
        <v>25</v>
      </c>
      <c r="M193" s="44">
        <v>25</v>
      </c>
      <c r="N193" s="44">
        <v>25</v>
      </c>
      <c r="O193" s="44">
        <v>25</v>
      </c>
      <c r="P193" s="44">
        <v>25</v>
      </c>
      <c r="R193" s="44">
        <v>25</v>
      </c>
      <c r="S193" s="44">
        <v>25</v>
      </c>
      <c r="T193" s="44">
        <v>25</v>
      </c>
      <c r="V193" s="44">
        <v>25</v>
      </c>
      <c r="W193" s="44">
        <v>25</v>
      </c>
      <c r="X193" s="44">
        <v>25</v>
      </c>
      <c r="AA193" s="44">
        <v>25</v>
      </c>
      <c r="AB193" s="44">
        <v>25</v>
      </c>
      <c r="AC193" s="44">
        <v>25</v>
      </c>
      <c r="AD193" s="44">
        <v>25</v>
      </c>
      <c r="AE193" s="44">
        <v>25</v>
      </c>
      <c r="AF193" s="44">
        <v>25</v>
      </c>
      <c r="AG193" s="44">
        <v>25</v>
      </c>
      <c r="AH193" s="44">
        <v>25</v>
      </c>
      <c r="AI193" s="44">
        <v>25</v>
      </c>
      <c r="AJ193" s="44">
        <v>25</v>
      </c>
      <c r="AK193" s="44">
        <v>25</v>
      </c>
      <c r="AL193"/>
      <c r="AM193" s="44">
        <v>25</v>
      </c>
      <c r="AN193" s="44">
        <v>25</v>
      </c>
      <c r="AO193" s="44">
        <v>25</v>
      </c>
      <c r="AP193" s="44">
        <v>25</v>
      </c>
      <c r="AQ193" s="44">
        <v>25</v>
      </c>
      <c r="AR193" s="44">
        <v>25</v>
      </c>
      <c r="AS193" s="44">
        <v>25</v>
      </c>
      <c r="AT193"/>
      <c r="AU193" s="44">
        <v>25</v>
      </c>
      <c r="AV193" s="44">
        <v>25</v>
      </c>
      <c r="AW193" s="44">
        <v>25</v>
      </c>
      <c r="AX193" s="44">
        <v>25</v>
      </c>
      <c r="AY193"/>
      <c r="AZ193" s="44">
        <v>25</v>
      </c>
      <c r="BA193"/>
      <c r="BB193"/>
      <c r="BC193" s="44">
        <v>25</v>
      </c>
    </row>
    <row r="194" spans="1:63" x14ac:dyDescent="0.25">
      <c r="A194" s="7" t="s">
        <v>274</v>
      </c>
      <c r="B194" s="3" t="s">
        <v>473</v>
      </c>
      <c r="C194" s="3" t="s">
        <v>483</v>
      </c>
      <c r="D194" s="3" t="s">
        <v>524</v>
      </c>
      <c r="E194" s="8" t="s">
        <v>342</v>
      </c>
      <c r="F194" s="8" t="s">
        <v>301</v>
      </c>
      <c r="G194" s="44">
        <v>0</v>
      </c>
      <c r="H194" s="44">
        <f t="shared" si="19"/>
        <v>0</v>
      </c>
      <c r="I194" s="44">
        <v>0</v>
      </c>
      <c r="J194" s="44">
        <v>0</v>
      </c>
      <c r="K194" s="44">
        <v>0</v>
      </c>
      <c r="L194" s="44">
        <v>0</v>
      </c>
      <c r="M194" s="44">
        <v>0</v>
      </c>
      <c r="N194" s="44">
        <v>0</v>
      </c>
      <c r="O194" s="44">
        <v>0</v>
      </c>
      <c r="P194" s="44">
        <v>0</v>
      </c>
      <c r="R194" s="44">
        <v>0</v>
      </c>
      <c r="S194" s="44">
        <v>0</v>
      </c>
      <c r="T194" s="44">
        <v>0</v>
      </c>
      <c r="V194" s="44">
        <v>0</v>
      </c>
      <c r="W194" s="44">
        <v>0</v>
      </c>
      <c r="X194" s="44">
        <v>0</v>
      </c>
      <c r="AA194" s="44">
        <v>0</v>
      </c>
      <c r="AB194" s="44">
        <v>0</v>
      </c>
      <c r="AC194" s="44">
        <v>0</v>
      </c>
      <c r="AD194" s="44">
        <v>0</v>
      </c>
      <c r="AE194" s="44">
        <v>0</v>
      </c>
      <c r="AF194" s="44">
        <v>0</v>
      </c>
      <c r="AG194" s="44">
        <v>0</v>
      </c>
      <c r="AH194" s="44">
        <v>0</v>
      </c>
      <c r="AI194" s="44">
        <v>0</v>
      </c>
      <c r="AJ194" s="44">
        <v>0</v>
      </c>
      <c r="AK194" s="44">
        <v>0</v>
      </c>
      <c r="AL194"/>
      <c r="AM194" s="44">
        <v>0</v>
      </c>
      <c r="AN194" s="44">
        <v>0</v>
      </c>
      <c r="AO194" s="44">
        <v>0</v>
      </c>
      <c r="AP194" s="44">
        <v>0</v>
      </c>
      <c r="AQ194" s="44">
        <v>0</v>
      </c>
      <c r="AR194" s="44">
        <v>0</v>
      </c>
      <c r="AS194" s="44">
        <v>0</v>
      </c>
      <c r="AT194"/>
      <c r="AU194" s="44">
        <v>0</v>
      </c>
      <c r="AV194" s="44">
        <v>0</v>
      </c>
      <c r="AW194" s="44">
        <v>0</v>
      </c>
      <c r="AX194" s="44">
        <v>0</v>
      </c>
      <c r="AY194"/>
      <c r="AZ194" s="44">
        <v>0</v>
      </c>
      <c r="BA194"/>
      <c r="BB194"/>
      <c r="BC194" s="44">
        <v>0</v>
      </c>
    </row>
    <row r="195" spans="1:63" x14ac:dyDescent="0.25">
      <c r="A195" s="7" t="s">
        <v>275</v>
      </c>
      <c r="B195" s="3" t="s">
        <v>473</v>
      </c>
      <c r="C195" s="3" t="s">
        <v>483</v>
      </c>
      <c r="D195" s="3" t="s">
        <v>524</v>
      </c>
      <c r="E195" s="8" t="s">
        <v>343</v>
      </c>
      <c r="F195" s="8" t="s">
        <v>100</v>
      </c>
      <c r="G195" s="44">
        <v>3.98</v>
      </c>
      <c r="H195" s="44">
        <f t="shared" si="19"/>
        <v>3.98</v>
      </c>
      <c r="I195" s="44">
        <v>3.98</v>
      </c>
      <c r="J195" s="44">
        <v>3.98</v>
      </c>
      <c r="K195" s="44">
        <v>3.98</v>
      </c>
      <c r="L195" s="44">
        <v>3.98</v>
      </c>
      <c r="M195" s="44">
        <v>3.98</v>
      </c>
      <c r="N195" s="44">
        <v>3.98</v>
      </c>
      <c r="O195" s="44">
        <v>3.98</v>
      </c>
      <c r="P195" s="44">
        <v>3.98</v>
      </c>
      <c r="R195" s="44">
        <v>3.98</v>
      </c>
      <c r="S195" s="44">
        <v>3.98</v>
      </c>
      <c r="T195" s="44">
        <v>3.98</v>
      </c>
      <c r="V195" s="44">
        <v>3.98</v>
      </c>
      <c r="W195" s="44">
        <v>3.98</v>
      </c>
      <c r="X195" s="44">
        <v>3.98</v>
      </c>
      <c r="AA195" s="44">
        <v>3.98</v>
      </c>
      <c r="AB195" s="44">
        <v>3.98</v>
      </c>
      <c r="AC195" s="44">
        <v>3.98</v>
      </c>
      <c r="AD195" s="44">
        <v>3.98</v>
      </c>
      <c r="AE195" s="44">
        <v>3.98</v>
      </c>
      <c r="AF195" s="44">
        <v>3.98</v>
      </c>
      <c r="AG195" s="44">
        <v>3.98</v>
      </c>
      <c r="AH195" s="44">
        <v>3.98</v>
      </c>
      <c r="AI195" s="44">
        <v>3.98</v>
      </c>
      <c r="AJ195" s="44">
        <v>3.98</v>
      </c>
      <c r="AK195" s="44">
        <v>3.98</v>
      </c>
      <c r="AL195"/>
      <c r="AM195" s="44">
        <v>3.98</v>
      </c>
      <c r="AN195" s="44">
        <v>3.98</v>
      </c>
      <c r="AO195" s="44">
        <v>3.98</v>
      </c>
      <c r="AP195" s="44">
        <v>3.98</v>
      </c>
      <c r="AQ195" s="44">
        <v>3.98</v>
      </c>
      <c r="AR195" s="44">
        <v>3.98</v>
      </c>
      <c r="AS195" s="44">
        <v>3.98</v>
      </c>
      <c r="AT195"/>
      <c r="AU195" s="44">
        <v>3.98</v>
      </c>
      <c r="AV195" s="44">
        <v>3.98</v>
      </c>
      <c r="AW195" s="44">
        <v>3.98</v>
      </c>
      <c r="AX195" s="44">
        <v>3.98</v>
      </c>
      <c r="AY195"/>
      <c r="AZ195" s="44">
        <v>3.98</v>
      </c>
      <c r="BA195"/>
      <c r="BB195"/>
      <c r="BC195" s="44">
        <v>3.98</v>
      </c>
    </row>
    <row r="196" spans="1:63" x14ac:dyDescent="0.25">
      <c r="A196" s="7" t="s">
        <v>276</v>
      </c>
      <c r="B196" s="3" t="s">
        <v>473</v>
      </c>
      <c r="C196" s="3" t="s">
        <v>483</v>
      </c>
      <c r="D196" s="3" t="s">
        <v>524</v>
      </c>
      <c r="E196" s="8" t="s">
        <v>344</v>
      </c>
      <c r="F196" s="8" t="s">
        <v>95</v>
      </c>
      <c r="G196" s="44">
        <v>1</v>
      </c>
      <c r="H196" s="44">
        <f t="shared" si="19"/>
        <v>1</v>
      </c>
      <c r="I196" s="44">
        <v>1</v>
      </c>
      <c r="J196" s="44">
        <v>1</v>
      </c>
      <c r="K196" s="44">
        <v>1</v>
      </c>
      <c r="L196" s="44">
        <v>1</v>
      </c>
      <c r="M196" s="44">
        <v>1</v>
      </c>
      <c r="N196" s="44">
        <v>1</v>
      </c>
      <c r="O196" s="44">
        <v>1</v>
      </c>
      <c r="P196" s="44">
        <v>1</v>
      </c>
      <c r="R196" s="44">
        <v>1</v>
      </c>
      <c r="S196" s="44">
        <v>1</v>
      </c>
      <c r="T196" s="44">
        <v>1</v>
      </c>
      <c r="V196" s="44">
        <v>1</v>
      </c>
      <c r="W196" s="44">
        <v>1</v>
      </c>
      <c r="X196" s="44">
        <v>1</v>
      </c>
      <c r="AA196" s="44">
        <v>1</v>
      </c>
      <c r="AB196" s="44">
        <v>1</v>
      </c>
      <c r="AC196" s="44">
        <v>1</v>
      </c>
      <c r="AD196" s="44">
        <v>1</v>
      </c>
      <c r="AE196" s="44">
        <v>1</v>
      </c>
      <c r="AF196" s="44">
        <v>1</v>
      </c>
      <c r="AG196" s="44">
        <v>1</v>
      </c>
      <c r="AH196" s="44">
        <v>1</v>
      </c>
      <c r="AI196" s="44">
        <v>1</v>
      </c>
      <c r="AJ196" s="44">
        <v>1</v>
      </c>
      <c r="AK196" s="44">
        <v>1</v>
      </c>
      <c r="AL196"/>
      <c r="AM196" s="44">
        <v>1</v>
      </c>
      <c r="AN196" s="44">
        <v>1</v>
      </c>
      <c r="AO196" s="44">
        <v>1</v>
      </c>
      <c r="AP196" s="44">
        <v>1</v>
      </c>
      <c r="AQ196" s="44">
        <v>1</v>
      </c>
      <c r="AR196" s="44">
        <v>1</v>
      </c>
      <c r="AS196" s="44">
        <v>1</v>
      </c>
      <c r="AT196"/>
      <c r="AU196" s="44">
        <v>1</v>
      </c>
      <c r="AV196" s="44">
        <v>1</v>
      </c>
      <c r="AW196" s="44">
        <v>1</v>
      </c>
      <c r="AX196" s="44">
        <v>1</v>
      </c>
      <c r="AY196"/>
      <c r="AZ196" s="44">
        <v>1</v>
      </c>
      <c r="BA196"/>
      <c r="BB196"/>
      <c r="BC196" s="44">
        <v>1</v>
      </c>
    </row>
    <row r="197" spans="1:63" x14ac:dyDescent="0.25">
      <c r="A197" s="7" t="s">
        <v>277</v>
      </c>
      <c r="B197" s="3" t="s">
        <v>473</v>
      </c>
      <c r="C197" s="3" t="s">
        <v>483</v>
      </c>
      <c r="D197" s="3" t="s">
        <v>524</v>
      </c>
      <c r="E197" s="8" t="s">
        <v>358</v>
      </c>
      <c r="F197" s="8" t="s">
        <v>198</v>
      </c>
      <c r="G197" s="44">
        <v>8.3333333333333331E-5</v>
      </c>
      <c r="H197" s="44">
        <f t="shared" si="19"/>
        <v>8.3333333333333331E-5</v>
      </c>
      <c r="I197" s="44">
        <v>8.3333333333333331E-5</v>
      </c>
      <c r="J197" s="44">
        <v>8.3333333333333331E-5</v>
      </c>
      <c r="K197" s="44">
        <v>8.3333333333333331E-5</v>
      </c>
      <c r="L197" s="44">
        <v>8.3333333333333331E-5</v>
      </c>
      <c r="M197" s="44">
        <v>8.3333333333333331E-5</v>
      </c>
      <c r="N197" s="44">
        <v>8.3333333333333331E-5</v>
      </c>
      <c r="O197" s="44">
        <v>8.3333333333333331E-5</v>
      </c>
      <c r="P197" s="44">
        <v>8.3333333333333331E-5</v>
      </c>
      <c r="R197" s="44">
        <v>8.3333333333333331E-5</v>
      </c>
      <c r="S197" s="44">
        <v>8.3333333333333331E-5</v>
      </c>
      <c r="T197" s="44">
        <v>8.3333333333333331E-5</v>
      </c>
      <c r="V197" s="44">
        <v>8.3333333333333331E-5</v>
      </c>
      <c r="W197" s="44">
        <v>8.3333333333333331E-5</v>
      </c>
      <c r="X197" s="44">
        <v>8.3333333333333331E-5</v>
      </c>
      <c r="AA197" s="44">
        <v>8.3333333333333331E-5</v>
      </c>
      <c r="AB197" s="44">
        <v>8.3333333333333331E-5</v>
      </c>
      <c r="AC197" s="44">
        <v>8.3333333333333331E-5</v>
      </c>
      <c r="AD197" s="44">
        <v>8.3333333333333331E-5</v>
      </c>
      <c r="AE197" s="44">
        <v>8.3333333333333331E-5</v>
      </c>
      <c r="AF197" s="44">
        <v>8.3333333333333331E-5</v>
      </c>
      <c r="AG197" s="44">
        <v>8.3333333333333331E-5</v>
      </c>
      <c r="AH197" s="44">
        <v>8.3333333333333331E-5</v>
      </c>
      <c r="AI197" s="44">
        <v>8.3333333333333331E-5</v>
      </c>
      <c r="AJ197" s="44">
        <v>8.3333333333333331E-5</v>
      </c>
      <c r="AK197" s="44">
        <v>8.3333333333333331E-5</v>
      </c>
      <c r="AL197"/>
      <c r="AM197" s="44">
        <v>8.3333333333333331E-5</v>
      </c>
      <c r="AN197" s="44">
        <v>8.3333333333333331E-5</v>
      </c>
      <c r="AO197" s="44">
        <v>8.3333333333333331E-5</v>
      </c>
      <c r="AP197" s="44">
        <v>8.3333333333333331E-5</v>
      </c>
      <c r="AQ197" s="44">
        <v>8.3333333333333331E-5</v>
      </c>
      <c r="AR197" s="44">
        <v>8.3333333333333331E-5</v>
      </c>
      <c r="AS197" s="44">
        <v>8.3333333333333331E-5</v>
      </c>
      <c r="AT197"/>
      <c r="AU197" s="44">
        <v>8.3333333333333331E-5</v>
      </c>
      <c r="AV197" s="44">
        <v>8.3333333333333331E-5</v>
      </c>
      <c r="AW197" s="44">
        <v>8.3333333333333331E-5</v>
      </c>
      <c r="AX197" s="44">
        <v>8.3333333333333331E-5</v>
      </c>
      <c r="AY197"/>
      <c r="AZ197" s="44">
        <v>8.3333333333333331E-5</v>
      </c>
      <c r="BA197"/>
      <c r="BB197"/>
      <c r="BC197" s="44">
        <v>8.3333333333333331E-5</v>
      </c>
    </row>
    <row r="198" spans="1:63" x14ac:dyDescent="0.25">
      <c r="A198" s="29" t="s">
        <v>278</v>
      </c>
      <c r="B198" s="3" t="s">
        <v>473</v>
      </c>
      <c r="C198" s="3" t="s">
        <v>483</v>
      </c>
      <c r="D198" s="3" t="s">
        <v>524</v>
      </c>
      <c r="E198" s="30" t="s">
        <v>356</v>
      </c>
      <c r="F198" s="30" t="s">
        <v>357</v>
      </c>
      <c r="G198" s="44">
        <v>3.205E-9</v>
      </c>
      <c r="H198" s="44">
        <f t="shared" ref="H198:H204" si="20">G198</f>
        <v>3.205E-9</v>
      </c>
      <c r="I198" s="44">
        <v>1.9999999999999999E-7</v>
      </c>
      <c r="J198" s="44">
        <v>1.9999999999999999E-7</v>
      </c>
      <c r="K198" s="44">
        <v>1.9999999999999999E-7</v>
      </c>
      <c r="L198" s="44">
        <v>1.9999999999999999E-7</v>
      </c>
      <c r="M198" s="44">
        <v>1.9999999999999999E-7</v>
      </c>
      <c r="N198" s="44">
        <v>1.9999999999999999E-7</v>
      </c>
      <c r="O198" s="44">
        <v>1.9999999999999999E-7</v>
      </c>
      <c r="P198" s="44">
        <v>1.9999999999999999E-7</v>
      </c>
      <c r="R198" s="44">
        <v>1.9999999999999999E-7</v>
      </c>
      <c r="S198" s="44">
        <v>1.9999999999999999E-7</v>
      </c>
      <c r="T198" s="44">
        <v>1.9999999999999999E-7</v>
      </c>
      <c r="V198" s="44">
        <v>1.9999999999999999E-7</v>
      </c>
      <c r="W198" s="44">
        <v>1.9999999999999999E-7</v>
      </c>
      <c r="X198" s="44">
        <v>1.9999999999999999E-7</v>
      </c>
      <c r="AA198" s="44">
        <v>1.9999999999999999E-7</v>
      </c>
      <c r="AB198" s="44">
        <v>1.9999999999999999E-7</v>
      </c>
      <c r="AC198" s="44">
        <v>1.9999999999999999E-7</v>
      </c>
      <c r="AD198" s="44">
        <v>1.9999999999999999E-7</v>
      </c>
      <c r="AE198" s="44">
        <v>1.9999999999999999E-7</v>
      </c>
      <c r="AF198" s="44">
        <v>1.9999999999999999E-7</v>
      </c>
      <c r="AG198" s="44">
        <v>1.9999999999999999E-7</v>
      </c>
      <c r="AH198" s="44">
        <v>1.9999999999999999E-7</v>
      </c>
      <c r="AI198" s="44">
        <v>1.9999999999999999E-7</v>
      </c>
      <c r="AJ198" s="44">
        <v>1.9999999999999999E-7</v>
      </c>
      <c r="AK198" s="44">
        <v>1.9999999999999999E-7</v>
      </c>
      <c r="AL198"/>
      <c r="AM198" s="44">
        <v>1.9999999999999999E-7</v>
      </c>
      <c r="AN198" s="44">
        <v>1.9999999999999999E-7</v>
      </c>
      <c r="AO198" s="44">
        <v>1.9999999999999999E-7</v>
      </c>
      <c r="AP198" s="44">
        <v>1.9999999999999999E-7</v>
      </c>
      <c r="AQ198" s="44">
        <v>1.9999999999999999E-7</v>
      </c>
      <c r="AR198" s="44">
        <v>1.9999999999999999E-7</v>
      </c>
      <c r="AS198" s="44">
        <v>1.9999999999999999E-7</v>
      </c>
      <c r="AT198"/>
      <c r="AU198" s="44">
        <v>1.9999999999999999E-7</v>
      </c>
      <c r="AV198" s="44">
        <v>1.9999999999999999E-7</v>
      </c>
      <c r="AW198" s="44">
        <v>1.9999999999999999E-7</v>
      </c>
      <c r="AX198" s="44">
        <v>1.9999999999999999E-7</v>
      </c>
      <c r="AY198"/>
      <c r="AZ198" s="44">
        <v>1.9999999999999999E-7</v>
      </c>
      <c r="BA198"/>
      <c r="BB198"/>
      <c r="BC198" s="44">
        <v>1.9999999999999999E-7</v>
      </c>
    </row>
    <row r="199" spans="1:63" x14ac:dyDescent="0.25">
      <c r="A199" s="29" t="s">
        <v>279</v>
      </c>
      <c r="B199" s="3" t="s">
        <v>473</v>
      </c>
      <c r="C199" s="3" t="s">
        <v>483</v>
      </c>
      <c r="D199" s="3" t="s">
        <v>524</v>
      </c>
      <c r="E199" s="30" t="s">
        <v>345</v>
      </c>
      <c r="F199" s="30" t="s">
        <v>109</v>
      </c>
      <c r="G199" s="44">
        <v>25</v>
      </c>
      <c r="H199" s="44">
        <f t="shared" si="20"/>
        <v>25</v>
      </c>
      <c r="I199" s="44">
        <v>25</v>
      </c>
      <c r="J199" s="44">
        <v>25</v>
      </c>
      <c r="K199" s="44">
        <v>25</v>
      </c>
      <c r="L199" s="44">
        <v>25</v>
      </c>
      <c r="M199" s="44">
        <v>25</v>
      </c>
      <c r="N199" s="44">
        <v>25</v>
      </c>
      <c r="O199" s="44">
        <v>25</v>
      </c>
      <c r="P199" s="44">
        <v>25</v>
      </c>
      <c r="R199" s="44">
        <v>25</v>
      </c>
      <c r="S199" s="44">
        <v>25</v>
      </c>
      <c r="T199" s="44">
        <v>25</v>
      </c>
      <c r="V199" s="44">
        <v>25</v>
      </c>
      <c r="W199" s="44">
        <v>25</v>
      </c>
      <c r="X199" s="44">
        <v>25</v>
      </c>
      <c r="AA199" s="44">
        <v>25</v>
      </c>
      <c r="AB199" s="44">
        <v>25</v>
      </c>
      <c r="AC199" s="44">
        <v>25</v>
      </c>
      <c r="AD199" s="44">
        <v>25</v>
      </c>
      <c r="AE199" s="44">
        <v>25</v>
      </c>
      <c r="AF199" s="44">
        <v>25</v>
      </c>
      <c r="AG199" s="44">
        <v>25</v>
      </c>
      <c r="AH199" s="44">
        <v>25</v>
      </c>
      <c r="AI199" s="44">
        <v>25</v>
      </c>
      <c r="AJ199" s="44">
        <v>25</v>
      </c>
      <c r="AK199" s="44">
        <v>25</v>
      </c>
      <c r="AL199"/>
      <c r="AM199" s="44">
        <v>25</v>
      </c>
      <c r="AN199" s="44">
        <v>25</v>
      </c>
      <c r="AO199" s="44">
        <v>25</v>
      </c>
      <c r="AP199" s="44">
        <v>25</v>
      </c>
      <c r="AQ199" s="44">
        <v>25</v>
      </c>
      <c r="AR199" s="44">
        <v>25</v>
      </c>
      <c r="AS199" s="44">
        <v>25</v>
      </c>
      <c r="AT199"/>
      <c r="AU199" s="44">
        <v>25</v>
      </c>
      <c r="AV199" s="44">
        <v>25</v>
      </c>
      <c r="AW199" s="44">
        <v>25</v>
      </c>
      <c r="AX199" s="44">
        <v>25</v>
      </c>
      <c r="AY199"/>
      <c r="AZ199" s="44">
        <v>25</v>
      </c>
      <c r="BA199"/>
      <c r="BB199"/>
      <c r="BC199" s="44">
        <v>25</v>
      </c>
    </row>
    <row r="200" spans="1:63" x14ac:dyDescent="0.25">
      <c r="A200" s="29" t="s">
        <v>280</v>
      </c>
      <c r="B200" s="3" t="s">
        <v>473</v>
      </c>
      <c r="C200" s="3" t="s">
        <v>483</v>
      </c>
      <c r="D200" s="3" t="s">
        <v>524</v>
      </c>
      <c r="E200" s="30" t="s">
        <v>346</v>
      </c>
      <c r="F200" s="30" t="s">
        <v>301</v>
      </c>
      <c r="G200" s="44">
        <v>0</v>
      </c>
      <c r="H200" s="44">
        <f t="shared" si="20"/>
        <v>0</v>
      </c>
      <c r="I200" s="44">
        <v>0</v>
      </c>
      <c r="J200" s="44">
        <v>0</v>
      </c>
      <c r="K200" s="44">
        <v>0</v>
      </c>
      <c r="L200" s="44">
        <v>0</v>
      </c>
      <c r="M200" s="44">
        <v>0</v>
      </c>
      <c r="N200" s="44">
        <v>0</v>
      </c>
      <c r="O200" s="44">
        <v>0</v>
      </c>
      <c r="P200" s="44">
        <v>0</v>
      </c>
      <c r="R200" s="44">
        <v>0</v>
      </c>
      <c r="S200" s="44">
        <v>0</v>
      </c>
      <c r="T200" s="44">
        <v>0</v>
      </c>
      <c r="V200" s="44">
        <v>0</v>
      </c>
      <c r="W200" s="44">
        <v>0</v>
      </c>
      <c r="X200" s="44">
        <v>0</v>
      </c>
      <c r="AA200" s="44">
        <v>0</v>
      </c>
      <c r="AB200" s="44">
        <v>0</v>
      </c>
      <c r="AC200" s="44">
        <v>0</v>
      </c>
      <c r="AD200" s="44">
        <v>0</v>
      </c>
      <c r="AE200" s="44">
        <v>0</v>
      </c>
      <c r="AF200" s="44">
        <v>0</v>
      </c>
      <c r="AG200" s="44">
        <v>0</v>
      </c>
      <c r="AH200" s="44">
        <v>0</v>
      </c>
      <c r="AI200" s="44">
        <v>0</v>
      </c>
      <c r="AJ200" s="44">
        <v>0</v>
      </c>
      <c r="AK200" s="44">
        <v>0</v>
      </c>
      <c r="AL200"/>
      <c r="AM200" s="44">
        <v>0</v>
      </c>
      <c r="AN200" s="44">
        <v>0</v>
      </c>
      <c r="AO200" s="44">
        <v>0</v>
      </c>
      <c r="AP200" s="44">
        <v>0</v>
      </c>
      <c r="AQ200" s="44">
        <v>0</v>
      </c>
      <c r="AR200" s="44">
        <v>0</v>
      </c>
      <c r="AS200" s="44">
        <v>0</v>
      </c>
      <c r="AT200"/>
      <c r="AU200" s="44">
        <v>0</v>
      </c>
      <c r="AV200" s="44">
        <v>0</v>
      </c>
      <c r="AW200" s="44">
        <v>0</v>
      </c>
      <c r="AX200" s="44">
        <v>0</v>
      </c>
      <c r="AY200"/>
      <c r="AZ200" s="44">
        <v>0</v>
      </c>
      <c r="BA200"/>
      <c r="BB200"/>
      <c r="BC200" s="44">
        <v>0</v>
      </c>
    </row>
    <row r="201" spans="1:63" x14ac:dyDescent="0.25">
      <c r="A201" s="29" t="s">
        <v>281</v>
      </c>
      <c r="B201" s="3" t="s">
        <v>473</v>
      </c>
      <c r="C201" s="3" t="s">
        <v>483</v>
      </c>
      <c r="D201" s="3" t="s">
        <v>524</v>
      </c>
      <c r="E201" s="30" t="s">
        <v>347</v>
      </c>
      <c r="F201" s="30" t="s">
        <v>100</v>
      </c>
      <c r="G201" s="44">
        <v>3.98</v>
      </c>
      <c r="H201" s="44">
        <f t="shared" si="20"/>
        <v>3.98</v>
      </c>
      <c r="I201" s="44">
        <v>3.98</v>
      </c>
      <c r="J201" s="44">
        <v>3.98</v>
      </c>
      <c r="K201" s="44">
        <v>3.98</v>
      </c>
      <c r="L201" s="44">
        <v>3.98</v>
      </c>
      <c r="M201" s="44">
        <v>3.98</v>
      </c>
      <c r="N201" s="44">
        <v>3.98</v>
      </c>
      <c r="O201" s="44">
        <v>3.98</v>
      </c>
      <c r="P201" s="44">
        <v>3.98</v>
      </c>
      <c r="R201" s="44">
        <v>3.98</v>
      </c>
      <c r="S201" s="44">
        <v>3.98</v>
      </c>
      <c r="T201" s="44">
        <v>3.98</v>
      </c>
      <c r="V201" s="44">
        <v>3.98</v>
      </c>
      <c r="W201" s="44">
        <v>3.98</v>
      </c>
      <c r="X201" s="44">
        <v>3.98</v>
      </c>
      <c r="AA201" s="44">
        <v>3.98</v>
      </c>
      <c r="AB201" s="44">
        <v>3.98</v>
      </c>
      <c r="AC201" s="44">
        <v>3.98</v>
      </c>
      <c r="AD201" s="44">
        <v>3.98</v>
      </c>
      <c r="AE201" s="44">
        <v>3.98</v>
      </c>
      <c r="AF201" s="44">
        <v>3.98</v>
      </c>
      <c r="AG201" s="44">
        <v>3.98</v>
      </c>
      <c r="AH201" s="44">
        <v>3.98</v>
      </c>
      <c r="AI201" s="44">
        <v>3.98</v>
      </c>
      <c r="AJ201" s="44">
        <v>3.98</v>
      </c>
      <c r="AK201" s="44">
        <v>3.98</v>
      </c>
      <c r="AL201"/>
      <c r="AM201" s="44">
        <v>3.98</v>
      </c>
      <c r="AN201" s="44">
        <v>3.98</v>
      </c>
      <c r="AO201" s="44">
        <v>3.98</v>
      </c>
      <c r="AP201" s="44">
        <v>3.98</v>
      </c>
      <c r="AQ201" s="44">
        <v>3.98</v>
      </c>
      <c r="AR201" s="44">
        <v>3.98</v>
      </c>
      <c r="AS201" s="44">
        <v>3.98</v>
      </c>
      <c r="AT201"/>
      <c r="AU201" s="44">
        <v>3.98</v>
      </c>
      <c r="AV201" s="44">
        <v>3.98</v>
      </c>
      <c r="AW201" s="44">
        <v>3.98</v>
      </c>
      <c r="AX201" s="44">
        <v>3.98</v>
      </c>
      <c r="AY201"/>
      <c r="AZ201" s="44">
        <v>3.98</v>
      </c>
      <c r="BA201"/>
      <c r="BB201"/>
      <c r="BC201" s="44">
        <v>3.98</v>
      </c>
    </row>
    <row r="202" spans="1:63" x14ac:dyDescent="0.25">
      <c r="A202" s="29" t="s">
        <v>282</v>
      </c>
      <c r="B202" s="3" t="s">
        <v>473</v>
      </c>
      <c r="C202" s="3" t="s">
        <v>483</v>
      </c>
      <c r="D202" s="3" t="s">
        <v>524</v>
      </c>
      <c r="E202" s="30" t="s">
        <v>348</v>
      </c>
      <c r="F202" s="30" t="s">
        <v>95</v>
      </c>
      <c r="G202" s="44">
        <v>1</v>
      </c>
      <c r="H202" s="44">
        <f t="shared" si="20"/>
        <v>1</v>
      </c>
      <c r="I202" s="44">
        <v>1</v>
      </c>
      <c r="J202" s="44">
        <v>1</v>
      </c>
      <c r="K202" s="44">
        <v>1</v>
      </c>
      <c r="L202" s="44">
        <v>1</v>
      </c>
      <c r="M202" s="44">
        <v>1</v>
      </c>
      <c r="N202" s="44">
        <v>1</v>
      </c>
      <c r="O202" s="44">
        <v>1</v>
      </c>
      <c r="P202" s="44">
        <v>1</v>
      </c>
      <c r="R202" s="44">
        <v>1</v>
      </c>
      <c r="S202" s="44">
        <v>1</v>
      </c>
      <c r="T202" s="44">
        <v>1</v>
      </c>
      <c r="V202" s="44">
        <v>1</v>
      </c>
      <c r="W202" s="44">
        <v>1</v>
      </c>
      <c r="X202" s="44">
        <v>1</v>
      </c>
      <c r="AA202" s="44">
        <v>1</v>
      </c>
      <c r="AB202" s="44">
        <v>1</v>
      </c>
      <c r="AC202" s="44">
        <v>1</v>
      </c>
      <c r="AD202" s="44">
        <v>1</v>
      </c>
      <c r="AE202" s="44">
        <v>1</v>
      </c>
      <c r="AF202" s="44">
        <v>1</v>
      </c>
      <c r="AG202" s="44">
        <v>1</v>
      </c>
      <c r="AH202" s="44">
        <v>1</v>
      </c>
      <c r="AI202" s="44">
        <v>1</v>
      </c>
      <c r="AJ202" s="44">
        <v>1</v>
      </c>
      <c r="AK202" s="44">
        <v>1</v>
      </c>
      <c r="AL202"/>
      <c r="AM202" s="44">
        <v>1</v>
      </c>
      <c r="AN202" s="44">
        <v>1</v>
      </c>
      <c r="AO202" s="44">
        <v>1</v>
      </c>
      <c r="AP202" s="44">
        <v>1</v>
      </c>
      <c r="AQ202" s="44">
        <v>1</v>
      </c>
      <c r="AR202" s="44">
        <v>1</v>
      </c>
      <c r="AS202" s="44">
        <v>1</v>
      </c>
      <c r="AT202"/>
      <c r="AU202" s="44">
        <v>1</v>
      </c>
      <c r="AV202" s="44">
        <v>1</v>
      </c>
      <c r="AW202" s="44">
        <v>1</v>
      </c>
      <c r="AX202" s="44">
        <v>1</v>
      </c>
      <c r="AY202"/>
      <c r="AZ202" s="44">
        <v>1</v>
      </c>
      <c r="BA202"/>
      <c r="BB202"/>
      <c r="BC202" s="44">
        <v>1</v>
      </c>
    </row>
    <row r="203" spans="1:63" x14ac:dyDescent="0.25">
      <c r="A203" s="29" t="s">
        <v>283</v>
      </c>
      <c r="B203" s="3" t="s">
        <v>473</v>
      </c>
      <c r="C203" s="3" t="s">
        <v>483</v>
      </c>
      <c r="D203" s="3" t="s">
        <v>524</v>
      </c>
      <c r="E203" s="30" t="s">
        <v>360</v>
      </c>
      <c r="F203" s="30" t="s">
        <v>359</v>
      </c>
      <c r="G203" s="44">
        <v>8.3333333333333331E-5</v>
      </c>
      <c r="H203" s="44">
        <f t="shared" si="20"/>
        <v>8.3333333333333331E-5</v>
      </c>
      <c r="I203" s="44">
        <v>8.3333333333333331E-5</v>
      </c>
      <c r="J203" s="44">
        <v>8.3333333333333331E-5</v>
      </c>
      <c r="K203" s="44">
        <v>8.3333333333333331E-5</v>
      </c>
      <c r="L203" s="44">
        <v>8.3333333333333331E-5</v>
      </c>
      <c r="M203" s="44">
        <v>8.3333333333333331E-5</v>
      </c>
      <c r="N203" s="44">
        <v>8.3333333333333331E-5</v>
      </c>
      <c r="O203" s="44">
        <v>8.3333333333333331E-5</v>
      </c>
      <c r="P203" s="44">
        <v>8.3333333333333331E-5</v>
      </c>
      <c r="R203" s="44">
        <v>8.3333333333333331E-5</v>
      </c>
      <c r="S203" s="44">
        <v>8.3333333333333331E-5</v>
      </c>
      <c r="T203" s="44">
        <v>8.3333333333333331E-5</v>
      </c>
      <c r="V203" s="44">
        <v>8.3333333333333331E-5</v>
      </c>
      <c r="W203" s="44">
        <v>8.3333333333333331E-5</v>
      </c>
      <c r="X203" s="44">
        <v>8.3333333333333331E-5</v>
      </c>
      <c r="AA203" s="44">
        <v>8.3333333333333331E-5</v>
      </c>
      <c r="AB203" s="44">
        <v>8.3333333333333331E-5</v>
      </c>
      <c r="AC203" s="44">
        <v>8.3333333333333331E-5</v>
      </c>
      <c r="AD203" s="44">
        <v>8.3333333333333331E-5</v>
      </c>
      <c r="AE203" s="44">
        <v>8.3333333333333331E-5</v>
      </c>
      <c r="AF203" s="44">
        <v>8.3333333333333331E-5</v>
      </c>
      <c r="AG203" s="44">
        <v>8.3333333333333331E-5</v>
      </c>
      <c r="AH203" s="44">
        <v>8.3333333333333331E-5</v>
      </c>
      <c r="AI203" s="44">
        <v>8.3333333333333331E-5</v>
      </c>
      <c r="AJ203" s="44">
        <v>8.3333333333333331E-5</v>
      </c>
      <c r="AK203" s="44">
        <v>8.3333333333333331E-5</v>
      </c>
      <c r="AL203"/>
      <c r="AM203" s="44">
        <v>8.3333333333333331E-5</v>
      </c>
      <c r="AN203" s="44">
        <v>8.3333333333333331E-5</v>
      </c>
      <c r="AO203" s="44">
        <v>8.3333333333333331E-5</v>
      </c>
      <c r="AP203" s="44">
        <v>8.3333333333333331E-5</v>
      </c>
      <c r="AQ203" s="44">
        <v>8.3333333333333331E-5</v>
      </c>
      <c r="AR203" s="44">
        <v>8.3333333333333331E-5</v>
      </c>
      <c r="AS203" s="44">
        <v>8.3333333333333331E-5</v>
      </c>
      <c r="AT203"/>
      <c r="AU203" s="44">
        <v>8.3333333333333331E-5</v>
      </c>
      <c r="AV203" s="44">
        <v>8.3333333333333331E-5</v>
      </c>
      <c r="AW203" s="44">
        <v>8.3333333333333331E-5</v>
      </c>
      <c r="AX203" s="44">
        <v>8.3333333333333331E-5</v>
      </c>
      <c r="AY203"/>
      <c r="AZ203" s="44">
        <v>8.3333333333333331E-5</v>
      </c>
      <c r="BA203"/>
      <c r="BB203"/>
      <c r="BC203" s="44">
        <v>8.3333333333333331E-5</v>
      </c>
    </row>
    <row r="204" spans="1:63" x14ac:dyDescent="0.25">
      <c r="A204" s="47" t="s">
        <v>361</v>
      </c>
      <c r="B204" s="48" t="s">
        <v>473</v>
      </c>
      <c r="C204" s="48" t="s">
        <v>483</v>
      </c>
      <c r="D204" s="3" t="s">
        <v>524</v>
      </c>
      <c r="E204" s="49" t="s">
        <v>203</v>
      </c>
      <c r="F204" s="49" t="s">
        <v>91</v>
      </c>
      <c r="G204" s="44" t="s">
        <v>89</v>
      </c>
      <c r="H204" s="44" t="str">
        <f t="shared" si="20"/>
        <v>WHEAT</v>
      </c>
      <c r="I204" s="44" t="s">
        <v>89</v>
      </c>
      <c r="J204" s="44" t="s">
        <v>89</v>
      </c>
      <c r="K204" s="44" t="s">
        <v>89</v>
      </c>
      <c r="L204" s="44" t="s">
        <v>89</v>
      </c>
      <c r="M204" s="44" t="s">
        <v>89</v>
      </c>
      <c r="N204" s="44" t="s">
        <v>89</v>
      </c>
      <c r="O204" s="44" t="s">
        <v>89</v>
      </c>
      <c r="P204" s="44" t="s">
        <v>89</v>
      </c>
      <c r="R204" s="44" t="s">
        <v>89</v>
      </c>
      <c r="S204" s="44" t="s">
        <v>89</v>
      </c>
      <c r="T204" s="44" t="s">
        <v>89</v>
      </c>
      <c r="V204" s="44" t="s">
        <v>89</v>
      </c>
      <c r="W204" s="44" t="s">
        <v>89</v>
      </c>
      <c r="X204" s="44" t="s">
        <v>89</v>
      </c>
      <c r="AA204" s="44" t="s">
        <v>89</v>
      </c>
      <c r="AB204" s="44" t="s">
        <v>89</v>
      </c>
      <c r="AC204" s="44" t="s">
        <v>89</v>
      </c>
      <c r="AD204" s="44" t="s">
        <v>89</v>
      </c>
      <c r="AE204" s="44" t="s">
        <v>89</v>
      </c>
      <c r="AF204" s="44" t="s">
        <v>89</v>
      </c>
      <c r="AG204" s="44" t="s">
        <v>89</v>
      </c>
      <c r="AH204" s="44" t="s">
        <v>89</v>
      </c>
      <c r="AI204" s="44" t="s">
        <v>89</v>
      </c>
      <c r="AJ204" s="44" t="s">
        <v>89</v>
      </c>
      <c r="AK204" s="44" t="s">
        <v>89</v>
      </c>
      <c r="AL204"/>
      <c r="AM204" s="44" t="s">
        <v>89</v>
      </c>
      <c r="AN204" s="44" t="s">
        <v>89</v>
      </c>
      <c r="AO204" s="44" t="s">
        <v>89</v>
      </c>
      <c r="AP204" s="44" t="s">
        <v>89</v>
      </c>
      <c r="AQ204" s="44" t="s">
        <v>89</v>
      </c>
      <c r="AR204" s="44" t="s">
        <v>89</v>
      </c>
      <c r="AS204" s="44" t="s">
        <v>89</v>
      </c>
      <c r="AT204"/>
      <c r="AU204" s="44" t="s">
        <v>89</v>
      </c>
      <c r="AV204" s="44" t="s">
        <v>89</v>
      </c>
      <c r="AW204" s="44" t="s">
        <v>89</v>
      </c>
      <c r="AX204" s="44" t="s">
        <v>89</v>
      </c>
      <c r="AY204"/>
      <c r="AZ204" s="44" t="s">
        <v>89</v>
      </c>
      <c r="BA204"/>
      <c r="BB204"/>
      <c r="BC204" s="44" t="s">
        <v>89</v>
      </c>
    </row>
    <row r="205" spans="1:63" x14ac:dyDescent="0.25">
      <c r="A205" s="2" t="s">
        <v>537</v>
      </c>
      <c r="B205" s="3" t="s">
        <v>473</v>
      </c>
      <c r="C205" s="3" t="s">
        <v>483</v>
      </c>
      <c r="D205" s="3" t="s">
        <v>524</v>
      </c>
      <c r="E205" s="30" t="s">
        <v>540</v>
      </c>
      <c r="F205" s="30" t="s">
        <v>539</v>
      </c>
      <c r="G205" s="44">
        <f>0.00002</f>
        <v>2.0000000000000002E-5</v>
      </c>
      <c r="H205" s="44">
        <f t="shared" ref="H205:BC205" si="21">0.00002</f>
        <v>2.0000000000000002E-5</v>
      </c>
      <c r="I205" s="44">
        <f t="shared" si="21"/>
        <v>2.0000000000000002E-5</v>
      </c>
      <c r="J205" s="44">
        <f t="shared" si="21"/>
        <v>2.0000000000000002E-5</v>
      </c>
      <c r="K205" s="44">
        <f t="shared" si="21"/>
        <v>2.0000000000000002E-5</v>
      </c>
      <c r="L205" s="44">
        <f t="shared" si="21"/>
        <v>2.0000000000000002E-5</v>
      </c>
      <c r="M205" s="44">
        <f t="shared" si="21"/>
        <v>2.0000000000000002E-5</v>
      </c>
      <c r="N205" s="44">
        <f t="shared" si="21"/>
        <v>2.0000000000000002E-5</v>
      </c>
      <c r="O205" s="44">
        <f t="shared" si="21"/>
        <v>2.0000000000000002E-5</v>
      </c>
      <c r="P205" s="44">
        <f t="shared" si="21"/>
        <v>2.0000000000000002E-5</v>
      </c>
      <c r="R205" s="44">
        <f>0.00005 / 100</f>
        <v>4.9999999999999998E-7</v>
      </c>
      <c r="S205" s="44">
        <f>0.00005 / 100</f>
        <v>4.9999999999999998E-7</v>
      </c>
      <c r="T205" s="44">
        <f>0.00005 / 100</f>
        <v>4.9999999999999998E-7</v>
      </c>
      <c r="V205" s="44">
        <f t="shared" si="21"/>
        <v>2.0000000000000002E-5</v>
      </c>
      <c r="W205" s="44">
        <f t="shared" si="21"/>
        <v>2.0000000000000002E-5</v>
      </c>
      <c r="X205" s="44">
        <f t="shared" si="21"/>
        <v>2.0000000000000002E-5</v>
      </c>
      <c r="AA205" s="44">
        <f t="shared" si="21"/>
        <v>2.0000000000000002E-5</v>
      </c>
      <c r="AB205" s="44">
        <f t="shared" si="21"/>
        <v>2.0000000000000002E-5</v>
      </c>
      <c r="AC205" s="44">
        <f t="shared" si="21"/>
        <v>2.0000000000000002E-5</v>
      </c>
      <c r="AD205" s="44">
        <f t="shared" si="21"/>
        <v>2.0000000000000002E-5</v>
      </c>
      <c r="AE205" s="44">
        <f t="shared" si="21"/>
        <v>2.0000000000000002E-5</v>
      </c>
      <c r="AF205" s="44">
        <f t="shared" si="21"/>
        <v>2.0000000000000002E-5</v>
      </c>
      <c r="AG205" s="44">
        <f t="shared" si="21"/>
        <v>2.0000000000000002E-5</v>
      </c>
      <c r="AH205" s="44">
        <f t="shared" si="21"/>
        <v>2.0000000000000002E-5</v>
      </c>
      <c r="AI205" s="44">
        <f t="shared" si="21"/>
        <v>2.0000000000000002E-5</v>
      </c>
      <c r="AJ205" s="44">
        <f t="shared" si="21"/>
        <v>2.0000000000000002E-5</v>
      </c>
      <c r="AK205" s="44">
        <f t="shared" si="21"/>
        <v>2.0000000000000002E-5</v>
      </c>
      <c r="AL205"/>
      <c r="AM205" s="44">
        <f t="shared" si="21"/>
        <v>2.0000000000000002E-5</v>
      </c>
      <c r="AN205" s="44">
        <f t="shared" si="21"/>
        <v>2.0000000000000002E-5</v>
      </c>
      <c r="AO205" s="44">
        <f t="shared" si="21"/>
        <v>2.0000000000000002E-5</v>
      </c>
      <c r="AP205" s="44">
        <f t="shared" si="21"/>
        <v>2.0000000000000002E-5</v>
      </c>
      <c r="AQ205" s="44">
        <f t="shared" si="21"/>
        <v>2.0000000000000002E-5</v>
      </c>
      <c r="AR205" s="44">
        <f t="shared" si="21"/>
        <v>2.0000000000000002E-5</v>
      </c>
      <c r="AS205" s="44">
        <f t="shared" si="21"/>
        <v>2.0000000000000002E-5</v>
      </c>
      <c r="AT205"/>
      <c r="AU205" s="44">
        <f t="shared" si="21"/>
        <v>2.0000000000000002E-5</v>
      </c>
      <c r="AV205" s="44">
        <f t="shared" si="21"/>
        <v>2.0000000000000002E-5</v>
      </c>
      <c r="AW205" s="44">
        <f t="shared" si="21"/>
        <v>2.0000000000000002E-5</v>
      </c>
      <c r="AX205" s="44">
        <f t="shared" si="21"/>
        <v>2.0000000000000002E-5</v>
      </c>
      <c r="AY205"/>
      <c r="AZ205" s="44">
        <f t="shared" si="21"/>
        <v>2.0000000000000002E-5</v>
      </c>
      <c r="BA205"/>
      <c r="BB205"/>
      <c r="BC205" s="44">
        <f t="shared" si="21"/>
        <v>2.0000000000000002E-5</v>
      </c>
      <c r="BD205" s="1"/>
      <c r="BE205" s="1"/>
      <c r="BF205" s="1"/>
      <c r="BG205" s="1"/>
      <c r="BH205" s="1"/>
      <c r="BI205" s="1"/>
      <c r="BJ205" s="1"/>
      <c r="BK205" s="1"/>
    </row>
    <row r="206" spans="1:63" x14ac:dyDescent="0.25">
      <c r="A206" s="2" t="s">
        <v>536</v>
      </c>
      <c r="B206" s="3" t="s">
        <v>473</v>
      </c>
      <c r="C206" s="3" t="s">
        <v>483</v>
      </c>
      <c r="D206" s="3" t="s">
        <v>524</v>
      </c>
      <c r="E206" s="30" t="s">
        <v>541</v>
      </c>
      <c r="F206" s="30" t="s">
        <v>542</v>
      </c>
      <c r="G206" s="44">
        <v>0.3</v>
      </c>
      <c r="H206" s="44">
        <v>0.3</v>
      </c>
      <c r="I206" s="44">
        <v>0.3</v>
      </c>
      <c r="J206" s="44">
        <v>0.3</v>
      </c>
      <c r="K206" s="44">
        <v>0.3</v>
      </c>
      <c r="L206" s="44">
        <v>0.3</v>
      </c>
      <c r="M206" s="44">
        <v>0.3</v>
      </c>
      <c r="N206" s="44">
        <v>0.3</v>
      </c>
      <c r="O206" s="44">
        <v>0.3</v>
      </c>
      <c r="P206" s="44">
        <v>0.3</v>
      </c>
      <c r="R206" s="44">
        <v>0.1</v>
      </c>
      <c r="S206" s="44">
        <v>0.1</v>
      </c>
      <c r="T206" s="44">
        <v>0.1</v>
      </c>
      <c r="V206" s="44">
        <v>0.3</v>
      </c>
      <c r="W206" s="44">
        <v>0.3</v>
      </c>
      <c r="X206" s="44">
        <v>0.3</v>
      </c>
      <c r="AA206" s="44">
        <v>0.3</v>
      </c>
      <c r="AB206" s="44">
        <v>0.3</v>
      </c>
      <c r="AC206" s="44">
        <v>0.3</v>
      </c>
      <c r="AD206" s="44">
        <v>0.3</v>
      </c>
      <c r="AE206" s="44">
        <v>0.3</v>
      </c>
      <c r="AF206" s="44">
        <v>0.3</v>
      </c>
      <c r="AG206" s="44">
        <v>0.3</v>
      </c>
      <c r="AH206" s="44">
        <v>0.3</v>
      </c>
      <c r="AI206" s="44">
        <v>0.3</v>
      </c>
      <c r="AJ206" s="44">
        <v>0.3</v>
      </c>
      <c r="AK206" s="44">
        <v>0.3</v>
      </c>
      <c r="AL206"/>
      <c r="AM206" s="44">
        <v>0.3</v>
      </c>
      <c r="AN206" s="44">
        <v>0.3</v>
      </c>
      <c r="AO206" s="44">
        <v>0.3</v>
      </c>
      <c r="AP206" s="44">
        <v>0.3</v>
      </c>
      <c r="AQ206" s="44">
        <v>0.15</v>
      </c>
      <c r="AR206" s="44">
        <v>0.15</v>
      </c>
      <c r="AS206" s="44">
        <v>0.15</v>
      </c>
      <c r="AT206"/>
      <c r="AU206" s="44">
        <v>0.15</v>
      </c>
      <c r="AV206" s="44">
        <v>0.15</v>
      </c>
      <c r="AW206" s="44">
        <v>0.15</v>
      </c>
      <c r="AX206" s="44">
        <v>0.15</v>
      </c>
      <c r="AY206"/>
      <c r="AZ206" s="44">
        <v>0.15</v>
      </c>
      <c r="BA206"/>
      <c r="BB206"/>
      <c r="BC206" s="44">
        <v>0.3</v>
      </c>
      <c r="BD206" s="51"/>
      <c r="BE206" s="51"/>
      <c r="BF206" s="51"/>
      <c r="BG206" s="51"/>
      <c r="BH206" s="51"/>
      <c r="BI206" s="51"/>
      <c r="BJ206" s="51"/>
      <c r="BK206" s="51"/>
    </row>
    <row r="207" spans="1:63" x14ac:dyDescent="0.25">
      <c r="A207" s="2" t="s">
        <v>538</v>
      </c>
      <c r="B207" s="3" t="s">
        <v>473</v>
      </c>
      <c r="C207" s="3" t="s">
        <v>483</v>
      </c>
      <c r="D207" s="3" t="s">
        <v>524</v>
      </c>
      <c r="E207" s="50" t="s">
        <v>488</v>
      </c>
      <c r="F207" s="50" t="s">
        <v>487</v>
      </c>
      <c r="G207" s="44">
        <f t="shared" ref="G207:BC207" si="22">0.00002 / 14</f>
        <v>1.4285714285714286E-6</v>
      </c>
      <c r="H207" s="44">
        <f t="shared" si="22"/>
        <v>1.4285714285714286E-6</v>
      </c>
      <c r="I207" s="44">
        <f t="shared" si="22"/>
        <v>1.4285714285714286E-6</v>
      </c>
      <c r="J207" s="44">
        <f t="shared" si="22"/>
        <v>1.4285714285714286E-6</v>
      </c>
      <c r="K207" s="44">
        <f t="shared" si="22"/>
        <v>1.4285714285714286E-6</v>
      </c>
      <c r="L207" s="44">
        <f t="shared" si="22"/>
        <v>1.4285714285714286E-6</v>
      </c>
      <c r="M207" s="44">
        <f t="shared" si="22"/>
        <v>1.4285714285714286E-6</v>
      </c>
      <c r="N207" s="44">
        <f t="shared" si="22"/>
        <v>1.4285714285714286E-6</v>
      </c>
      <c r="O207" s="44">
        <f t="shared" si="22"/>
        <v>1.4285714285714286E-6</v>
      </c>
      <c r="P207" s="44">
        <f t="shared" si="22"/>
        <v>1.4285714285714286E-6</v>
      </c>
      <c r="R207" s="44">
        <f t="shared" si="22"/>
        <v>1.4285714285714286E-6</v>
      </c>
      <c r="S207" s="44">
        <f t="shared" si="22"/>
        <v>1.4285714285714286E-6</v>
      </c>
      <c r="T207" s="44">
        <f t="shared" si="22"/>
        <v>1.4285714285714286E-6</v>
      </c>
      <c r="V207" s="44">
        <f t="shared" si="22"/>
        <v>1.4285714285714286E-6</v>
      </c>
      <c r="W207" s="44">
        <v>2E-3</v>
      </c>
      <c r="X207" s="44">
        <f t="shared" si="22"/>
        <v>1.4285714285714286E-6</v>
      </c>
      <c r="AA207" s="44">
        <f t="shared" si="22"/>
        <v>1.4285714285714286E-6</v>
      </c>
      <c r="AB207" s="44">
        <f t="shared" si="22"/>
        <v>1.4285714285714286E-6</v>
      </c>
      <c r="AC207" s="44">
        <f t="shared" si="22"/>
        <v>1.4285714285714286E-6</v>
      </c>
      <c r="AD207" s="44">
        <f t="shared" si="22"/>
        <v>1.4285714285714286E-6</v>
      </c>
      <c r="AE207" s="44">
        <f t="shared" si="22"/>
        <v>1.4285714285714286E-6</v>
      </c>
      <c r="AF207" s="44">
        <f t="shared" si="22"/>
        <v>1.4285714285714286E-6</v>
      </c>
      <c r="AG207" s="44">
        <f t="shared" si="22"/>
        <v>1.4285714285714286E-6</v>
      </c>
      <c r="AH207" s="44">
        <f t="shared" si="22"/>
        <v>1.4285714285714286E-6</v>
      </c>
      <c r="AI207" s="44">
        <f t="shared" si="22"/>
        <v>1.4285714285714286E-6</v>
      </c>
      <c r="AJ207" s="44">
        <f t="shared" si="22"/>
        <v>1.4285714285714286E-6</v>
      </c>
      <c r="AK207" s="44">
        <f t="shared" si="22"/>
        <v>1.4285714285714286E-6</v>
      </c>
      <c r="AL207"/>
      <c r="AM207" s="44">
        <f t="shared" si="22"/>
        <v>1.4285714285714286E-6</v>
      </c>
      <c r="AN207" s="44">
        <f t="shared" si="22"/>
        <v>1.4285714285714286E-6</v>
      </c>
      <c r="AO207" s="44">
        <f t="shared" si="22"/>
        <v>1.4285714285714286E-6</v>
      </c>
      <c r="AP207" s="44">
        <f t="shared" si="22"/>
        <v>1.4285714285714286E-6</v>
      </c>
      <c r="AQ207" s="44">
        <f t="shared" si="22"/>
        <v>1.4285714285714286E-6</v>
      </c>
      <c r="AR207" s="44">
        <f t="shared" si="22"/>
        <v>1.4285714285714286E-6</v>
      </c>
      <c r="AS207" s="44">
        <f t="shared" si="22"/>
        <v>1.4285714285714286E-6</v>
      </c>
      <c r="AT207"/>
      <c r="AU207" s="44">
        <f t="shared" si="22"/>
        <v>1.4285714285714286E-6</v>
      </c>
      <c r="AV207" s="44">
        <f t="shared" si="22"/>
        <v>1.4285714285714286E-6</v>
      </c>
      <c r="AW207" s="44">
        <f t="shared" si="22"/>
        <v>1.4285714285714286E-6</v>
      </c>
      <c r="AX207" s="44">
        <f t="shared" si="22"/>
        <v>1.4285714285714286E-6</v>
      </c>
      <c r="AY207"/>
      <c r="AZ207" s="44">
        <v>2E-3</v>
      </c>
      <c r="BA207"/>
      <c r="BB207"/>
      <c r="BC207" s="44">
        <f t="shared" si="22"/>
        <v>1.4285714285714286E-6</v>
      </c>
      <c r="BD207" s="37"/>
      <c r="BE207" s="37"/>
      <c r="BF207" s="37"/>
      <c r="BG207" s="37"/>
      <c r="BH207" s="37"/>
      <c r="BI207" s="37"/>
      <c r="BJ207" s="37"/>
      <c r="BK207" s="37"/>
    </row>
    <row r="208" spans="1:63" x14ac:dyDescent="0.25">
      <c r="A208" s="2" t="s">
        <v>489</v>
      </c>
      <c r="B208" s="3" t="s">
        <v>473</v>
      </c>
      <c r="C208" s="3" t="s">
        <v>483</v>
      </c>
      <c r="D208" s="3" t="s">
        <v>524</v>
      </c>
      <c r="E208" s="50" t="s">
        <v>490</v>
      </c>
      <c r="F208" s="50" t="s">
        <v>491</v>
      </c>
      <c r="G208" s="44" t="s">
        <v>485</v>
      </c>
      <c r="H208" s="44" t="s">
        <v>485</v>
      </c>
      <c r="I208" s="44" t="s">
        <v>485</v>
      </c>
      <c r="J208" s="44" t="s">
        <v>485</v>
      </c>
      <c r="K208" s="44" t="s">
        <v>485</v>
      </c>
      <c r="L208" s="44" t="s">
        <v>485</v>
      </c>
      <c r="M208" s="44" t="s">
        <v>485</v>
      </c>
      <c r="N208" s="44" t="s">
        <v>485</v>
      </c>
      <c r="O208" s="44" t="s">
        <v>485</v>
      </c>
      <c r="P208" s="44" t="s">
        <v>485</v>
      </c>
      <c r="R208" s="44" t="s">
        <v>485</v>
      </c>
      <c r="S208" s="44" t="s">
        <v>485</v>
      </c>
      <c r="T208" s="44" t="s">
        <v>485</v>
      </c>
      <c r="V208" s="44" t="s">
        <v>485</v>
      </c>
      <c r="W208" s="44">
        <v>0.1</v>
      </c>
      <c r="X208" s="44" t="s">
        <v>485</v>
      </c>
      <c r="AA208" s="44" t="s">
        <v>485</v>
      </c>
      <c r="AB208" s="44" t="s">
        <v>485</v>
      </c>
      <c r="AC208" s="44" t="s">
        <v>485</v>
      </c>
      <c r="AD208" s="44" t="s">
        <v>485</v>
      </c>
      <c r="AE208" s="44" t="s">
        <v>485</v>
      </c>
      <c r="AF208" s="44" t="s">
        <v>485</v>
      </c>
      <c r="AG208" s="44" t="s">
        <v>485</v>
      </c>
      <c r="AH208" s="44" t="s">
        <v>485</v>
      </c>
      <c r="AI208" s="44" t="s">
        <v>485</v>
      </c>
      <c r="AJ208" s="44" t="s">
        <v>485</v>
      </c>
      <c r="AK208" s="44" t="s">
        <v>485</v>
      </c>
      <c r="AL208"/>
      <c r="AM208" s="44" t="s">
        <v>485</v>
      </c>
      <c r="AN208" s="44" t="s">
        <v>485</v>
      </c>
      <c r="AO208" s="44" t="s">
        <v>485</v>
      </c>
      <c r="AP208" s="44" t="s">
        <v>485</v>
      </c>
      <c r="AQ208" s="44" t="s">
        <v>485</v>
      </c>
      <c r="AR208" s="44" t="s">
        <v>485</v>
      </c>
      <c r="AS208" s="44" t="s">
        <v>485</v>
      </c>
      <c r="AT208"/>
      <c r="AU208" s="44" t="s">
        <v>485</v>
      </c>
      <c r="AV208" s="44" t="s">
        <v>485</v>
      </c>
      <c r="AW208" s="44" t="s">
        <v>485</v>
      </c>
      <c r="AX208" s="44" t="s">
        <v>485</v>
      </c>
      <c r="AY208"/>
      <c r="AZ208" s="44">
        <v>0.1</v>
      </c>
      <c r="BA208"/>
      <c r="BB208"/>
      <c r="BC208" s="44" t="s">
        <v>485</v>
      </c>
      <c r="BD208" s="37"/>
      <c r="BE208" s="37"/>
      <c r="BF208" s="37"/>
      <c r="BG208" s="37"/>
      <c r="BH208" s="37"/>
      <c r="BI208" s="37"/>
      <c r="BJ208" s="37"/>
      <c r="BK208" s="37"/>
    </row>
    <row r="209" spans="1:78" x14ac:dyDescent="0.25">
      <c r="A209" s="2" t="s">
        <v>492</v>
      </c>
      <c r="B209" s="3" t="s">
        <v>473</v>
      </c>
      <c r="C209" s="3" t="s">
        <v>483</v>
      </c>
      <c r="D209" s="3" t="s">
        <v>524</v>
      </c>
      <c r="E209" s="50" t="s">
        <v>493</v>
      </c>
      <c r="F209" s="50" t="s">
        <v>491</v>
      </c>
      <c r="G209" s="44">
        <v>0</v>
      </c>
      <c r="H209" s="44">
        <v>0</v>
      </c>
      <c r="I209" s="44">
        <v>0</v>
      </c>
      <c r="J209" s="44">
        <v>0</v>
      </c>
      <c r="K209" s="44">
        <v>0</v>
      </c>
      <c r="L209" s="44">
        <v>0</v>
      </c>
      <c r="M209" s="44">
        <v>0</v>
      </c>
      <c r="N209" s="44">
        <v>0</v>
      </c>
      <c r="O209" s="44">
        <v>0</v>
      </c>
      <c r="P209" s="44">
        <v>0</v>
      </c>
      <c r="R209" s="44">
        <v>0</v>
      </c>
      <c r="S209" s="44">
        <v>0</v>
      </c>
      <c r="T209" s="44">
        <v>0</v>
      </c>
      <c r="V209" s="44">
        <v>0</v>
      </c>
      <c r="W209" s="44">
        <v>0.04</v>
      </c>
      <c r="X209" s="44">
        <v>0</v>
      </c>
      <c r="AA209" s="44">
        <v>0</v>
      </c>
      <c r="AB209" s="44">
        <v>0</v>
      </c>
      <c r="AC209" s="44">
        <v>0</v>
      </c>
      <c r="AD209" s="44">
        <v>0</v>
      </c>
      <c r="AE209" s="44">
        <v>0</v>
      </c>
      <c r="AF209" s="44">
        <v>0</v>
      </c>
      <c r="AG209" s="44">
        <v>0</v>
      </c>
      <c r="AH209" s="44">
        <v>0</v>
      </c>
      <c r="AI209" s="44">
        <v>0</v>
      </c>
      <c r="AJ209" s="44">
        <v>0</v>
      </c>
      <c r="AK209" s="44">
        <v>0</v>
      </c>
      <c r="AL209"/>
      <c r="AM209" s="44">
        <v>0</v>
      </c>
      <c r="AN209" s="44">
        <v>0</v>
      </c>
      <c r="AO209" s="44">
        <v>0</v>
      </c>
      <c r="AP209" s="44">
        <v>0</v>
      </c>
      <c r="AQ209" s="44">
        <v>0</v>
      </c>
      <c r="AR209" s="44">
        <v>0</v>
      </c>
      <c r="AS209" s="44">
        <v>0</v>
      </c>
      <c r="AT209"/>
      <c r="AU209" s="44">
        <v>0</v>
      </c>
      <c r="AV209" s="44">
        <v>0</v>
      </c>
      <c r="AW209" s="44">
        <v>0</v>
      </c>
      <c r="AX209" s="44">
        <v>0</v>
      </c>
      <c r="AY209"/>
      <c r="AZ209" s="44">
        <v>0.04</v>
      </c>
      <c r="BA209"/>
      <c r="BB209"/>
      <c r="BC209" s="44">
        <v>0</v>
      </c>
      <c r="BD209" s="37"/>
      <c r="BE209" s="37"/>
      <c r="BF209" s="37"/>
      <c r="BG209" s="37"/>
      <c r="BH209" s="37"/>
      <c r="BI209" s="37"/>
      <c r="BJ209" s="37"/>
      <c r="BK209" s="37"/>
    </row>
    <row r="210" spans="1:78" x14ac:dyDescent="0.25">
      <c r="A210" s="2" t="s">
        <v>494</v>
      </c>
      <c r="B210" s="3" t="s">
        <v>473</v>
      </c>
      <c r="C210" s="3" t="s">
        <v>483</v>
      </c>
      <c r="D210" s="3" t="s">
        <v>524</v>
      </c>
      <c r="E210" s="50" t="s">
        <v>495</v>
      </c>
      <c r="F210" s="50" t="s">
        <v>491</v>
      </c>
      <c r="G210" s="44">
        <v>1E-3</v>
      </c>
      <c r="H210" s="44">
        <v>1E-3</v>
      </c>
      <c r="I210" s="44">
        <v>1E-3</v>
      </c>
      <c r="J210" s="44">
        <v>1E-3</v>
      </c>
      <c r="K210" s="44">
        <v>1E-3</v>
      </c>
      <c r="L210" s="44">
        <v>1E-3</v>
      </c>
      <c r="M210" s="44">
        <v>1E-3</v>
      </c>
      <c r="N210" s="44">
        <v>1E-3</v>
      </c>
      <c r="O210" s="44">
        <v>1E-3</v>
      </c>
      <c r="P210" s="44">
        <v>1E-3</v>
      </c>
      <c r="R210" s="44">
        <v>1E-3</v>
      </c>
      <c r="S210" s="44">
        <v>1E-3</v>
      </c>
      <c r="T210" s="44">
        <v>1E-3</v>
      </c>
      <c r="V210" s="44">
        <v>1E-3</v>
      </c>
      <c r="W210" s="44">
        <v>1E-3</v>
      </c>
      <c r="X210" s="44">
        <v>1E-3</v>
      </c>
      <c r="AA210" s="44">
        <v>1E-3</v>
      </c>
      <c r="AB210" s="44">
        <v>1E-3</v>
      </c>
      <c r="AC210" s="44">
        <v>1E-3</v>
      </c>
      <c r="AD210" s="44">
        <v>1E-3</v>
      </c>
      <c r="AE210" s="44">
        <v>1E-3</v>
      </c>
      <c r="AF210" s="44">
        <v>1E-3</v>
      </c>
      <c r="AG210" s="44">
        <v>1E-3</v>
      </c>
      <c r="AH210" s="44">
        <v>1E-3</v>
      </c>
      <c r="AI210" s="44">
        <v>1E-3</v>
      </c>
      <c r="AJ210" s="44">
        <v>1E-3</v>
      </c>
      <c r="AK210" s="44">
        <v>1E-3</v>
      </c>
      <c r="AL210"/>
      <c r="AM210" s="44">
        <v>1E-3</v>
      </c>
      <c r="AN210" s="44">
        <v>1E-3</v>
      </c>
      <c r="AO210" s="44">
        <v>1E-3</v>
      </c>
      <c r="AP210" s="44">
        <v>1E-3</v>
      </c>
      <c r="AQ210" s="44">
        <v>1E-3</v>
      </c>
      <c r="AR210" s="44">
        <v>1E-3</v>
      </c>
      <c r="AS210" s="44">
        <v>1E-3</v>
      </c>
      <c r="AT210"/>
      <c r="AU210" s="44">
        <v>1E-3</v>
      </c>
      <c r="AV210" s="44">
        <v>1E-3</v>
      </c>
      <c r="AW210" s="44">
        <v>1E-3</v>
      </c>
      <c r="AX210" s="44">
        <v>1E-3</v>
      </c>
      <c r="AY210"/>
      <c r="AZ210" s="44">
        <v>1E-3</v>
      </c>
      <c r="BA210"/>
      <c r="BB210"/>
      <c r="BC210" s="44">
        <v>1E-3</v>
      </c>
      <c r="BD210" s="37"/>
      <c r="BE210" s="37"/>
      <c r="BF210" s="37"/>
      <c r="BG210" s="37"/>
      <c r="BH210" s="37"/>
      <c r="BI210" s="37"/>
      <c r="BJ210" s="37"/>
      <c r="BK210" s="37"/>
    </row>
    <row r="211" spans="1:78" x14ac:dyDescent="0.25">
      <c r="A211" s="2" t="s">
        <v>496</v>
      </c>
      <c r="B211" s="3" t="s">
        <v>473</v>
      </c>
      <c r="C211" s="3" t="s">
        <v>483</v>
      </c>
      <c r="D211" s="3" t="s">
        <v>524</v>
      </c>
      <c r="E211" s="50" t="s">
        <v>497</v>
      </c>
      <c r="F211" s="50" t="s">
        <v>498</v>
      </c>
      <c r="G211" s="44">
        <f>1.25*0.000001</f>
        <v>1.2499999999999999E-6</v>
      </c>
      <c r="H211" s="44">
        <f t="shared" ref="H211:BC211" si="23">1250*0.000001/5</f>
        <v>2.5000000000000001E-4</v>
      </c>
      <c r="I211" s="44">
        <f t="shared" si="23"/>
        <v>2.5000000000000001E-4</v>
      </c>
      <c r="J211" s="44">
        <f t="shared" si="23"/>
        <v>2.5000000000000001E-4</v>
      </c>
      <c r="K211" s="44">
        <f t="shared" si="23"/>
        <v>2.5000000000000001E-4</v>
      </c>
      <c r="L211" s="44">
        <f t="shared" si="23"/>
        <v>2.5000000000000001E-4</v>
      </c>
      <c r="M211" s="44">
        <f t="shared" si="23"/>
        <v>2.5000000000000001E-4</v>
      </c>
      <c r="N211" s="44">
        <f t="shared" si="23"/>
        <v>2.5000000000000001E-4</v>
      </c>
      <c r="O211" s="44">
        <f t="shared" si="23"/>
        <v>2.5000000000000001E-4</v>
      </c>
      <c r="P211" s="44">
        <f t="shared" si="23"/>
        <v>2.5000000000000001E-4</v>
      </c>
      <c r="R211" s="44">
        <f t="shared" si="23"/>
        <v>2.5000000000000001E-4</v>
      </c>
      <c r="S211" s="44">
        <f t="shared" si="23"/>
        <v>2.5000000000000001E-4</v>
      </c>
      <c r="T211" s="44">
        <f t="shared" si="23"/>
        <v>2.5000000000000001E-4</v>
      </c>
      <c r="V211" s="44">
        <f t="shared" si="23"/>
        <v>2.5000000000000001E-4</v>
      </c>
      <c r="W211" s="44">
        <f t="shared" si="23"/>
        <v>2.5000000000000001E-4</v>
      </c>
      <c r="X211" s="44">
        <f t="shared" si="23"/>
        <v>2.5000000000000001E-4</v>
      </c>
      <c r="AA211" s="44">
        <f t="shared" si="23"/>
        <v>2.5000000000000001E-4</v>
      </c>
      <c r="AB211" s="44">
        <f t="shared" si="23"/>
        <v>2.5000000000000001E-4</v>
      </c>
      <c r="AC211" s="44">
        <f t="shared" si="23"/>
        <v>2.5000000000000001E-4</v>
      </c>
      <c r="AD211" s="44">
        <f t="shared" si="23"/>
        <v>2.5000000000000001E-4</v>
      </c>
      <c r="AE211" s="44">
        <f t="shared" si="23"/>
        <v>2.5000000000000001E-4</v>
      </c>
      <c r="AF211" s="44">
        <f t="shared" si="23"/>
        <v>2.5000000000000001E-4</v>
      </c>
      <c r="AG211" s="44">
        <f t="shared" si="23"/>
        <v>2.5000000000000001E-4</v>
      </c>
      <c r="AH211" s="44">
        <f t="shared" si="23"/>
        <v>2.5000000000000001E-4</v>
      </c>
      <c r="AI211" s="44">
        <f t="shared" si="23"/>
        <v>2.5000000000000001E-4</v>
      </c>
      <c r="AJ211" s="44">
        <f t="shared" si="23"/>
        <v>2.5000000000000001E-4</v>
      </c>
      <c r="AK211" s="44">
        <f t="shared" si="23"/>
        <v>2.5000000000000001E-4</v>
      </c>
      <c r="AL211"/>
      <c r="AM211" s="44">
        <f t="shared" si="23"/>
        <v>2.5000000000000001E-4</v>
      </c>
      <c r="AN211" s="44">
        <f t="shared" si="23"/>
        <v>2.5000000000000001E-4</v>
      </c>
      <c r="AO211" s="44">
        <f t="shared" si="23"/>
        <v>2.5000000000000001E-4</v>
      </c>
      <c r="AP211" s="44">
        <f t="shared" si="23"/>
        <v>2.5000000000000001E-4</v>
      </c>
      <c r="AQ211" s="44">
        <f t="shared" si="23"/>
        <v>2.5000000000000001E-4</v>
      </c>
      <c r="AR211" s="44">
        <f t="shared" si="23"/>
        <v>2.5000000000000001E-4</v>
      </c>
      <c r="AS211" s="44">
        <f t="shared" si="23"/>
        <v>2.5000000000000001E-4</v>
      </c>
      <c r="AT211"/>
      <c r="AU211" s="44">
        <f t="shared" si="23"/>
        <v>2.5000000000000001E-4</v>
      </c>
      <c r="AV211" s="44">
        <f t="shared" si="23"/>
        <v>2.5000000000000001E-4</v>
      </c>
      <c r="AW211" s="44">
        <f t="shared" si="23"/>
        <v>2.5000000000000001E-4</v>
      </c>
      <c r="AX211" s="44">
        <f t="shared" si="23"/>
        <v>2.5000000000000001E-4</v>
      </c>
      <c r="AY211"/>
      <c r="AZ211" s="44">
        <f t="shared" si="23"/>
        <v>2.5000000000000001E-4</v>
      </c>
      <c r="BA211"/>
      <c r="BB211"/>
      <c r="BC211" s="44">
        <f t="shared" si="23"/>
        <v>2.5000000000000001E-4</v>
      </c>
      <c r="BD211" s="51"/>
      <c r="BE211" s="51"/>
      <c r="BF211" s="51"/>
      <c r="BG211" s="51"/>
      <c r="BH211" s="51"/>
      <c r="BI211" s="51"/>
      <c r="BJ211" s="51"/>
      <c r="BK211" s="51"/>
    </row>
    <row r="212" spans="1:78" x14ac:dyDescent="0.25">
      <c r="A212" s="2" t="s">
        <v>499</v>
      </c>
      <c r="B212" s="3" t="s">
        <v>473</v>
      </c>
      <c r="C212" s="3" t="s">
        <v>483</v>
      </c>
      <c r="D212" s="3" t="s">
        <v>524</v>
      </c>
      <c r="E212" s="50" t="s">
        <v>500</v>
      </c>
      <c r="F212" s="50" t="s">
        <v>501</v>
      </c>
      <c r="G212" s="44">
        <v>2.0000000000000001E-4</v>
      </c>
      <c r="H212" s="44">
        <v>2.0000000000000001E-4</v>
      </c>
      <c r="I212" s="44">
        <v>2.0000000000000001E-4</v>
      </c>
      <c r="J212" s="44">
        <v>2.0000000000000001E-4</v>
      </c>
      <c r="K212" s="44">
        <v>2.0000000000000001E-4</v>
      </c>
      <c r="L212" s="44">
        <v>2.0000000000000001E-4</v>
      </c>
      <c r="M212" s="44">
        <v>2.0000000000000001E-4</v>
      </c>
      <c r="N212" s="44">
        <v>2.0000000000000001E-4</v>
      </c>
      <c r="O212" s="44">
        <v>2.0000000000000001E-4</v>
      </c>
      <c r="P212" s="44">
        <v>2.0000000000000001E-4</v>
      </c>
      <c r="R212" s="44">
        <v>2.0000000000000001E-4</v>
      </c>
      <c r="S212" s="44">
        <v>2.0000000000000001E-4</v>
      </c>
      <c r="T212" s="44">
        <v>2.0000000000000001E-4</v>
      </c>
      <c r="V212" s="44">
        <v>2.0000000000000001E-4</v>
      </c>
      <c r="W212" s="44">
        <v>2.0000000000000001E-4</v>
      </c>
      <c r="X212" s="44">
        <v>2.0000000000000001E-4</v>
      </c>
      <c r="AA212" s="44">
        <v>2.0000000000000001E-4</v>
      </c>
      <c r="AB212" s="44">
        <v>2.0000000000000001E-4</v>
      </c>
      <c r="AC212" s="44">
        <v>2.0000000000000001E-4</v>
      </c>
      <c r="AD212" s="44">
        <v>2.0000000000000001E-4</v>
      </c>
      <c r="AE212" s="44">
        <v>2.0000000000000001E-4</v>
      </c>
      <c r="AF212" s="44">
        <v>2.0000000000000001E-4</v>
      </c>
      <c r="AG212" s="44">
        <v>2.0000000000000001E-4</v>
      </c>
      <c r="AH212" s="44">
        <v>2.0000000000000001E-4</v>
      </c>
      <c r="AI212" s="44">
        <v>2.0000000000000001E-4</v>
      </c>
      <c r="AJ212" s="44">
        <v>2.0000000000000001E-4</v>
      </c>
      <c r="AK212" s="44">
        <v>2.0000000000000001E-4</v>
      </c>
      <c r="AL212"/>
      <c r="AM212" s="44">
        <v>2.0000000000000001E-4</v>
      </c>
      <c r="AN212" s="44">
        <v>2.0000000000000001E-4</v>
      </c>
      <c r="AO212" s="44">
        <v>2.0000000000000001E-4</v>
      </c>
      <c r="AP212" s="44">
        <v>2.0000000000000001E-4</v>
      </c>
      <c r="AQ212" s="44">
        <v>2.0000000000000001E-4</v>
      </c>
      <c r="AR212" s="44">
        <v>2.0000000000000001E-4</v>
      </c>
      <c r="AS212" s="44">
        <v>2.0000000000000001E-4</v>
      </c>
      <c r="AT212"/>
      <c r="AU212" s="44">
        <v>2.0000000000000001E-4</v>
      </c>
      <c r="AV212" s="44">
        <v>2.0000000000000001E-4</v>
      </c>
      <c r="AW212" s="44">
        <v>2.0000000000000001E-4</v>
      </c>
      <c r="AX212" s="44">
        <v>2.0000000000000001E-4</v>
      </c>
      <c r="AY212"/>
      <c r="AZ212" s="44">
        <v>2.0000000000000001E-4</v>
      </c>
      <c r="BA212"/>
      <c r="BB212"/>
      <c r="BC212" s="44">
        <v>2.0000000000000001E-4</v>
      </c>
      <c r="BD212" s="51"/>
      <c r="BE212" s="51"/>
      <c r="BF212" s="51"/>
      <c r="BG212" s="51"/>
      <c r="BH212" s="51"/>
      <c r="BI212" s="51"/>
      <c r="BJ212" s="51"/>
      <c r="BK212" s="51"/>
    </row>
    <row r="213" spans="1:78" x14ac:dyDescent="0.25">
      <c r="A213" s="2" t="s">
        <v>502</v>
      </c>
      <c r="B213" s="3" t="s">
        <v>473</v>
      </c>
      <c r="C213" s="3" t="s">
        <v>483</v>
      </c>
      <c r="D213" s="3" t="s">
        <v>524</v>
      </c>
      <c r="E213" s="50" t="s">
        <v>503</v>
      </c>
      <c r="F213" s="50" t="s">
        <v>504</v>
      </c>
      <c r="G213" s="44">
        <v>2.4999999999999998E-12</v>
      </c>
      <c r="H213" s="44">
        <v>2.4999999999999998E-12</v>
      </c>
      <c r="I213" s="44">
        <v>2.4999999999999999E-13</v>
      </c>
      <c r="J213" s="44">
        <v>2.4999999999999999E-13</v>
      </c>
      <c r="K213" s="44">
        <v>2.4999999999999999E-13</v>
      </c>
      <c r="L213" s="44">
        <v>2.4999999999999999E-13</v>
      </c>
      <c r="M213" s="44">
        <v>2.4999999999999999E-13</v>
      </c>
      <c r="N213" s="44">
        <v>2.4999999999999999E-13</v>
      </c>
      <c r="O213" s="44">
        <v>2.4999999999999999E-13</v>
      </c>
      <c r="P213" s="44">
        <v>2.4999999999999999E-13</v>
      </c>
      <c r="R213" s="44">
        <f xml:space="preserve"> 0.0000000000025</f>
        <v>2.4999999999999998E-12</v>
      </c>
      <c r="S213" s="44">
        <f xml:space="preserve"> 0.0000000000025</f>
        <v>2.4999999999999998E-12</v>
      </c>
      <c r="T213" s="44">
        <f xml:space="preserve"> 0.0000000000025</f>
        <v>2.4999999999999998E-12</v>
      </c>
      <c r="V213" s="44">
        <v>2.4999999999999999E-13</v>
      </c>
      <c r="W213" s="44">
        <v>2.4999999999999999E-13</v>
      </c>
      <c r="X213" s="44">
        <v>2.4999999999999999E-13</v>
      </c>
      <c r="AA213" s="44">
        <v>2.4999999999999999E-13</v>
      </c>
      <c r="AB213" s="44">
        <v>2.4999999999999999E-13</v>
      </c>
      <c r="AC213" s="44">
        <v>2.4999999999999999E-13</v>
      </c>
      <c r="AD213" s="44">
        <v>2.4999999999999999E-13</v>
      </c>
      <c r="AE213" s="44">
        <v>2.4999999999999999E-13</v>
      </c>
      <c r="AF213" s="44">
        <v>2.4999999999999999E-13</v>
      </c>
      <c r="AG213" s="44">
        <v>2.4999999999999999E-13</v>
      </c>
      <c r="AH213" s="44">
        <v>2.4999999999999999E-13</v>
      </c>
      <c r="AI213" s="44">
        <v>2.4999999999999999E-13</v>
      </c>
      <c r="AJ213" s="44">
        <v>2.4999999999999999E-13</v>
      </c>
      <c r="AK213" s="44">
        <v>2.4999999999999999E-13</v>
      </c>
      <c r="AL213"/>
      <c r="AM213" s="44">
        <v>2.4999999999999999E-13</v>
      </c>
      <c r="AN213" s="44">
        <v>2.4999999999999999E-13</v>
      </c>
      <c r="AO213" s="44">
        <v>2.4999999999999999E-13</v>
      </c>
      <c r="AP213" s="44">
        <v>2.4999999999999999E-13</v>
      </c>
      <c r="AQ213" s="44">
        <v>2.4999999999999999E-13</v>
      </c>
      <c r="AR213" s="44">
        <v>2.4999999999999999E-13</v>
      </c>
      <c r="AS213" s="44">
        <v>2.4999999999999999E-13</v>
      </c>
      <c r="AT213"/>
      <c r="AU213" s="44">
        <v>2.4999999999999999E-13</v>
      </c>
      <c r="AV213" s="44">
        <v>2.4999999999999999E-13</v>
      </c>
      <c r="AW213" s="44">
        <v>2.4999999999999999E-13</v>
      </c>
      <c r="AX213" s="44">
        <v>2.4999999999999999E-13</v>
      </c>
      <c r="AY213"/>
      <c r="AZ213" s="44">
        <v>2.4999999999999999E-13</v>
      </c>
      <c r="BA213"/>
      <c r="BB213"/>
      <c r="BC213" s="44">
        <v>2.4999999999999999E-13</v>
      </c>
      <c r="BD213" s="51"/>
      <c r="BE213" s="51"/>
      <c r="BF213" s="51"/>
      <c r="BG213" s="51"/>
      <c r="BH213" s="51"/>
      <c r="BI213" s="51"/>
      <c r="BJ213" s="51"/>
      <c r="BK213" s="51"/>
    </row>
    <row r="214" spans="1:78" x14ac:dyDescent="0.25">
      <c r="A214" s="2" t="s">
        <v>505</v>
      </c>
      <c r="B214" s="3" t="s">
        <v>473</v>
      </c>
      <c r="C214" s="3" t="s">
        <v>483</v>
      </c>
      <c r="D214" s="3" t="s">
        <v>524</v>
      </c>
      <c r="E214" s="50" t="s">
        <v>506</v>
      </c>
      <c r="F214" s="50" t="s">
        <v>504</v>
      </c>
      <c r="G214" s="44">
        <v>1.2E-8</v>
      </c>
      <c r="H214" s="44">
        <v>1.2E-8</v>
      </c>
      <c r="I214" s="44">
        <f t="shared" ref="I214:AZ214" si="24">0.00000012*100</f>
        <v>1.1999999999999999E-5</v>
      </c>
      <c r="J214" s="44">
        <f t="shared" si="24"/>
        <v>1.1999999999999999E-5</v>
      </c>
      <c r="K214" s="44">
        <f t="shared" si="24"/>
        <v>1.1999999999999999E-5</v>
      </c>
      <c r="L214" s="44">
        <f t="shared" si="24"/>
        <v>1.1999999999999999E-5</v>
      </c>
      <c r="M214" s="44">
        <f t="shared" si="24"/>
        <v>1.1999999999999999E-5</v>
      </c>
      <c r="N214" s="44">
        <f t="shared" si="24"/>
        <v>1.1999999999999999E-5</v>
      </c>
      <c r="O214" s="44">
        <f t="shared" si="24"/>
        <v>1.1999999999999999E-5</v>
      </c>
      <c r="P214" s="44">
        <f t="shared" si="24"/>
        <v>1.1999999999999999E-5</v>
      </c>
      <c r="R214" s="44">
        <f>0.00000000005</f>
        <v>5.0000000000000002E-11</v>
      </c>
      <c r="S214" s="44">
        <f>0.00000000005</f>
        <v>5.0000000000000002E-11</v>
      </c>
      <c r="T214" s="44">
        <f>0.00000000005</f>
        <v>5.0000000000000002E-11</v>
      </c>
      <c r="V214" s="44">
        <f t="shared" si="24"/>
        <v>1.1999999999999999E-5</v>
      </c>
      <c r="W214" s="44">
        <f t="shared" si="24"/>
        <v>1.1999999999999999E-5</v>
      </c>
      <c r="X214" s="44">
        <f t="shared" si="24"/>
        <v>1.1999999999999999E-5</v>
      </c>
      <c r="AA214" s="44">
        <f t="shared" si="24"/>
        <v>1.1999999999999999E-5</v>
      </c>
      <c r="AB214" s="44">
        <f t="shared" si="24"/>
        <v>1.1999999999999999E-5</v>
      </c>
      <c r="AC214" s="44">
        <f t="shared" si="24"/>
        <v>1.1999999999999999E-5</v>
      </c>
      <c r="AD214" s="44">
        <f t="shared" si="24"/>
        <v>1.1999999999999999E-5</v>
      </c>
      <c r="AE214" s="44">
        <f t="shared" si="24"/>
        <v>1.1999999999999999E-5</v>
      </c>
      <c r="AF214" s="44">
        <f t="shared" si="24"/>
        <v>1.1999999999999999E-5</v>
      </c>
      <c r="AG214" s="44">
        <f t="shared" si="24"/>
        <v>1.1999999999999999E-5</v>
      </c>
      <c r="AH214" s="44">
        <f t="shared" si="24"/>
        <v>1.1999999999999999E-5</v>
      </c>
      <c r="AI214" s="44">
        <f t="shared" si="24"/>
        <v>1.1999999999999999E-5</v>
      </c>
      <c r="AJ214" s="44">
        <f t="shared" si="24"/>
        <v>1.1999999999999999E-5</v>
      </c>
      <c r="AK214" s="44">
        <f t="shared" si="24"/>
        <v>1.1999999999999999E-5</v>
      </c>
      <c r="AL214"/>
      <c r="AM214" s="44">
        <f t="shared" si="24"/>
        <v>1.1999999999999999E-5</v>
      </c>
      <c r="AN214" s="44">
        <f t="shared" si="24"/>
        <v>1.1999999999999999E-5</v>
      </c>
      <c r="AO214" s="44">
        <f t="shared" si="24"/>
        <v>1.1999999999999999E-5</v>
      </c>
      <c r="AP214" s="44">
        <f t="shared" si="24"/>
        <v>1.1999999999999999E-5</v>
      </c>
      <c r="AQ214" s="44">
        <f t="shared" si="24"/>
        <v>1.1999999999999999E-5</v>
      </c>
      <c r="AR214" s="44">
        <f t="shared" si="24"/>
        <v>1.1999999999999999E-5</v>
      </c>
      <c r="AS214" s="44">
        <f t="shared" si="24"/>
        <v>1.1999999999999999E-5</v>
      </c>
      <c r="AT214"/>
      <c r="AU214" s="44">
        <f t="shared" si="24"/>
        <v>1.1999999999999999E-5</v>
      </c>
      <c r="AV214" s="44">
        <f t="shared" si="24"/>
        <v>1.1999999999999999E-5</v>
      </c>
      <c r="AW214" s="44">
        <f t="shared" si="24"/>
        <v>1.1999999999999999E-5</v>
      </c>
      <c r="AX214" s="44">
        <f t="shared" si="24"/>
        <v>1.1999999999999999E-5</v>
      </c>
      <c r="AY214"/>
      <c r="AZ214" s="44">
        <f t="shared" si="24"/>
        <v>1.1999999999999999E-5</v>
      </c>
      <c r="BA214"/>
      <c r="BB214"/>
      <c r="BC214" s="44">
        <f>0.00000012*100</f>
        <v>1.1999999999999999E-5</v>
      </c>
      <c r="BD214" s="51"/>
      <c r="BE214" s="51"/>
      <c r="BF214" s="51"/>
      <c r="BG214" s="51"/>
      <c r="BH214" s="51"/>
      <c r="BI214" s="51"/>
      <c r="BJ214" s="51"/>
      <c r="BK214" s="51"/>
    </row>
    <row r="215" spans="1:78" x14ac:dyDescent="0.25">
      <c r="A215" s="2" t="s">
        <v>583</v>
      </c>
      <c r="B215" s="3" t="s">
        <v>473</v>
      </c>
      <c r="C215" s="3" t="s">
        <v>483</v>
      </c>
      <c r="D215" s="3" t="s">
        <v>524</v>
      </c>
      <c r="E215" s="50" t="s">
        <v>506</v>
      </c>
      <c r="F215" s="50" t="s">
        <v>512</v>
      </c>
      <c r="G215" s="44"/>
      <c r="H215" s="44"/>
      <c r="I215" s="44"/>
      <c r="J215" s="44"/>
      <c r="K215" s="44"/>
      <c r="L215" s="44"/>
      <c r="M215" s="44"/>
      <c r="N215" s="44"/>
      <c r="O215" s="44"/>
      <c r="P215" s="44"/>
      <c r="R215" s="44">
        <f>0.0000001 * 10 /2</f>
        <v>4.9999999999999998E-7</v>
      </c>
      <c r="S215" s="44">
        <f>0.0000001 * 10 /2</f>
        <v>4.9999999999999998E-7</v>
      </c>
      <c r="T215" s="44">
        <f>0.0000001 * 10 /2</f>
        <v>4.9999999999999998E-7</v>
      </c>
      <c r="V215" s="44"/>
      <c r="W215" s="44"/>
      <c r="X215" s="44"/>
      <c r="AA215" s="44"/>
      <c r="AB215" s="44"/>
      <c r="AC215" s="44"/>
      <c r="AD215" s="44"/>
      <c r="AE215" s="44"/>
      <c r="AF215" s="44"/>
      <c r="AG215" s="44"/>
      <c r="AH215" s="44"/>
      <c r="AI215" s="44"/>
      <c r="AJ215" s="44"/>
      <c r="AK215" s="44"/>
      <c r="AL215"/>
      <c r="AM215" s="44"/>
      <c r="AN215" s="44"/>
      <c r="AO215" s="44"/>
      <c r="AP215" s="44"/>
      <c r="AQ215" s="44"/>
      <c r="AR215" s="44"/>
      <c r="AS215" s="44"/>
      <c r="AT215"/>
      <c r="AU215" s="44"/>
      <c r="AV215" s="44"/>
      <c r="AW215" s="44"/>
      <c r="AX215" s="44"/>
      <c r="AY215"/>
      <c r="AZ215" s="44"/>
      <c r="BA215"/>
      <c r="BB215"/>
      <c r="BC215" s="44"/>
      <c r="BD215" s="51"/>
      <c r="BE215" s="51"/>
      <c r="BF215" s="51"/>
      <c r="BG215" s="51"/>
      <c r="BH215" s="51"/>
      <c r="BI215" s="51"/>
      <c r="BJ215" s="51"/>
      <c r="BK215" s="51"/>
    </row>
    <row r="216" spans="1:78" x14ac:dyDescent="0.25">
      <c r="A216" s="2" t="s">
        <v>584</v>
      </c>
      <c r="B216" s="3" t="s">
        <v>473</v>
      </c>
      <c r="C216" s="3" t="s">
        <v>483</v>
      </c>
      <c r="D216" s="3" t="s">
        <v>524</v>
      </c>
      <c r="E216" s="50" t="s">
        <v>587</v>
      </c>
      <c r="F216" s="50" t="s">
        <v>487</v>
      </c>
      <c r="G216" s="44"/>
      <c r="H216" s="44"/>
      <c r="I216" s="44"/>
      <c r="J216" s="44"/>
      <c r="K216" s="44"/>
      <c r="L216" s="44"/>
      <c r="M216" s="44"/>
      <c r="N216" s="44"/>
      <c r="O216" s="44"/>
      <c r="P216" s="44"/>
      <c r="R216" s="44">
        <f>100</f>
        <v>100</v>
      </c>
      <c r="S216" s="44">
        <f>100</f>
        <v>100</v>
      </c>
      <c r="T216" s="44">
        <f>100</f>
        <v>100</v>
      </c>
      <c r="V216" s="44"/>
      <c r="W216" s="44"/>
      <c r="X216" s="44"/>
      <c r="AA216" s="44"/>
      <c r="AB216" s="44"/>
      <c r="AC216" s="44"/>
      <c r="AD216" s="44"/>
      <c r="AE216" s="44"/>
      <c r="AF216" s="44"/>
      <c r="AG216" s="44"/>
      <c r="AH216" s="44"/>
      <c r="AI216" s="44"/>
      <c r="AJ216" s="44"/>
      <c r="AK216" s="44"/>
      <c r="AL216"/>
      <c r="AM216" s="44"/>
      <c r="AN216" s="44"/>
      <c r="AO216" s="44"/>
      <c r="AP216" s="44"/>
      <c r="AQ216" s="44"/>
      <c r="AR216" s="44"/>
      <c r="AS216" s="44"/>
      <c r="AT216"/>
      <c r="AU216" s="44"/>
      <c r="AV216" s="44"/>
      <c r="AW216" s="44"/>
      <c r="AX216" s="44"/>
      <c r="AY216"/>
      <c r="AZ216" s="44"/>
      <c r="BA216"/>
      <c r="BB216"/>
      <c r="BC216" s="44"/>
      <c r="BD216" s="51"/>
      <c r="BE216" s="51"/>
      <c r="BF216" s="51"/>
      <c r="BG216" s="51"/>
      <c r="BH216" s="51"/>
      <c r="BI216" s="51"/>
      <c r="BJ216" s="51"/>
      <c r="BK216" s="51"/>
    </row>
    <row r="217" spans="1:78" x14ac:dyDescent="0.25">
      <c r="A217" s="2" t="s">
        <v>507</v>
      </c>
      <c r="B217" s="3" t="s">
        <v>473</v>
      </c>
      <c r="C217" s="3" t="s">
        <v>483</v>
      </c>
      <c r="D217" s="3" t="s">
        <v>524</v>
      </c>
      <c r="E217" s="50" t="s">
        <v>508</v>
      </c>
      <c r="F217" s="50" t="s">
        <v>509</v>
      </c>
      <c r="G217" s="44">
        <v>9.9999999999999995E-8</v>
      </c>
      <c r="H217" s="44">
        <v>9.9999999999999995E-8</v>
      </c>
      <c r="I217" s="44">
        <v>9.9999999999999995E-7</v>
      </c>
      <c r="J217" s="44">
        <v>9.9999999999999995E-7</v>
      </c>
      <c r="K217" s="44">
        <v>9.9999999999999995E-7</v>
      </c>
      <c r="L217" s="44">
        <v>9.9999999999999995E-7</v>
      </c>
      <c r="M217" s="44">
        <v>9.9999999999999995E-7</v>
      </c>
      <c r="N217" s="44">
        <v>9.9999999999999995E-7</v>
      </c>
      <c r="O217" s="44">
        <v>9.9999999999999995E-7</v>
      </c>
      <c r="P217" s="44">
        <v>9.9999999999999995E-7</v>
      </c>
      <c r="R217" s="44">
        <f>0.000001 / 10000 / 4 / 10</f>
        <v>2.4999999999999998E-12</v>
      </c>
      <c r="S217" s="44">
        <f>0.000001 / 10000 / 4 / 10</f>
        <v>2.4999999999999998E-12</v>
      </c>
      <c r="T217" s="44">
        <f>0.000001 / 10000 / 4 / 10</f>
        <v>2.4999999999999998E-12</v>
      </c>
      <c r="V217" s="44">
        <v>9.9999999999999995E-7</v>
      </c>
      <c r="W217" s="44">
        <v>9.9999999999999995E-7</v>
      </c>
      <c r="X217" s="44">
        <v>9.9999999999999995E-7</v>
      </c>
      <c r="AA217" s="44">
        <v>9.9999999999999995E-7</v>
      </c>
      <c r="AB217" s="44">
        <v>9.9999999999999995E-7</v>
      </c>
      <c r="AC217" s="44">
        <v>9.9999999999999995E-7</v>
      </c>
      <c r="AD217" s="44">
        <v>9.9999999999999995E-7</v>
      </c>
      <c r="AE217" s="44">
        <v>9.9999999999999995E-7</v>
      </c>
      <c r="AF217" s="44">
        <v>9.9999999999999995E-7</v>
      </c>
      <c r="AG217" s="44">
        <v>9.9999999999999995E-7</v>
      </c>
      <c r="AH217" s="44">
        <v>9.9999999999999995E-7</v>
      </c>
      <c r="AI217" s="44">
        <v>9.9999999999999995E-7</v>
      </c>
      <c r="AJ217" s="44">
        <v>9.9999999999999995E-7</v>
      </c>
      <c r="AK217" s="44">
        <v>9.9999999999999995E-7</v>
      </c>
      <c r="AL217"/>
      <c r="AM217" s="44">
        <v>9.9999999999999995E-7</v>
      </c>
      <c r="AN217" s="44">
        <v>9.9999999999999995E-7</v>
      </c>
      <c r="AO217" s="44">
        <v>9.9999999999999995E-7</v>
      </c>
      <c r="AP217" s="44">
        <v>9.9999999999999995E-7</v>
      </c>
      <c r="AQ217" s="44">
        <v>9.9999999999999995E-7</v>
      </c>
      <c r="AR217" s="44">
        <v>9.9999999999999995E-7</v>
      </c>
      <c r="AS217" s="44">
        <v>9.9999999999999995E-7</v>
      </c>
      <c r="AT217"/>
      <c r="AU217" s="44">
        <v>9.9999999999999995E-7</v>
      </c>
      <c r="AV217" s="44">
        <v>9.9999999999999995E-7</v>
      </c>
      <c r="AW217" s="44">
        <v>9.9999999999999995E-7</v>
      </c>
      <c r="AX217" s="44">
        <v>9.9999999999999995E-7</v>
      </c>
      <c r="AY217"/>
      <c r="AZ217" s="44">
        <v>9.9999999999999995E-7</v>
      </c>
      <c r="BA217"/>
      <c r="BB217"/>
      <c r="BC217" s="44">
        <v>9.9999999999999995E-7</v>
      </c>
      <c r="BD217" s="51"/>
      <c r="BE217" s="51"/>
      <c r="BF217" s="51"/>
      <c r="BG217" s="51"/>
      <c r="BH217" s="51"/>
      <c r="BI217" s="51"/>
      <c r="BJ217" s="51"/>
      <c r="BK217" s="51"/>
    </row>
    <row r="218" spans="1:78" x14ac:dyDescent="0.25">
      <c r="A218" s="2" t="s">
        <v>510</v>
      </c>
      <c r="B218" s="3" t="s">
        <v>473</v>
      </c>
      <c r="C218" s="3" t="s">
        <v>483</v>
      </c>
      <c r="D218" s="3" t="s">
        <v>524</v>
      </c>
      <c r="E218" s="50" t="s">
        <v>511</v>
      </c>
      <c r="F218" s="50" t="s">
        <v>512</v>
      </c>
      <c r="G218" s="44">
        <f>2*0.00001</f>
        <v>2.0000000000000002E-5</v>
      </c>
      <c r="H218" s="44">
        <f>2*0.00001</f>
        <v>2.0000000000000002E-5</v>
      </c>
      <c r="I218" s="44">
        <v>5.0000000000000002E-5</v>
      </c>
      <c r="J218" s="44">
        <v>2E-8</v>
      </c>
      <c r="K218" s="44">
        <v>2E-8</v>
      </c>
      <c r="L218" s="44">
        <v>2E-8</v>
      </c>
      <c r="M218" s="44">
        <v>2E-8</v>
      </c>
      <c r="N218" s="44">
        <v>2E-8</v>
      </c>
      <c r="O218" s="44">
        <v>2E-8</v>
      </c>
      <c r="P218" s="44">
        <v>2E-8</v>
      </c>
      <c r="R218" s="44">
        <f>0.00001</f>
        <v>1.0000000000000001E-5</v>
      </c>
      <c r="S218" s="44">
        <f>0.00001</f>
        <v>1.0000000000000001E-5</v>
      </c>
      <c r="T218" s="44">
        <f>0.00001</f>
        <v>1.0000000000000001E-5</v>
      </c>
      <c r="V218" s="44">
        <v>2E-8</v>
      </c>
      <c r="W218" s="44">
        <v>2E-8</v>
      </c>
      <c r="X218" s="44">
        <v>2E-8</v>
      </c>
      <c r="AA218" s="44">
        <v>5.0000000000000002E-5</v>
      </c>
      <c r="AB218" s="44">
        <v>5.0000000000000002E-5</v>
      </c>
      <c r="AC218" s="44">
        <v>5.0000000000000002E-5</v>
      </c>
      <c r="AD218" s="44">
        <v>5.0000000000000002E-5</v>
      </c>
      <c r="AE218" s="44">
        <v>2.0000000000000002E-5</v>
      </c>
      <c r="AF218" s="44">
        <v>1.0000000000000001E-5</v>
      </c>
      <c r="AG218" s="44">
        <v>5.0000000000000004E-6</v>
      </c>
      <c r="AH218" s="44">
        <v>1.9999999999999999E-6</v>
      </c>
      <c r="AI218" s="44">
        <v>9.9999999999999995E-7</v>
      </c>
      <c r="AJ218" s="44">
        <v>4.9999999999999998E-7</v>
      </c>
      <c r="AK218" s="44">
        <v>1.9999999999999999E-7</v>
      </c>
      <c r="AL218"/>
      <c r="AM218" s="44">
        <v>2.0000000000000002E-5</v>
      </c>
      <c r="AN218" s="44">
        <v>1.0000000000000001E-5</v>
      </c>
      <c r="AO218" s="44">
        <v>5.0000000000000004E-6</v>
      </c>
      <c r="AP218" s="44">
        <v>1.9999999999999999E-6</v>
      </c>
      <c r="AQ218" s="44">
        <v>9.9999999999999995E-7</v>
      </c>
      <c r="AR218" s="44">
        <v>4.9999999999999998E-7</v>
      </c>
      <c r="AS218" s="44">
        <v>1.9999999999999999E-7</v>
      </c>
      <c r="AT218"/>
      <c r="AU218" s="44">
        <v>2E-8</v>
      </c>
      <c r="AV218" s="44">
        <v>2E-8</v>
      </c>
      <c r="AW218" s="44">
        <v>2.0000000000000001E-9</v>
      </c>
      <c r="AX218" s="44">
        <v>2.0000000000000001E-9</v>
      </c>
      <c r="AY218"/>
      <c r="AZ218" s="44">
        <v>9.9999999999999995E-7</v>
      </c>
      <c r="BA218"/>
      <c r="BB218"/>
      <c r="BC218" s="44">
        <v>5.0000000000000002E-5</v>
      </c>
      <c r="BD218" s="51"/>
      <c r="BE218" s="51"/>
      <c r="BF218" s="51"/>
      <c r="BG218" s="51"/>
      <c r="BH218" s="51"/>
      <c r="BI218" s="51"/>
      <c r="BJ218" s="51"/>
      <c r="BK218" s="51"/>
    </row>
    <row r="219" spans="1:78" x14ac:dyDescent="0.25">
      <c r="A219" s="2" t="s">
        <v>581</v>
      </c>
      <c r="B219" s="3" t="s">
        <v>473</v>
      </c>
      <c r="C219" s="3" t="s">
        <v>483</v>
      </c>
      <c r="D219" s="3" t="s">
        <v>524</v>
      </c>
      <c r="E219" s="50" t="s">
        <v>582</v>
      </c>
      <c r="F219" s="50" t="s">
        <v>512</v>
      </c>
      <c r="G219" s="44"/>
      <c r="H219" s="44"/>
      <c r="I219" s="44"/>
      <c r="J219" s="44"/>
      <c r="K219" s="44"/>
      <c r="L219" s="44"/>
      <c r="M219" s="44"/>
      <c r="N219" s="44"/>
      <c r="O219" s="44"/>
      <c r="P219" s="44"/>
      <c r="R219" s="44">
        <f xml:space="preserve"> 0.001 * 10</f>
        <v>0.01</v>
      </c>
      <c r="S219" s="44">
        <f xml:space="preserve"> 0.001 * 10</f>
        <v>0.01</v>
      </c>
      <c r="T219" s="44">
        <f xml:space="preserve"> 0.001 * 10</f>
        <v>0.01</v>
      </c>
      <c r="V219" s="44"/>
      <c r="W219" s="44"/>
      <c r="X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/>
      <c r="AM219" s="44"/>
      <c r="AN219" s="44"/>
      <c r="AO219" s="44"/>
      <c r="AP219" s="44"/>
      <c r="AQ219" s="44"/>
      <c r="AR219" s="44"/>
      <c r="AS219" s="44"/>
      <c r="AT219"/>
      <c r="AU219" s="44"/>
      <c r="AV219" s="44"/>
      <c r="AW219" s="44"/>
      <c r="AX219" s="44"/>
      <c r="AY219"/>
      <c r="AZ219" s="44"/>
      <c r="BA219"/>
      <c r="BB219"/>
      <c r="BC219" s="44"/>
      <c r="BD219" s="51"/>
      <c r="BE219" s="51"/>
      <c r="BF219" s="51"/>
      <c r="BG219" s="51"/>
      <c r="BH219" s="51"/>
      <c r="BI219" s="51"/>
      <c r="BJ219" s="51"/>
      <c r="BK219" s="51"/>
    </row>
    <row r="220" spans="1:78" x14ac:dyDescent="0.25">
      <c r="A220" s="2" t="s">
        <v>585</v>
      </c>
      <c r="B220" s="3" t="s">
        <v>473</v>
      </c>
      <c r="C220" s="3" t="s">
        <v>483</v>
      </c>
      <c r="D220" s="3" t="s">
        <v>524</v>
      </c>
      <c r="E220" s="50" t="s">
        <v>586</v>
      </c>
      <c r="F220" s="50" t="s">
        <v>512</v>
      </c>
      <c r="G220" s="56">
        <v>1.0000000000000001E-5</v>
      </c>
      <c r="H220" s="44"/>
      <c r="I220" s="44"/>
      <c r="J220" s="44"/>
      <c r="K220" s="44"/>
      <c r="L220" s="44"/>
      <c r="M220" s="44"/>
      <c r="N220" s="44"/>
      <c r="O220" s="44"/>
      <c r="P220" s="44"/>
      <c r="R220" s="44">
        <f>0.00001 * 2 / 3</f>
        <v>6.6666666666666675E-6</v>
      </c>
      <c r="S220" s="44">
        <f>0.00001 * 2 / 3</f>
        <v>6.6666666666666675E-6</v>
      </c>
      <c r="T220" s="44">
        <f>0.00001 * 2 / 3</f>
        <v>6.6666666666666675E-6</v>
      </c>
      <c r="V220" s="44"/>
      <c r="W220" s="44"/>
      <c r="X220" s="44"/>
      <c r="AA220" s="44"/>
      <c r="AB220" s="44"/>
      <c r="AC220" s="44"/>
      <c r="AD220" s="44"/>
      <c r="AE220" s="44"/>
      <c r="AF220" s="44"/>
      <c r="AG220" s="44"/>
      <c r="AH220" s="44"/>
      <c r="AI220" s="44"/>
      <c r="AJ220" s="44"/>
      <c r="AK220" s="44"/>
      <c r="AL220"/>
      <c r="AM220" s="44"/>
      <c r="AN220" s="44"/>
      <c r="AO220" s="44"/>
      <c r="AP220" s="44"/>
      <c r="AQ220" s="44"/>
      <c r="AR220" s="44"/>
      <c r="AS220" s="44"/>
      <c r="AT220"/>
      <c r="AU220" s="44"/>
      <c r="AV220" s="44"/>
      <c r="AW220" s="44"/>
      <c r="AX220" s="44"/>
      <c r="AY220"/>
      <c r="AZ220" s="44"/>
      <c r="BA220"/>
      <c r="BB220"/>
      <c r="BC220" s="44"/>
      <c r="BD220" s="51"/>
      <c r="BE220" s="51"/>
      <c r="BF220" s="51"/>
      <c r="BG220" s="51"/>
      <c r="BH220" s="51"/>
      <c r="BI220" s="51"/>
      <c r="BJ220" s="51"/>
      <c r="BK220" s="51"/>
    </row>
    <row r="221" spans="1:78" ht="14.25" customHeight="1" x14ac:dyDescent="0.25">
      <c r="A221" s="53" t="s">
        <v>520</v>
      </c>
      <c r="B221" s="3" t="s">
        <v>473</v>
      </c>
      <c r="C221" s="3" t="s">
        <v>521</v>
      </c>
      <c r="D221" s="3" t="s">
        <v>524</v>
      </c>
      <c r="E221" s="50" t="s">
        <v>522</v>
      </c>
      <c r="F221" s="50" t="s">
        <v>523</v>
      </c>
      <c r="G221" s="44">
        <v>9.9999999999999995E-8</v>
      </c>
      <c r="H221" s="44">
        <f>G221</f>
        <v>9.9999999999999995E-8</v>
      </c>
      <c r="I221" s="44">
        <v>9.9999999999999995E-8</v>
      </c>
      <c r="J221" s="44">
        <v>9.9999999999999995E-8</v>
      </c>
      <c r="K221" s="44">
        <v>4.9999999999999998E-8</v>
      </c>
      <c r="L221" s="44">
        <v>2E-8</v>
      </c>
      <c r="M221" s="44">
        <v>1E-8</v>
      </c>
      <c r="N221" s="44">
        <v>5.0000000000000001E-9</v>
      </c>
      <c r="O221" s="44">
        <v>2.0000000000000001E-9</v>
      </c>
      <c r="P221" s="44">
        <v>1.0000000000000001E-9</v>
      </c>
      <c r="R221" s="44">
        <f>0.0000000005</f>
        <v>5.0000000000000003E-10</v>
      </c>
      <c r="S221" s="44">
        <f>0.0000000005 /2</f>
        <v>2.5000000000000002E-10</v>
      </c>
      <c r="T221" s="44">
        <f>0.0000000005 / 5</f>
        <v>1E-10</v>
      </c>
      <c r="V221" s="44">
        <v>5.0000000000000003E-10</v>
      </c>
      <c r="W221" s="44">
        <v>5.0000000000000003E-10</v>
      </c>
      <c r="X221" s="44">
        <v>9.9999999999999995E-8</v>
      </c>
      <c r="AA221" s="44">
        <v>4.9999999999999998E-8</v>
      </c>
      <c r="AB221" s="44">
        <v>2E-8</v>
      </c>
      <c r="AC221" s="44">
        <v>1E-8</v>
      </c>
      <c r="AD221" s="44">
        <v>1.0000000000000001E-9</v>
      </c>
      <c r="AE221" s="44">
        <v>1E-8</v>
      </c>
      <c r="AF221" s="44">
        <v>1E-8</v>
      </c>
      <c r="AG221" s="44">
        <v>1E-8</v>
      </c>
      <c r="AH221" s="44">
        <v>1E-8</v>
      </c>
      <c r="AI221" s="44">
        <v>1E-8</v>
      </c>
      <c r="AJ221" s="44">
        <v>1E-8</v>
      </c>
      <c r="AK221" s="44">
        <v>1E-8</v>
      </c>
      <c r="AL221"/>
      <c r="AM221" s="44">
        <v>1.0000000000000001E-9</v>
      </c>
      <c r="AN221" s="44">
        <v>1.0000000000000001E-9</v>
      </c>
      <c r="AO221" s="44">
        <v>1.0000000000000001E-9</v>
      </c>
      <c r="AP221" s="44">
        <v>1.0000000000000001E-9</v>
      </c>
      <c r="AQ221" s="44">
        <v>1.0000000000000001E-9</v>
      </c>
      <c r="AR221" s="44">
        <v>1.0000000000000001E-9</v>
      </c>
      <c r="AS221" s="44">
        <v>1.0000000000000001E-9</v>
      </c>
      <c r="AT221"/>
      <c r="AU221" s="44">
        <v>1E-8</v>
      </c>
      <c r="AV221" s="44">
        <v>1.0000000000000001E-9</v>
      </c>
      <c r="AW221" s="44">
        <v>1E-8</v>
      </c>
      <c r="AX221" s="44">
        <v>1.0000000000000001E-9</v>
      </c>
      <c r="AY221"/>
      <c r="AZ221" s="44">
        <v>1.0000000000000001E-9</v>
      </c>
      <c r="BA221"/>
      <c r="BB221"/>
      <c r="BC221" s="44">
        <v>9.9999999999999995E-8</v>
      </c>
    </row>
    <row r="222" spans="1:78" x14ac:dyDescent="0.25">
      <c r="A222" s="2" t="s">
        <v>526</v>
      </c>
      <c r="B222" s="3" t="s">
        <v>473</v>
      </c>
      <c r="C222" s="3" t="s">
        <v>483</v>
      </c>
      <c r="D222" s="3" t="s">
        <v>524</v>
      </c>
      <c r="E222" s="50" t="s">
        <v>527</v>
      </c>
      <c r="F222" s="50" t="s">
        <v>487</v>
      </c>
      <c r="G222" s="44">
        <v>0.2</v>
      </c>
      <c r="H222" s="44">
        <v>0.2</v>
      </c>
      <c r="I222" s="44">
        <v>0.2</v>
      </c>
      <c r="J222" s="44">
        <v>0.2</v>
      </c>
      <c r="K222" s="44">
        <v>0.2</v>
      </c>
      <c r="L222" s="44">
        <v>0.2</v>
      </c>
      <c r="M222" s="44">
        <v>0.2</v>
      </c>
      <c r="N222" s="44">
        <v>0.2</v>
      </c>
      <c r="O222" s="44">
        <v>0.2</v>
      </c>
      <c r="P222" s="44">
        <v>0.2</v>
      </c>
      <c r="R222" s="44">
        <v>0.2</v>
      </c>
      <c r="S222" s="44">
        <v>0.2</v>
      </c>
      <c r="T222" s="44">
        <v>0.2</v>
      </c>
      <c r="V222" s="44">
        <v>0.2</v>
      </c>
      <c r="W222" s="44">
        <v>0.2</v>
      </c>
      <c r="X222" s="44">
        <v>0.2</v>
      </c>
      <c r="AA222" s="44">
        <v>0.2</v>
      </c>
      <c r="AB222" s="44">
        <v>0.2</v>
      </c>
      <c r="AC222" s="44">
        <v>0.2</v>
      </c>
      <c r="AD222" s="44">
        <v>0.2</v>
      </c>
      <c r="AE222" s="44">
        <v>0.2</v>
      </c>
      <c r="AF222" s="44">
        <v>0.2</v>
      </c>
      <c r="AG222" s="44">
        <v>0.2</v>
      </c>
      <c r="AH222" s="44">
        <v>0.2</v>
      </c>
      <c r="AI222" s="44">
        <v>0.2</v>
      </c>
      <c r="AJ222" s="44">
        <v>0.2</v>
      </c>
      <c r="AK222" s="44">
        <v>0.2</v>
      </c>
      <c r="AL222"/>
      <c r="AM222" s="44">
        <v>0.2</v>
      </c>
      <c r="AN222" s="44">
        <v>0.2</v>
      </c>
      <c r="AO222" s="44">
        <v>0.2</v>
      </c>
      <c r="AP222" s="44">
        <v>0.2</v>
      </c>
      <c r="AQ222" s="44">
        <v>0.2</v>
      </c>
      <c r="AR222" s="44">
        <v>0.2</v>
      </c>
      <c r="AS222" s="44">
        <v>0.2</v>
      </c>
      <c r="AT222"/>
      <c r="AU222" s="44">
        <v>0.2</v>
      </c>
      <c r="AV222" s="44">
        <v>0.2</v>
      </c>
      <c r="AW222" s="44">
        <v>0.2</v>
      </c>
      <c r="AX222" s="44">
        <v>0.2</v>
      </c>
      <c r="AY222"/>
      <c r="AZ222" s="44">
        <v>0.2</v>
      </c>
      <c r="BA222"/>
      <c r="BB222"/>
      <c r="BC222" s="44">
        <v>0.2</v>
      </c>
      <c r="BD222" s="37"/>
      <c r="BE222" s="37"/>
      <c r="BF222" s="37"/>
      <c r="BG222" s="37"/>
      <c r="BH222" s="37"/>
      <c r="BI222" s="37"/>
      <c r="BJ222" s="37"/>
      <c r="BK222" s="37"/>
      <c r="BL222" s="37"/>
      <c r="BM222" s="37"/>
      <c r="BN222" s="37"/>
      <c r="BO222" s="37"/>
      <c r="BP222" s="37"/>
      <c r="BQ222" s="37"/>
      <c r="BR222" s="37"/>
      <c r="BS222" s="37"/>
      <c r="BT222" s="37"/>
      <c r="BU222" s="37"/>
      <c r="BV222" s="37"/>
      <c r="BW222" s="37"/>
      <c r="BX222" s="37"/>
      <c r="BY222" s="37"/>
      <c r="BZ222" s="37"/>
    </row>
    <row r="223" spans="1:78" x14ac:dyDescent="0.25">
      <c r="A223" s="2" t="s">
        <v>528</v>
      </c>
      <c r="B223" s="3" t="s">
        <v>473</v>
      </c>
      <c r="C223" s="3" t="s">
        <v>483</v>
      </c>
      <c r="D223" s="3" t="s">
        <v>524</v>
      </c>
      <c r="E223" s="50" t="s">
        <v>529</v>
      </c>
      <c r="F223" s="50" t="s">
        <v>491</v>
      </c>
      <c r="G223" s="44" t="s">
        <v>485</v>
      </c>
      <c r="H223" s="44" t="s">
        <v>485</v>
      </c>
      <c r="I223" s="44" t="s">
        <v>485</v>
      </c>
      <c r="J223" s="44" t="s">
        <v>485</v>
      </c>
      <c r="K223" s="44" t="s">
        <v>485</v>
      </c>
      <c r="L223" s="44" t="s">
        <v>485</v>
      </c>
      <c r="M223" s="44" t="s">
        <v>485</v>
      </c>
      <c r="N223" s="44" t="s">
        <v>485</v>
      </c>
      <c r="O223" s="44" t="s">
        <v>485</v>
      </c>
      <c r="P223" s="44" t="s">
        <v>485</v>
      </c>
      <c r="R223" s="44" t="s">
        <v>485</v>
      </c>
      <c r="S223" s="44" t="s">
        <v>485</v>
      </c>
      <c r="T223" s="44" t="s">
        <v>485</v>
      </c>
      <c r="V223" s="44" t="s">
        <v>485</v>
      </c>
      <c r="W223" s="44" t="s">
        <v>485</v>
      </c>
      <c r="X223" s="44" t="s">
        <v>485</v>
      </c>
      <c r="AA223" s="44" t="s">
        <v>485</v>
      </c>
      <c r="AB223" s="44" t="s">
        <v>485</v>
      </c>
      <c r="AC223" s="44" t="s">
        <v>485</v>
      </c>
      <c r="AD223" s="44" t="s">
        <v>485</v>
      </c>
      <c r="AE223" s="44" t="s">
        <v>485</v>
      </c>
      <c r="AF223" s="44" t="s">
        <v>485</v>
      </c>
      <c r="AG223" s="44" t="s">
        <v>485</v>
      </c>
      <c r="AH223" s="44" t="s">
        <v>485</v>
      </c>
      <c r="AI223" s="44" t="s">
        <v>485</v>
      </c>
      <c r="AJ223" s="44" t="s">
        <v>485</v>
      </c>
      <c r="AK223" s="44" t="s">
        <v>485</v>
      </c>
      <c r="AL223"/>
      <c r="AM223" s="44" t="s">
        <v>485</v>
      </c>
      <c r="AN223" s="44" t="s">
        <v>485</v>
      </c>
      <c r="AO223" s="44" t="s">
        <v>485</v>
      </c>
      <c r="AP223" s="44" t="s">
        <v>485</v>
      </c>
      <c r="AQ223" s="44" t="s">
        <v>485</v>
      </c>
      <c r="AR223" s="44" t="s">
        <v>485</v>
      </c>
      <c r="AS223" s="44" t="s">
        <v>485</v>
      </c>
      <c r="AT223"/>
      <c r="AU223" s="44" t="s">
        <v>485</v>
      </c>
      <c r="AV223" s="44" t="s">
        <v>485</v>
      </c>
      <c r="AW223" s="44" t="s">
        <v>485</v>
      </c>
      <c r="AX223" s="44" t="s">
        <v>485</v>
      </c>
      <c r="AY223"/>
      <c r="AZ223" s="44" t="s">
        <v>485</v>
      </c>
      <c r="BA223"/>
      <c r="BB223"/>
      <c r="BC223" s="44" t="s">
        <v>485</v>
      </c>
      <c r="BD223" s="37"/>
      <c r="BE223" s="37"/>
      <c r="BF223" s="37"/>
      <c r="BG223" s="37"/>
      <c r="BH223" s="37"/>
      <c r="BI223" s="37"/>
      <c r="BJ223" s="37"/>
      <c r="BK223" s="37"/>
      <c r="BL223" s="37"/>
      <c r="BM223" s="37"/>
      <c r="BN223" s="37"/>
      <c r="BO223" s="37"/>
      <c r="BP223" s="37"/>
      <c r="BQ223" s="37"/>
      <c r="BR223" s="37"/>
      <c r="BS223" s="37"/>
      <c r="BT223" s="37"/>
      <c r="BU223" s="37"/>
      <c r="BV223" s="37"/>
      <c r="BW223" s="37"/>
      <c r="BX223" s="37"/>
      <c r="BY223" s="37"/>
      <c r="BZ223" s="37"/>
    </row>
    <row r="224" spans="1:78" x14ac:dyDescent="0.25">
      <c r="A224" s="2" t="s">
        <v>530</v>
      </c>
      <c r="B224" s="3" t="s">
        <v>473</v>
      </c>
      <c r="C224" s="3" t="s">
        <v>483</v>
      </c>
      <c r="D224" s="3" t="s">
        <v>524</v>
      </c>
      <c r="E224" s="50" t="s">
        <v>531</v>
      </c>
      <c r="F224" s="50" t="s">
        <v>491</v>
      </c>
      <c r="G224" s="44">
        <f t="shared" ref="G224:BC224" si="25">2*0.1</f>
        <v>0.2</v>
      </c>
      <c r="H224" s="44">
        <f t="shared" si="25"/>
        <v>0.2</v>
      </c>
      <c r="I224" s="44">
        <f t="shared" si="25"/>
        <v>0.2</v>
      </c>
      <c r="J224" s="44">
        <f t="shared" si="25"/>
        <v>0.2</v>
      </c>
      <c r="K224" s="44">
        <f t="shared" si="25"/>
        <v>0.2</v>
      </c>
      <c r="L224" s="44">
        <f t="shared" si="25"/>
        <v>0.2</v>
      </c>
      <c r="M224" s="44">
        <f t="shared" si="25"/>
        <v>0.2</v>
      </c>
      <c r="N224" s="44">
        <f t="shared" si="25"/>
        <v>0.2</v>
      </c>
      <c r="O224" s="44">
        <f t="shared" si="25"/>
        <v>0.2</v>
      </c>
      <c r="P224" s="44">
        <f t="shared" si="25"/>
        <v>0.2</v>
      </c>
      <c r="R224" s="44">
        <f t="shared" si="25"/>
        <v>0.2</v>
      </c>
      <c r="S224" s="44">
        <f t="shared" si="25"/>
        <v>0.2</v>
      </c>
      <c r="T224" s="44">
        <f t="shared" si="25"/>
        <v>0.2</v>
      </c>
      <c r="V224" s="44">
        <f t="shared" si="25"/>
        <v>0.2</v>
      </c>
      <c r="W224" s="44">
        <f t="shared" si="25"/>
        <v>0.2</v>
      </c>
      <c r="X224" s="44">
        <f t="shared" si="25"/>
        <v>0.2</v>
      </c>
      <c r="AA224" s="44">
        <f t="shared" si="25"/>
        <v>0.2</v>
      </c>
      <c r="AB224" s="44">
        <f t="shared" si="25"/>
        <v>0.2</v>
      </c>
      <c r="AC224" s="44">
        <f t="shared" si="25"/>
        <v>0.2</v>
      </c>
      <c r="AD224" s="44">
        <f t="shared" si="25"/>
        <v>0.2</v>
      </c>
      <c r="AE224" s="44">
        <f t="shared" si="25"/>
        <v>0.2</v>
      </c>
      <c r="AF224" s="44">
        <f t="shared" si="25"/>
        <v>0.2</v>
      </c>
      <c r="AG224" s="44">
        <f t="shared" si="25"/>
        <v>0.2</v>
      </c>
      <c r="AH224" s="44">
        <f t="shared" si="25"/>
        <v>0.2</v>
      </c>
      <c r="AI224" s="44">
        <f t="shared" si="25"/>
        <v>0.2</v>
      </c>
      <c r="AJ224" s="44">
        <f t="shared" si="25"/>
        <v>0.2</v>
      </c>
      <c r="AK224" s="44">
        <f t="shared" si="25"/>
        <v>0.2</v>
      </c>
      <c r="AL224"/>
      <c r="AM224" s="44">
        <f t="shared" si="25"/>
        <v>0.2</v>
      </c>
      <c r="AN224" s="44">
        <f t="shared" si="25"/>
        <v>0.2</v>
      </c>
      <c r="AO224" s="44">
        <f t="shared" si="25"/>
        <v>0.2</v>
      </c>
      <c r="AP224" s="44">
        <f t="shared" si="25"/>
        <v>0.2</v>
      </c>
      <c r="AQ224" s="44">
        <f t="shared" si="25"/>
        <v>0.2</v>
      </c>
      <c r="AR224" s="44">
        <f t="shared" si="25"/>
        <v>0.2</v>
      </c>
      <c r="AS224" s="44">
        <f t="shared" si="25"/>
        <v>0.2</v>
      </c>
      <c r="AT224"/>
      <c r="AU224" s="44">
        <f t="shared" si="25"/>
        <v>0.2</v>
      </c>
      <c r="AV224" s="44">
        <f t="shared" si="25"/>
        <v>0.2</v>
      </c>
      <c r="AW224" s="44">
        <f t="shared" si="25"/>
        <v>0.2</v>
      </c>
      <c r="AX224" s="44">
        <f t="shared" si="25"/>
        <v>0.2</v>
      </c>
      <c r="AY224"/>
      <c r="AZ224" s="44">
        <f t="shared" si="25"/>
        <v>0.2</v>
      </c>
      <c r="BA224"/>
      <c r="BB224"/>
      <c r="BC224" s="44">
        <f t="shared" si="25"/>
        <v>0.2</v>
      </c>
      <c r="BD224" s="37"/>
      <c r="BE224" s="37"/>
      <c r="BF224" s="37"/>
      <c r="BG224" s="37"/>
      <c r="BH224" s="37"/>
      <c r="BI224" s="37"/>
      <c r="BJ224" s="37"/>
      <c r="BK224" s="37"/>
      <c r="BL224" s="37"/>
      <c r="BM224" s="37"/>
      <c r="BN224" s="37"/>
      <c r="BO224" s="37"/>
      <c r="BP224" s="37"/>
      <c r="BQ224" s="37"/>
      <c r="BR224" s="37"/>
      <c r="BS224" s="37"/>
      <c r="BT224" s="37"/>
      <c r="BU224" s="37"/>
      <c r="BV224" s="37"/>
      <c r="BW224" s="37"/>
      <c r="BX224" s="37"/>
      <c r="BY224" s="37"/>
      <c r="BZ224" s="37"/>
    </row>
    <row r="225" spans="1:78" x14ac:dyDescent="0.25">
      <c r="A225" s="2" t="s">
        <v>532</v>
      </c>
      <c r="B225" s="3" t="s">
        <v>473</v>
      </c>
      <c r="C225" s="3" t="s">
        <v>483</v>
      </c>
      <c r="D225" s="3" t="s">
        <v>524</v>
      </c>
      <c r="E225" s="50" t="s">
        <v>533</v>
      </c>
      <c r="F225" s="50" t="s">
        <v>491</v>
      </c>
      <c r="G225" s="44">
        <v>1E-3</v>
      </c>
      <c r="H225" s="44">
        <v>1E-3</v>
      </c>
      <c r="I225" s="44">
        <v>1E-3</v>
      </c>
      <c r="J225" s="44">
        <v>1E-3</v>
      </c>
      <c r="K225" s="44">
        <v>1E-3</v>
      </c>
      <c r="L225" s="44">
        <v>1E-3</v>
      </c>
      <c r="M225" s="44">
        <v>1E-3</v>
      </c>
      <c r="N225" s="44">
        <v>1E-3</v>
      </c>
      <c r="O225" s="44">
        <v>1E-3</v>
      </c>
      <c r="P225" s="44">
        <v>1E-3</v>
      </c>
      <c r="R225" s="44">
        <v>1E-3</v>
      </c>
      <c r="S225" s="44">
        <v>1E-3</v>
      </c>
      <c r="T225" s="44">
        <v>1E-3</v>
      </c>
      <c r="V225" s="44">
        <v>1E-3</v>
      </c>
      <c r="W225" s="44">
        <v>1E-3</v>
      </c>
      <c r="X225" s="44">
        <v>1E-3</v>
      </c>
      <c r="AA225" s="44">
        <v>1E-3</v>
      </c>
      <c r="AB225" s="44">
        <v>1E-3</v>
      </c>
      <c r="AC225" s="44">
        <v>1E-3</v>
      </c>
      <c r="AD225" s="44">
        <v>1E-3</v>
      </c>
      <c r="AE225" s="44">
        <v>1E-3</v>
      </c>
      <c r="AF225" s="44">
        <v>1E-3</v>
      </c>
      <c r="AG225" s="44">
        <v>1E-3</v>
      </c>
      <c r="AH225" s="44">
        <v>1E-3</v>
      </c>
      <c r="AI225" s="44">
        <v>1E-3</v>
      </c>
      <c r="AJ225" s="44">
        <v>1E-3</v>
      </c>
      <c r="AK225" s="44">
        <v>1E-3</v>
      </c>
      <c r="AL225"/>
      <c r="AM225" s="44">
        <v>1E-3</v>
      </c>
      <c r="AN225" s="44">
        <v>1E-3</v>
      </c>
      <c r="AO225" s="44">
        <v>1E-3</v>
      </c>
      <c r="AP225" s="44">
        <v>1E-3</v>
      </c>
      <c r="AQ225" s="44">
        <v>1E-3</v>
      </c>
      <c r="AR225" s="44">
        <v>1E-3</v>
      </c>
      <c r="AS225" s="44">
        <v>1E-3</v>
      </c>
      <c r="AT225"/>
      <c r="AU225" s="44">
        <v>1E-3</v>
      </c>
      <c r="AV225" s="44">
        <v>1E-3</v>
      </c>
      <c r="AW225" s="44">
        <v>1E-3</v>
      </c>
      <c r="AX225" s="44">
        <v>1E-3</v>
      </c>
      <c r="AY225"/>
      <c r="AZ225" s="44">
        <v>1E-3</v>
      </c>
      <c r="BA225"/>
      <c r="BB225"/>
      <c r="BC225" s="44">
        <v>1E-3</v>
      </c>
      <c r="BD225" s="37"/>
      <c r="BE225" s="37"/>
      <c r="BF225" s="37"/>
      <c r="BG225" s="37"/>
      <c r="BH225" s="37"/>
      <c r="BI225" s="37"/>
      <c r="BJ225" s="37"/>
      <c r="BK225" s="37"/>
      <c r="BL225" s="37"/>
      <c r="BM225" s="37"/>
      <c r="BN225" s="37"/>
      <c r="BO225" s="37"/>
      <c r="BP225" s="37"/>
      <c r="BQ225" s="37"/>
      <c r="BR225" s="37"/>
      <c r="BS225" s="37"/>
      <c r="BT225" s="37"/>
      <c r="BU225" s="37"/>
      <c r="BV225" s="37"/>
      <c r="BW225" s="37"/>
      <c r="BX225" s="37"/>
      <c r="BY225" s="37"/>
      <c r="BZ225" s="37"/>
    </row>
    <row r="226" spans="1:78" x14ac:dyDescent="0.25">
      <c r="A226" s="2" t="s">
        <v>534</v>
      </c>
      <c r="B226" s="3" t="s">
        <v>473</v>
      </c>
      <c r="C226" s="3" t="s">
        <v>483</v>
      </c>
      <c r="D226" s="3" t="s">
        <v>524</v>
      </c>
      <c r="E226" s="50" t="s">
        <v>535</v>
      </c>
      <c r="F226" s="50" t="s">
        <v>564</v>
      </c>
      <c r="G226" s="44">
        <v>1.0000000000000001E-5</v>
      </c>
      <c r="H226" s="44">
        <v>1.0000000000000001E-5</v>
      </c>
      <c r="I226" s="44">
        <v>1.0000000000000001E-5</v>
      </c>
      <c r="J226" s="44">
        <v>1.0000000000000001E-5</v>
      </c>
      <c r="K226" s="44">
        <v>1.0000000000000001E-5</v>
      </c>
      <c r="L226" s="44">
        <v>1.0000000000000001E-5</v>
      </c>
      <c r="M226" s="44">
        <v>1.0000000000000001E-5</v>
      </c>
      <c r="N226" s="44">
        <v>1.0000000000000001E-5</v>
      </c>
      <c r="O226" s="44">
        <v>1.0000000000000001E-5</v>
      </c>
      <c r="P226" s="44">
        <v>1.0000000000000001E-5</v>
      </c>
      <c r="R226" s="44">
        <f>0.00001 / 2 / 3</f>
        <v>1.6666666666666669E-6</v>
      </c>
      <c r="S226" s="44">
        <f>0.00001 / 2 / 3</f>
        <v>1.6666666666666669E-6</v>
      </c>
      <c r="T226" s="44">
        <f>0.00001 / 2 / 3</f>
        <v>1.6666666666666669E-6</v>
      </c>
      <c r="V226" s="44">
        <v>1.0000000000000001E-5</v>
      </c>
      <c r="W226" s="44">
        <v>1.0000000000000001E-5</v>
      </c>
      <c r="X226" s="44">
        <v>1.0000000000000001E-5</v>
      </c>
      <c r="AA226" s="44">
        <v>1.0000000000000001E-5</v>
      </c>
      <c r="AB226" s="44">
        <v>1.0000000000000001E-5</v>
      </c>
      <c r="AC226" s="44">
        <v>1.0000000000000001E-5</v>
      </c>
      <c r="AD226" s="44">
        <v>1.0000000000000001E-5</v>
      </c>
      <c r="AE226" s="44">
        <v>1.0000000000000001E-5</v>
      </c>
      <c r="AF226" s="44">
        <v>1.0000000000000001E-5</v>
      </c>
      <c r="AG226" s="44">
        <v>1.0000000000000001E-5</v>
      </c>
      <c r="AH226" s="44">
        <v>1.0000000000000001E-5</v>
      </c>
      <c r="AI226" s="44">
        <v>1.0000000000000001E-5</v>
      </c>
      <c r="AJ226" s="44">
        <v>1.0000000000000001E-5</v>
      </c>
      <c r="AK226" s="44">
        <v>1.0000000000000001E-5</v>
      </c>
      <c r="AL226"/>
      <c r="AM226" s="44">
        <v>1.0000000000000001E-5</v>
      </c>
      <c r="AN226" s="44">
        <v>1.0000000000000001E-5</v>
      </c>
      <c r="AO226" s="44">
        <v>1.0000000000000001E-5</v>
      </c>
      <c r="AP226" s="44">
        <v>1.0000000000000001E-5</v>
      </c>
      <c r="AQ226" s="44">
        <v>1.0000000000000001E-5</v>
      </c>
      <c r="AR226" s="44">
        <v>1.0000000000000001E-5</v>
      </c>
      <c r="AS226" s="44">
        <v>1.0000000000000001E-5</v>
      </c>
      <c r="AT226"/>
      <c r="AU226" s="44">
        <v>1.0000000000000001E-5</v>
      </c>
      <c r="AV226" s="44">
        <v>1.0000000000000001E-5</v>
      </c>
      <c r="AW226" s="44">
        <v>1.0000000000000001E-5</v>
      </c>
      <c r="AX226" s="44">
        <v>1.0000000000000001E-5</v>
      </c>
      <c r="AY226"/>
      <c r="AZ226" s="44">
        <v>1.0000000000000001E-5</v>
      </c>
      <c r="BA226"/>
      <c r="BB226"/>
      <c r="BC226" s="44">
        <v>1.0000000000000001E-5</v>
      </c>
      <c r="BD226" s="52"/>
      <c r="BE226" s="52"/>
      <c r="BF226" s="52"/>
      <c r="BG226" s="52"/>
      <c r="BH226" s="52"/>
      <c r="BI226" s="52"/>
      <c r="BJ226" s="52"/>
      <c r="BK226" s="52"/>
      <c r="BL226" s="52"/>
      <c r="BM226" s="52"/>
      <c r="BN226" s="52"/>
      <c r="BO226" s="1"/>
      <c r="BP226" s="52"/>
      <c r="BQ226" s="52"/>
      <c r="BR226" s="52"/>
      <c r="BS226" s="52"/>
      <c r="BT226" s="52"/>
      <c r="BU226" s="52"/>
      <c r="BV226" s="52"/>
      <c r="BW226" s="52"/>
      <c r="BX226" s="52"/>
      <c r="BY226" s="52"/>
      <c r="BZ226" s="52"/>
    </row>
    <row r="227" spans="1:78" x14ac:dyDescent="0.25">
      <c r="A227" s="2" t="s">
        <v>543</v>
      </c>
      <c r="B227" s="3" t="s">
        <v>473</v>
      </c>
      <c r="C227" s="3" t="s">
        <v>483</v>
      </c>
      <c r="D227" s="3" t="s">
        <v>524</v>
      </c>
      <c r="E227" s="30" t="s">
        <v>540</v>
      </c>
      <c r="F227" s="30" t="s">
        <v>539</v>
      </c>
      <c r="G227" s="44">
        <f t="shared" ref="G227:BC228" si="26">0.00002 / 14 / 5</f>
        <v>2.8571428571428575E-7</v>
      </c>
      <c r="H227" s="44">
        <f t="shared" si="26"/>
        <v>2.8571428571428575E-7</v>
      </c>
      <c r="I227" s="44">
        <f t="shared" si="26"/>
        <v>2.8571428571428575E-7</v>
      </c>
      <c r="J227" s="44">
        <f t="shared" si="26"/>
        <v>2.8571428571428575E-7</v>
      </c>
      <c r="K227" s="44">
        <f t="shared" si="26"/>
        <v>2.8571428571428575E-7</v>
      </c>
      <c r="L227" s="44">
        <f t="shared" si="26"/>
        <v>2.8571428571428575E-7</v>
      </c>
      <c r="M227" s="44">
        <f t="shared" si="26"/>
        <v>2.8571428571428575E-7</v>
      </c>
      <c r="N227" s="44">
        <f t="shared" si="26"/>
        <v>2.8571428571428575E-7</v>
      </c>
      <c r="O227" s="44">
        <f t="shared" si="26"/>
        <v>2.8571428571428575E-7</v>
      </c>
      <c r="P227" s="44">
        <f t="shared" si="26"/>
        <v>2.8571428571428575E-7</v>
      </c>
      <c r="R227" s="44">
        <v>0</v>
      </c>
      <c r="S227" s="44">
        <v>0</v>
      </c>
      <c r="T227" s="44">
        <v>0</v>
      </c>
      <c r="V227" s="44">
        <f t="shared" si="26"/>
        <v>2.8571428571428575E-7</v>
      </c>
      <c r="W227" s="44">
        <f t="shared" si="26"/>
        <v>2.8571428571428575E-7</v>
      </c>
      <c r="X227" s="44">
        <f t="shared" si="26"/>
        <v>2.8571428571428575E-7</v>
      </c>
      <c r="AA227" s="44">
        <f t="shared" si="26"/>
        <v>2.8571428571428575E-7</v>
      </c>
      <c r="AB227" s="44">
        <f t="shared" si="26"/>
        <v>2.8571428571428575E-7</v>
      </c>
      <c r="AC227" s="44">
        <f t="shared" si="26"/>
        <v>2.8571428571428575E-7</v>
      </c>
      <c r="AD227" s="44">
        <f t="shared" si="26"/>
        <v>2.8571428571428575E-7</v>
      </c>
      <c r="AE227" s="44">
        <f t="shared" si="26"/>
        <v>2.8571428571428575E-7</v>
      </c>
      <c r="AF227" s="44">
        <f t="shared" si="26"/>
        <v>2.8571428571428575E-7</v>
      </c>
      <c r="AG227" s="44">
        <f t="shared" si="26"/>
        <v>2.8571428571428575E-7</v>
      </c>
      <c r="AH227" s="44">
        <f t="shared" si="26"/>
        <v>2.8571428571428575E-7</v>
      </c>
      <c r="AI227" s="44">
        <f t="shared" si="26"/>
        <v>2.8571428571428575E-7</v>
      </c>
      <c r="AJ227" s="44">
        <f t="shared" si="26"/>
        <v>2.8571428571428575E-7</v>
      </c>
      <c r="AK227" s="44">
        <f t="shared" si="26"/>
        <v>2.8571428571428575E-7</v>
      </c>
      <c r="AL227"/>
      <c r="AM227" s="44">
        <f t="shared" si="26"/>
        <v>2.8571428571428575E-7</v>
      </c>
      <c r="AN227" s="44">
        <f t="shared" si="26"/>
        <v>2.8571428571428575E-7</v>
      </c>
      <c r="AO227" s="44">
        <f t="shared" si="26"/>
        <v>2.8571428571428575E-7</v>
      </c>
      <c r="AP227" s="44">
        <f t="shared" si="26"/>
        <v>2.8571428571428575E-7</v>
      </c>
      <c r="AQ227" s="44">
        <f t="shared" si="26"/>
        <v>2.8571428571428575E-7</v>
      </c>
      <c r="AR227" s="44">
        <f t="shared" si="26"/>
        <v>2.8571428571428575E-7</v>
      </c>
      <c r="AS227" s="44">
        <f t="shared" si="26"/>
        <v>2.8571428571428575E-7</v>
      </c>
      <c r="AT227"/>
      <c r="AU227" s="44">
        <f t="shared" si="26"/>
        <v>2.8571428571428575E-7</v>
      </c>
      <c r="AV227" s="44">
        <f t="shared" si="26"/>
        <v>2.8571428571428575E-7</v>
      </c>
      <c r="AW227" s="44">
        <f t="shared" si="26"/>
        <v>2.8571428571428575E-7</v>
      </c>
      <c r="AX227" s="44">
        <f t="shared" si="26"/>
        <v>2.8571428571428575E-7</v>
      </c>
      <c r="AY227"/>
      <c r="AZ227" s="44">
        <f t="shared" si="26"/>
        <v>2.8571428571428575E-7</v>
      </c>
      <c r="BA227"/>
      <c r="BB227"/>
      <c r="BC227" s="44">
        <f t="shared" si="26"/>
        <v>2.8571428571428575E-7</v>
      </c>
      <c r="BD227" s="1"/>
      <c r="BE227" s="1"/>
      <c r="BF227" s="1"/>
      <c r="BG227" s="1"/>
      <c r="BH227" s="1"/>
      <c r="BI227" s="1"/>
      <c r="BJ227" s="1"/>
      <c r="BK227" s="1"/>
    </row>
    <row r="228" spans="1:78" x14ac:dyDescent="0.25">
      <c r="A228" s="2" t="s">
        <v>544</v>
      </c>
      <c r="B228" s="3" t="s">
        <v>473</v>
      </c>
      <c r="C228" s="3" t="s">
        <v>483</v>
      </c>
      <c r="D228" s="3" t="s">
        <v>524</v>
      </c>
      <c r="E228" s="30" t="s">
        <v>540</v>
      </c>
      <c r="F228" s="30" t="s">
        <v>539</v>
      </c>
      <c r="G228" s="44">
        <f t="shared" ref="G228:AZ228" si="27">0.00002 / 14 / 5 /10</f>
        <v>2.8571428571428575E-8</v>
      </c>
      <c r="H228" s="44">
        <f t="shared" si="27"/>
        <v>2.8571428571428575E-8</v>
      </c>
      <c r="I228" s="44">
        <f t="shared" si="27"/>
        <v>2.8571428571428575E-8</v>
      </c>
      <c r="J228" s="44">
        <f t="shared" si="27"/>
        <v>2.8571428571428575E-8</v>
      </c>
      <c r="K228" s="44">
        <f t="shared" si="27"/>
        <v>2.8571428571428575E-8</v>
      </c>
      <c r="L228" s="44">
        <f t="shared" si="27"/>
        <v>2.8571428571428575E-8</v>
      </c>
      <c r="M228" s="44">
        <f t="shared" si="27"/>
        <v>2.8571428571428575E-8</v>
      </c>
      <c r="N228" s="44">
        <f t="shared" si="27"/>
        <v>2.8571428571428575E-8</v>
      </c>
      <c r="O228" s="44">
        <f t="shared" si="27"/>
        <v>2.8571428571428575E-8</v>
      </c>
      <c r="P228" s="44">
        <f t="shared" si="27"/>
        <v>2.8571428571428575E-8</v>
      </c>
      <c r="R228" s="44">
        <f t="shared" si="27"/>
        <v>2.8571428571428575E-8</v>
      </c>
      <c r="S228" s="44">
        <f t="shared" si="27"/>
        <v>2.8571428571428575E-8</v>
      </c>
      <c r="T228" s="44">
        <f t="shared" si="27"/>
        <v>2.8571428571428575E-8</v>
      </c>
      <c r="V228" s="44">
        <f t="shared" si="27"/>
        <v>2.8571428571428575E-8</v>
      </c>
      <c r="W228" s="44">
        <f t="shared" si="27"/>
        <v>2.8571428571428575E-8</v>
      </c>
      <c r="X228" s="44">
        <f t="shared" si="27"/>
        <v>2.8571428571428575E-8</v>
      </c>
      <c r="AA228" s="44">
        <f t="shared" si="27"/>
        <v>2.8571428571428575E-8</v>
      </c>
      <c r="AB228" s="44">
        <f t="shared" si="27"/>
        <v>2.8571428571428575E-8</v>
      </c>
      <c r="AC228" s="44">
        <f t="shared" si="27"/>
        <v>2.8571428571428575E-8</v>
      </c>
      <c r="AD228" s="44">
        <f t="shared" si="27"/>
        <v>2.8571428571428575E-8</v>
      </c>
      <c r="AE228" s="44">
        <f t="shared" si="27"/>
        <v>2.8571428571428575E-8</v>
      </c>
      <c r="AF228" s="44">
        <f t="shared" si="27"/>
        <v>2.8571428571428575E-8</v>
      </c>
      <c r="AG228" s="44">
        <f t="shared" si="27"/>
        <v>2.8571428571428575E-8</v>
      </c>
      <c r="AH228" s="44">
        <f t="shared" si="27"/>
        <v>2.8571428571428575E-8</v>
      </c>
      <c r="AI228" s="44">
        <f t="shared" si="27"/>
        <v>2.8571428571428575E-8</v>
      </c>
      <c r="AJ228" s="44">
        <f t="shared" si="27"/>
        <v>2.8571428571428575E-8</v>
      </c>
      <c r="AK228" s="44">
        <f t="shared" si="27"/>
        <v>2.8571428571428575E-8</v>
      </c>
      <c r="AL228"/>
      <c r="AM228" s="44">
        <f t="shared" si="27"/>
        <v>2.8571428571428575E-8</v>
      </c>
      <c r="AN228" s="44">
        <f t="shared" si="27"/>
        <v>2.8571428571428575E-8</v>
      </c>
      <c r="AO228" s="44">
        <f t="shared" si="27"/>
        <v>2.8571428571428575E-8</v>
      </c>
      <c r="AP228" s="44">
        <f t="shared" si="27"/>
        <v>2.8571428571428575E-8</v>
      </c>
      <c r="AQ228" s="44">
        <f t="shared" si="27"/>
        <v>2.8571428571428575E-8</v>
      </c>
      <c r="AR228" s="44">
        <f t="shared" si="27"/>
        <v>2.8571428571428575E-8</v>
      </c>
      <c r="AS228" s="44">
        <f t="shared" si="27"/>
        <v>2.8571428571428575E-8</v>
      </c>
      <c r="AT228"/>
      <c r="AU228" s="44">
        <f t="shared" si="27"/>
        <v>2.8571428571428575E-8</v>
      </c>
      <c r="AV228" s="44">
        <f t="shared" si="27"/>
        <v>2.8571428571428575E-8</v>
      </c>
      <c r="AW228" s="44">
        <f t="shared" si="27"/>
        <v>2.8571428571428575E-8</v>
      </c>
      <c r="AX228" s="44">
        <f t="shared" si="27"/>
        <v>2.8571428571428575E-8</v>
      </c>
      <c r="AY228"/>
      <c r="AZ228" s="44">
        <f t="shared" si="27"/>
        <v>2.8571428571428575E-8</v>
      </c>
      <c r="BA228"/>
      <c r="BB228"/>
      <c r="BC228" s="44">
        <f t="shared" si="26"/>
        <v>2.8571428571428575E-7</v>
      </c>
      <c r="BD228" s="1"/>
      <c r="BE228" s="1"/>
      <c r="BF228" s="1"/>
      <c r="BG228" s="1"/>
      <c r="BH228" s="1"/>
      <c r="BI228" s="1"/>
      <c r="BJ228" s="1"/>
      <c r="BK228" s="1"/>
    </row>
    <row r="229" spans="1:78" x14ac:dyDescent="0.25">
      <c r="A229" s="2" t="s">
        <v>588</v>
      </c>
      <c r="B229" s="3" t="s">
        <v>473</v>
      </c>
      <c r="C229" s="3" t="s">
        <v>483</v>
      </c>
      <c r="D229" s="3" t="s">
        <v>524</v>
      </c>
      <c r="E229" s="30" t="s">
        <v>589</v>
      </c>
      <c r="F229" s="30" t="s">
        <v>539</v>
      </c>
      <c r="R229" s="44" t="s">
        <v>86</v>
      </c>
      <c r="S229" s="44" t="s">
        <v>86</v>
      </c>
      <c r="T229" s="44" t="s">
        <v>86</v>
      </c>
    </row>
  </sheetData>
  <phoneticPr fontId="19" type="noConversion"/>
  <conditionalFormatting sqref="G211:P211 BC211 V211:X211 R211:T212">
    <cfRule type="colorScale" priority="327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21:P221">
    <cfRule type="colorScale" priority="329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26:T126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33:T133">
    <cfRule type="colorScale" priority="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05:T205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06:T206">
    <cfRule type="colorScale" priority="3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13:T213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14:T214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15:T216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17:T217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18:T218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19:T219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20:T220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26:T226"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29:T229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221:X221 BC221 R221:T221">
    <cfRule type="colorScale" priority="328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207">
    <cfRule type="colorScale" priority="4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208">
    <cfRule type="colorScale" priority="4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209">
    <cfRule type="colorScale" priority="5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210">
    <cfRule type="colorScale" priority="5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07">
    <cfRule type="colorScale" priority="3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08">
    <cfRule type="colorScale" priority="4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09">
    <cfRule type="colorScale" priority="4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10">
    <cfRule type="colorScale" priority="4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2:AD2 BC2 G2:P2 V2:X2 R2:T2">
    <cfRule type="colorScale" priority="285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3:AD3 BC3 G3:P3 V3:X3 R3:T3">
    <cfRule type="colorScale" priority="285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4:AD4 BC4 G4:P4 V4:X4 R4:T4">
    <cfRule type="colorScale" priority="286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5:AD5 BC5 G5:P5 V5:X5 R5:T5">
    <cfRule type="colorScale" priority="286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6:AD6 BC6 G6:P6 V6:X6 R6:T6">
    <cfRule type="colorScale" priority="286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7:AD7 BC7 G7:P7 V7:X7 R7:T7">
    <cfRule type="colorScale" priority="286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8:AD8 BC8 G8:P8 V8:X8 R8:T8">
    <cfRule type="colorScale" priority="286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9:AD9 BC9 G9:P9 V9:X9 R9:T9">
    <cfRule type="colorScale" priority="287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0:AD10 BC10 G10:P10 V10:X10 R10:T10">
    <cfRule type="colorScale" priority="287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1:AD11 BC11 G11:P11 V11:X11 R11:T11">
    <cfRule type="colorScale" priority="287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2:AD12 BC12 G12:P12 V12:X12 R12:T12">
    <cfRule type="colorScale" priority="287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3:AD13 BC13 G13:P13 V13:X13 R13:T13">
    <cfRule type="colorScale" priority="287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4:AD14 BC14 G14:P14 V14:X14 R14:T14">
    <cfRule type="colorScale" priority="288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5:AD15 BC15 G15:P15 V15:X15 R15:T15">
    <cfRule type="colorScale" priority="288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6:AD16 BC16 G16:P16 V16:X16 R16:T16">
    <cfRule type="colorScale" priority="288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7:AD17 BC17 G17:P17 V17:X17 R17:T17">
    <cfRule type="colorScale" priority="288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8:AD18 BC18 G18:P18 V18:X18 R18:T18">
    <cfRule type="colorScale" priority="288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9:AD19 BC19 G19:P19 V19:X19 R19:T19">
    <cfRule type="colorScale" priority="289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20:AD20 BC20 G20:P20 V20:X20 R20:T20">
    <cfRule type="colorScale" priority="289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21:AD21 BC21 G21:P21 V21:X21 R21:T21">
    <cfRule type="colorScale" priority="289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24:AD24 BC24 G24:P24 V24:X24 R24:T24">
    <cfRule type="colorScale" priority="289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25:AD25 BC25 G25:P25 V25:X25 R25:T25">
    <cfRule type="colorScale" priority="290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26:AD26 BC26 G26:P26 V26:X26 R26:T26">
    <cfRule type="colorScale" priority="290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27:AD27 BC27 G27:P27 V27:X27 R27:T27">
    <cfRule type="colorScale" priority="290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28:AD28 BC28 G28:P28 V28:X28 R28:T28">
    <cfRule type="colorScale" priority="290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29:AD29 BC29 G29:P29 V29:X29 R29:T29">
    <cfRule type="colorScale" priority="290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30:AD30 BC30 G30:P30 V30:X30 R30:T30">
    <cfRule type="colorScale" priority="291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31:AD31 BC31 G31:P31 V31:X31 R31:T31">
    <cfRule type="colorScale" priority="291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32:AD32 BC32 G32:P32 V32:X32 R32:T32">
    <cfRule type="colorScale" priority="291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33:AD33 BC33 G33:P33 V33:X33 R33:T33">
    <cfRule type="colorScale" priority="291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34:AD34 BC34 G34:P34 V34:X34 R34:T34">
    <cfRule type="colorScale" priority="291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35:AD35 BC35 G35:P35 V35:X35 R35:T35">
    <cfRule type="colorScale" priority="292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36:AD36 BC36 G36:P36 V36:X36 R36:T36">
    <cfRule type="colorScale" priority="292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37:AD37 BC37 G37:P37 V37:X37 R37:T37">
    <cfRule type="colorScale" priority="292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38:AD38 BC38 G38:P38 V38:X38 R38:T38">
    <cfRule type="colorScale" priority="292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39:AD39 BC39 G39:P39 V39:X39 R39:T39">
    <cfRule type="colorScale" priority="292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40:AD40 BC40 G40:P40 V40:X40 R40:T40">
    <cfRule type="colorScale" priority="293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41:AD41 BC41 G41:P41 V41:X41 R41:T41">
    <cfRule type="colorScale" priority="293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42:AD42 BC42 G42:P42 V42:X42 R42:T42">
    <cfRule type="colorScale" priority="293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43:AD43 BC43 G43:P43 V43:X43 R43:T43">
    <cfRule type="colorScale" priority="293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44:AD44 BC44 G44:P44 V44:X44 R44:T44">
    <cfRule type="colorScale" priority="293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45:AD45 BC45 G45:P45 V45:X45 R45:T45">
    <cfRule type="colorScale" priority="294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46:AD46 BC46 G46:P46 V46:X46 R46:T46">
    <cfRule type="colorScale" priority="294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47:AD47 BC47 G47:P47 V47:X47 R47:T47">
    <cfRule type="colorScale" priority="294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48:AD48 BC48 G48:P48 V48:X48 R48:T48">
    <cfRule type="colorScale" priority="294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49:AD49 BC49 G49:P49 V49:X49 R49:T49">
    <cfRule type="colorScale" priority="294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50:AD50 BC50 G50:P50 V50:X50 R50:T50">
    <cfRule type="colorScale" priority="295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51:AD51 BC51 G51:P51 V51:X51 R51:T51">
    <cfRule type="colorScale" priority="295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52:AD52 BC52 G52:P52 V52:X52 R52:T52">
    <cfRule type="colorScale" priority="295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53:AD53 BC53 G53:P53 V53:X53 R53:T53">
    <cfRule type="colorScale" priority="295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54:AD54 BC54 G54:P54 V54:X54 R54:T54">
    <cfRule type="colorScale" priority="295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55:AD55 BC55 G55:P55 V55:X55 R55:T55">
    <cfRule type="colorScale" priority="296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56:AD56 BC56 G56:P56 V56:X56 R56:T56">
    <cfRule type="colorScale" priority="296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57:AD57 BC57 G57:P57 V57:X57 R57:T57">
    <cfRule type="colorScale" priority="296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58:AD58 BC58 G58:P58 V58:X58 R58:T58">
    <cfRule type="colorScale" priority="296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59:AD59 BC59 G59:P59 V59:X59 R59:T59">
    <cfRule type="colorScale" priority="296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60:AD60 BC60 G60:P60 V60:X60 R60:T60">
    <cfRule type="colorScale" priority="297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61:AD61 BC61 G61:P61 V61:X61 R61:T61">
    <cfRule type="colorScale" priority="297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62:AD62 BC62 G62:P62 V62:X62 R62:T62">
    <cfRule type="colorScale" priority="297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63:AD63 BC63 G63:P63 V63:X63 R63:T63">
    <cfRule type="colorScale" priority="297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64:AD64 BC64 G64:P64 V64:X64 R64:T64">
    <cfRule type="colorScale" priority="297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65:AD65 BC65 G65:P65 V65:X65 R65:T65">
    <cfRule type="colorScale" priority="298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66:AD66 BC66 G66:P66 V66:X66 R66:T66">
    <cfRule type="colorScale" priority="298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67:AD67 BC67 G67:P67 V67:X67 R67:T67">
    <cfRule type="colorScale" priority="298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68:AD68 BC68 G68:P68 V68:X68 R68:T68">
    <cfRule type="colorScale" priority="298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69:AD69 BC69 G69:P69 V69:X69 R69:T69">
    <cfRule type="colorScale" priority="298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70:AD70 BC70 G70:P70 V70:X70 R70:T70">
    <cfRule type="colorScale" priority="299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71:AD71 BC71 G71:P71 V71:X71 R71:T71">
    <cfRule type="colorScale" priority="299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72:AD72 BC72 G72:P72 V72:X72 R72:T72">
    <cfRule type="colorScale" priority="299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73:AD73 BC73 G73:P73 V73:X73 R73:T73">
    <cfRule type="colorScale" priority="299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74:AD74 BC74 G74:P74 V74:X74 R74:T74">
    <cfRule type="colorScale" priority="299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75:AD75 BC75 G75:P75 V75:X75 R75:T75">
    <cfRule type="colorScale" priority="300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76:AD76 BC76 G76:P76 V76:X76 R76:T76">
    <cfRule type="colorScale" priority="300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77:AD77 BC77 G77:P77 V77:X77 R77:T77">
    <cfRule type="colorScale" priority="300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78:AD78 BC78 G78:P78 V78:X78 R78:T78">
    <cfRule type="colorScale" priority="300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79:AD79 BC79 G79:P79 V79:X79 R79:T79">
    <cfRule type="colorScale" priority="300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80:AD80 BC80 G80:P80 V80:X80 R80:T80">
    <cfRule type="colorScale" priority="301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81:AD81 BC81 G81:P81 V81:X81 R81:T81">
    <cfRule type="colorScale" priority="301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82:AD82 BC82 G82:P82 V82:X82 R82:T82">
    <cfRule type="colorScale" priority="301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83:AD83 BC83 G83:P83 V83:X83 R83:T83">
    <cfRule type="colorScale" priority="301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84:AD84 BC84 G84:P84 V84:X84 R84:T84">
    <cfRule type="colorScale" priority="301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85:AD85 BC85 G85:P85 V85:X85 R85:T85">
    <cfRule type="colorScale" priority="302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86:AD86 BC86 G86:P86 V86:X86 R86:T86">
    <cfRule type="colorScale" priority="302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87:AD87 BC87 G87:P87 V87:X87 R87:T87">
    <cfRule type="colorScale" priority="302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88:AD88 BC88 G88:P88 V88:X88 R88:T88">
    <cfRule type="colorScale" priority="302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89:AD89 BC89 G89:P89 V89:X89 R89:T89">
    <cfRule type="colorScale" priority="302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90:AD90 BC90 G90:P90 V90:X90 R90:T90">
    <cfRule type="colorScale" priority="303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91:AD91 BC91 G91:P91 V91:X91 R91:T91">
    <cfRule type="colorScale" priority="303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92:AD92 BC92 G92:P92 V92:X92 R92:T92">
    <cfRule type="colorScale" priority="303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93:AD93 BC93 G93:P93 V93:X93 R93:T93">
    <cfRule type="colorScale" priority="303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94:AD94 BC94 G94:P94 V94:X94 R94:T94">
    <cfRule type="colorScale" priority="303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95:AD95 BC95 G95:P95 V95:X95 R95:T95">
    <cfRule type="colorScale" priority="304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96:AD96 BC96 G96:P96 V96:X96 R96:T96">
    <cfRule type="colorScale" priority="304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97:AD97 BC97 G97:P97 V97:X97 R97:T97">
    <cfRule type="colorScale" priority="304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98:AD98 BC98 G98:P98 V98:X98 R98:T98">
    <cfRule type="colorScale" priority="304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99:AD99 BC99 G99:P99 V99:X99 R99:T99">
    <cfRule type="colorScale" priority="304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00:AD100 BC100 G100:P100 V100:X100 R100:T100">
    <cfRule type="colorScale" priority="305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01:AD101 BC101 G101:P101 V101:X101 R101:T101">
    <cfRule type="colorScale" priority="305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02:AD102 BC102 G102:P102 V102:X102 R102:T102">
    <cfRule type="colorScale" priority="305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03:AD103 BC103 G103:P103 V103:X103 R103:T103">
    <cfRule type="colorScale" priority="305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04:AD104 BC104 G104:P104 V104:X104 R104:T104">
    <cfRule type="colorScale" priority="305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05:AD105 BC105 G105:P105 V105:X105 R105:T105">
    <cfRule type="colorScale" priority="306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06:AD106 BC106 G106:P106 V106:X106 R106:T106">
    <cfRule type="colorScale" priority="306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07:AD107 BC107 G107:P107 V107:X107 R107:T107">
    <cfRule type="colorScale" priority="306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08:AD108 BC108 G108:P108 V108:X108 R108:T108">
    <cfRule type="colorScale" priority="306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09:AD109 BC109 G109:P109 V109:X109 R109:T109">
    <cfRule type="colorScale" priority="306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10:AD110 BC110 G110:P110 V110:X110 R110:T110">
    <cfRule type="colorScale" priority="307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11:AD111 BC111 G111:P111 V111:X111 R111:T111">
    <cfRule type="colorScale" priority="307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12:AD112 BC112 G112:P112 V112:X112 R112:T112">
    <cfRule type="colorScale" priority="307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13:AD113 BC113 G113:P113 V113:X113 R113:T113">
    <cfRule type="colorScale" priority="307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14:AD114 BC114 G114:P114 V114:X114 R114:T114">
    <cfRule type="colorScale" priority="307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15:AD115 BC115 G115:P115 V115:X115 R115:T115">
    <cfRule type="colorScale" priority="308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16:AD116 BC116 G116:P116 V116:X116 R116:T116">
    <cfRule type="colorScale" priority="308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17:AD117 BC117 G117:P117 V117:X117 R117:T117">
    <cfRule type="colorScale" priority="308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18:AD118 BC118 G118:P118 V118:X118 R118:T118">
    <cfRule type="colorScale" priority="308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19:AD119 BC119 G119:P119 V119:X119 R119:T119">
    <cfRule type="colorScale" priority="308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20:AD120 BC120 G120:P120 V120:X120 R120:T120">
    <cfRule type="colorScale" priority="309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21:AD121 BC121 G121:P121 V121:X121 R121:T121">
    <cfRule type="colorScale" priority="309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22:AD122 BC122 G122:P122 V122:X122 R122:T122">
    <cfRule type="colorScale" priority="309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23:AD123 BC123 G123:P123 V123:X123 R123:T123">
    <cfRule type="colorScale" priority="309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24:AD124 BC124 G124:P124 V124:X124 R124:T124">
    <cfRule type="colorScale" priority="309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25:AD125 BC125 G125:P125 V125:X125 R125:T125">
    <cfRule type="colorScale" priority="310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26:AD126 BC126 G126:P126 V126:X126">
    <cfRule type="colorScale" priority="310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27:AD127 BC127 G127:P127 V127:X127 R127:T127">
    <cfRule type="colorScale" priority="310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28:AD128 BC128 G128:P128 V128:X128 R128:T128">
    <cfRule type="colorScale" priority="310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29:AD129 BC129 G129:P129 V129:X129 R129:T129">
    <cfRule type="colorScale" priority="310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30:AD130 BC130 G130:P130 V130:X130 R130:T130">
    <cfRule type="colorScale" priority="311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31:AD131 BC131 G131:P131 V131:X131 R131:T131">
    <cfRule type="colorScale" priority="311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32:AD132 BC132 G132:P132 V132:X132 R132:T132">
    <cfRule type="colorScale" priority="311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33:AD133 BC133 G133:P133 V133:X133">
    <cfRule type="colorScale" priority="311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34:AD134 BC134 G134:P134 V134:X134 R134:T134">
    <cfRule type="colorScale" priority="311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35:AD135 BC135 G135:P135 V135:X135 R135:T135">
    <cfRule type="colorScale" priority="312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36:AD136 BC136 G136:P136 V136:X136 R136:T136">
    <cfRule type="colorScale" priority="312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37:AD137 BC137 G137:P137 V137:X137 R137:T137">
    <cfRule type="colorScale" priority="312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38:AD138 BC138 G138:P138 V138:X138 R138:T138">
    <cfRule type="colorScale" priority="312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39:AD139 BC139 G139:P139 V139:X139 R139:T139">
    <cfRule type="colorScale" priority="312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40:AD140 BC140 G140:P140 V140:X140 R140:T140">
    <cfRule type="colorScale" priority="313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41:AD141 BC141 G141:P141 V141:X141 R141:T141">
    <cfRule type="colorScale" priority="313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42:AD142 BC142 G142:P142 V142:X142 R142:T142">
    <cfRule type="colorScale" priority="313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43:AD143 BC143 G143:P143 V143:X143 R143:T143">
    <cfRule type="colorScale" priority="313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44:AD144 BC144 G144:P144 V144:X144 R144:T144">
    <cfRule type="colorScale" priority="313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45:AD145 BC145 G145:P145 V145:X145 R145:T145">
    <cfRule type="colorScale" priority="314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46:AD146 BC146 G146:P146 V146:X146 R146:T146">
    <cfRule type="colorScale" priority="314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47:AD147 BC147 G147:P147 V147:X147 R147:T147">
    <cfRule type="colorScale" priority="314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48:AD148 BC148 G148:P148 V148:X148 R148:T148">
    <cfRule type="colorScale" priority="314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49:AD149 BC149 G149:P149 V149:X149 R149:T149">
    <cfRule type="colorScale" priority="314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50:AD150 BC150 G150:P150 V150:X150 R150:T150">
    <cfRule type="colorScale" priority="315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51:AD151 BC151 G151:P151 V151:X151 R151:T151">
    <cfRule type="colorScale" priority="315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52:AD152 BC152 G152:P152 V152:X152 R152:T152">
    <cfRule type="colorScale" priority="315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53:AD153 BC153 G153:P153 V153:X153 R153:T153">
    <cfRule type="colorScale" priority="315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54:AD154 BC154 G154:P154 V154:X154 R154:T154">
    <cfRule type="colorScale" priority="315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55:AD155 BC155 G155:P155 V155:X155 R155:T155">
    <cfRule type="colorScale" priority="316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56:AD156 BC156 G156:P156 V156:X156 R156:T156">
    <cfRule type="colorScale" priority="316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57:AD157 BC157 G157:P157 V157:X157 R157:T157">
    <cfRule type="colorScale" priority="316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58:AD158 BC158 G158:P158 V158:X158 R158:T158">
    <cfRule type="colorScale" priority="316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59:AD159 BC159 G159:P159 V159:X159 R159:T159">
    <cfRule type="colorScale" priority="316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60:AD160 BC160 G160:P160 V160:X160 R160:T160">
    <cfRule type="colorScale" priority="317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61:AD161 BC161 G161:P161 V161:X161 R161:T161">
    <cfRule type="colorScale" priority="317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62:AD162 BC162 G162:P162 V162:X162 R162:T162">
    <cfRule type="colorScale" priority="317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63:AD163 BC163 G163:P163 V163:X163 R163:T163">
    <cfRule type="colorScale" priority="317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64:AD164 BC164 G164:P164 V164:X164 R164:T164">
    <cfRule type="colorScale" priority="317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65:AD165 BC165 G165:P165 V165:X165 R165:T165">
    <cfRule type="colorScale" priority="318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66:AD166 BC166 G166:P166 V166:X166 R166:T166">
    <cfRule type="colorScale" priority="318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67:AD167 BC167 G167:P167 V167:X167 R167:T167">
    <cfRule type="colorScale" priority="318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68:AD168 BC168 G168:P168 V168:X168 R168:T168">
    <cfRule type="colorScale" priority="318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69:AD169 BC169 G169:P169 V169:X169 R169:T169">
    <cfRule type="colorScale" priority="318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70:AD170 BC170 G170:P170 V170:X170 R170:T170">
    <cfRule type="colorScale" priority="319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71:AD171 BC171 G171:P171 V171:X171 R171:T171">
    <cfRule type="colorScale" priority="319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72:AD172 BC172 G172:P172 V172:X172 R172:T172">
    <cfRule type="colorScale" priority="319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73:AD173 BC173 G173:P173 V173:X173 R173:T173">
    <cfRule type="colorScale" priority="319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74:AD174 BC174 G174:P174 V174:X174 R174:T174">
    <cfRule type="colorScale" priority="319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75:AD175 BC175 G175:P175 V175:X175 R175:T175">
    <cfRule type="colorScale" priority="320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76:AD176 BC176 G176:P176 V176:X176 R176:T176">
    <cfRule type="colorScale" priority="320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77:AD177 BC177 G177:P177 V177:X177 R177:T177">
    <cfRule type="colorScale" priority="320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78:AD178 BC178 G178:P178 V178:X178 R178:T178">
    <cfRule type="colorScale" priority="320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79:AD179 BC179 G179:P179 V179:X179 R179:T179">
    <cfRule type="colorScale" priority="320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80:AD180 BC180 G180:P180 V180:X180 R180:T180">
    <cfRule type="colorScale" priority="321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81:AD181 BC181 G181:P181 V181:X181 R181:T181">
    <cfRule type="colorScale" priority="321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82:AD182 BC182 G182:P182 V182:X182 R182:T182">
    <cfRule type="colorScale" priority="321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83:AD183 BC183 G183:P183 V183:X183 R183:T183">
    <cfRule type="colorScale" priority="321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84:AD184 BC184 G184:P184 V184:X184 R184:T184">
    <cfRule type="colorScale" priority="321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85:AD185 BC185 G185:P185 V185:X185 R185:T185">
    <cfRule type="colorScale" priority="322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86:AD186 BC186 G186:P186 V186:X186 R186:T186">
    <cfRule type="colorScale" priority="322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87:AD187 BC187 G187:P187 V187:X187 R187:T187">
    <cfRule type="colorScale" priority="322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88:AD188 BC188 G188:P188 V188:X188 R188:T188">
    <cfRule type="colorScale" priority="322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89:AD189 BC189 G189:P189 V189:X189 R189:T189">
    <cfRule type="colorScale" priority="322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90:AD190 BC190 G190:P190 V190:X190 R190:T190">
    <cfRule type="colorScale" priority="323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91:AD191 BC191 G191:P191 V191:X191 R191:T191">
    <cfRule type="colorScale" priority="323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92:AD192 BC192 G192:P192 V192:X192 R192:T192">
    <cfRule type="colorScale" priority="323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93:AD193 BC193 G193:P193 V193:X193 R193:T193">
    <cfRule type="colorScale" priority="323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94:AD194 BC194 G194:P194 V194:X194 R194:T194">
    <cfRule type="colorScale" priority="323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95:AD195 BC195 G195:P195 V195:X195 R195:T195">
    <cfRule type="colorScale" priority="324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96:AD196 BC196 G196:P196 V196:X196 R196:T196">
    <cfRule type="colorScale" priority="324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97:AD197 BC197 G197:P197 V197:X197 R197:T197">
    <cfRule type="colorScale" priority="324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98:AD198 BC198 G198:P198 V198:X198 R198:T198">
    <cfRule type="colorScale" priority="324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99:AD199 BC199 G199:P199 V199:X199 R199:T199">
    <cfRule type="colorScale" priority="324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200:AD200 BC200 G200:P200 V200:X200 R200:T200">
    <cfRule type="colorScale" priority="325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201:AD201 BC201 G201:P201 V201:X201 R201:T201">
    <cfRule type="colorScale" priority="325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202:AD202 BC202 G202:P202 V202:X202 R202:T202">
    <cfRule type="colorScale" priority="325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203:AD203 BC203 G203:P203 V203:X203 R203:T203">
    <cfRule type="colorScale" priority="325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204:AD204 BC204 G204:P204 V204:X204 R204:T204">
    <cfRule type="colorScale" priority="325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205:AD205 BC205 G205:P205 V205:X205">
    <cfRule type="colorScale" priority="326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206:AD206 BC206 G206:P206 V206:X206">
    <cfRule type="colorScale" priority="326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207:AD207 BC207 G207:P207 V207 R207:T207">
    <cfRule type="colorScale" priority="326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208:AD208 BC208 G208:P208 V208 R208:T208">
    <cfRule type="colorScale" priority="326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209:AD209 BC209 G209:P209 V209 R209:T209">
    <cfRule type="colorScale" priority="327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210:AD210 BC210 G210:P210 V210 R210:T210">
    <cfRule type="colorScale" priority="327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211:AD211">
    <cfRule type="colorScale" priority="327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212:AD212 BC212 G212:P212 V212:X212">
    <cfRule type="colorScale" priority="327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213:AD213 BC213 G213:P213 V213:X213">
    <cfRule type="colorScale" priority="328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214:AD216 BC214:BC216 G214:P216 V214:X216">
    <cfRule type="colorScale" priority="328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217:AD217 BC217 G217:P217 V217:X217">
    <cfRule type="colorScale" priority="328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218:AD220 BC218:BC220 G218:P219 V218:X220 H220:P220">
    <cfRule type="colorScale" priority="328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221:AD221">
    <cfRule type="colorScale" priority="329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2:AE23">
    <cfRule type="colorScale" priority="111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22:AE226">
    <cfRule type="colorScale" priority="151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27:AE228">
    <cfRule type="colorScale" priority="151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:AK2">
    <cfRule type="colorScale" priority="107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3:AK3">
    <cfRule type="colorScale" priority="107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4:AK4">
    <cfRule type="colorScale" priority="108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5:AK5">
    <cfRule type="colorScale" priority="108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6:AK6">
    <cfRule type="colorScale" priority="108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7:AK7">
    <cfRule type="colorScale" priority="108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8:AK8">
    <cfRule type="colorScale" priority="108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9:AK9">
    <cfRule type="colorScale" priority="109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0:AK10">
    <cfRule type="colorScale" priority="109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1:AK11">
    <cfRule type="colorScale" priority="109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2:AK12">
    <cfRule type="colorScale" priority="109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3:AK13">
    <cfRule type="colorScale" priority="109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4:AK14">
    <cfRule type="colorScale" priority="110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5:AK15">
    <cfRule type="colorScale" priority="110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6:AK16">
    <cfRule type="colorScale" priority="110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7:AK17">
    <cfRule type="colorScale" priority="110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8:AK18">
    <cfRule type="colorScale" priority="110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9:AK19">
    <cfRule type="colorScale" priority="111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0:AK20">
    <cfRule type="colorScale" priority="111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1:AK21">
    <cfRule type="colorScale" priority="111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4:AK24">
    <cfRule type="colorScale" priority="111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5:AK25">
    <cfRule type="colorScale" priority="112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6:AK26">
    <cfRule type="colorScale" priority="112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7:AK27">
    <cfRule type="colorScale" priority="112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8:AK28">
    <cfRule type="colorScale" priority="112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9:AK29">
    <cfRule type="colorScale" priority="112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30:AK30">
    <cfRule type="colorScale" priority="113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31:AK31">
    <cfRule type="colorScale" priority="113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32:AK32">
    <cfRule type="colorScale" priority="113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33:AK33">
    <cfRule type="colorScale" priority="113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34:AK34">
    <cfRule type="colorScale" priority="113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35:AK35">
    <cfRule type="colorScale" priority="114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36:AK36">
    <cfRule type="colorScale" priority="114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37:AK37">
    <cfRule type="colorScale" priority="114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38:AK38">
    <cfRule type="colorScale" priority="114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39:AK39">
    <cfRule type="colorScale" priority="114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40:AK40">
    <cfRule type="colorScale" priority="115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41:AK41">
    <cfRule type="colorScale" priority="115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42:AK42">
    <cfRule type="colorScale" priority="115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43:AK43">
    <cfRule type="colorScale" priority="115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44:AK44">
    <cfRule type="colorScale" priority="115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45:AK45">
    <cfRule type="colorScale" priority="116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46:AK46">
    <cfRule type="colorScale" priority="116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47:AK47">
    <cfRule type="colorScale" priority="116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48:AK48">
    <cfRule type="colorScale" priority="116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49:AK49">
    <cfRule type="colorScale" priority="116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50:AK50">
    <cfRule type="colorScale" priority="117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51:AK51">
    <cfRule type="colorScale" priority="117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52:AK52">
    <cfRule type="colorScale" priority="117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53:AK53">
    <cfRule type="colorScale" priority="117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54:AK54">
    <cfRule type="colorScale" priority="117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55:AK55">
    <cfRule type="colorScale" priority="118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56:AK56">
    <cfRule type="colorScale" priority="118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57:AK57">
    <cfRule type="colorScale" priority="118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58:AK58">
    <cfRule type="colorScale" priority="118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59:AK59">
    <cfRule type="colorScale" priority="118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60:AK60">
    <cfRule type="colorScale" priority="119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61:AK61">
    <cfRule type="colorScale" priority="119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62:AK62">
    <cfRule type="colorScale" priority="119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63:AK63">
    <cfRule type="colorScale" priority="119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64:AK64">
    <cfRule type="colorScale" priority="119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65:AK65">
    <cfRule type="colorScale" priority="120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66:AK66">
    <cfRule type="colorScale" priority="120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67:AK67">
    <cfRule type="colorScale" priority="120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68:AK68">
    <cfRule type="colorScale" priority="120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69:AK69">
    <cfRule type="colorScale" priority="120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70:AK70">
    <cfRule type="colorScale" priority="121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71:AK71">
    <cfRule type="colorScale" priority="121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72:AK72">
    <cfRule type="colorScale" priority="121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73:AK73">
    <cfRule type="colorScale" priority="121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74:AK74">
    <cfRule type="colorScale" priority="121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75:AK75">
    <cfRule type="colorScale" priority="122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76:AK76">
    <cfRule type="colorScale" priority="122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77:AK77">
    <cfRule type="colorScale" priority="122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78:AK78">
    <cfRule type="colorScale" priority="122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79:AK79">
    <cfRule type="colorScale" priority="122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80:AK80">
    <cfRule type="colorScale" priority="123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81:AK81">
    <cfRule type="colorScale" priority="123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82:AK82">
    <cfRule type="colorScale" priority="123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83:AK83">
    <cfRule type="colorScale" priority="123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84:AK84">
    <cfRule type="colorScale" priority="123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85:AK85">
    <cfRule type="colorScale" priority="124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86:AK86">
    <cfRule type="colorScale" priority="124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87:AK87">
    <cfRule type="colorScale" priority="124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88:AK88">
    <cfRule type="colorScale" priority="124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89:AK89">
    <cfRule type="colorScale" priority="124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90:AK90">
    <cfRule type="colorScale" priority="125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91:AK91">
    <cfRule type="colorScale" priority="125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92:AK92">
    <cfRule type="colorScale" priority="125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93:AK93">
    <cfRule type="colorScale" priority="125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94:AK94">
    <cfRule type="colorScale" priority="125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95:AK95">
    <cfRule type="colorScale" priority="126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96:AK96">
    <cfRule type="colorScale" priority="126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97:AK97">
    <cfRule type="colorScale" priority="126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98:AK98">
    <cfRule type="colorScale" priority="126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99:AK99">
    <cfRule type="colorScale" priority="126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00:AK100">
    <cfRule type="colorScale" priority="127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01:AK101">
    <cfRule type="colorScale" priority="127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02:AK102">
    <cfRule type="colorScale" priority="127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03:AK103">
    <cfRule type="colorScale" priority="127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04:AK104">
    <cfRule type="colorScale" priority="127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05:AK105">
    <cfRule type="colorScale" priority="128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06:AK106">
    <cfRule type="colorScale" priority="128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07:AK107">
    <cfRule type="colorScale" priority="128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08:AK108">
    <cfRule type="colorScale" priority="128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09:AK109">
    <cfRule type="colorScale" priority="128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10:AK110">
    <cfRule type="colorScale" priority="129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11:AK111">
    <cfRule type="colorScale" priority="129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12:AK112">
    <cfRule type="colorScale" priority="129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13:AK113">
    <cfRule type="colorScale" priority="129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14:AK114">
    <cfRule type="colorScale" priority="129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15:AK115">
    <cfRule type="colorScale" priority="130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16:AK116">
    <cfRule type="colorScale" priority="130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17:AK117">
    <cfRule type="colorScale" priority="130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18:AK118">
    <cfRule type="colorScale" priority="130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19:AK119">
    <cfRule type="colorScale" priority="130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20:AK120">
    <cfRule type="colorScale" priority="131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21:AK121">
    <cfRule type="colorScale" priority="131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22:AK122">
    <cfRule type="colorScale" priority="131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23:AK123">
    <cfRule type="colorScale" priority="131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24:AK124">
    <cfRule type="colorScale" priority="131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25:AK125">
    <cfRule type="colorScale" priority="132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26:AK126">
    <cfRule type="colorScale" priority="132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27:AK127">
    <cfRule type="colorScale" priority="132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28:AK128">
    <cfRule type="colorScale" priority="132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29:AK129">
    <cfRule type="colorScale" priority="132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30:AK130">
    <cfRule type="colorScale" priority="133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31:AK131">
    <cfRule type="colorScale" priority="133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32:AK132">
    <cfRule type="colorScale" priority="133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33:AK133">
    <cfRule type="colorScale" priority="133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34:AK134">
    <cfRule type="colorScale" priority="133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35:AK135">
    <cfRule type="colorScale" priority="134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36:AK136">
    <cfRule type="colorScale" priority="134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37:AK137">
    <cfRule type="colorScale" priority="134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38:AK138">
    <cfRule type="colorScale" priority="134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39:AK139">
    <cfRule type="colorScale" priority="134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40:AK140">
    <cfRule type="colorScale" priority="135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41:AK141">
    <cfRule type="colorScale" priority="135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42:AK142">
    <cfRule type="colorScale" priority="135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43:AK143">
    <cfRule type="colorScale" priority="135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44:AK144">
    <cfRule type="colorScale" priority="135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45:AK145">
    <cfRule type="colorScale" priority="136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46:AK146">
    <cfRule type="colorScale" priority="136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47:AK147">
    <cfRule type="colorScale" priority="136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48:AK148">
    <cfRule type="colorScale" priority="136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49:AK149">
    <cfRule type="colorScale" priority="136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50:AK150">
    <cfRule type="colorScale" priority="137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51:AK151">
    <cfRule type="colorScale" priority="137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52:AK152">
    <cfRule type="colorScale" priority="137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53:AK153">
    <cfRule type="colorScale" priority="137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54:AK154">
    <cfRule type="colorScale" priority="137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55:AK155">
    <cfRule type="colorScale" priority="138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56:AK156">
    <cfRule type="colorScale" priority="138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57:AK157">
    <cfRule type="colorScale" priority="138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58:AK158">
    <cfRule type="colorScale" priority="138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59:AK159">
    <cfRule type="colorScale" priority="138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60:AK160">
    <cfRule type="colorScale" priority="139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61:AK161">
    <cfRule type="colorScale" priority="139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62:AK162">
    <cfRule type="colorScale" priority="139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63:AK163">
    <cfRule type="colorScale" priority="139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64:AK164">
    <cfRule type="colorScale" priority="139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65:AK165">
    <cfRule type="colorScale" priority="140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66:AK166">
    <cfRule type="colorScale" priority="140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67:AK167">
    <cfRule type="colorScale" priority="140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68:AK168">
    <cfRule type="colorScale" priority="140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69:AK169">
    <cfRule type="colorScale" priority="140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70:AK170">
    <cfRule type="colorScale" priority="141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71:AK171">
    <cfRule type="colorScale" priority="141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72:AK172">
    <cfRule type="colorScale" priority="141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73:AK173">
    <cfRule type="colorScale" priority="141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74:AK174">
    <cfRule type="colorScale" priority="141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75:AK175">
    <cfRule type="colorScale" priority="142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76:AK176">
    <cfRule type="colorScale" priority="142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77:AK177">
    <cfRule type="colorScale" priority="142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78:AK178">
    <cfRule type="colorScale" priority="142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79:AK179">
    <cfRule type="colorScale" priority="142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80:AK180">
    <cfRule type="colorScale" priority="143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81:AK181">
    <cfRule type="colorScale" priority="143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82:AK182">
    <cfRule type="colorScale" priority="143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83:AK183">
    <cfRule type="colorScale" priority="143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84:AK184">
    <cfRule type="colorScale" priority="143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85:AK185">
    <cfRule type="colorScale" priority="144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86:AK186">
    <cfRule type="colorScale" priority="144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87:AK187">
    <cfRule type="colorScale" priority="144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88:AK188">
    <cfRule type="colorScale" priority="144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89:AK189">
    <cfRule type="colorScale" priority="144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90:AK190">
    <cfRule type="colorScale" priority="145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91:AK191">
    <cfRule type="colorScale" priority="145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92:AK192">
    <cfRule type="colorScale" priority="145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93:AK193">
    <cfRule type="colorScale" priority="145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94:AK194">
    <cfRule type="colorScale" priority="145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95:AK195">
    <cfRule type="colorScale" priority="146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96:AK196">
    <cfRule type="colorScale" priority="146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97:AK197">
    <cfRule type="colorScale" priority="146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98:AK198">
    <cfRule type="colorScale" priority="146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99:AK199">
    <cfRule type="colorScale" priority="146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00:AK200">
    <cfRule type="colorScale" priority="147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01:AK201">
    <cfRule type="colorScale" priority="147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02:AK202">
    <cfRule type="colorScale" priority="147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03:AK203">
    <cfRule type="colorScale" priority="147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04:AK204">
    <cfRule type="colorScale" priority="147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05:AK205">
    <cfRule type="colorScale" priority="148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06:AK206">
    <cfRule type="colorScale" priority="148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07:AK207">
    <cfRule type="colorScale" priority="148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08:AK208">
    <cfRule type="colorScale" priority="148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09:AK209">
    <cfRule type="colorScale" priority="149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10:AK210">
    <cfRule type="colorScale" priority="149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11:AK211">
    <cfRule type="colorScale" priority="149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12:AK212">
    <cfRule type="colorScale" priority="149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13:AK213">
    <cfRule type="colorScale" priority="150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14:AK216">
    <cfRule type="colorScale" priority="150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17:AK217">
    <cfRule type="colorScale" priority="150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18:AK220">
    <cfRule type="colorScale" priority="150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21:AK221">
    <cfRule type="colorScale" priority="151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22:AF23">
    <cfRule type="colorScale" priority="107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222:AF226">
    <cfRule type="colorScale" priority="107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227:AF228">
    <cfRule type="colorScale" priority="107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22:AG23">
    <cfRule type="colorScale" priority="106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222:AG226">
    <cfRule type="colorScale" priority="106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227:AG228">
    <cfRule type="colorScale" priority="106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22:AH23">
    <cfRule type="colorScale" priority="105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222:AH226">
    <cfRule type="colorScale" priority="106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227:AH228">
    <cfRule type="colorScale" priority="106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22:AI23">
    <cfRule type="colorScale" priority="105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222:AI226">
    <cfRule type="colorScale" priority="105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227:AI228">
    <cfRule type="colorScale" priority="105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22:AJ23">
    <cfRule type="colorScale" priority="104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222:AJ226">
    <cfRule type="colorScale" priority="104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227:AJ228">
    <cfRule type="colorScale" priority="105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22:AK23">
    <cfRule type="colorScale" priority="104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222:AK226">
    <cfRule type="colorScale" priority="104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227:AK228">
    <cfRule type="colorScale" priority="104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22:AM23">
    <cfRule type="colorScale" priority="63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221">
    <cfRule type="colorScale" priority="55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222:AM226">
    <cfRule type="colorScale" priority="103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227:AM228">
    <cfRule type="colorScale" priority="103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2:AS2 AU2:AX2">
    <cfRule type="colorScale" priority="373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7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3:AS3 AU3:AX3">
    <cfRule type="colorScale" priority="374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7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4:AS4 AU4:AX4">
    <cfRule type="colorScale" priority="374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7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5:AS5 AU5:AX5">
    <cfRule type="colorScale" priority="375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7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6:AS6 AU6:AX6">
    <cfRule type="colorScale" priority="375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7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7:AS7 AU7:AX7">
    <cfRule type="colorScale" priority="375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7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8:AS8 AU8:AX8">
    <cfRule type="colorScale" priority="376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7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9:AS9 AU9:AX9">
    <cfRule type="colorScale" priority="376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7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0:AS10 AU10:AX10">
    <cfRule type="colorScale" priority="377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7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1:AS11 AU11:AX11">
    <cfRule type="colorScale" priority="377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7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2:AS12 AU12:AX12">
    <cfRule type="colorScale" priority="377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7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3:AS13 AU13:AX13">
    <cfRule type="colorScale" priority="378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7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4:AS14 AU14:AX14">
    <cfRule type="colorScale" priority="378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7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5:AS15 AU15:AX15">
    <cfRule type="colorScale" priority="379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7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6:AS16 AU16:AX16">
    <cfRule type="colorScale" priority="379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7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7:AS17 AU17:AX17">
    <cfRule type="colorScale" priority="379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7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8:AS18 AU18:AX18">
    <cfRule type="colorScale" priority="380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9:AS19 AU19:AX19">
    <cfRule type="colorScale" priority="380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20:AS20 AU20:AX20">
    <cfRule type="colorScale" priority="381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21:AS21 AU21:AX21">
    <cfRule type="colorScale" priority="381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24:AS24 AU24:AX24">
    <cfRule type="colorScale" priority="381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25:AS25 AU25:AX25">
    <cfRule type="colorScale" priority="382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26:AS26 AU26:AX26">
    <cfRule type="colorScale" priority="382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27:AS27 AU27:AX27">
    <cfRule type="colorScale" priority="383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28:AS28 AU28:AX28">
    <cfRule type="colorScale" priority="383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29:AS29 AU29:AX29">
    <cfRule type="colorScale" priority="383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30:AS30 AU30:AX30">
    <cfRule type="colorScale" priority="384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31:AS31 AU31:AX31">
    <cfRule type="colorScale" priority="384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32:AS32 AU32:AX32">
    <cfRule type="colorScale" priority="385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33:AS33 AU33:AX33">
    <cfRule type="colorScale" priority="385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34:AS34 AU34:AX34">
    <cfRule type="colorScale" priority="385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35:AS35 AU35:AX35">
    <cfRule type="colorScale" priority="386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36:AS36 AU36:AX36">
    <cfRule type="colorScale" priority="386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37:AS37 AU37:AX37">
    <cfRule type="colorScale" priority="387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38:AS38 AU38:AX38">
    <cfRule type="colorScale" priority="387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39:AS39 AU39:AX39">
    <cfRule type="colorScale" priority="387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40:AS40 AU40:AX40">
    <cfRule type="colorScale" priority="388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41:AS41 AU41:AX41">
    <cfRule type="colorScale" priority="388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42:AS42 AU42:AX42">
    <cfRule type="colorScale" priority="389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43:AS43 AU43:AX43">
    <cfRule type="colorScale" priority="389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44:AS44 AU44:AX44">
    <cfRule type="colorScale" priority="389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45:AS45 AU45:AX45">
    <cfRule type="colorScale" priority="390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46:AS46 AU46:AX46">
    <cfRule type="colorScale" priority="390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47:AS47 AU47:AX47">
    <cfRule type="colorScale" priority="391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48:AS48 AU48:AX48">
    <cfRule type="colorScale" priority="391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49:AS49 AU49:AX49">
    <cfRule type="colorScale" priority="391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50:AS50 AU50:AX50">
    <cfRule type="colorScale" priority="392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51:AS51 AU51:AX51">
    <cfRule type="colorScale" priority="392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52:AS52 AU52:AX52">
    <cfRule type="colorScale" priority="393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53:AS53 AU53:AX53">
    <cfRule type="colorScale" priority="393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54:AS54 AU54:AX54">
    <cfRule type="colorScale" priority="393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55:AS55 AU55:AX55">
    <cfRule type="colorScale" priority="394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56:AS56 AU56:AX56">
    <cfRule type="colorScale" priority="394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57:AS57 AU57:AX57">
    <cfRule type="colorScale" priority="395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58:AS58 AU58:AX58">
    <cfRule type="colorScale" priority="395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59:AS59 AU59:AX59">
    <cfRule type="colorScale" priority="395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60:AS60 AU60:AX60">
    <cfRule type="colorScale" priority="396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61:AS61 AU61:AX61">
    <cfRule type="colorScale" priority="396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62:AS62 AU62:AX62">
    <cfRule type="colorScale" priority="397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63:AS63 AU63:AX63">
    <cfRule type="colorScale" priority="397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64:AS64 AU64:AX64">
    <cfRule type="colorScale" priority="397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65:AS65 AU65:AX65">
    <cfRule type="colorScale" priority="398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66:AS66 AU66:AX66">
    <cfRule type="colorScale" priority="398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67:AS67 AU67:AX67">
    <cfRule type="colorScale" priority="399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68:AS68 AU68:AX68">
    <cfRule type="colorScale" priority="399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69:AS69 AU69:AX69">
    <cfRule type="colorScale" priority="399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70:AS70 AU70:AX70">
    <cfRule type="colorScale" priority="400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71:AS71 AU71:AX71">
    <cfRule type="colorScale" priority="400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72:AS72 AU72:AX72">
    <cfRule type="colorScale" priority="401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73:AS73 AU73:AX73">
    <cfRule type="colorScale" priority="401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74:AS74 AU74:AX74">
    <cfRule type="colorScale" priority="401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75:AS75 AU75:AX75">
    <cfRule type="colorScale" priority="402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76:AS76 AU76:AX76">
    <cfRule type="colorScale" priority="402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77:AS77 AU77:AX77">
    <cfRule type="colorScale" priority="403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78:AS78 AU78:AX78">
    <cfRule type="colorScale" priority="403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79:AS79 AU79:AX79">
    <cfRule type="colorScale" priority="403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80:AS80 AU80:AX80">
    <cfRule type="colorScale" priority="404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81:AS81 AU81:AX81">
    <cfRule type="colorScale" priority="404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82:AS82 AU82:AX82">
    <cfRule type="colorScale" priority="405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83:AS83 AU83:AX83">
    <cfRule type="colorScale" priority="405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84:AS84 AU84:AX84">
    <cfRule type="colorScale" priority="405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85:AS85 AU85:AX85">
    <cfRule type="colorScale" priority="406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86:AS86 AU86:AX86">
    <cfRule type="colorScale" priority="406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87:AS87 AU87:AX87">
    <cfRule type="colorScale" priority="407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88:AS88 AU88:AX88">
    <cfRule type="colorScale" priority="407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89:AS89 AU89:AX89">
    <cfRule type="colorScale" priority="407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90:AS90 AU90:AX90">
    <cfRule type="colorScale" priority="408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91:AS91 AU91:AX91">
    <cfRule type="colorScale" priority="408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92:AS92 AU92:AX92">
    <cfRule type="colorScale" priority="409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93:AS93 AU93:AX93">
    <cfRule type="colorScale" priority="409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94:AS94 AU94:AX94">
    <cfRule type="colorScale" priority="409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95:AS95 AU95:AX95">
    <cfRule type="colorScale" priority="410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96:AS96 AU96:AX96">
    <cfRule type="colorScale" priority="410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97:AS97 AU97:AX97">
    <cfRule type="colorScale" priority="411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98:AS98 AU98:AX98">
    <cfRule type="colorScale" priority="411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99:AS99 AU99:AX99">
    <cfRule type="colorScale" priority="411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00:AS100 AU100:AX100">
    <cfRule type="colorScale" priority="412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01:AS101 AU101:AX101">
    <cfRule type="colorScale" priority="412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02:AS102 AU102:AX102">
    <cfRule type="colorScale" priority="413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03:AS103 AU103:AX103">
    <cfRule type="colorScale" priority="413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04:AS104 AU104:AX104">
    <cfRule type="colorScale" priority="413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05:AS105 AU105:AX105">
    <cfRule type="colorScale" priority="414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06:AS106 AU106:AX106">
    <cfRule type="colorScale" priority="414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07:AS107 AU107:AX107">
    <cfRule type="colorScale" priority="415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08:AS108 AU108:AX108">
    <cfRule type="colorScale" priority="415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09:AS109 AU109:AX109">
    <cfRule type="colorScale" priority="415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10:AS110 AU110:AX110">
    <cfRule type="colorScale" priority="416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11:AS111 AU111:AX111">
    <cfRule type="colorScale" priority="416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12:AS112 AU112:AX112">
    <cfRule type="colorScale" priority="417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13:AS113 AU113:AX113">
    <cfRule type="colorScale" priority="417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14:AS114 AU114:AX114">
    <cfRule type="colorScale" priority="417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15:AS115 AU115:AX115">
    <cfRule type="colorScale" priority="418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16:AS116 AU116:AX116">
    <cfRule type="colorScale" priority="418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17:AS117 AU117:AX117">
    <cfRule type="colorScale" priority="419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18:AS118 AU118:AX118">
    <cfRule type="colorScale" priority="419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19:AS119 AU119:AX119">
    <cfRule type="colorScale" priority="419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20:AS120 AU120:AX120">
    <cfRule type="colorScale" priority="420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21:AS121 AU121:AX121">
    <cfRule type="colorScale" priority="420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22:AS122 AU122:AX122">
    <cfRule type="colorScale" priority="421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23:AS123 AU123:AX123">
    <cfRule type="colorScale" priority="421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24:AS124 AU124:AX124">
    <cfRule type="colorScale" priority="421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25:AS125 AU125:AX125">
    <cfRule type="colorScale" priority="422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26:AS126 AU126:AX126">
    <cfRule type="colorScale" priority="422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27:AS127 AU127:AX127">
    <cfRule type="colorScale" priority="423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28:AS128 AU128:AX128">
    <cfRule type="colorScale" priority="423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29:AS129 AU129:AX129">
    <cfRule type="colorScale" priority="423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30:AS130 AU130:AX130">
    <cfRule type="colorScale" priority="424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31:AS131 AU131:AX131">
    <cfRule type="colorScale" priority="424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32:AS132 AU132:AX132">
    <cfRule type="colorScale" priority="425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33:AS133 AU133:AX133">
    <cfRule type="colorScale" priority="425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34:AS134 AU134:AX134">
    <cfRule type="colorScale" priority="425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35:AS135 AU135:AX135">
    <cfRule type="colorScale" priority="426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36:AS136 AU136:AX136">
    <cfRule type="colorScale" priority="426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37:AS137 AU137:AX137">
    <cfRule type="colorScale" priority="427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38:AS138 AU138:AX138">
    <cfRule type="colorScale" priority="427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39:AS139 AU139:AX139">
    <cfRule type="colorScale" priority="427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40:AS140 AU140:AX140">
    <cfRule type="colorScale" priority="428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41:AS141 AU141:AX141">
    <cfRule type="colorScale" priority="428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42:AS142 AU142:AX142">
    <cfRule type="colorScale" priority="429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43:AS143 AU143:AX143">
    <cfRule type="colorScale" priority="429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44:AS144 AU144:AX144">
    <cfRule type="colorScale" priority="429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45:AS145 AU145:AX145">
    <cfRule type="colorScale" priority="430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46:AS146 AU146:AX146">
    <cfRule type="colorScale" priority="430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47:AS147 AU147:AX147">
    <cfRule type="colorScale" priority="431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48:AS148 AU148:AX148">
    <cfRule type="colorScale" priority="431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49:AS149 AU149:AX149">
    <cfRule type="colorScale" priority="431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50:AS150 AU150:AX150">
    <cfRule type="colorScale" priority="432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51:AS151 AU151:AX151">
    <cfRule type="colorScale" priority="432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52:AS152 AU152:AX152">
    <cfRule type="colorScale" priority="433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53:AS153 AU153:AX153">
    <cfRule type="colorScale" priority="433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54:AS154 AU154:AX154">
    <cfRule type="colorScale" priority="433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55:AS155 AU155:AX155">
    <cfRule type="colorScale" priority="434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56:AS156 AU156:AX156">
    <cfRule type="colorScale" priority="434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57:AS157 AU157:AX157">
    <cfRule type="colorScale" priority="435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58:AS158 AU158:AX158">
    <cfRule type="colorScale" priority="435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59:AS159 AU159:AX159">
    <cfRule type="colorScale" priority="435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60:AS160 AU160:AX160">
    <cfRule type="colorScale" priority="436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61:AS161 AU161:AX161">
    <cfRule type="colorScale" priority="436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62:AS162 AU162:AX162">
    <cfRule type="colorScale" priority="437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63:AS163 AU163:AX163">
    <cfRule type="colorScale" priority="437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64:AS164 AU164:AX164">
    <cfRule type="colorScale" priority="437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65:AS165 AU165:AX165">
    <cfRule type="colorScale" priority="438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66:AS166 AU166:AX166">
    <cfRule type="colorScale" priority="438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67:AS167 AU167:AX167">
    <cfRule type="colorScale" priority="439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68:AS168 AU168:AX168">
    <cfRule type="colorScale" priority="439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69:AS169 AU169:AX169">
    <cfRule type="colorScale" priority="439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70:AS170 AU170:AX170">
    <cfRule type="colorScale" priority="440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71:AS171 AU171:AX171">
    <cfRule type="colorScale" priority="440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72:AS172 AU172:AX172">
    <cfRule type="colorScale" priority="441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73:AS173 AU173:AX173">
    <cfRule type="colorScale" priority="441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74:AS174 AU174:AX174">
    <cfRule type="colorScale" priority="441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75:AS175 AU175:AX175">
    <cfRule type="colorScale" priority="442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76:AS176 AU176:AX176">
    <cfRule type="colorScale" priority="442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77:AS177 AU177:AX177">
    <cfRule type="colorScale" priority="443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78:AS178 AU178:AX178">
    <cfRule type="colorScale" priority="443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79:AS179 AU179:AX179">
    <cfRule type="colorScale" priority="443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80:AS180 AU180:AX180">
    <cfRule type="colorScale" priority="444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81:AS181 AU181:AX181">
    <cfRule type="colorScale" priority="444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82:AS182 AU182:AX182">
    <cfRule type="colorScale" priority="445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83:AS183 AU183:AX183">
    <cfRule type="colorScale" priority="445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84:AS184 AU184:AX184">
    <cfRule type="colorScale" priority="445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85:AS185 AU185:AX185">
    <cfRule type="colorScale" priority="446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86:AS186 AU186:AX186">
    <cfRule type="colorScale" priority="446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87:AS187 AU187:AX187">
    <cfRule type="colorScale" priority="447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88:AS188 AU188:AX188">
    <cfRule type="colorScale" priority="447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89:AS189 AU189:AX189">
    <cfRule type="colorScale" priority="447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90:AS190 AU190:AX190">
    <cfRule type="colorScale" priority="448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91:AS191 AU191:AX191">
    <cfRule type="colorScale" priority="448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92:AS192 AU192:AX192">
    <cfRule type="colorScale" priority="449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93:AS193 AU193:AX193">
    <cfRule type="colorScale" priority="449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94:AS194 AU194:AX194">
    <cfRule type="colorScale" priority="449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95:AS195 AU195:AX195">
    <cfRule type="colorScale" priority="450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96:AS196 AU196:AX196">
    <cfRule type="colorScale" priority="450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97:AS197 AU197:AX197">
    <cfRule type="colorScale" priority="451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98:AS198 AU198:AX198">
    <cfRule type="colorScale" priority="451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99:AS199 AU199:AX199">
    <cfRule type="colorScale" priority="451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200:AS200 AU200:AX200">
    <cfRule type="colorScale" priority="452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201:AS201 AU201:AX201">
    <cfRule type="colorScale" priority="452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202:AS202 AU202:AX202">
    <cfRule type="colorScale" priority="453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203:AS203 AU203:AX203">
    <cfRule type="colorScale" priority="453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204:AS204 AU204:AX204">
    <cfRule type="colorScale" priority="453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205:AS205 AU205:AX205">
    <cfRule type="colorScale" priority="454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206:AS206 AU206:AX206">
    <cfRule type="colorScale" priority="454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207:AS207">
    <cfRule type="colorScale" priority="455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208:AS208 AU208:AX208">
    <cfRule type="colorScale" priority="455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209:AS209 AU209:AX209">
    <cfRule type="colorScale" priority="456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210:AS210 AU210:AX210">
    <cfRule type="colorScale" priority="456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211:AS211">
    <cfRule type="colorScale" priority="457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212:AS212 AU212:AX212">
    <cfRule type="colorScale" priority="457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213:AS213 AU213:AX213">
    <cfRule type="colorScale" priority="458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214:AS216 AU214:AX216">
    <cfRule type="colorScale" priority="458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217:AS217 AU217:AX217">
    <cfRule type="colorScale" priority="459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218:AS220 AU218:AX220">
    <cfRule type="colorScale" priority="459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221:AS221">
    <cfRule type="colorScale" priority="461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6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N22:AN23">
    <cfRule type="colorScale" priority="59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N221">
    <cfRule type="colorScale" priority="55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N222:AN226">
    <cfRule type="colorScale" priority="59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N227:AN228">
    <cfRule type="colorScale" priority="59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O22:AO23">
    <cfRule type="colorScale" priority="58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O221">
    <cfRule type="colorScale" priority="55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O222:AO226">
    <cfRule type="colorScale" priority="58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O227:AO228">
    <cfRule type="colorScale" priority="58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22:AP23">
    <cfRule type="colorScale" priority="57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221">
    <cfRule type="colorScale" priority="55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222:AP226">
    <cfRule type="colorScale" priority="58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227:AP228">
    <cfRule type="colorScale" priority="58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22:AQ23">
    <cfRule type="colorScale" priority="57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221">
    <cfRule type="colorScale" priority="55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222:AQ226">
    <cfRule type="colorScale" priority="57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227:AQ228">
    <cfRule type="colorScale" priority="57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R22:AR23">
    <cfRule type="colorScale" priority="56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R221">
    <cfRule type="colorScale" priority="54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R222:AR226">
    <cfRule type="colorScale" priority="56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R227:AR228">
    <cfRule type="colorScale" priority="57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S22:AS23">
    <cfRule type="colorScale" priority="56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S222:AS226">
    <cfRule type="colorScale" priority="56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S227:AS228">
    <cfRule type="colorScale" priority="56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U22:AX23">
    <cfRule type="colorScale" priority="5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U207:AX207">
    <cfRule type="colorScale" priority="455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U211:AX211">
    <cfRule type="colorScale" priority="457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U221:AX221">
    <cfRule type="colorScale" priority="460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6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U222:AX226">
    <cfRule type="colorScale" priority="5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U227:AX228">
    <cfRule type="colorScale" priority="6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2">
    <cfRule type="colorScale" priority="7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3">
    <cfRule type="colorScale" priority="7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4">
    <cfRule type="colorScale" priority="7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5">
    <cfRule type="colorScale" priority="8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6">
    <cfRule type="colorScale" priority="8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7">
    <cfRule type="colorScale" priority="8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8">
    <cfRule type="colorScale" priority="8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9">
    <cfRule type="colorScale" priority="8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0">
    <cfRule type="colorScale" priority="9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1">
    <cfRule type="colorScale" priority="9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2">
    <cfRule type="colorScale" priority="9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3">
    <cfRule type="colorScale" priority="9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4">
    <cfRule type="colorScale" priority="9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5">
    <cfRule type="colorScale" priority="10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6">
    <cfRule type="colorScale" priority="10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7">
    <cfRule type="colorScale" priority="10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8">
    <cfRule type="colorScale" priority="10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9">
    <cfRule type="colorScale" priority="10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20">
    <cfRule type="colorScale" priority="11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21">
    <cfRule type="colorScale" priority="11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22:AZ23">
    <cfRule type="colorScale" priority="6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24">
    <cfRule type="colorScale" priority="11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25">
    <cfRule type="colorScale" priority="11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26">
    <cfRule type="colorScale" priority="11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27">
    <cfRule type="colorScale" priority="12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28">
    <cfRule type="colorScale" priority="12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29">
    <cfRule type="colorScale" priority="12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30">
    <cfRule type="colorScale" priority="12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31">
    <cfRule type="colorScale" priority="12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32">
    <cfRule type="colorScale" priority="13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33">
    <cfRule type="colorScale" priority="13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34">
    <cfRule type="colorScale" priority="13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35">
    <cfRule type="colorScale" priority="13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36">
    <cfRule type="colorScale" priority="13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37">
    <cfRule type="colorScale" priority="14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38">
    <cfRule type="colorScale" priority="14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39">
    <cfRule type="colorScale" priority="14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40">
    <cfRule type="colorScale" priority="14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41">
    <cfRule type="colorScale" priority="14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42">
    <cfRule type="colorScale" priority="15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43">
    <cfRule type="colorScale" priority="15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44">
    <cfRule type="colorScale" priority="15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45">
    <cfRule type="colorScale" priority="15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46">
    <cfRule type="colorScale" priority="15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47">
    <cfRule type="colorScale" priority="16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48">
    <cfRule type="colorScale" priority="16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49">
    <cfRule type="colorScale" priority="16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50">
    <cfRule type="colorScale" priority="16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51">
    <cfRule type="colorScale" priority="16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52">
    <cfRule type="colorScale" priority="17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53">
    <cfRule type="colorScale" priority="17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54">
    <cfRule type="colorScale" priority="17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55">
    <cfRule type="colorScale" priority="17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56">
    <cfRule type="colorScale" priority="17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57">
    <cfRule type="colorScale" priority="18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58">
    <cfRule type="colorScale" priority="18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59">
    <cfRule type="colorScale" priority="18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60">
    <cfRule type="colorScale" priority="18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61">
    <cfRule type="colorScale" priority="18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62">
    <cfRule type="colorScale" priority="19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63">
    <cfRule type="colorScale" priority="19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64">
    <cfRule type="colorScale" priority="19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65">
    <cfRule type="colorScale" priority="19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66">
    <cfRule type="colorScale" priority="19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67">
    <cfRule type="colorScale" priority="20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68">
    <cfRule type="colorScale" priority="20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69">
    <cfRule type="colorScale" priority="20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70">
    <cfRule type="colorScale" priority="20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71">
    <cfRule type="colorScale" priority="20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72">
    <cfRule type="colorScale" priority="21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73">
    <cfRule type="colorScale" priority="21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74">
    <cfRule type="colorScale" priority="21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75">
    <cfRule type="colorScale" priority="21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76">
    <cfRule type="colorScale" priority="21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77">
    <cfRule type="colorScale" priority="22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78">
    <cfRule type="colorScale" priority="22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79">
    <cfRule type="colorScale" priority="22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80">
    <cfRule type="colorScale" priority="22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81">
    <cfRule type="colorScale" priority="22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82">
    <cfRule type="colorScale" priority="23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83">
    <cfRule type="colorScale" priority="23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84">
    <cfRule type="colorScale" priority="23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85">
    <cfRule type="colorScale" priority="23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86">
    <cfRule type="colorScale" priority="23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87">
    <cfRule type="colorScale" priority="24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88">
    <cfRule type="colorScale" priority="24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89">
    <cfRule type="colorScale" priority="24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90">
    <cfRule type="colorScale" priority="24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91">
    <cfRule type="colorScale" priority="24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92">
    <cfRule type="colorScale" priority="25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93">
    <cfRule type="colorScale" priority="25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94">
    <cfRule type="colorScale" priority="25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95">
    <cfRule type="colorScale" priority="25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96">
    <cfRule type="colorScale" priority="25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97">
    <cfRule type="colorScale" priority="26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98">
    <cfRule type="colorScale" priority="26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99">
    <cfRule type="colorScale" priority="26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00">
    <cfRule type="colorScale" priority="26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01">
    <cfRule type="colorScale" priority="26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02">
    <cfRule type="colorScale" priority="27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03">
    <cfRule type="colorScale" priority="27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04">
    <cfRule type="colorScale" priority="27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05">
    <cfRule type="colorScale" priority="27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06">
    <cfRule type="colorScale" priority="27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07">
    <cfRule type="colorScale" priority="28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08">
    <cfRule type="colorScale" priority="28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09">
    <cfRule type="colorScale" priority="28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10">
    <cfRule type="colorScale" priority="28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11">
    <cfRule type="colorScale" priority="28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12">
    <cfRule type="colorScale" priority="29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13">
    <cfRule type="colorScale" priority="29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14">
    <cfRule type="colorScale" priority="29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15">
    <cfRule type="colorScale" priority="29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16">
    <cfRule type="colorScale" priority="29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17">
    <cfRule type="colorScale" priority="30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18">
    <cfRule type="colorScale" priority="30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19">
    <cfRule type="colorScale" priority="30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20">
    <cfRule type="colorScale" priority="30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21">
    <cfRule type="colorScale" priority="30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22">
    <cfRule type="colorScale" priority="31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23">
    <cfRule type="colorScale" priority="31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24">
    <cfRule type="colorScale" priority="31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25">
    <cfRule type="colorScale" priority="31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26">
    <cfRule type="colorScale" priority="31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27">
    <cfRule type="colorScale" priority="32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28">
    <cfRule type="colorScale" priority="32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29">
    <cfRule type="colorScale" priority="32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30">
    <cfRule type="colorScale" priority="32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31">
    <cfRule type="colorScale" priority="32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32">
    <cfRule type="colorScale" priority="33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33">
    <cfRule type="colorScale" priority="33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34">
    <cfRule type="colorScale" priority="33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35">
    <cfRule type="colorScale" priority="33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36">
    <cfRule type="colorScale" priority="33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37">
    <cfRule type="colorScale" priority="34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38">
    <cfRule type="colorScale" priority="34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39">
    <cfRule type="colorScale" priority="34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40">
    <cfRule type="colorScale" priority="34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41">
    <cfRule type="colorScale" priority="34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42">
    <cfRule type="colorScale" priority="35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43">
    <cfRule type="colorScale" priority="35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44">
    <cfRule type="colorScale" priority="35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45">
    <cfRule type="colorScale" priority="35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46">
    <cfRule type="colorScale" priority="35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47">
    <cfRule type="colorScale" priority="36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48">
    <cfRule type="colorScale" priority="36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49">
    <cfRule type="colorScale" priority="36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50">
    <cfRule type="colorScale" priority="36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51">
    <cfRule type="colorScale" priority="36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52">
    <cfRule type="colorScale" priority="37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53">
    <cfRule type="colorScale" priority="37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54">
    <cfRule type="colorScale" priority="37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55">
    <cfRule type="colorScale" priority="37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56">
    <cfRule type="colorScale" priority="37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57">
    <cfRule type="colorScale" priority="38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58">
    <cfRule type="colorScale" priority="38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59">
    <cfRule type="colorScale" priority="38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60">
    <cfRule type="colorScale" priority="38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61">
    <cfRule type="colorScale" priority="38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62">
    <cfRule type="colorScale" priority="39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63">
    <cfRule type="colorScale" priority="39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64">
    <cfRule type="colorScale" priority="39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65">
    <cfRule type="colorScale" priority="39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66">
    <cfRule type="colorScale" priority="39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67">
    <cfRule type="colorScale" priority="40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68">
    <cfRule type="colorScale" priority="40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69">
    <cfRule type="colorScale" priority="40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70">
    <cfRule type="colorScale" priority="40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71">
    <cfRule type="colorScale" priority="40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72">
    <cfRule type="colorScale" priority="41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73">
    <cfRule type="colorScale" priority="41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74">
    <cfRule type="colorScale" priority="41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75">
    <cfRule type="colorScale" priority="41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76">
    <cfRule type="colorScale" priority="41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77">
    <cfRule type="colorScale" priority="42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78">
    <cfRule type="colorScale" priority="42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79">
    <cfRule type="colorScale" priority="42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80">
    <cfRule type="colorScale" priority="42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81">
    <cfRule type="colorScale" priority="42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82">
    <cfRule type="colorScale" priority="43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83">
    <cfRule type="colorScale" priority="43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84">
    <cfRule type="colorScale" priority="43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85">
    <cfRule type="colorScale" priority="43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86">
    <cfRule type="colorScale" priority="43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87">
    <cfRule type="colorScale" priority="44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88">
    <cfRule type="colorScale" priority="44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89">
    <cfRule type="colorScale" priority="44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90">
    <cfRule type="colorScale" priority="44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91">
    <cfRule type="colorScale" priority="44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92">
    <cfRule type="colorScale" priority="45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93">
    <cfRule type="colorScale" priority="45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94">
    <cfRule type="colorScale" priority="45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95">
    <cfRule type="colorScale" priority="45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96">
    <cfRule type="colorScale" priority="45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97">
    <cfRule type="colorScale" priority="46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98">
    <cfRule type="colorScale" priority="46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99">
    <cfRule type="colorScale" priority="46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200">
    <cfRule type="colorScale" priority="46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201">
    <cfRule type="colorScale" priority="46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202">
    <cfRule type="colorScale" priority="47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203">
    <cfRule type="colorScale" priority="47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204">
    <cfRule type="colorScale" priority="47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205">
    <cfRule type="colorScale" priority="47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206">
    <cfRule type="colorScale" priority="47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207">
    <cfRule type="colorScale" priority="48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208">
    <cfRule type="colorScale" priority="48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209">
    <cfRule type="colorScale" priority="48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210">
    <cfRule type="colorScale" priority="48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211">
    <cfRule type="colorScale" priority="49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212">
    <cfRule type="colorScale" priority="49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213">
    <cfRule type="colorScale" priority="49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214:AZ216">
    <cfRule type="colorScale" priority="49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217">
    <cfRule type="colorScale" priority="50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218:AZ220">
    <cfRule type="colorScale" priority="50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221">
    <cfRule type="colorScale" priority="6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222:AZ226">
    <cfRule type="colorScale" priority="7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227:AZ228">
    <cfRule type="colorScale" priority="7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C22:BC23 AA22:AD23 G22:P23 V22:X23 R22:T23">
    <cfRule type="colorScale" priority="289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C222:BC226 AA222:AD226 G222:P226 V222:X226 R222:T225">
    <cfRule type="colorScale" priority="461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6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C227:BC228 AA227:AD228 G227:P228 V227:X228 R227:T228">
    <cfRule type="colorScale" priority="329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69"/>
  <sheetViews>
    <sheetView workbookViewId="0">
      <pane xSplit="2" ySplit="1" topLeftCell="C149" activePane="bottomRight" state="frozen"/>
      <selection pane="topRight" activeCell="B1" sqref="B1"/>
      <selection pane="bottomLeft" activeCell="A2" sqref="A2"/>
      <selection pane="bottomRight"/>
    </sheetView>
  </sheetViews>
  <sheetFormatPr defaultColWidth="11.42578125" defaultRowHeight="15" x14ac:dyDescent="0.25"/>
  <cols>
    <col min="1" max="2" width="35.7109375" customWidth="1"/>
    <col min="3" max="3" width="49.5703125" customWidth="1"/>
  </cols>
  <sheetData>
    <row r="1" spans="1:3" s="1" customFormat="1" x14ac:dyDescent="0.25">
      <c r="A1" s="1" t="s">
        <v>285</v>
      </c>
      <c r="B1" s="1" t="s">
        <v>286</v>
      </c>
      <c r="C1" s="1" t="s">
        <v>287</v>
      </c>
    </row>
    <row r="2" spans="1:3" x14ac:dyDescent="0.25">
      <c r="A2" t="s">
        <v>205</v>
      </c>
      <c r="B2" t="s">
        <v>2</v>
      </c>
      <c r="C2" t="str">
        <f>IF(ISNA(VLOOKUP(A2,$B$2:$B$170,1,FALSE)),A2,"")</f>
        <v>pi</v>
      </c>
    </row>
    <row r="3" spans="1:3" x14ac:dyDescent="0.25">
      <c r="A3" t="s">
        <v>3</v>
      </c>
      <c r="B3" t="s">
        <v>3</v>
      </c>
      <c r="C3" t="str">
        <f t="shared" ref="C3:C66" si="0">IF(ISNA(VLOOKUP(A3,$B$2:$B$170,1,FALSE)),A3,"")</f>
        <v/>
      </c>
    </row>
    <row r="4" spans="1:3" x14ac:dyDescent="0.25">
      <c r="A4" t="s">
        <v>39</v>
      </c>
      <c r="B4" t="s">
        <v>4</v>
      </c>
      <c r="C4" t="str">
        <f t="shared" si="0"/>
        <v/>
      </c>
    </row>
    <row r="5" spans="1:3" x14ac:dyDescent="0.25">
      <c r="A5" t="s">
        <v>206</v>
      </c>
      <c r="B5" t="s">
        <v>5</v>
      </c>
      <c r="C5" t="str">
        <f t="shared" si="0"/>
        <v/>
      </c>
    </row>
    <row r="6" spans="1:3" x14ac:dyDescent="0.25">
      <c r="A6" t="s">
        <v>41</v>
      </c>
      <c r="B6" t="s">
        <v>20</v>
      </c>
      <c r="C6" t="str">
        <f t="shared" si="0"/>
        <v/>
      </c>
    </row>
    <row r="7" spans="1:3" x14ac:dyDescent="0.25">
      <c r="A7" t="s">
        <v>40</v>
      </c>
      <c r="B7" t="s">
        <v>0</v>
      </c>
      <c r="C7" t="str">
        <f t="shared" si="0"/>
        <v/>
      </c>
    </row>
    <row r="8" spans="1:3" x14ac:dyDescent="0.25">
      <c r="A8" t="s">
        <v>44</v>
      </c>
      <c r="B8" t="s">
        <v>1</v>
      </c>
      <c r="C8" t="str">
        <f t="shared" si="0"/>
        <v/>
      </c>
    </row>
    <row r="9" spans="1:3" x14ac:dyDescent="0.25">
      <c r="A9" t="s">
        <v>49</v>
      </c>
      <c r="B9" t="s">
        <v>6</v>
      </c>
      <c r="C9" t="str">
        <f t="shared" si="0"/>
        <v/>
      </c>
    </row>
    <row r="10" spans="1:3" x14ac:dyDescent="0.25">
      <c r="A10" t="s">
        <v>47</v>
      </c>
      <c r="B10" t="s">
        <v>7</v>
      </c>
      <c r="C10" t="str">
        <f t="shared" si="0"/>
        <v/>
      </c>
    </row>
    <row r="11" spans="1:3" x14ac:dyDescent="0.25">
      <c r="A11" t="s">
        <v>48</v>
      </c>
      <c r="B11" t="s">
        <v>8</v>
      </c>
      <c r="C11" t="str">
        <f t="shared" si="0"/>
        <v/>
      </c>
    </row>
    <row r="12" spans="1:3" x14ac:dyDescent="0.25">
      <c r="A12" t="s">
        <v>46</v>
      </c>
      <c r="B12" t="s">
        <v>9</v>
      </c>
      <c r="C12" t="str">
        <f t="shared" si="0"/>
        <v/>
      </c>
    </row>
    <row r="13" spans="1:3" x14ac:dyDescent="0.25">
      <c r="A13" t="s">
        <v>45</v>
      </c>
      <c r="B13" t="s">
        <v>10</v>
      </c>
      <c r="C13" t="str">
        <f t="shared" si="0"/>
        <v/>
      </c>
    </row>
    <row r="14" spans="1:3" x14ac:dyDescent="0.25">
      <c r="A14" t="s">
        <v>90</v>
      </c>
      <c r="B14" t="s">
        <v>11</v>
      </c>
      <c r="C14" t="str">
        <f t="shared" si="0"/>
        <v/>
      </c>
    </row>
    <row r="15" spans="1:3" x14ac:dyDescent="0.25">
      <c r="A15" t="s">
        <v>42</v>
      </c>
      <c r="B15" t="s">
        <v>12</v>
      </c>
      <c r="C15" t="str">
        <f t="shared" si="0"/>
        <v/>
      </c>
    </row>
    <row r="16" spans="1:3" x14ac:dyDescent="0.25">
      <c r="A16" t="s">
        <v>207</v>
      </c>
      <c r="B16" t="s">
        <v>13</v>
      </c>
      <c r="C16" t="str">
        <f t="shared" si="0"/>
        <v/>
      </c>
    </row>
    <row r="17" spans="1:3" x14ac:dyDescent="0.25">
      <c r="A17" t="s">
        <v>43</v>
      </c>
      <c r="B17" t="s">
        <v>14</v>
      </c>
      <c r="C17" t="str">
        <f t="shared" si="0"/>
        <v/>
      </c>
    </row>
    <row r="18" spans="1:3" x14ac:dyDescent="0.25">
      <c r="A18" t="s">
        <v>50</v>
      </c>
      <c r="B18" t="s">
        <v>15</v>
      </c>
      <c r="C18" t="str">
        <f t="shared" si="0"/>
        <v/>
      </c>
    </row>
    <row r="19" spans="1:3" x14ac:dyDescent="0.25">
      <c r="A19" t="s">
        <v>204</v>
      </c>
      <c r="B19" t="s">
        <v>16</v>
      </c>
      <c r="C19" t="str">
        <f t="shared" si="0"/>
        <v/>
      </c>
    </row>
    <row r="20" spans="1:3" x14ac:dyDescent="0.25">
      <c r="A20" t="s">
        <v>51</v>
      </c>
      <c r="B20" t="s">
        <v>17</v>
      </c>
      <c r="C20" t="str">
        <f t="shared" si="0"/>
        <v/>
      </c>
    </row>
    <row r="21" spans="1:3" x14ac:dyDescent="0.25">
      <c r="A21" t="s">
        <v>52</v>
      </c>
      <c r="B21" t="s">
        <v>18</v>
      </c>
      <c r="C21" t="str">
        <f t="shared" si="0"/>
        <v/>
      </c>
    </row>
    <row r="22" spans="1:3" x14ac:dyDescent="0.25">
      <c r="A22" t="s">
        <v>53</v>
      </c>
      <c r="B22" t="s">
        <v>19</v>
      </c>
      <c r="C22" t="str">
        <f t="shared" si="0"/>
        <v/>
      </c>
    </row>
    <row r="23" spans="1:3" x14ac:dyDescent="0.25">
      <c r="A23" t="s">
        <v>55</v>
      </c>
      <c r="B23" t="s">
        <v>21</v>
      </c>
      <c r="C23" t="str">
        <f t="shared" si="0"/>
        <v/>
      </c>
    </row>
    <row r="24" spans="1:3" x14ac:dyDescent="0.25">
      <c r="A24" t="s">
        <v>54</v>
      </c>
      <c r="B24" t="s">
        <v>22</v>
      </c>
      <c r="C24" t="str">
        <f t="shared" si="0"/>
        <v/>
      </c>
    </row>
    <row r="25" spans="1:3" x14ac:dyDescent="0.25">
      <c r="A25" t="s">
        <v>60</v>
      </c>
      <c r="B25" t="s">
        <v>23</v>
      </c>
      <c r="C25" t="str">
        <f t="shared" si="0"/>
        <v/>
      </c>
    </row>
    <row r="26" spans="1:3" x14ac:dyDescent="0.25">
      <c r="A26" t="s">
        <v>208</v>
      </c>
      <c r="B26" t="s">
        <v>24</v>
      </c>
      <c r="C26" t="str">
        <f t="shared" si="0"/>
        <v/>
      </c>
    </row>
    <row r="27" spans="1:3" x14ac:dyDescent="0.25">
      <c r="A27" t="s">
        <v>209</v>
      </c>
      <c r="B27" t="s">
        <v>25</v>
      </c>
      <c r="C27" t="str">
        <f t="shared" si="0"/>
        <v>root_growth_T_ref</v>
      </c>
    </row>
    <row r="28" spans="1:3" x14ac:dyDescent="0.25">
      <c r="A28" t="s">
        <v>210</v>
      </c>
      <c r="B28" t="s">
        <v>26</v>
      </c>
      <c r="C28" t="str">
        <f t="shared" si="0"/>
        <v>root_growth_A</v>
      </c>
    </row>
    <row r="29" spans="1:3" x14ac:dyDescent="0.25">
      <c r="A29" t="s">
        <v>211</v>
      </c>
      <c r="B29" t="s">
        <v>27</v>
      </c>
      <c r="C29" t="str">
        <f t="shared" si="0"/>
        <v>root_growth_B</v>
      </c>
    </row>
    <row r="30" spans="1:3" x14ac:dyDescent="0.25">
      <c r="A30" t="s">
        <v>212</v>
      </c>
      <c r="B30" t="s">
        <v>28</v>
      </c>
      <c r="C30" t="str">
        <f t="shared" si="0"/>
        <v>root_growth_C</v>
      </c>
    </row>
    <row r="31" spans="1:3" x14ac:dyDescent="0.25">
      <c r="A31" t="s">
        <v>213</v>
      </c>
      <c r="B31" t="s">
        <v>29</v>
      </c>
      <c r="C31" t="str">
        <f t="shared" si="0"/>
        <v/>
      </c>
    </row>
    <row r="32" spans="1:3" x14ac:dyDescent="0.25">
      <c r="A32" t="s">
        <v>214</v>
      </c>
      <c r="B32" t="s">
        <v>30</v>
      </c>
      <c r="C32" t="str">
        <f t="shared" si="0"/>
        <v/>
      </c>
    </row>
    <row r="33" spans="1:3" x14ac:dyDescent="0.25">
      <c r="A33" t="s">
        <v>215</v>
      </c>
      <c r="B33" t="s">
        <v>31</v>
      </c>
      <c r="C33" t="str">
        <f t="shared" si="0"/>
        <v/>
      </c>
    </row>
    <row r="34" spans="1:3" x14ac:dyDescent="0.25">
      <c r="A34" t="s">
        <v>216</v>
      </c>
      <c r="B34" t="s">
        <v>32</v>
      </c>
      <c r="C34" t="str">
        <f t="shared" si="0"/>
        <v/>
      </c>
    </row>
    <row r="35" spans="1:3" x14ac:dyDescent="0.25">
      <c r="A35" t="s">
        <v>217</v>
      </c>
      <c r="B35" t="s">
        <v>33</v>
      </c>
      <c r="C35" t="str">
        <f t="shared" si="0"/>
        <v/>
      </c>
    </row>
    <row r="36" spans="1:3" x14ac:dyDescent="0.25">
      <c r="A36" t="s">
        <v>61</v>
      </c>
      <c r="B36" t="s">
        <v>34</v>
      </c>
      <c r="C36" t="str">
        <f t="shared" si="0"/>
        <v/>
      </c>
    </row>
    <row r="37" spans="1:3" x14ac:dyDescent="0.25">
      <c r="A37" t="s">
        <v>75</v>
      </c>
      <c r="B37" t="s">
        <v>35</v>
      </c>
      <c r="C37" t="str">
        <f t="shared" si="0"/>
        <v/>
      </c>
    </row>
    <row r="38" spans="1:3" x14ac:dyDescent="0.25">
      <c r="A38" t="s">
        <v>218</v>
      </c>
      <c r="B38" t="s">
        <v>36</v>
      </c>
      <c r="C38" t="str">
        <f t="shared" si="0"/>
        <v/>
      </c>
    </row>
    <row r="39" spans="1:3" x14ac:dyDescent="0.25">
      <c r="A39" t="s">
        <v>219</v>
      </c>
      <c r="B39" t="s">
        <v>37</v>
      </c>
      <c r="C39" t="str">
        <f t="shared" si="0"/>
        <v/>
      </c>
    </row>
    <row r="40" spans="1:3" x14ac:dyDescent="0.25">
      <c r="A40" t="s">
        <v>220</v>
      </c>
      <c r="B40" t="s">
        <v>38</v>
      </c>
      <c r="C40" t="str">
        <f t="shared" si="0"/>
        <v/>
      </c>
    </row>
    <row r="41" spans="1:3" x14ac:dyDescent="0.25">
      <c r="A41" t="s">
        <v>221</v>
      </c>
      <c r="B41" t="s">
        <v>39</v>
      </c>
      <c r="C41" t="str">
        <f t="shared" si="0"/>
        <v/>
      </c>
    </row>
    <row r="42" spans="1:3" x14ac:dyDescent="0.25">
      <c r="A42" t="s">
        <v>76</v>
      </c>
      <c r="B42" t="s">
        <v>40</v>
      </c>
      <c r="C42" t="str">
        <f t="shared" si="0"/>
        <v/>
      </c>
    </row>
    <row r="43" spans="1:3" x14ac:dyDescent="0.25">
      <c r="A43" t="s">
        <v>222</v>
      </c>
      <c r="B43" t="s">
        <v>206</v>
      </c>
      <c r="C43" t="str">
        <f t="shared" si="0"/>
        <v>expected_C_sucrose_root</v>
      </c>
    </row>
    <row r="44" spans="1:3" x14ac:dyDescent="0.25">
      <c r="A44" t="s">
        <v>223</v>
      </c>
      <c r="B44" t="s">
        <v>41</v>
      </c>
      <c r="C44" t="str">
        <f t="shared" si="0"/>
        <v>expected_C_hexose_root</v>
      </c>
    </row>
    <row r="45" spans="1:3" x14ac:dyDescent="0.25">
      <c r="A45" t="s">
        <v>224</v>
      </c>
      <c r="B45" t="s">
        <v>90</v>
      </c>
      <c r="C45" t="str">
        <f t="shared" si="0"/>
        <v>expected_C_hexose_soil</v>
      </c>
    </row>
    <row r="46" spans="1:3" x14ac:dyDescent="0.25">
      <c r="A46" t="s">
        <v>225</v>
      </c>
      <c r="B46" t="s">
        <v>42</v>
      </c>
      <c r="C46" t="str">
        <f t="shared" si="0"/>
        <v>expected_C_hexose_reserve</v>
      </c>
    </row>
    <row r="47" spans="1:3" x14ac:dyDescent="0.25">
      <c r="A47" t="s">
        <v>65</v>
      </c>
      <c r="B47" t="s">
        <v>43</v>
      </c>
      <c r="C47" t="str">
        <f t="shared" si="0"/>
        <v/>
      </c>
    </row>
    <row r="48" spans="1:3" x14ac:dyDescent="0.25">
      <c r="A48" t="s">
        <v>77</v>
      </c>
      <c r="B48" t="s">
        <v>44</v>
      </c>
      <c r="C48" t="str">
        <f t="shared" si="0"/>
        <v/>
      </c>
    </row>
    <row r="49" spans="1:3" x14ac:dyDescent="0.25">
      <c r="A49" t="s">
        <v>226</v>
      </c>
      <c r="B49" t="s">
        <v>45</v>
      </c>
      <c r="C49" t="str">
        <f t="shared" si="0"/>
        <v>surfacic_unloading_rate_reference</v>
      </c>
    </row>
    <row r="50" spans="1:3" x14ac:dyDescent="0.25">
      <c r="A50" t="s">
        <v>227</v>
      </c>
      <c r="B50" t="s">
        <v>207</v>
      </c>
      <c r="C50" t="str">
        <f t="shared" si="0"/>
        <v>surfacic_unloading_rate_primordium</v>
      </c>
    </row>
    <row r="51" spans="1:3" x14ac:dyDescent="0.25">
      <c r="A51" t="s">
        <v>66</v>
      </c>
      <c r="B51" t="s">
        <v>46</v>
      </c>
      <c r="C51" t="str">
        <f t="shared" si="0"/>
        <v/>
      </c>
    </row>
    <row r="52" spans="1:3" x14ac:dyDescent="0.25">
      <c r="A52" t="s">
        <v>228</v>
      </c>
      <c r="B52" t="s">
        <v>47</v>
      </c>
      <c r="C52" t="str">
        <f t="shared" si="0"/>
        <v/>
      </c>
    </row>
    <row r="53" spans="1:3" x14ac:dyDescent="0.25">
      <c r="A53" t="s">
        <v>229</v>
      </c>
      <c r="B53" t="s">
        <v>48</v>
      </c>
      <c r="C53" t="str">
        <f t="shared" si="0"/>
        <v/>
      </c>
    </row>
    <row r="54" spans="1:3" x14ac:dyDescent="0.25">
      <c r="A54" t="s">
        <v>230</v>
      </c>
      <c r="B54" t="s">
        <v>49</v>
      </c>
      <c r="C54" t="str">
        <f t="shared" si="0"/>
        <v/>
      </c>
    </row>
    <row r="55" spans="1:3" x14ac:dyDescent="0.25">
      <c r="A55" t="s">
        <v>231</v>
      </c>
      <c r="B55" t="s">
        <v>50</v>
      </c>
      <c r="C55" t="str">
        <f t="shared" si="0"/>
        <v/>
      </c>
    </row>
    <row r="56" spans="1:3" x14ac:dyDescent="0.25">
      <c r="A56" t="s">
        <v>68</v>
      </c>
      <c r="B56" t="s">
        <v>204</v>
      </c>
      <c r="C56" t="str">
        <f t="shared" si="0"/>
        <v/>
      </c>
    </row>
    <row r="57" spans="1:3" x14ac:dyDescent="0.25">
      <c r="A57" t="s">
        <v>232</v>
      </c>
      <c r="B57" t="s">
        <v>51</v>
      </c>
      <c r="C57" t="str">
        <f t="shared" si="0"/>
        <v/>
      </c>
    </row>
    <row r="58" spans="1:3" x14ac:dyDescent="0.25">
      <c r="A58" t="s">
        <v>233</v>
      </c>
      <c r="B58" t="s">
        <v>52</v>
      </c>
      <c r="C58" t="str">
        <f t="shared" si="0"/>
        <v/>
      </c>
    </row>
    <row r="59" spans="1:3" x14ac:dyDescent="0.25">
      <c r="A59" t="s">
        <v>234</v>
      </c>
      <c r="B59" t="s">
        <v>53</v>
      </c>
      <c r="C59" t="str">
        <f t="shared" si="0"/>
        <v/>
      </c>
    </row>
    <row r="60" spans="1:3" x14ac:dyDescent="0.25">
      <c r="A60" t="s">
        <v>235</v>
      </c>
      <c r="B60" t="s">
        <v>54</v>
      </c>
      <c r="C60" t="str">
        <f t="shared" si="0"/>
        <v/>
      </c>
    </row>
    <row r="61" spans="1:3" x14ac:dyDescent="0.25">
      <c r="A61" t="s">
        <v>67</v>
      </c>
      <c r="B61" t="s">
        <v>55</v>
      </c>
      <c r="C61" t="str">
        <f t="shared" si="0"/>
        <v/>
      </c>
    </row>
    <row r="62" spans="1:3" x14ac:dyDescent="0.25">
      <c r="A62" t="s">
        <v>70</v>
      </c>
      <c r="B62" t="s">
        <v>213</v>
      </c>
      <c r="C62" t="str">
        <f t="shared" si="0"/>
        <v/>
      </c>
    </row>
    <row r="63" spans="1:3" x14ac:dyDescent="0.25">
      <c r="A63" t="s">
        <v>69</v>
      </c>
      <c r="B63" t="s">
        <v>214</v>
      </c>
      <c r="C63" t="str">
        <f t="shared" si="0"/>
        <v/>
      </c>
    </row>
    <row r="64" spans="1:3" x14ac:dyDescent="0.25">
      <c r="A64" t="s">
        <v>57</v>
      </c>
      <c r="B64" t="s">
        <v>215</v>
      </c>
      <c r="C64" t="str">
        <f t="shared" si="0"/>
        <v/>
      </c>
    </row>
    <row r="65" spans="1:3" x14ac:dyDescent="0.25">
      <c r="A65" t="s">
        <v>56</v>
      </c>
      <c r="B65" t="s">
        <v>216</v>
      </c>
      <c r="C65" t="str">
        <f t="shared" si="0"/>
        <v/>
      </c>
    </row>
    <row r="66" spans="1:3" x14ac:dyDescent="0.25">
      <c r="A66" t="s">
        <v>58</v>
      </c>
      <c r="B66" t="s">
        <v>217</v>
      </c>
      <c r="C66" t="str">
        <f t="shared" si="0"/>
        <v/>
      </c>
    </row>
    <row r="67" spans="1:3" x14ac:dyDescent="0.25">
      <c r="A67" t="s">
        <v>71</v>
      </c>
      <c r="B67" t="s">
        <v>82</v>
      </c>
      <c r="C67" t="str">
        <f t="shared" ref="C67:C130" si="1">IF(ISNA(VLOOKUP(A67,$B$2:$B$170,1,FALSE)),A67,"")</f>
        <v/>
      </c>
    </row>
    <row r="68" spans="1:3" x14ac:dyDescent="0.25">
      <c r="A68" t="s">
        <v>236</v>
      </c>
      <c r="B68" t="s">
        <v>83</v>
      </c>
      <c r="C68" t="str">
        <f t="shared" si="1"/>
        <v/>
      </c>
    </row>
    <row r="69" spans="1:3" x14ac:dyDescent="0.25">
      <c r="A69" t="s">
        <v>237</v>
      </c>
      <c r="B69" t="s">
        <v>84</v>
      </c>
      <c r="C69" t="str">
        <f t="shared" si="1"/>
        <v/>
      </c>
    </row>
    <row r="70" spans="1:3" x14ac:dyDescent="0.25">
      <c r="A70" t="s">
        <v>238</v>
      </c>
      <c r="B70" t="s">
        <v>85</v>
      </c>
      <c r="C70" t="str">
        <f t="shared" si="1"/>
        <v/>
      </c>
    </row>
    <row r="71" spans="1:3" x14ac:dyDescent="0.25">
      <c r="A71" t="s">
        <v>239</v>
      </c>
      <c r="B71" t="s">
        <v>60</v>
      </c>
      <c r="C71" t="str">
        <f t="shared" si="1"/>
        <v/>
      </c>
    </row>
    <row r="72" spans="1:3" x14ac:dyDescent="0.25">
      <c r="A72" t="s">
        <v>72</v>
      </c>
      <c r="B72" t="s">
        <v>208</v>
      </c>
      <c r="C72" t="str">
        <f t="shared" si="1"/>
        <v/>
      </c>
    </row>
    <row r="73" spans="1:3" x14ac:dyDescent="0.25">
      <c r="A73" t="s">
        <v>73</v>
      </c>
      <c r="B73" t="s">
        <v>59</v>
      </c>
      <c r="C73" t="str">
        <f t="shared" si="1"/>
        <v/>
      </c>
    </row>
    <row r="74" spans="1:3" x14ac:dyDescent="0.25">
      <c r="A74" t="s">
        <v>240</v>
      </c>
      <c r="B74" t="s">
        <v>61</v>
      </c>
      <c r="C74" t="str">
        <f t="shared" si="1"/>
        <v/>
      </c>
    </row>
    <row r="75" spans="1:3" x14ac:dyDescent="0.25">
      <c r="A75" t="s">
        <v>241</v>
      </c>
      <c r="B75" t="s">
        <v>62</v>
      </c>
      <c r="C75" t="str">
        <f t="shared" si="1"/>
        <v/>
      </c>
    </row>
    <row r="76" spans="1:3" x14ac:dyDescent="0.25">
      <c r="A76" t="s">
        <v>242</v>
      </c>
      <c r="B76" t="s">
        <v>63</v>
      </c>
      <c r="C76" t="str">
        <f t="shared" si="1"/>
        <v/>
      </c>
    </row>
    <row r="77" spans="1:3" x14ac:dyDescent="0.25">
      <c r="A77" t="s">
        <v>243</v>
      </c>
      <c r="B77" t="s">
        <v>64</v>
      </c>
      <c r="C77" t="str">
        <f t="shared" si="1"/>
        <v/>
      </c>
    </row>
    <row r="78" spans="1:3" x14ac:dyDescent="0.25">
      <c r="A78" t="s">
        <v>74</v>
      </c>
      <c r="B78" t="s">
        <v>65</v>
      </c>
      <c r="C78" t="str">
        <f t="shared" si="1"/>
        <v/>
      </c>
    </row>
    <row r="79" spans="1:3" x14ac:dyDescent="0.25">
      <c r="A79" t="s">
        <v>244</v>
      </c>
      <c r="B79" t="s">
        <v>66</v>
      </c>
      <c r="C79" t="str">
        <f t="shared" si="1"/>
        <v>expected_exudation_efflux</v>
      </c>
    </row>
    <row r="80" spans="1:3" x14ac:dyDescent="0.25">
      <c r="A80" t="s">
        <v>78</v>
      </c>
      <c r="B80" t="s">
        <v>228</v>
      </c>
      <c r="C80" t="str">
        <f t="shared" si="1"/>
        <v/>
      </c>
    </row>
    <row r="81" spans="1:3" x14ac:dyDescent="0.25">
      <c r="A81" t="s">
        <v>245</v>
      </c>
      <c r="B81" t="s">
        <v>229</v>
      </c>
      <c r="C81" t="str">
        <f t="shared" si="1"/>
        <v/>
      </c>
    </row>
    <row r="82" spans="1:3" x14ac:dyDescent="0.25">
      <c r="A82" t="s">
        <v>246</v>
      </c>
      <c r="B82" t="s">
        <v>230</v>
      </c>
      <c r="C82" t="str">
        <f t="shared" si="1"/>
        <v/>
      </c>
    </row>
    <row r="83" spans="1:3" x14ac:dyDescent="0.25">
      <c r="A83" t="s">
        <v>247</v>
      </c>
      <c r="B83" t="s">
        <v>231</v>
      </c>
      <c r="C83" t="str">
        <f t="shared" si="1"/>
        <v/>
      </c>
    </row>
    <row r="84" spans="1:3" x14ac:dyDescent="0.25">
      <c r="A84" t="s">
        <v>248</v>
      </c>
      <c r="B84" t="s">
        <v>67</v>
      </c>
      <c r="C84" t="str">
        <f t="shared" si="1"/>
        <v/>
      </c>
    </row>
    <row r="85" spans="1:3" x14ac:dyDescent="0.25">
      <c r="A85" t="s">
        <v>79</v>
      </c>
      <c r="B85" t="s">
        <v>68</v>
      </c>
      <c r="C85" t="str">
        <f t="shared" si="1"/>
        <v/>
      </c>
    </row>
    <row r="86" spans="1:3" x14ac:dyDescent="0.25">
      <c r="A86" t="s">
        <v>80</v>
      </c>
      <c r="B86" t="s">
        <v>232</v>
      </c>
      <c r="C86" t="str">
        <f t="shared" si="1"/>
        <v/>
      </c>
    </row>
    <row r="87" spans="1:3" x14ac:dyDescent="0.25">
      <c r="A87" t="s">
        <v>249</v>
      </c>
      <c r="B87" t="s">
        <v>233</v>
      </c>
      <c r="C87" t="str">
        <f t="shared" si="1"/>
        <v/>
      </c>
    </row>
    <row r="88" spans="1:3" x14ac:dyDescent="0.25">
      <c r="A88" t="s">
        <v>250</v>
      </c>
      <c r="B88" t="s">
        <v>234</v>
      </c>
      <c r="C88" t="str">
        <f t="shared" si="1"/>
        <v/>
      </c>
    </row>
    <row r="89" spans="1:3" x14ac:dyDescent="0.25">
      <c r="A89" t="s">
        <v>251</v>
      </c>
      <c r="B89" t="s">
        <v>235</v>
      </c>
      <c r="C89" t="str">
        <f t="shared" si="1"/>
        <v/>
      </c>
    </row>
    <row r="90" spans="1:3" x14ac:dyDescent="0.25">
      <c r="A90" t="s">
        <v>252</v>
      </c>
      <c r="B90" t="s">
        <v>69</v>
      </c>
      <c r="C90" t="str">
        <f t="shared" si="1"/>
        <v/>
      </c>
    </row>
    <row r="91" spans="1:3" x14ac:dyDescent="0.25">
      <c r="A91" t="s">
        <v>81</v>
      </c>
      <c r="B91" t="s">
        <v>70</v>
      </c>
      <c r="C91" t="str">
        <f t="shared" si="1"/>
        <v/>
      </c>
    </row>
    <row r="92" spans="1:3" x14ac:dyDescent="0.25">
      <c r="A92" t="s">
        <v>253</v>
      </c>
      <c r="B92" t="s">
        <v>56</v>
      </c>
      <c r="C92" t="str">
        <f t="shared" si="1"/>
        <v/>
      </c>
    </row>
    <row r="93" spans="1:3" x14ac:dyDescent="0.25">
      <c r="A93" t="s">
        <v>254</v>
      </c>
      <c r="B93" t="s">
        <v>57</v>
      </c>
      <c r="C93" t="str">
        <f t="shared" si="1"/>
        <v/>
      </c>
    </row>
    <row r="94" spans="1:3" x14ac:dyDescent="0.25">
      <c r="A94" t="s">
        <v>255</v>
      </c>
      <c r="B94" t="s">
        <v>58</v>
      </c>
      <c r="C94" t="str">
        <f t="shared" si="1"/>
        <v/>
      </c>
    </row>
    <row r="95" spans="1:3" x14ac:dyDescent="0.25">
      <c r="A95" t="s">
        <v>256</v>
      </c>
      <c r="B95" t="s">
        <v>71</v>
      </c>
      <c r="C95" t="str">
        <f t="shared" si="1"/>
        <v/>
      </c>
    </row>
    <row r="96" spans="1:3" x14ac:dyDescent="0.25">
      <c r="A96" t="s">
        <v>257</v>
      </c>
      <c r="B96" t="s">
        <v>236</v>
      </c>
      <c r="C96" t="str">
        <f t="shared" si="1"/>
        <v/>
      </c>
    </row>
    <row r="97" spans="1:3" x14ac:dyDescent="0.25">
      <c r="A97" t="s">
        <v>258</v>
      </c>
      <c r="B97" t="s">
        <v>237</v>
      </c>
      <c r="C97" t="str">
        <f t="shared" si="1"/>
        <v/>
      </c>
    </row>
    <row r="98" spans="1:3" x14ac:dyDescent="0.25">
      <c r="A98" t="s">
        <v>259</v>
      </c>
      <c r="B98" t="s">
        <v>238</v>
      </c>
      <c r="C98" t="str">
        <f t="shared" si="1"/>
        <v/>
      </c>
    </row>
    <row r="99" spans="1:3" x14ac:dyDescent="0.25">
      <c r="A99" t="s">
        <v>260</v>
      </c>
      <c r="B99" t="s">
        <v>239</v>
      </c>
      <c r="C99" t="str">
        <f t="shared" si="1"/>
        <v/>
      </c>
    </row>
    <row r="100" spans="1:3" x14ac:dyDescent="0.25">
      <c r="A100" t="s">
        <v>261</v>
      </c>
      <c r="B100" t="s">
        <v>72</v>
      </c>
      <c r="C100" t="str">
        <f t="shared" si="1"/>
        <v/>
      </c>
    </row>
    <row r="101" spans="1:3" x14ac:dyDescent="0.25">
      <c r="A101" t="s">
        <v>262</v>
      </c>
      <c r="B101" t="s">
        <v>73</v>
      </c>
      <c r="C101" t="str">
        <f t="shared" si="1"/>
        <v/>
      </c>
    </row>
    <row r="102" spans="1:3" x14ac:dyDescent="0.25">
      <c r="A102" t="s">
        <v>263</v>
      </c>
      <c r="B102" t="s">
        <v>240</v>
      </c>
      <c r="C102" t="str">
        <f t="shared" si="1"/>
        <v/>
      </c>
    </row>
    <row r="103" spans="1:3" x14ac:dyDescent="0.25">
      <c r="A103" t="s">
        <v>264</v>
      </c>
      <c r="B103" t="s">
        <v>241</v>
      </c>
      <c r="C103" t="str">
        <f t="shared" si="1"/>
        <v/>
      </c>
    </row>
    <row r="104" spans="1:3" x14ac:dyDescent="0.25">
      <c r="A104" t="s">
        <v>265</v>
      </c>
      <c r="B104" t="s">
        <v>242</v>
      </c>
      <c r="C104" t="str">
        <f t="shared" si="1"/>
        <v/>
      </c>
    </row>
    <row r="105" spans="1:3" x14ac:dyDescent="0.25">
      <c r="A105" t="s">
        <v>266</v>
      </c>
      <c r="B105" t="s">
        <v>243</v>
      </c>
      <c r="C105" t="str">
        <f t="shared" si="1"/>
        <v/>
      </c>
    </row>
    <row r="106" spans="1:3" x14ac:dyDescent="0.25">
      <c r="A106" t="s">
        <v>267</v>
      </c>
      <c r="B106" t="s">
        <v>74</v>
      </c>
      <c r="C106" t="str">
        <f t="shared" si="1"/>
        <v/>
      </c>
    </row>
    <row r="107" spans="1:3" x14ac:dyDescent="0.25">
      <c r="A107" t="s">
        <v>268</v>
      </c>
      <c r="B107" t="s">
        <v>75</v>
      </c>
      <c r="C107" t="str">
        <f t="shared" si="1"/>
        <v/>
      </c>
    </row>
    <row r="108" spans="1:3" x14ac:dyDescent="0.25">
      <c r="A108" t="s">
        <v>269</v>
      </c>
      <c r="B108" t="s">
        <v>218</v>
      </c>
      <c r="C108" t="str">
        <f t="shared" si="1"/>
        <v/>
      </c>
    </row>
    <row r="109" spans="1:3" x14ac:dyDescent="0.25">
      <c r="A109" t="s">
        <v>270</v>
      </c>
      <c r="B109" t="s">
        <v>219</v>
      </c>
      <c r="C109" t="str">
        <f t="shared" si="1"/>
        <v/>
      </c>
    </row>
    <row r="110" spans="1:3" x14ac:dyDescent="0.25">
      <c r="A110" t="s">
        <v>271</v>
      </c>
      <c r="B110" t="s">
        <v>220</v>
      </c>
      <c r="C110" t="str">
        <f t="shared" si="1"/>
        <v/>
      </c>
    </row>
    <row r="111" spans="1:3" x14ac:dyDescent="0.25">
      <c r="A111" t="s">
        <v>272</v>
      </c>
      <c r="B111" t="s">
        <v>221</v>
      </c>
      <c r="C111" t="str">
        <f t="shared" si="1"/>
        <v/>
      </c>
    </row>
    <row r="112" spans="1:3" x14ac:dyDescent="0.25">
      <c r="A112" t="s">
        <v>273</v>
      </c>
      <c r="B112" t="s">
        <v>76</v>
      </c>
      <c r="C112" t="str">
        <f t="shared" si="1"/>
        <v/>
      </c>
    </row>
    <row r="113" spans="1:3" x14ac:dyDescent="0.25">
      <c r="A113" t="s">
        <v>274</v>
      </c>
      <c r="B113" t="s">
        <v>77</v>
      </c>
      <c r="C113" t="str">
        <f t="shared" si="1"/>
        <v/>
      </c>
    </row>
    <row r="114" spans="1:3" x14ac:dyDescent="0.25">
      <c r="A114" t="s">
        <v>275</v>
      </c>
      <c r="B114" t="s">
        <v>78</v>
      </c>
      <c r="C114" t="str">
        <f t="shared" si="1"/>
        <v/>
      </c>
    </row>
    <row r="115" spans="1:3" x14ac:dyDescent="0.25">
      <c r="A115" t="s">
        <v>276</v>
      </c>
      <c r="B115" t="s">
        <v>245</v>
      </c>
      <c r="C115" t="str">
        <f t="shared" si="1"/>
        <v/>
      </c>
    </row>
    <row r="116" spans="1:3" x14ac:dyDescent="0.25">
      <c r="A116" t="s">
        <v>277</v>
      </c>
      <c r="B116" t="s">
        <v>246</v>
      </c>
      <c r="C116" t="str">
        <f t="shared" si="1"/>
        <v/>
      </c>
    </row>
    <row r="117" spans="1:3" x14ac:dyDescent="0.25">
      <c r="A117" t="s">
        <v>278</v>
      </c>
      <c r="B117" t="s">
        <v>247</v>
      </c>
      <c r="C117" t="str">
        <f t="shared" si="1"/>
        <v/>
      </c>
    </row>
    <row r="118" spans="1:3" x14ac:dyDescent="0.25">
      <c r="A118" t="s">
        <v>279</v>
      </c>
      <c r="B118" t="s">
        <v>248</v>
      </c>
      <c r="C118" t="str">
        <f t="shared" si="1"/>
        <v/>
      </c>
    </row>
    <row r="119" spans="1:3" x14ac:dyDescent="0.25">
      <c r="A119" t="s">
        <v>280</v>
      </c>
      <c r="B119" t="s">
        <v>79</v>
      </c>
      <c r="C119" t="str">
        <f t="shared" si="1"/>
        <v/>
      </c>
    </row>
    <row r="120" spans="1:3" x14ac:dyDescent="0.25">
      <c r="A120" t="s">
        <v>281</v>
      </c>
      <c r="B120" t="s">
        <v>80</v>
      </c>
      <c r="C120" t="str">
        <f t="shared" si="1"/>
        <v/>
      </c>
    </row>
    <row r="121" spans="1:3" x14ac:dyDescent="0.25">
      <c r="A121" t="s">
        <v>282</v>
      </c>
      <c r="B121" t="s">
        <v>249</v>
      </c>
      <c r="C121" t="str">
        <f t="shared" si="1"/>
        <v/>
      </c>
    </row>
    <row r="122" spans="1:3" x14ac:dyDescent="0.25">
      <c r="A122" t="s">
        <v>283</v>
      </c>
      <c r="B122" t="s">
        <v>250</v>
      </c>
      <c r="C122" t="str">
        <f t="shared" si="1"/>
        <v/>
      </c>
    </row>
    <row r="123" spans="1:3" x14ac:dyDescent="0.25">
      <c r="A123" t="s">
        <v>59</v>
      </c>
      <c r="B123" t="s">
        <v>251</v>
      </c>
      <c r="C123" t="str">
        <f t="shared" si="1"/>
        <v/>
      </c>
    </row>
    <row r="124" spans="1:3" x14ac:dyDescent="0.25">
      <c r="A124" t="s">
        <v>62</v>
      </c>
      <c r="B124" t="s">
        <v>252</v>
      </c>
      <c r="C124" t="str">
        <f t="shared" si="1"/>
        <v/>
      </c>
    </row>
    <row r="125" spans="1:3" x14ac:dyDescent="0.25">
      <c r="A125" t="s">
        <v>64</v>
      </c>
      <c r="B125" t="s">
        <v>81</v>
      </c>
      <c r="C125" t="str">
        <f t="shared" si="1"/>
        <v/>
      </c>
    </row>
    <row r="126" spans="1:3" x14ac:dyDescent="0.25">
      <c r="A126" t="s">
        <v>63</v>
      </c>
      <c r="B126" t="s">
        <v>253</v>
      </c>
      <c r="C126" t="str">
        <f t="shared" si="1"/>
        <v/>
      </c>
    </row>
    <row r="127" spans="1:3" x14ac:dyDescent="0.25">
      <c r="A127" t="s">
        <v>82</v>
      </c>
      <c r="B127" t="s">
        <v>254</v>
      </c>
      <c r="C127" t="str">
        <f t="shared" si="1"/>
        <v/>
      </c>
    </row>
    <row r="128" spans="1:3" x14ac:dyDescent="0.25">
      <c r="A128" t="s">
        <v>83</v>
      </c>
      <c r="B128" t="s">
        <v>255</v>
      </c>
      <c r="C128" t="str">
        <f t="shared" si="1"/>
        <v/>
      </c>
    </row>
    <row r="129" spans="1:3" x14ac:dyDescent="0.25">
      <c r="A129" t="s">
        <v>85</v>
      </c>
      <c r="B129" t="s">
        <v>256</v>
      </c>
      <c r="C129" t="str">
        <f t="shared" si="1"/>
        <v/>
      </c>
    </row>
    <row r="130" spans="1:3" x14ac:dyDescent="0.25">
      <c r="A130" t="s">
        <v>84</v>
      </c>
      <c r="B130" t="s">
        <v>257</v>
      </c>
      <c r="C130" t="str">
        <f t="shared" si="1"/>
        <v/>
      </c>
    </row>
    <row r="131" spans="1:3" x14ac:dyDescent="0.25">
      <c r="A131" t="s">
        <v>2</v>
      </c>
      <c r="B131" t="s">
        <v>258</v>
      </c>
      <c r="C131" t="str">
        <f t="shared" ref="C131:C169" si="2">IF(ISNA(VLOOKUP(A131,$B$2:$B$170,1,FALSE)),A131,"")</f>
        <v/>
      </c>
    </row>
    <row r="132" spans="1:3" x14ac:dyDescent="0.25">
      <c r="A132" t="s">
        <v>4</v>
      </c>
      <c r="B132" t="s">
        <v>259</v>
      </c>
      <c r="C132" t="str">
        <f t="shared" si="2"/>
        <v/>
      </c>
    </row>
    <row r="133" spans="1:3" x14ac:dyDescent="0.25">
      <c r="A133" t="s">
        <v>5</v>
      </c>
      <c r="B133" t="s">
        <v>260</v>
      </c>
      <c r="C133" t="str">
        <f t="shared" si="2"/>
        <v/>
      </c>
    </row>
    <row r="134" spans="1:3" x14ac:dyDescent="0.25">
      <c r="A134" t="s">
        <v>20</v>
      </c>
      <c r="B134" t="s">
        <v>261</v>
      </c>
      <c r="C134" t="str">
        <f t="shared" si="2"/>
        <v/>
      </c>
    </row>
    <row r="135" spans="1:3" x14ac:dyDescent="0.25">
      <c r="A135" t="s">
        <v>0</v>
      </c>
      <c r="B135" t="s">
        <v>262</v>
      </c>
      <c r="C135" t="str">
        <f t="shared" si="2"/>
        <v/>
      </c>
    </row>
    <row r="136" spans="1:3" x14ac:dyDescent="0.25">
      <c r="A136" t="s">
        <v>1</v>
      </c>
      <c r="B136" t="s">
        <v>263</v>
      </c>
      <c r="C136" t="str">
        <f t="shared" si="2"/>
        <v/>
      </c>
    </row>
    <row r="137" spans="1:3" x14ac:dyDescent="0.25">
      <c r="A137" t="s">
        <v>6</v>
      </c>
      <c r="B137" t="s">
        <v>264</v>
      </c>
      <c r="C137" t="str">
        <f t="shared" si="2"/>
        <v/>
      </c>
    </row>
    <row r="138" spans="1:3" x14ac:dyDescent="0.25">
      <c r="A138" t="s">
        <v>7</v>
      </c>
      <c r="B138" t="s">
        <v>265</v>
      </c>
      <c r="C138" t="str">
        <f t="shared" si="2"/>
        <v/>
      </c>
    </row>
    <row r="139" spans="1:3" x14ac:dyDescent="0.25">
      <c r="A139" t="s">
        <v>8</v>
      </c>
      <c r="B139" t="s">
        <v>266</v>
      </c>
      <c r="C139" t="str">
        <f t="shared" si="2"/>
        <v/>
      </c>
    </row>
    <row r="140" spans="1:3" x14ac:dyDescent="0.25">
      <c r="A140" t="s">
        <v>9</v>
      </c>
      <c r="B140" t="s">
        <v>267</v>
      </c>
      <c r="C140" t="str">
        <f t="shared" si="2"/>
        <v/>
      </c>
    </row>
    <row r="141" spans="1:3" x14ac:dyDescent="0.25">
      <c r="A141" t="s">
        <v>10</v>
      </c>
      <c r="B141" t="s">
        <v>268</v>
      </c>
      <c r="C141" t="str">
        <f t="shared" si="2"/>
        <v/>
      </c>
    </row>
    <row r="142" spans="1:3" x14ac:dyDescent="0.25">
      <c r="A142" t="s">
        <v>11</v>
      </c>
      <c r="B142" t="s">
        <v>269</v>
      </c>
      <c r="C142" t="str">
        <f t="shared" si="2"/>
        <v/>
      </c>
    </row>
    <row r="143" spans="1:3" x14ac:dyDescent="0.25">
      <c r="A143" t="s">
        <v>12</v>
      </c>
      <c r="B143" t="s">
        <v>270</v>
      </c>
      <c r="C143" t="str">
        <f t="shared" si="2"/>
        <v/>
      </c>
    </row>
    <row r="144" spans="1:3" x14ac:dyDescent="0.25">
      <c r="A144" t="s">
        <v>13</v>
      </c>
      <c r="B144" t="s">
        <v>271</v>
      </c>
      <c r="C144" t="str">
        <f t="shared" si="2"/>
        <v/>
      </c>
    </row>
    <row r="145" spans="1:3" x14ac:dyDescent="0.25">
      <c r="A145" t="s">
        <v>14</v>
      </c>
      <c r="B145" t="s">
        <v>272</v>
      </c>
      <c r="C145" t="str">
        <f t="shared" si="2"/>
        <v/>
      </c>
    </row>
    <row r="146" spans="1:3" x14ac:dyDescent="0.25">
      <c r="A146" t="s">
        <v>15</v>
      </c>
      <c r="B146" t="s">
        <v>273</v>
      </c>
      <c r="C146" t="str">
        <f t="shared" si="2"/>
        <v/>
      </c>
    </row>
    <row r="147" spans="1:3" x14ac:dyDescent="0.25">
      <c r="A147" t="s">
        <v>16</v>
      </c>
      <c r="B147" t="s">
        <v>274</v>
      </c>
      <c r="C147" t="str">
        <f t="shared" si="2"/>
        <v/>
      </c>
    </row>
    <row r="148" spans="1:3" x14ac:dyDescent="0.25">
      <c r="A148" t="s">
        <v>17</v>
      </c>
      <c r="B148" t="s">
        <v>275</v>
      </c>
      <c r="C148" t="str">
        <f t="shared" si="2"/>
        <v/>
      </c>
    </row>
    <row r="149" spans="1:3" x14ac:dyDescent="0.25">
      <c r="A149" t="s">
        <v>18</v>
      </c>
      <c r="B149" t="s">
        <v>276</v>
      </c>
      <c r="C149" t="str">
        <f t="shared" si="2"/>
        <v/>
      </c>
    </row>
    <row r="150" spans="1:3" x14ac:dyDescent="0.25">
      <c r="A150" t="s">
        <v>19</v>
      </c>
      <c r="B150" t="s">
        <v>277</v>
      </c>
      <c r="C150" t="str">
        <f t="shared" si="2"/>
        <v/>
      </c>
    </row>
    <row r="151" spans="1:3" x14ac:dyDescent="0.25">
      <c r="A151" t="s">
        <v>21</v>
      </c>
      <c r="B151" t="s">
        <v>278</v>
      </c>
      <c r="C151" t="str">
        <f t="shared" si="2"/>
        <v/>
      </c>
    </row>
    <row r="152" spans="1:3" x14ac:dyDescent="0.25">
      <c r="A152" t="s">
        <v>22</v>
      </c>
      <c r="B152" t="s">
        <v>279</v>
      </c>
      <c r="C152" t="str">
        <f t="shared" si="2"/>
        <v/>
      </c>
    </row>
    <row r="153" spans="1:3" x14ac:dyDescent="0.25">
      <c r="A153" t="s">
        <v>23</v>
      </c>
      <c r="B153" t="s">
        <v>280</v>
      </c>
      <c r="C153" t="str">
        <f t="shared" si="2"/>
        <v/>
      </c>
    </row>
    <row r="154" spans="1:3" x14ac:dyDescent="0.25">
      <c r="A154" t="s">
        <v>24</v>
      </c>
      <c r="B154" t="s">
        <v>281</v>
      </c>
      <c r="C154" t="str">
        <f t="shared" si="2"/>
        <v/>
      </c>
    </row>
    <row r="155" spans="1:3" x14ac:dyDescent="0.25">
      <c r="A155" t="s">
        <v>25</v>
      </c>
      <c r="B155" t="s">
        <v>282</v>
      </c>
      <c r="C155" t="str">
        <f t="shared" si="2"/>
        <v/>
      </c>
    </row>
    <row r="156" spans="1:3" x14ac:dyDescent="0.25">
      <c r="A156" t="s">
        <v>26</v>
      </c>
      <c r="B156" t="s">
        <v>283</v>
      </c>
      <c r="C156" t="str">
        <f t="shared" si="2"/>
        <v/>
      </c>
    </row>
    <row r="157" spans="1:3" x14ac:dyDescent="0.25">
      <c r="A157" t="s">
        <v>27</v>
      </c>
      <c r="B157" t="s">
        <v>361</v>
      </c>
      <c r="C157" t="str">
        <f t="shared" si="2"/>
        <v/>
      </c>
    </row>
    <row r="158" spans="1:3" x14ac:dyDescent="0.25">
      <c r="A158" t="s">
        <v>28</v>
      </c>
      <c r="C158" t="str">
        <f t="shared" si="2"/>
        <v/>
      </c>
    </row>
    <row r="159" spans="1:3" x14ac:dyDescent="0.25">
      <c r="A159" t="s">
        <v>29</v>
      </c>
      <c r="C159" t="str">
        <f t="shared" si="2"/>
        <v/>
      </c>
    </row>
    <row r="160" spans="1:3" x14ac:dyDescent="0.25">
      <c r="A160" t="s">
        <v>30</v>
      </c>
      <c r="C160" t="str">
        <f t="shared" si="2"/>
        <v/>
      </c>
    </row>
    <row r="161" spans="1:3" x14ac:dyDescent="0.25">
      <c r="A161" t="s">
        <v>31</v>
      </c>
      <c r="C161" t="str">
        <f t="shared" si="2"/>
        <v/>
      </c>
    </row>
    <row r="162" spans="1:3" x14ac:dyDescent="0.25">
      <c r="A162" t="s">
        <v>32</v>
      </c>
      <c r="C162" t="str">
        <f t="shared" si="2"/>
        <v/>
      </c>
    </row>
    <row r="163" spans="1:3" x14ac:dyDescent="0.25">
      <c r="A163" t="s">
        <v>33</v>
      </c>
      <c r="C163" t="str">
        <f t="shared" si="2"/>
        <v/>
      </c>
    </row>
    <row r="164" spans="1:3" x14ac:dyDescent="0.25">
      <c r="A164" t="s">
        <v>34</v>
      </c>
      <c r="C164" t="str">
        <f t="shared" si="2"/>
        <v/>
      </c>
    </row>
    <row r="165" spans="1:3" x14ac:dyDescent="0.25">
      <c r="A165" t="s">
        <v>35</v>
      </c>
      <c r="C165" t="str">
        <f t="shared" si="2"/>
        <v/>
      </c>
    </row>
    <row r="166" spans="1:3" x14ac:dyDescent="0.25">
      <c r="A166" t="s">
        <v>36</v>
      </c>
      <c r="C166" t="str">
        <f t="shared" si="2"/>
        <v/>
      </c>
    </row>
    <row r="167" spans="1:3" x14ac:dyDescent="0.25">
      <c r="A167" t="s">
        <v>37</v>
      </c>
      <c r="C167" t="str">
        <f t="shared" si="2"/>
        <v/>
      </c>
    </row>
    <row r="168" spans="1:3" x14ac:dyDescent="0.25">
      <c r="A168" t="s">
        <v>38</v>
      </c>
      <c r="C168" t="str">
        <f t="shared" si="2"/>
        <v/>
      </c>
    </row>
    <row r="169" spans="1:3" x14ac:dyDescent="0.25">
      <c r="A169" t="s">
        <v>361</v>
      </c>
      <c r="C169" t="str">
        <f t="shared" si="2"/>
        <v/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scenarios_as_columns</vt:lpstr>
      <vt:lpstr>Comparison_with_parameters.py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Frederic Rees</dc:creator>
  <cp:lastModifiedBy>Tristan GERAULT</cp:lastModifiedBy>
  <dcterms:created xsi:type="dcterms:W3CDTF">2022-09-12T19:42:14Z</dcterms:created>
  <dcterms:modified xsi:type="dcterms:W3CDTF">2025-06-05T08:34:48Z</dcterms:modified>
</cp:coreProperties>
</file>