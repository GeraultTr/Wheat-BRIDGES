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6918\home\torisuten\package\Wheat-BRIDGES\simulations\scene\inputs\"/>
    </mc:Choice>
  </mc:AlternateContent>
  <xr:revisionPtr revIDLastSave="0" documentId="13_ncr:1_{21D0FD7C-E637-4517-BFD4-3CB5BB765DDC}" xr6:coauthVersionLast="47" xr6:coauthVersionMax="47" xr10:uidLastSave="{00000000-0000-0000-0000-000000000000}"/>
  <bookViews>
    <workbookView xWindow="3810" yWindow="3810" windowWidth="21600" windowHeight="11295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8" i="2" l="1"/>
  <c r="K218" i="2"/>
  <c r="K128" i="2" l="1"/>
  <c r="K233" i="2"/>
  <c r="K206" i="2"/>
  <c r="I206" i="2"/>
  <c r="K220" i="2"/>
  <c r="K222" i="2"/>
  <c r="I233" i="2"/>
  <c r="I220" i="2"/>
  <c r="I221" i="2" l="1"/>
  <c r="K221" i="2"/>
  <c r="I219" i="2"/>
  <c r="K219" i="2"/>
  <c r="J221" i="2"/>
  <c r="K214" i="2"/>
  <c r="I214" i="2"/>
  <c r="J214" i="2" l="1"/>
  <c r="J219" i="2" l="1"/>
  <c r="I222" i="2" l="1"/>
  <c r="J218" i="2"/>
  <c r="K215" i="2"/>
  <c r="I215" i="2"/>
  <c r="P213" i="2" l="1"/>
  <c r="K229" i="2"/>
  <c r="K228" i="2"/>
  <c r="K226" i="2"/>
  <c r="K223" i="2"/>
  <c r="K217" i="2"/>
  <c r="K216" i="2"/>
  <c r="K212" i="2"/>
  <c r="K208" i="2"/>
  <c r="K125" i="2"/>
  <c r="K115" i="2"/>
  <c r="K112" i="2"/>
  <c r="K109" i="2"/>
  <c r="K108" i="2"/>
  <c r="K107" i="2"/>
  <c r="K106" i="2"/>
  <c r="K105" i="2"/>
  <c r="K104" i="2"/>
  <c r="K103" i="2"/>
  <c r="K102" i="2"/>
  <c r="J222" i="2"/>
  <c r="J220" i="2"/>
  <c r="I223" i="2"/>
  <c r="I228" i="2"/>
  <c r="I216" i="2"/>
  <c r="I229" i="2"/>
  <c r="I217" i="2" l="1"/>
  <c r="M231" i="2" l="1"/>
  <c r="M230" i="2"/>
  <c r="M226" i="2"/>
  <c r="M215" i="2"/>
  <c r="M212" i="2"/>
  <c r="M208" i="2"/>
  <c r="M206" i="2"/>
  <c r="M125" i="2"/>
  <c r="M115" i="2"/>
  <c r="M112" i="2"/>
  <c r="M109" i="2"/>
  <c r="M108" i="2"/>
  <c r="M107" i="2"/>
  <c r="M106" i="2"/>
  <c r="M105" i="2"/>
  <c r="M104" i="2"/>
  <c r="M103" i="2"/>
  <c r="M102" i="2"/>
  <c r="O231" i="2"/>
  <c r="O230" i="2"/>
  <c r="O226" i="2"/>
  <c r="O215" i="2"/>
  <c r="O212" i="2"/>
  <c r="O208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N231" i="2"/>
  <c r="N230" i="2"/>
  <c r="N226" i="2"/>
  <c r="N215" i="2"/>
  <c r="N212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I226" i="2"/>
  <c r="I212" i="2"/>
  <c r="I208" i="2"/>
  <c r="I125" i="2"/>
  <c r="I115" i="2"/>
  <c r="I112" i="2"/>
  <c r="I109" i="2"/>
  <c r="I108" i="2"/>
  <c r="I107" i="2"/>
  <c r="I106" i="2"/>
  <c r="I105" i="2"/>
  <c r="I104" i="2"/>
  <c r="I103" i="2"/>
  <c r="I102" i="2"/>
  <c r="AO231" i="2"/>
  <c r="AN231" i="2"/>
  <c r="AO230" i="2"/>
  <c r="AN230" i="2"/>
  <c r="AO226" i="2"/>
  <c r="AN226" i="2"/>
  <c r="AO215" i="2"/>
  <c r="AN215" i="2"/>
  <c r="AO212" i="2"/>
  <c r="AN212" i="2"/>
  <c r="AO208" i="2"/>
  <c r="AN208" i="2"/>
  <c r="AO206" i="2"/>
  <c r="AN206" i="2"/>
  <c r="AO125" i="2"/>
  <c r="AN125" i="2"/>
  <c r="AO115" i="2"/>
  <c r="AN115" i="2"/>
  <c r="AO112" i="2"/>
  <c r="AN112" i="2"/>
  <c r="AO109" i="2"/>
  <c r="AN109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M231" i="2"/>
  <c r="AM230" i="2"/>
  <c r="AM226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L231" i="2"/>
  <c r="AL230" i="2"/>
  <c r="AL226" i="2"/>
  <c r="AL215" i="2"/>
  <c r="AL212" i="2"/>
  <c r="AL208" i="2"/>
  <c r="AL206" i="2"/>
  <c r="AL125" i="2"/>
  <c r="AL115" i="2"/>
  <c r="AL112" i="2"/>
  <c r="AL109" i="2"/>
  <c r="AL108" i="2"/>
  <c r="AL107" i="2"/>
  <c r="AL106" i="2"/>
  <c r="AL105" i="2"/>
  <c r="AL104" i="2"/>
  <c r="AL103" i="2"/>
  <c r="AL102" i="2"/>
  <c r="AQ231" i="2"/>
  <c r="AQ230" i="2"/>
  <c r="AQ226" i="2"/>
  <c r="AQ215" i="2"/>
  <c r="AQ212" i="2"/>
  <c r="AQ206" i="2"/>
  <c r="AQ125" i="2"/>
  <c r="AQ115" i="2"/>
  <c r="AQ112" i="2"/>
  <c r="AQ109" i="2"/>
  <c r="AQ108" i="2"/>
  <c r="AQ107" i="2"/>
  <c r="AQ106" i="2"/>
  <c r="AQ105" i="2"/>
  <c r="AQ104" i="2"/>
  <c r="AQ103" i="2"/>
  <c r="AQ102" i="2"/>
  <c r="AJ231" i="2"/>
  <c r="AI231" i="2"/>
  <c r="AH231" i="2"/>
  <c r="AG231" i="2"/>
  <c r="AF231" i="2"/>
  <c r="AE231" i="2"/>
  <c r="AD231" i="2"/>
  <c r="AJ230" i="2"/>
  <c r="AI230" i="2"/>
  <c r="AH230" i="2"/>
  <c r="AG230" i="2"/>
  <c r="AF230" i="2"/>
  <c r="AE230" i="2"/>
  <c r="AD230" i="2"/>
  <c r="AJ226" i="2"/>
  <c r="AI226" i="2"/>
  <c r="AH226" i="2"/>
  <c r="AG226" i="2"/>
  <c r="AF226" i="2"/>
  <c r="AE226" i="2"/>
  <c r="AD226" i="2"/>
  <c r="AJ215" i="2"/>
  <c r="AI215" i="2"/>
  <c r="AH215" i="2"/>
  <c r="AG215" i="2"/>
  <c r="AF215" i="2"/>
  <c r="AE215" i="2"/>
  <c r="AD215" i="2"/>
  <c r="AJ212" i="2"/>
  <c r="AI212" i="2"/>
  <c r="AH212" i="2"/>
  <c r="AG212" i="2"/>
  <c r="AF212" i="2"/>
  <c r="AE212" i="2"/>
  <c r="AD212" i="2"/>
  <c r="AJ208" i="2"/>
  <c r="AI208" i="2"/>
  <c r="AH208" i="2"/>
  <c r="AG208" i="2"/>
  <c r="AF208" i="2"/>
  <c r="AE208" i="2"/>
  <c r="AD208" i="2"/>
  <c r="AJ206" i="2"/>
  <c r="AI206" i="2"/>
  <c r="AH206" i="2"/>
  <c r="AG206" i="2"/>
  <c r="AF206" i="2"/>
  <c r="AE206" i="2"/>
  <c r="AD206" i="2"/>
  <c r="AJ125" i="2"/>
  <c r="AI125" i="2"/>
  <c r="AH125" i="2"/>
  <c r="AG125" i="2"/>
  <c r="AF125" i="2"/>
  <c r="AE125" i="2"/>
  <c r="AD125" i="2"/>
  <c r="AJ115" i="2"/>
  <c r="AI115" i="2"/>
  <c r="AH115" i="2"/>
  <c r="AG115" i="2"/>
  <c r="AF115" i="2"/>
  <c r="AE115" i="2"/>
  <c r="AD115" i="2"/>
  <c r="AJ112" i="2"/>
  <c r="AI112" i="2"/>
  <c r="AH112" i="2"/>
  <c r="AG112" i="2"/>
  <c r="AF112" i="2"/>
  <c r="AE112" i="2"/>
  <c r="AD112" i="2"/>
  <c r="AJ109" i="2"/>
  <c r="AI109" i="2"/>
  <c r="AH109" i="2"/>
  <c r="AG109" i="2"/>
  <c r="AF109" i="2"/>
  <c r="AE109" i="2"/>
  <c r="AD109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B231" i="2"/>
  <c r="AB230" i="2"/>
  <c r="AB226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1" i="2"/>
  <c r="AA230" i="2"/>
  <c r="AA226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1" i="2"/>
  <c r="Z230" i="2"/>
  <c r="Z226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1" i="2"/>
  <c r="Y230" i="2"/>
  <c r="Y226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1" i="2"/>
  <c r="X230" i="2"/>
  <c r="X226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1" i="2"/>
  <c r="W230" i="2"/>
  <c r="W226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V230" i="2"/>
  <c r="V226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1" i="2"/>
  <c r="T231" i="2"/>
  <c r="S231" i="2"/>
  <c r="R231" i="2"/>
  <c r="G231" i="2"/>
  <c r="U230" i="2" l="1"/>
  <c r="U226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30" i="2"/>
  <c r="T226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30" i="2"/>
  <c r="S226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R230" i="2"/>
  <c r="R226" i="2"/>
  <c r="R215" i="2"/>
  <c r="R212" i="2"/>
  <c r="R208" i="2"/>
  <c r="R206" i="2"/>
  <c r="R125" i="2"/>
  <c r="R115" i="2"/>
  <c r="R112" i="2"/>
  <c r="R109" i="2"/>
  <c r="R108" i="2"/>
  <c r="R107" i="2"/>
  <c r="R106" i="2"/>
  <c r="R105" i="2"/>
  <c r="R104" i="2"/>
  <c r="R103" i="2"/>
  <c r="R102" i="2"/>
  <c r="AT231" i="2"/>
  <c r="AT230" i="2"/>
  <c r="AT226" i="2"/>
  <c r="AT215" i="2"/>
  <c r="AT212" i="2"/>
  <c r="AT208" i="2"/>
  <c r="AT206" i="2"/>
  <c r="AT125" i="2"/>
  <c r="AT115" i="2"/>
  <c r="AT112" i="2"/>
  <c r="AT109" i="2"/>
  <c r="AT108" i="2"/>
  <c r="AT107" i="2"/>
  <c r="AT106" i="2"/>
  <c r="AT105" i="2"/>
  <c r="AT104" i="2"/>
  <c r="AT103" i="2"/>
  <c r="AT102" i="2"/>
  <c r="G206" i="2" l="1"/>
  <c r="G230" i="2"/>
  <c r="G208" i="2" l="1"/>
  <c r="G226" i="2"/>
  <c r="G125" i="2" l="1"/>
  <c r="G105" i="2" l="1"/>
  <c r="G104" i="2"/>
  <c r="G103" i="2"/>
  <c r="G102" i="2"/>
  <c r="G220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<sst xmlns="http://schemas.openxmlformats.org/spreadsheetml/2006/main" count="2785" uniqueCount="603">
  <si>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</si>
  <si>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</si>
  <si>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</si>
  <si>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</si>
  <si>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</si>
  <si>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</si>
  <si>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</si>
  <si>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</si>
  <si>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</si>
  <si>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</si>
  <si>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</si>
  <si>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</si>
  <si>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</si>
  <si>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</si>
  <si>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</si>
  <si>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</si>
  <si>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</si>
  <si>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</si>
  <si>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</si>
  <si>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</si>
  <si>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</si>
  <si>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</si>
  <si>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</si>
  <si>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</si>
  <si>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</si>
  <si>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</si>
  <si>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</si>
  <si>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</si>
  <si>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</si>
  <si>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</si>
  <si>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</si>
  <si>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</si>
  <si>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</si>
  <si>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</si>
  <si>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</si>
  <si>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</si>
  <si>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</si>
  <si>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</si>
  <si>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</si>
  <si>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</si>
  <si>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</si>
  <si>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</si>
  <si>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</si>
  <si>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</si>
  <si>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</si>
  <si>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</si>
  <si>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</si>
  <si>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</si>
  <si>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</si>
  <si>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</si>
  <si>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</si>
  <si>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</si>
  <si>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</si>
  <si>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</si>
  <si>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</si>
  <si>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</si>
  <si>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</si>
  <si>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</si>
  <si>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</si>
  <si>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</si>
  <si>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</si>
  <si>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</si>
  <si>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</si>
  <si>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</si>
  <si>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</si>
  <si>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</si>
  <si>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</si>
  <si>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</si>
  <si>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</si>
  <si>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</si>
  <si>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</si>
  <si>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</si>
  <si>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</si>
  <si>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</si>
  <si>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</si>
  <si>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</si>
  <si>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</si>
  <si>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</si>
  <si>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</si>
  <si>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</si>
  <si>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</si>
  <si>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</si>
  <si>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</si>
  <si>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</si>
  <si>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</si>
  <si>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</si>
  <si>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</si>
  <si>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</si>
  <si>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</si>
  <si>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</si>
  <si>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</si>
  <si>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</si>
  <si>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</si>
  <si>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</si>
  <si>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</si>
  <si>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</si>
  <si>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</si>
  <si>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</si>
  <si>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</si>
  <si>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</si>
  <si>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</si>
  <si>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</si>
  <si>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</si>
  <si>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</si>
  <si>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</si>
  <si>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</si>
  <si>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</si>
  <si>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</si>
  <si>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</si>
  <si>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</si>
  <si>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</si>
  <si>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</si>
  <si>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</si>
  <si>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</si>
  <si>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</si>
  <si>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</si>
  <si>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</si>
  <si>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</si>
  <si>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</si>
  <si>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</si>
  <si>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</si>
  <si>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</si>
  <si>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</si>
  <si>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</si>
  <si>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</si>
  <si>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</si>
  <si>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</si>
  <si>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</si>
  <si>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</si>
  <si>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</si>
  <si>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</si>
  <si>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</si>
  <si>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</si>
  <si>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</si>
  <si>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</si>
  <si>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</si>
  <si>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</si>
  <si>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</si>
  <si>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</si>
  <si>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</si>
  <si>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</si>
  <si>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</si>
  <si>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</si>
  <si>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</si>
  <si>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</si>
  <si>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</si>
  <si>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</si>
  <si>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</si>
  <si>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</si>
  <si>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</si>
  <si>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</si>
  <si>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</si>
  <si>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</si>
  <si>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</si>
  <si>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</si>
  <si>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</si>
  <si>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</si>
  <si>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</si>
  <si>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</si>
  <si>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</si>
  <si>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</si>
  <si>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</si>
  <si>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</si>
  <si>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</si>
  <si>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</si>
  <si>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</si>
  <si>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</si>
  <si>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</si>
  <si>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</si>
  <si>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</si>
  <si>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</si>
  <si>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</si>
  <si>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</si>
  <si>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</si>
  <si>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</si>
  <si>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</si>
  <si>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</si>
  <si>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</si>
  <si>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</si>
  <si>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</si>
  <si>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</si>
  <si>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</si>
  <si>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</si>
  <si>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</si>
  <si>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</si>
  <si>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</si>
  <si>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</si>
  <si>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</si>
  <si>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</si>
  <si>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</si>
  <si>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</si>
  <si>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</si>
  <si>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</si>
  <si>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</si>
  <si>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</si>
  <si>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</si>
  <si>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</si>
  <si>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</si>
  <si>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</si>
  <si>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</si>
  <si>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</si>
  <si>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</si>
  <si>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</si>
  <si>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</si>
  <si>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</si>
  <si>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</si>
  <si>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</si>
  <si>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</si>
  <si>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</si>
  <si>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</si>
  <si>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</si>
  <si>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</si>
  <si>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</si>
  <si>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</si>
  <si>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</si>
  <si>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</si>
  <si>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</si>
  <si>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</si>
  <si>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</si>
  <si>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</si>
  <si>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</si>
  <si>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</si>
  <si>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</si>
  <si>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</si>
  <si>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</si>
  <si>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</si>
  <si>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</si>
  <si>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</si>
  <si>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</si>
  <si>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</si>
  <si>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</si>
  <si>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</si>
  <si>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</si>
  <si>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</si>
  <si>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</si>
  <si>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</si>
  <si>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</si>
  <si>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</si>
  <si>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</si>
  <si>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</si>
  <si>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</si>
  <si>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</si>
  <si>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</si>
  <si>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</si>
  <si>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</si>
  <si>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</si>
  <si>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</si>
  <si>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</si>
  <si>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</si>
  <si>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</si>
  <si>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</si>
  <si>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</si>
  <si>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</si>
  <si>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</si>
  <si>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</si>
  <si>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</si>
  <si>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</si>
  <si>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</si>
  <si>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</si>
  <si>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</si>
  <si>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</si>
  <si>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</si>
  <si>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</si>
  <si>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</si>
  <si>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</si>
  <si>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</si>
  <si>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</si>
  <si>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</si>
  <si>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</si>
  <si>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</si>
  <si>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</si>
  <si>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</si>
  <si>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</si>
  <si>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</si>
  <si>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</si>
  <si>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</si>
  <si>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</si>
  <si>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</si>
  <si>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</si>
  <si>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</si>
  <si>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</si>
  <si>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</si>
  <si>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</si>
  <si>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</si>
  <si>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</si>
  <si>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</si>
  <si>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</si>
  <si>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</si>
  <si>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</si>
  <si>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</si>
  <si>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</si>
  <si>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</si>
  <si>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</si>
  <si>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</si>
  <si>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</si>
  <si>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</si>
  <si>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</si>
  <si>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</si>
  <si>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</si>
  <si>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</si>
  <si>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</si>
  <si>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</si>
  <si>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</si>
  <si>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</si>
  <si>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</si>
  <si>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</si>
  <si>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</si>
  <si>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</si>
  <si>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</si>
  <si>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</si>
  <si>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</si>
  <si>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</si>
  <si>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</si>
  <si>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</si>
  <si>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</si>
  <si>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</si>
  <si>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</si>
  <si>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</si>
  <si>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</si>
  <si>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</si>
  <si>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</si>
  <si>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</si>
  <si>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</si>
  <si>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</si>
  <si>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</si>
  <si>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</si>
  <si>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</si>
  <si>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</si>
  <si>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</si>
  <si>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</si>
  <si>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</si>
  <si>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</si>
  <si>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</si>
  <si>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</si>
  <si>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</si>
  <si>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</si>
  <si>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</si>
  <si>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</si>
  <si>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</si>
  <si>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</si>
  <si>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</si>
  <si>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</si>
  <si>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</si>
  <si>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</si>
  <si>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</si>
  <si>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</si>
  <si>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</si>
  <si>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</si>
  <si>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</si>
  <si>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</si>
  <si>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</si>
  <si>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</si>
  <si>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</si>
  <si>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</si>
  <si>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</si>
  <si>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</si>
  <si>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</si>
  <si>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</si>
  <si>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</si>
  <si>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</si>
  <si>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</si>
  <si>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</si>
  <si>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</si>
  <si>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</si>
  <si>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</si>
  <si>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</si>
  <si>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</si>
  <si>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</si>
  <si>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</si>
  <si>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</si>
  <si>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</si>
  <si>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</si>
  <si>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</si>
  <si>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</si>
  <si>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</si>
  <si>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</si>
  <si>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</si>
  <si>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</si>
  <si>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</si>
  <si>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</si>
  <si>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</si>
  <si>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</si>
  <si>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</si>
  <si>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</si>
  <si>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</si>
  <si>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</si>
  <si>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</si>
  <si>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</si>
  <si>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</si>
  <si>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</si>
  <si>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</si>
  <si>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</si>
  <si>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</si>
  <si>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</si>
  <si>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</si>
  <si>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</si>
  <si>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</si>
  <si>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</si>
  <si>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</si>
  <si>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</si>
  <si>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</si>
  <si>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</si>
  <si>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</si>
  <si>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</si>
  <si>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</si>
  <si>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</si>
  <si>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</si>
  <si>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</si>
  <si>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</si>
  <si>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</si>
  <si>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</si>
  <si>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</si>
  <si>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</si>
  <si>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</si>
  <si>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</si>
  <si>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</si>
  <si>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</si>
  <si>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</si>
  <si>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</si>
  <si>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</si>
  <si>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</si>
  <si>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</si>
  <si>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</si>
  <si>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</si>
  <si>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</si>
  <si>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</si>
  <si>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</si>
  <si>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</si>
  <si>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</si>
  <si>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</si>
  <si>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</si>
  <si>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</si>
  <si>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</si>
  <si>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</si>
  <si>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</si>
  <si>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</si>
  <si>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</si>
  <si>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</si>
  <si>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</si>
  <si>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</si>
  <si>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</si>
  <si>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</si>
  <si>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</si>
  <si>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</si>
  <si>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</si>
  <si>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</si>
  <si>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</si>
  <si>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</si>
  <si>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</si>
  <si>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</si>
  <si>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</si>
  <si>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</si>
  <si>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</si>
  <si>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</si>
  <si>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</si>
  <si>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</si>
  <si>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</si>
  <si>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</si>
  <si>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</si>
  <si>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</si>
  <si>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</si>
  <si>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</si>
  <si>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</si>
  <si>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</si>
  <si>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</si>
  <si>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</si>
  <si>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</si>
  <si>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</si>
  <si>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</si>
  <si>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</si>
  <si>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</si>
  <si>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</si>
  <si>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</si>
  <si>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</si>
  <si>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</si>
  <si>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</si>
  <si>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</si>
  <si>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</si>
  <si>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</si>
  <si>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</si>
  <si>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</si>
  <si>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</si>
  <si>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</si>
  <si>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</si>
  <si>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</si>
  <si>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</si>
  <si>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</si>
  <si>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</si>
  <si>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</si>
  <si>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</si>
  <si>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</si>
  <si>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</si>
  <si>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</si>
  <si>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</si>
  <si>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</si>
  <si>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</si>
  <si>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</si>
  <si>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</si>
  <si>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</si>
  <si>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</si>
  <si>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</si>
  <si>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</si>
  <si>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</si>
  <si>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</si>
  <si>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</si>
  <si>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</si>
  <si>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</si>
  <si>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</si>
  <si>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</si>
  <si>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</si>
  <si>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</si>
  <si>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</si>
  <si>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</si>
  <si>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</si>
  <si>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</si>
  <si>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</si>
  <si>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</si>
  <si>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</si>
  <si>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</si>
  <si>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</si>
  <si>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</si>
  <si>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</si>
  <si>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</si>
  <si>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</si>
  <si>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</si>
  <si>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</si>
  <si>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</si>
  <si>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</si>
  <si>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</si>
  <si>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</si>
  <si>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</si>
  <si>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</si>
  <si>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</si>
  <si>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</si>
  <si>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</si>
  <si>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</si>
  <si>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</si>
  <si>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</si>
  <si>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</si>
  <si>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</si>
  <si>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</si>
  <si>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</si>
  <si>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</si>
  <si>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</si>
  <si>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</si>
  <si>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</si>
  <si>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</si>
  <si>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</si>
  <si>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</si>
  <si>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</si>
  <si>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</si>
  <si>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</si>
  <si>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</si>
  <si>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</si>
  <si>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</si>
  <si>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</si>
  <si>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</si>
  <si>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</si>
  <si>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</si>
  <si>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</si>
  <si>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</si>
  <si>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</si>
  <si>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</si>
  <si>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</si>
  <si>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</si>
  <si>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</si>
  <si>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</si>
  <si>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</si>
  <si>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</si>
  <si>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</si>
  <si>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</si>
  <si>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</si>
  <si>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</si>
  <si>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</si>
  <si>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</si>
  <si>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</si>
  <si>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</si>
  <si>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</si>
  <si>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</si>
  <si>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</si>
  <si>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</si>
  <si>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</si>
  <si>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</si>
  <si>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</si>
  <si>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</si>
  <si>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</si>
  <si>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</si>
  <si>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</si>
  <si>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</si>
  <si>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</si>
  <si>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</si>
  <si>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</si>
  <si>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</si>
  <si>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</si>
  <si>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</si>
  <si>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/5</t>
  </si>
  <si>
    <t>/4</t>
  </si>
  <si>
    <t>/10</t>
  </si>
  <si>
    <t>meteo_Ljutovac2002_soil.csv</t>
  </si>
  <si>
    <t>*16/2</t>
  </si>
  <si>
    <t>/10 /2</t>
  </si>
  <si>
    <t>/2</t>
  </si>
  <si>
    <t>* 100 *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</si>
</sst>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3"/>
  <sheetViews>
    <sheetView tabSelected="1" zoomScale="79" zoomScaleNormal="100" workbookViewId="0">
      <pane xSplit="6" ySplit="1" topLeftCell="G207" activePane="bottomRight" state="frozen"/>
      <selection pane="topRight" activeCell="G1" sqref="G1"/>
      <selection pane="bottomLeft" activeCell="A2" sqref="A2"/>
      <selection pane="bottomRight" activeCell="K218" sqref="K218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578</v>
      </c>
      <c r="J1" s="54" t="s">
        <v>584</v>
      </c>
      <c r="K1" s="54" t="s">
        <v>579</v>
      </c>
      <c r="M1" s="54" t="s">
        <v>570</v>
      </c>
      <c r="N1" s="54" t="s">
        <v>568</v>
      </c>
      <c r="O1" s="54" t="s">
        <v>569</v>
      </c>
      <c r="Q1" s="1" t="s">
        <v>567</v>
      </c>
      <c r="R1" s="36" t="s">
        <v>543</v>
      </c>
      <c r="S1" s="36" t="s">
        <v>544</v>
      </c>
      <c r="T1" s="36" t="s">
        <v>545</v>
      </c>
      <c r="U1" s="36" t="s">
        <v>546</v>
      </c>
      <c r="V1" s="36" t="s">
        <v>547</v>
      </c>
      <c r="W1" s="36" t="s">
        <v>548</v>
      </c>
      <c r="X1" s="36" t="s">
        <v>549</v>
      </c>
      <c r="Y1" s="36" t="s">
        <v>550</v>
      </c>
      <c r="Z1" s="36" t="s">
        <v>551</v>
      </c>
      <c r="AA1" s="36" t="s">
        <v>552</v>
      </c>
      <c r="AB1" s="36" t="s">
        <v>553</v>
      </c>
      <c r="AC1"/>
      <c r="AD1" s="36" t="s">
        <v>554</v>
      </c>
      <c r="AE1" s="36" t="s">
        <v>555</v>
      </c>
      <c r="AF1" s="36" t="s">
        <v>556</v>
      </c>
      <c r="AG1" s="36" t="s">
        <v>557</v>
      </c>
      <c r="AH1" s="36" t="s">
        <v>558</v>
      </c>
      <c r="AI1" s="36" t="s">
        <v>559</v>
      </c>
      <c r="AJ1" s="36" t="s">
        <v>560</v>
      </c>
      <c r="AK1"/>
      <c r="AL1" s="36" t="s">
        <v>563</v>
      </c>
      <c r="AM1" s="36" t="s">
        <v>564</v>
      </c>
      <c r="AN1" s="36" t="s">
        <v>565</v>
      </c>
      <c r="AO1" s="36" t="s">
        <v>566</v>
      </c>
      <c r="AP1"/>
      <c r="AQ1" s="36" t="s">
        <v>562</v>
      </c>
      <c r="AR1"/>
      <c r="AS1"/>
      <c r="AT1" s="36" t="s">
        <v>542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44" t="s">
        <v>598</v>
      </c>
      <c r="J3" s="58"/>
      <c r="K3" s="44" t="s">
        <v>598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s="1" customFormat="1" x14ac:dyDescent="0.25">
      <c r="A4" s="42" t="s">
        <v>587</v>
      </c>
      <c r="B4" s="3" t="s">
        <v>474</v>
      </c>
      <c r="C4" s="3" t="s">
        <v>483</v>
      </c>
      <c r="D4" s="3" t="s">
        <v>521</v>
      </c>
      <c r="E4" s="46" t="s">
        <v>588</v>
      </c>
      <c r="F4" s="46" t="s">
        <v>589</v>
      </c>
      <c r="G4" s="44" t="s">
        <v>476</v>
      </c>
      <c r="I4" s="44" t="s">
        <v>476</v>
      </c>
      <c r="J4" s="58"/>
      <c r="K4" s="44" t="s">
        <v>476</v>
      </c>
      <c r="M4" s="44" t="s">
        <v>476</v>
      </c>
      <c r="N4" s="44" t="s">
        <v>476</v>
      </c>
      <c r="O4" s="44" t="s">
        <v>476</v>
      </c>
      <c r="R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/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/>
      <c r="AL4" s="44" t="s">
        <v>476</v>
      </c>
      <c r="AM4" s="44" t="s">
        <v>476</v>
      </c>
      <c r="AN4" s="44" t="s">
        <v>476</v>
      </c>
      <c r="AO4" s="44" t="s">
        <v>476</v>
      </c>
      <c r="AP4"/>
      <c r="AQ4" s="44" t="s">
        <v>476</v>
      </c>
      <c r="AR4"/>
      <c r="AS4"/>
      <c r="AT4" s="44" t="s">
        <v>476</v>
      </c>
    </row>
    <row r="5" spans="1:46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44" t="s">
        <v>86</v>
      </c>
      <c r="J5" s="58"/>
      <c r="K5" s="44" t="s">
        <v>86</v>
      </c>
      <c r="M5" s="44" t="s">
        <v>86</v>
      </c>
      <c r="N5" s="44" t="s">
        <v>86</v>
      </c>
      <c r="O5" s="44" t="s">
        <v>86</v>
      </c>
      <c r="R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/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/>
      <c r="AL5" s="44" t="s">
        <v>86</v>
      </c>
      <c r="AM5" s="44" t="s">
        <v>86</v>
      </c>
      <c r="AN5" s="44" t="s">
        <v>86</v>
      </c>
      <c r="AO5" s="44" t="s">
        <v>86</v>
      </c>
      <c r="AP5"/>
      <c r="AQ5" s="44" t="s">
        <v>86</v>
      </c>
      <c r="AR5"/>
      <c r="AS5"/>
      <c r="AT5" s="44" t="s">
        <v>86</v>
      </c>
    </row>
    <row r="6" spans="1:46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44">
        <v>1</v>
      </c>
      <c r="J6" s="58"/>
      <c r="K6" s="44">
        <v>1</v>
      </c>
      <c r="M6" s="44">
        <v>1</v>
      </c>
      <c r="N6" s="44">
        <v>1</v>
      </c>
      <c r="O6" s="44">
        <v>1</v>
      </c>
      <c r="R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/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/>
      <c r="AL6" s="44">
        <v>1</v>
      </c>
      <c r="AM6" s="44">
        <v>1</v>
      </c>
      <c r="AN6" s="44">
        <v>1</v>
      </c>
      <c r="AO6" s="44">
        <v>1</v>
      </c>
      <c r="AP6"/>
      <c r="AQ6" s="44">
        <v>1</v>
      </c>
      <c r="AR6"/>
      <c r="AS6"/>
      <c r="AT6" s="44">
        <v>1</v>
      </c>
    </row>
    <row r="7" spans="1:46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44">
        <v>180</v>
      </c>
      <c r="J7" s="58"/>
      <c r="K7" s="44">
        <v>180</v>
      </c>
      <c r="M7" s="44">
        <v>180</v>
      </c>
      <c r="N7" s="44">
        <v>180</v>
      </c>
      <c r="O7" s="44">
        <v>180</v>
      </c>
      <c r="R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/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/>
      <c r="AL7" s="44">
        <v>180</v>
      </c>
      <c r="AM7" s="44">
        <v>180</v>
      </c>
      <c r="AN7" s="44">
        <v>180</v>
      </c>
      <c r="AO7" s="44">
        <v>180</v>
      </c>
      <c r="AP7"/>
      <c r="AQ7" s="44">
        <v>180</v>
      </c>
      <c r="AR7"/>
      <c r="AS7"/>
      <c r="AT7" s="44">
        <v>180</v>
      </c>
    </row>
    <row r="8" spans="1:46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44">
        <v>4.1666666999999998E-2</v>
      </c>
      <c r="J9" s="58"/>
      <c r="K9" s="44">
        <v>4.1666666999999998E-2</v>
      </c>
      <c r="M9" s="44">
        <v>4.1666666999999998E-2</v>
      </c>
      <c r="N9" s="44">
        <v>4.1666666999999998E-2</v>
      </c>
      <c r="O9" s="44">
        <v>4.1666666999999998E-2</v>
      </c>
      <c r="R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/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/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/>
      <c r="AQ9" s="44">
        <v>4.1666666999999998E-2</v>
      </c>
      <c r="AR9"/>
      <c r="AS9"/>
      <c r="AT9" s="44">
        <v>4.1666666999999998E-2</v>
      </c>
    </row>
    <row r="10" spans="1:46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44">
        <v>1</v>
      </c>
      <c r="J10" s="58"/>
      <c r="K10" s="44">
        <v>1</v>
      </c>
      <c r="M10" s="44">
        <v>1</v>
      </c>
      <c r="N10" s="44">
        <v>1</v>
      </c>
      <c r="O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/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/>
      <c r="AL10" s="44">
        <v>1</v>
      </c>
      <c r="AM10" s="44">
        <v>1</v>
      </c>
      <c r="AN10" s="44">
        <v>1</v>
      </c>
      <c r="AO10" s="44">
        <v>1</v>
      </c>
      <c r="AP10"/>
      <c r="AQ10" s="44">
        <v>1</v>
      </c>
      <c r="AR10"/>
      <c r="AS10"/>
      <c r="AT10" s="44">
        <v>1</v>
      </c>
    </row>
    <row r="11" spans="1:46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44">
        <v>0</v>
      </c>
      <c r="J11" s="58"/>
      <c r="K11" s="44">
        <v>0</v>
      </c>
      <c r="M11" s="44">
        <v>0</v>
      </c>
      <c r="N11" s="44">
        <v>0</v>
      </c>
      <c r="O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/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/>
      <c r="AL11" s="44">
        <v>0</v>
      </c>
      <c r="AM11" s="44">
        <v>0</v>
      </c>
      <c r="AN11" s="44">
        <v>0</v>
      </c>
      <c r="AO11" s="44">
        <v>0</v>
      </c>
      <c r="AP11"/>
      <c r="AQ11" s="44">
        <v>0</v>
      </c>
      <c r="AR11"/>
      <c r="AS11"/>
      <c r="AT11" s="44">
        <v>0</v>
      </c>
    </row>
    <row r="12" spans="1:46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44" t="s">
        <v>87</v>
      </c>
      <c r="J12" s="58"/>
      <c r="K12" s="44" t="s">
        <v>87</v>
      </c>
      <c r="M12" s="44" t="s">
        <v>87</v>
      </c>
      <c r="N12" s="44" t="s">
        <v>87</v>
      </c>
      <c r="O12" s="44" t="s">
        <v>87</v>
      </c>
      <c r="R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/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/>
      <c r="AL12" s="44" t="s">
        <v>87</v>
      </c>
      <c r="AM12" s="44" t="s">
        <v>87</v>
      </c>
      <c r="AN12" s="44" t="s">
        <v>87</v>
      </c>
      <c r="AO12" s="44" t="s">
        <v>87</v>
      </c>
      <c r="AP12"/>
      <c r="AQ12" s="44" t="s">
        <v>87</v>
      </c>
      <c r="AR12"/>
      <c r="AS12"/>
      <c r="AT12" s="44" t="s">
        <v>87</v>
      </c>
    </row>
    <row r="13" spans="1:46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44">
        <v>5.0000000000000001E-9</v>
      </c>
      <c r="J13" s="58"/>
      <c r="K13" s="44">
        <v>5.0000000000000001E-9</v>
      </c>
      <c r="M13" s="44">
        <v>5.0000000000000001E-9</v>
      </c>
      <c r="N13" s="44">
        <v>5.0000000000000001E-9</v>
      </c>
      <c r="O13" s="44">
        <v>5.0000000000000001E-9</v>
      </c>
      <c r="R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/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/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/>
      <c r="AQ13" s="44">
        <v>5.0000000000000001E-9</v>
      </c>
      <c r="AR13"/>
      <c r="AS13"/>
      <c r="AT13" s="44">
        <v>5.0000000000000001E-9</v>
      </c>
    </row>
    <row r="14" spans="1:46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44">
        <v>10</v>
      </c>
      <c r="J14" s="58"/>
      <c r="K14" s="44">
        <v>10</v>
      </c>
      <c r="M14" s="44">
        <v>10</v>
      </c>
      <c r="N14" s="44">
        <v>10</v>
      </c>
      <c r="O14" s="44">
        <v>10</v>
      </c>
      <c r="R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/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/>
      <c r="AL14" s="44">
        <v>10</v>
      </c>
      <c r="AM14" s="44">
        <v>10</v>
      </c>
      <c r="AN14" s="44">
        <v>10</v>
      </c>
      <c r="AO14" s="44">
        <v>10</v>
      </c>
      <c r="AP14"/>
      <c r="AQ14" s="44">
        <v>10</v>
      </c>
      <c r="AR14"/>
      <c r="AS14"/>
      <c r="AT14" s="44">
        <v>10</v>
      </c>
    </row>
    <row r="15" spans="1:46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44" t="s">
        <v>87</v>
      </c>
      <c r="J17" s="58"/>
      <c r="K17" s="44" t="s">
        <v>87</v>
      </c>
      <c r="M17" s="44" t="s">
        <v>87</v>
      </c>
      <c r="N17" s="44" t="s">
        <v>87</v>
      </c>
      <c r="O17" s="44" t="s">
        <v>87</v>
      </c>
      <c r="R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/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/>
      <c r="AL17" s="44" t="s">
        <v>87</v>
      </c>
      <c r="AM17" s="44" t="s">
        <v>87</v>
      </c>
      <c r="AN17" s="44" t="s">
        <v>87</v>
      </c>
      <c r="AO17" s="44" t="s">
        <v>87</v>
      </c>
      <c r="AP17"/>
      <c r="AQ17" s="44" t="s">
        <v>87</v>
      </c>
      <c r="AR17"/>
      <c r="AS17"/>
      <c r="AT17" s="44" t="s">
        <v>87</v>
      </c>
    </row>
    <row r="18" spans="1:46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44">
        <v>86400</v>
      </c>
      <c r="J18" s="58"/>
      <c r="K18" s="44">
        <v>86400</v>
      </c>
      <c r="M18" s="44">
        <v>86400</v>
      </c>
      <c r="N18" s="44">
        <v>86400</v>
      </c>
      <c r="O18" s="44">
        <v>86400</v>
      </c>
      <c r="R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/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/>
      <c r="AL18" s="44">
        <v>86400</v>
      </c>
      <c r="AM18" s="44">
        <v>86400</v>
      </c>
      <c r="AN18" s="44">
        <v>86400</v>
      </c>
      <c r="AO18" s="44">
        <v>86400</v>
      </c>
      <c r="AP18"/>
      <c r="AQ18" s="44">
        <v>86400</v>
      </c>
      <c r="AR18"/>
      <c r="AS18"/>
      <c r="AT18" s="44">
        <v>86400</v>
      </c>
    </row>
    <row r="19" spans="1:46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44" t="s">
        <v>86</v>
      </c>
      <c r="J19" s="58"/>
      <c r="K19" s="44" t="s">
        <v>86</v>
      </c>
      <c r="M19" s="44" t="s">
        <v>86</v>
      </c>
      <c r="N19" s="44" t="s">
        <v>86</v>
      </c>
      <c r="O19" s="44" t="s">
        <v>86</v>
      </c>
      <c r="R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/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/>
      <c r="AL19" s="44" t="s">
        <v>86</v>
      </c>
      <c r="AM19" s="44" t="s">
        <v>86</v>
      </c>
      <c r="AN19" s="44" t="s">
        <v>86</v>
      </c>
      <c r="AO19" s="44" t="s">
        <v>86</v>
      </c>
      <c r="AP19"/>
      <c r="AQ19" s="44" t="s">
        <v>86</v>
      </c>
      <c r="AR19"/>
      <c r="AS19"/>
      <c r="AT19" s="44" t="s">
        <v>86</v>
      </c>
    </row>
    <row r="20" spans="1:46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44">
        <v>3</v>
      </c>
      <c r="J20" s="58"/>
      <c r="K20" s="44">
        <v>3</v>
      </c>
      <c r="M20" s="44">
        <v>3</v>
      </c>
      <c r="N20" s="44">
        <v>3</v>
      </c>
      <c r="O20" s="44">
        <v>3</v>
      </c>
      <c r="R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/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/>
      <c r="AL20" s="44">
        <v>3</v>
      </c>
      <c r="AM20" s="44">
        <v>3</v>
      </c>
      <c r="AN20" s="44">
        <v>3</v>
      </c>
      <c r="AO20" s="44">
        <v>3</v>
      </c>
      <c r="AP20"/>
      <c r="AQ20" s="44">
        <v>3</v>
      </c>
      <c r="AR20"/>
      <c r="AS20"/>
      <c r="AT20" s="44">
        <v>3</v>
      </c>
    </row>
    <row r="21" spans="1:46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44" t="s">
        <v>87</v>
      </c>
      <c r="J26" s="58"/>
      <c r="K26" s="44" t="s">
        <v>87</v>
      </c>
      <c r="M26" s="44" t="s">
        <v>87</v>
      </c>
      <c r="N26" s="44" t="s">
        <v>87</v>
      </c>
      <c r="O26" s="44" t="s">
        <v>87</v>
      </c>
      <c r="R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/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/>
      <c r="AL26" s="44" t="s">
        <v>87</v>
      </c>
      <c r="AM26" s="44" t="s">
        <v>87</v>
      </c>
      <c r="AN26" s="44" t="s">
        <v>87</v>
      </c>
      <c r="AO26" s="44" t="s">
        <v>87</v>
      </c>
      <c r="AP26"/>
      <c r="AQ26" s="44" t="s">
        <v>87</v>
      </c>
      <c r="AR26"/>
      <c r="AS26"/>
      <c r="AT26" s="44" t="s">
        <v>87</v>
      </c>
    </row>
    <row r="27" spans="1:46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44">
        <v>0.33</v>
      </c>
      <c r="J27" s="58"/>
      <c r="K27" s="44">
        <v>0.33</v>
      </c>
      <c r="M27" s="44">
        <v>0.33</v>
      </c>
      <c r="N27" s="44">
        <v>0.33</v>
      </c>
      <c r="O27" s="44">
        <v>0.33</v>
      </c>
      <c r="R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/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/>
      <c r="AL27" s="44">
        <v>0.33</v>
      </c>
      <c r="AM27" s="44">
        <v>0.33</v>
      </c>
      <c r="AN27" s="44">
        <v>0.33</v>
      </c>
      <c r="AO27" s="44">
        <v>0.33</v>
      </c>
      <c r="AP27"/>
      <c r="AQ27" s="44">
        <v>0.33</v>
      </c>
      <c r="AR27"/>
      <c r="AS27"/>
      <c r="AT27" s="44">
        <v>0.33</v>
      </c>
    </row>
    <row r="28" spans="1:46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44" t="s">
        <v>87</v>
      </c>
      <c r="J30" s="58"/>
      <c r="K30" s="44" t="s">
        <v>87</v>
      </c>
      <c r="M30" s="44" t="s">
        <v>87</v>
      </c>
      <c r="N30" s="44" t="s">
        <v>87</v>
      </c>
      <c r="O30" s="44" t="s">
        <v>87</v>
      </c>
      <c r="R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/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/>
      <c r="AL30" s="44" t="s">
        <v>87</v>
      </c>
      <c r="AM30" s="44" t="s">
        <v>87</v>
      </c>
      <c r="AN30" s="44" t="s">
        <v>87</v>
      </c>
      <c r="AO30" s="44" t="s">
        <v>87</v>
      </c>
      <c r="AP30"/>
      <c r="AQ30" s="44" t="s">
        <v>87</v>
      </c>
      <c r="AR30"/>
      <c r="AS30"/>
      <c r="AT30" s="44" t="s">
        <v>87</v>
      </c>
    </row>
    <row r="31" spans="1:46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44" t="s">
        <v>86</v>
      </c>
      <c r="J31" s="58"/>
      <c r="K31" s="44" t="s">
        <v>86</v>
      </c>
      <c r="M31" s="44" t="s">
        <v>86</v>
      </c>
      <c r="N31" s="44" t="s">
        <v>86</v>
      </c>
      <c r="O31" s="44" t="s">
        <v>86</v>
      </c>
      <c r="R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/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/>
      <c r="AL31" s="44" t="s">
        <v>86</v>
      </c>
      <c r="AM31" s="44" t="s">
        <v>86</v>
      </c>
      <c r="AN31" s="44" t="s">
        <v>86</v>
      </c>
      <c r="AO31" s="44" t="s">
        <v>86</v>
      </c>
      <c r="AP31"/>
      <c r="AQ31" s="44" t="s">
        <v>86</v>
      </c>
      <c r="AR31"/>
      <c r="AS31"/>
      <c r="AT31" s="44" t="s">
        <v>86</v>
      </c>
    </row>
    <row r="32" spans="1:46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45" t="s">
        <v>436</v>
      </c>
      <c r="J32" s="59"/>
      <c r="K32" s="45" t="s">
        <v>436</v>
      </c>
      <c r="M32" s="45" t="s">
        <v>436</v>
      </c>
      <c r="N32" s="45" t="s">
        <v>436</v>
      </c>
      <c r="O32" s="45" t="s">
        <v>436</v>
      </c>
      <c r="R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/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/>
      <c r="AL32" s="45" t="s">
        <v>436</v>
      </c>
      <c r="AM32" s="45" t="s">
        <v>436</v>
      </c>
      <c r="AN32" s="45" t="s">
        <v>436</v>
      </c>
      <c r="AO32" s="45" t="s">
        <v>436</v>
      </c>
      <c r="AP32"/>
      <c r="AQ32" s="45" t="s">
        <v>436</v>
      </c>
      <c r="AR32"/>
      <c r="AS32"/>
      <c r="AT32" s="45" t="s">
        <v>436</v>
      </c>
    </row>
    <row r="33" spans="1:46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44">
        <v>9.9999999999999995E-7</v>
      </c>
      <c r="J33" s="58"/>
      <c r="K33" s="44">
        <v>9.9999999999999995E-7</v>
      </c>
      <c r="M33" s="44">
        <v>9.9999999999999995E-7</v>
      </c>
      <c r="N33" s="44">
        <v>9.9999999999999995E-7</v>
      </c>
      <c r="O33" s="44">
        <v>9.9999999999999995E-7</v>
      </c>
      <c r="R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/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/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/>
      <c r="AQ33" s="44">
        <v>9.9999999999999995E-7</v>
      </c>
      <c r="AR33"/>
      <c r="AS33"/>
      <c r="AT33" s="44">
        <v>9.9999999999999995E-7</v>
      </c>
    </row>
    <row r="34" spans="1:46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44">
        <v>1E-3</v>
      </c>
      <c r="J34" s="58"/>
      <c r="K34" s="44">
        <v>1E-3</v>
      </c>
      <c r="M34" s="44">
        <v>1E-3</v>
      </c>
      <c r="N34" s="44">
        <v>1E-3</v>
      </c>
      <c r="O34" s="44">
        <v>1E-3</v>
      </c>
      <c r="R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/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/>
      <c r="AL34" s="44">
        <v>1E-3</v>
      </c>
      <c r="AM34" s="44">
        <v>1E-3</v>
      </c>
      <c r="AN34" s="44">
        <v>1E-3</v>
      </c>
      <c r="AO34" s="44">
        <v>1E-3</v>
      </c>
      <c r="AP34"/>
      <c r="AQ34" s="44">
        <v>1E-3</v>
      </c>
      <c r="AR34"/>
      <c r="AS34"/>
      <c r="AT34" s="44">
        <v>1E-3</v>
      </c>
    </row>
    <row r="35" spans="1:46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44" t="s">
        <v>86</v>
      </c>
      <c r="J35" s="58"/>
      <c r="K35" s="44" t="s">
        <v>86</v>
      </c>
      <c r="M35" s="44" t="s">
        <v>86</v>
      </c>
      <c r="N35" s="44" t="s">
        <v>86</v>
      </c>
      <c r="O35" s="44" t="s">
        <v>86</v>
      </c>
      <c r="R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/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/>
      <c r="AL35" s="44" t="s">
        <v>86</v>
      </c>
      <c r="AM35" s="44" t="s">
        <v>86</v>
      </c>
      <c r="AN35" s="44" t="s">
        <v>86</v>
      </c>
      <c r="AO35" s="44" t="s">
        <v>86</v>
      </c>
      <c r="AP35"/>
      <c r="AQ35" s="44" t="s">
        <v>86</v>
      </c>
      <c r="AR35"/>
      <c r="AS35"/>
      <c r="AT35" s="44" t="s">
        <v>86</v>
      </c>
    </row>
    <row r="36" spans="1:46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44" t="s">
        <v>88</v>
      </c>
      <c r="J36" s="58"/>
      <c r="K36" s="44" t="s">
        <v>88</v>
      </c>
      <c r="M36" s="44" t="s">
        <v>88</v>
      </c>
      <c r="N36" s="44" t="s">
        <v>88</v>
      </c>
      <c r="O36" s="44" t="s">
        <v>88</v>
      </c>
      <c r="R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/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/>
      <c r="AL36" s="44" t="s">
        <v>88</v>
      </c>
      <c r="AM36" s="44" t="s">
        <v>88</v>
      </c>
      <c r="AN36" s="44" t="s">
        <v>88</v>
      </c>
      <c r="AO36" s="44" t="s">
        <v>88</v>
      </c>
      <c r="AP36"/>
      <c r="AQ36" s="44" t="s">
        <v>88</v>
      </c>
      <c r="AR36"/>
      <c r="AS36"/>
      <c r="AT36" s="44" t="s">
        <v>88</v>
      </c>
    </row>
    <row r="37" spans="1:46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44" t="s">
        <v>86</v>
      </c>
      <c r="J37" s="58"/>
      <c r="K37" s="44" t="s">
        <v>86</v>
      </c>
      <c r="M37" s="44" t="s">
        <v>86</v>
      </c>
      <c r="N37" s="44" t="s">
        <v>86</v>
      </c>
      <c r="O37" s="44" t="s">
        <v>86</v>
      </c>
      <c r="R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/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/>
      <c r="AL37" s="44" t="s">
        <v>86</v>
      </c>
      <c r="AM37" s="44" t="s">
        <v>86</v>
      </c>
      <c r="AN37" s="44" t="s">
        <v>86</v>
      </c>
      <c r="AO37" s="44" t="s">
        <v>86</v>
      </c>
      <c r="AP37"/>
      <c r="AQ37" s="44" t="s">
        <v>86</v>
      </c>
      <c r="AR37"/>
      <c r="AS37"/>
      <c r="AT37" s="44" t="s">
        <v>86</v>
      </c>
    </row>
    <row r="38" spans="1:46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44" t="s">
        <v>87</v>
      </c>
      <c r="J38" s="58"/>
      <c r="K38" s="44" t="s">
        <v>87</v>
      </c>
      <c r="M38" s="44" t="s">
        <v>87</v>
      </c>
      <c r="N38" s="44" t="s">
        <v>87</v>
      </c>
      <c r="O38" s="44" t="s">
        <v>87</v>
      </c>
      <c r="R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/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/>
      <c r="AL38" s="44" t="s">
        <v>87</v>
      </c>
      <c r="AM38" s="44" t="s">
        <v>87</v>
      </c>
      <c r="AN38" s="44" t="s">
        <v>87</v>
      </c>
      <c r="AO38" s="44" t="s">
        <v>87</v>
      </c>
      <c r="AP38"/>
      <c r="AQ38" s="44" t="s">
        <v>87</v>
      </c>
      <c r="AR38"/>
      <c r="AS38"/>
      <c r="AT38" s="44" t="s">
        <v>87</v>
      </c>
    </row>
    <row r="39" spans="1:46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44">
        <v>120</v>
      </c>
      <c r="J39" s="58"/>
      <c r="K39" s="44">
        <v>120</v>
      </c>
      <c r="M39" s="44">
        <v>120</v>
      </c>
      <c r="N39" s="44">
        <v>120</v>
      </c>
      <c r="O39" s="44">
        <v>120</v>
      </c>
      <c r="R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/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/>
      <c r="AL39" s="44">
        <v>120</v>
      </c>
      <c r="AM39" s="44">
        <v>120</v>
      </c>
      <c r="AN39" s="44">
        <v>120</v>
      </c>
      <c r="AO39" s="44">
        <v>120</v>
      </c>
      <c r="AP39"/>
      <c r="AQ39" s="44">
        <v>120</v>
      </c>
      <c r="AR39"/>
      <c r="AS39"/>
      <c r="AT39" s="44">
        <v>120</v>
      </c>
    </row>
    <row r="40" spans="1:46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44">
        <v>0</v>
      </c>
      <c r="J41" s="58"/>
      <c r="K41" s="44">
        <v>0</v>
      </c>
      <c r="M41" s="44">
        <v>0</v>
      </c>
      <c r="N41" s="44">
        <v>0</v>
      </c>
      <c r="O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/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/>
      <c r="AL41" s="44">
        <v>0</v>
      </c>
      <c r="AM41" s="44">
        <v>0</v>
      </c>
      <c r="AN41" s="44">
        <v>0</v>
      </c>
      <c r="AO41" s="44">
        <v>0</v>
      </c>
      <c r="AP41"/>
      <c r="AQ41" s="44">
        <v>0</v>
      </c>
      <c r="AR41"/>
      <c r="AS41"/>
      <c r="AT41" s="44">
        <v>0</v>
      </c>
    </row>
    <row r="42" spans="1:46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44">
        <v>-0.1</v>
      </c>
      <c r="J42" s="58"/>
      <c r="K42" s="44">
        <v>-0.1</v>
      </c>
      <c r="M42" s="44">
        <v>-0.1</v>
      </c>
      <c r="N42" s="44">
        <v>-0.1</v>
      </c>
      <c r="O42" s="44">
        <v>-0.1</v>
      </c>
      <c r="R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/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/>
      <c r="AL42" s="44">
        <v>-0.1</v>
      </c>
      <c r="AM42" s="44">
        <v>-0.1</v>
      </c>
      <c r="AN42" s="44">
        <v>-0.1</v>
      </c>
      <c r="AO42" s="44">
        <v>-0.1</v>
      </c>
      <c r="AP42"/>
      <c r="AQ42" s="44">
        <v>-0.1</v>
      </c>
      <c r="AR42"/>
      <c r="AS42"/>
      <c r="AT42" s="44">
        <v>-0.1</v>
      </c>
    </row>
    <row r="43" spans="1:46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44">
        <v>-0.2</v>
      </c>
      <c r="J43" s="58"/>
      <c r="K43" s="44">
        <v>-0.2</v>
      </c>
      <c r="M43" s="44">
        <v>-0.2</v>
      </c>
      <c r="N43" s="44">
        <v>-0.2</v>
      </c>
      <c r="O43" s="44">
        <v>-0.2</v>
      </c>
      <c r="R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/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/>
      <c r="AL43" s="44">
        <v>-0.2</v>
      </c>
      <c r="AM43" s="44">
        <v>-0.2</v>
      </c>
      <c r="AN43" s="44">
        <v>-0.2</v>
      </c>
      <c r="AO43" s="44">
        <v>-0.2</v>
      </c>
      <c r="AP43"/>
      <c r="AQ43" s="44">
        <v>-0.2</v>
      </c>
      <c r="AR43"/>
      <c r="AS43"/>
      <c r="AT43" s="44">
        <v>-0.2</v>
      </c>
    </row>
    <row r="44" spans="1:46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44">
        <v>0.4</v>
      </c>
      <c r="J44" s="58"/>
      <c r="K44" s="44">
        <v>0.4</v>
      </c>
      <c r="M44" s="44">
        <v>0.4</v>
      </c>
      <c r="N44" s="44">
        <v>0.4</v>
      </c>
      <c r="O44" s="44">
        <v>0.4</v>
      </c>
      <c r="R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/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/>
      <c r="AL44" s="44">
        <v>0.4</v>
      </c>
      <c r="AM44" s="44">
        <v>0.4</v>
      </c>
      <c r="AN44" s="44">
        <v>0.4</v>
      </c>
      <c r="AO44" s="44">
        <v>0.4</v>
      </c>
      <c r="AP44"/>
      <c r="AQ44" s="44">
        <v>0.4</v>
      </c>
      <c r="AR44"/>
      <c r="AS44"/>
      <c r="AT44" s="44">
        <v>0.4</v>
      </c>
    </row>
    <row r="45" spans="1:46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44">
        <v>0</v>
      </c>
      <c r="J45" s="58"/>
      <c r="K45" s="44">
        <v>0</v>
      </c>
      <c r="M45" s="44">
        <v>0</v>
      </c>
      <c r="N45" s="44">
        <v>0</v>
      </c>
      <c r="O45" s="44">
        <v>0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/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/>
      <c r="AL45" s="44">
        <v>0</v>
      </c>
      <c r="AM45" s="44">
        <v>0</v>
      </c>
      <c r="AN45" s="44">
        <v>0</v>
      </c>
      <c r="AO45" s="44">
        <v>0</v>
      </c>
      <c r="AP45"/>
      <c r="AQ45" s="44">
        <v>0</v>
      </c>
      <c r="AR45"/>
      <c r="AS45"/>
      <c r="AT45" s="44">
        <v>0</v>
      </c>
    </row>
    <row r="46" spans="1:46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44">
        <v>1200</v>
      </c>
      <c r="J47" s="58"/>
      <c r="K47" s="44">
        <v>1200</v>
      </c>
      <c r="M47" s="44">
        <v>1200</v>
      </c>
      <c r="N47" s="44">
        <v>1200</v>
      </c>
      <c r="O47" s="44">
        <v>1200</v>
      </c>
      <c r="R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/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/>
      <c r="AL47" s="44">
        <v>1200</v>
      </c>
      <c r="AM47" s="44">
        <v>1200</v>
      </c>
      <c r="AN47" s="44">
        <v>1200</v>
      </c>
      <c r="AO47" s="44">
        <v>1200</v>
      </c>
      <c r="AP47"/>
      <c r="AQ47" s="44">
        <v>1200</v>
      </c>
      <c r="AR47"/>
      <c r="AS47"/>
      <c r="AT47" s="44">
        <v>1200</v>
      </c>
    </row>
    <row r="48" spans="1:46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44" t="s">
        <v>462</v>
      </c>
      <c r="J48" s="58"/>
      <c r="K48" s="44" t="s">
        <v>462</v>
      </c>
      <c r="M48" s="44" t="s">
        <v>462</v>
      </c>
      <c r="N48" s="44" t="s">
        <v>462</v>
      </c>
      <c r="O48" s="44" t="s">
        <v>462</v>
      </c>
      <c r="R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/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/>
      <c r="AL48" s="44" t="s">
        <v>462</v>
      </c>
      <c r="AM48" s="44" t="s">
        <v>462</v>
      </c>
      <c r="AN48" s="44" t="s">
        <v>462</v>
      </c>
      <c r="AO48" s="44" t="s">
        <v>462</v>
      </c>
      <c r="AP48"/>
      <c r="AQ48" s="44" t="s">
        <v>462</v>
      </c>
      <c r="AR48"/>
      <c r="AS48"/>
      <c r="AT48" s="44" t="s">
        <v>462</v>
      </c>
    </row>
    <row r="49" spans="1:46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44" t="s">
        <v>86</v>
      </c>
      <c r="J50" s="58"/>
      <c r="K50" s="44" t="s">
        <v>86</v>
      </c>
      <c r="M50" s="44" t="s">
        <v>86</v>
      </c>
      <c r="N50" s="44" t="s">
        <v>86</v>
      </c>
      <c r="O50" s="44" t="s">
        <v>86</v>
      </c>
      <c r="R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/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/>
      <c r="AL50" s="44" t="s">
        <v>86</v>
      </c>
      <c r="AM50" s="44" t="s">
        <v>86</v>
      </c>
      <c r="AN50" s="44" t="s">
        <v>86</v>
      </c>
      <c r="AO50" s="44" t="s">
        <v>86</v>
      </c>
      <c r="AP50"/>
      <c r="AQ50" s="44" t="s">
        <v>86</v>
      </c>
      <c r="AR50"/>
      <c r="AS50"/>
      <c r="AT50" s="44" t="s">
        <v>86</v>
      </c>
    </row>
    <row r="51" spans="1:46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44">
        <v>0</v>
      </c>
      <c r="J51" s="58"/>
      <c r="K51" s="44">
        <v>0</v>
      </c>
      <c r="M51" s="44">
        <v>0</v>
      </c>
      <c r="N51" s="44">
        <v>0</v>
      </c>
      <c r="O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/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/>
      <c r="AL51" s="44">
        <v>0</v>
      </c>
      <c r="AM51" s="44">
        <v>0</v>
      </c>
      <c r="AN51" s="44">
        <v>0</v>
      </c>
      <c r="AO51" s="44">
        <v>0</v>
      </c>
      <c r="AP51"/>
      <c r="AQ51" s="44">
        <v>0</v>
      </c>
      <c r="AR51"/>
      <c r="AS51"/>
      <c r="AT51" s="44">
        <v>0</v>
      </c>
    </row>
    <row r="52" spans="1:46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44">
        <v>0.5</v>
      </c>
      <c r="J52" s="58"/>
      <c r="K52" s="44">
        <v>0.5</v>
      </c>
      <c r="M52" s="44">
        <v>0.5</v>
      </c>
      <c r="N52" s="44">
        <v>0.5</v>
      </c>
      <c r="O52" s="44">
        <v>0.5</v>
      </c>
      <c r="R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/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/>
      <c r="AL52" s="44">
        <v>0.5</v>
      </c>
      <c r="AM52" s="44">
        <v>0.5</v>
      </c>
      <c r="AN52" s="44">
        <v>0.5</v>
      </c>
      <c r="AO52" s="44">
        <v>0.5</v>
      </c>
      <c r="AP52"/>
      <c r="AQ52" s="44">
        <v>0.5</v>
      </c>
      <c r="AR52"/>
      <c r="AS52"/>
      <c r="AT52" s="44">
        <v>0.5</v>
      </c>
    </row>
    <row r="53" spans="1:46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44">
        <v>0.05</v>
      </c>
      <c r="J53" s="58"/>
      <c r="K53" s="44">
        <v>0.05</v>
      </c>
      <c r="M53" s="44">
        <v>0.05</v>
      </c>
      <c r="N53" s="44">
        <v>0.05</v>
      </c>
      <c r="O53" s="44">
        <v>0.05</v>
      </c>
      <c r="R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/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/>
      <c r="AL53" s="44">
        <v>0.05</v>
      </c>
      <c r="AM53" s="44">
        <v>0.05</v>
      </c>
      <c r="AN53" s="44">
        <v>0.05</v>
      </c>
      <c r="AO53" s="44">
        <v>0.05</v>
      </c>
      <c r="AP53"/>
      <c r="AQ53" s="44">
        <v>0.05</v>
      </c>
      <c r="AR53"/>
      <c r="AS53"/>
      <c r="AT53" s="44">
        <v>0.05</v>
      </c>
    </row>
    <row r="54" spans="1:46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44">
        <v>1E-3</v>
      </c>
      <c r="J54" s="58"/>
      <c r="K54" s="44">
        <v>1E-3</v>
      </c>
      <c r="M54" s="44">
        <v>1E-3</v>
      </c>
      <c r="N54" s="44">
        <v>1E-3</v>
      </c>
      <c r="O54" s="44">
        <v>1E-3</v>
      </c>
      <c r="R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/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/>
      <c r="AL54" s="44">
        <v>1E-3</v>
      </c>
      <c r="AM54" s="44">
        <v>1E-3</v>
      </c>
      <c r="AN54" s="44">
        <v>1E-3</v>
      </c>
      <c r="AO54" s="44">
        <v>1E-3</v>
      </c>
      <c r="AP54"/>
      <c r="AQ54" s="44">
        <v>1E-3</v>
      </c>
      <c r="AR54"/>
      <c r="AS54"/>
      <c r="AT54" s="44">
        <v>1E-3</v>
      </c>
    </row>
    <row r="55" spans="1:46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44">
        <v>0</v>
      </c>
      <c r="J55" s="58"/>
      <c r="K55" s="44">
        <v>0</v>
      </c>
      <c r="M55" s="44">
        <v>0</v>
      </c>
      <c r="N55" s="44">
        <v>0</v>
      </c>
      <c r="O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/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/>
      <c r="AL55" s="44">
        <v>0</v>
      </c>
      <c r="AM55" s="44">
        <v>0</v>
      </c>
      <c r="AN55" s="44">
        <v>0</v>
      </c>
      <c r="AO55" s="44">
        <v>0</v>
      </c>
      <c r="AP55"/>
      <c r="AQ55" s="44">
        <v>0</v>
      </c>
      <c r="AR55"/>
      <c r="AS55"/>
      <c r="AT55" s="44">
        <v>0</v>
      </c>
    </row>
    <row r="56" spans="1:46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44">
        <v>1E-4</v>
      </c>
      <c r="J57" s="58"/>
      <c r="K57" s="44">
        <v>1E-4</v>
      </c>
      <c r="M57" s="44">
        <v>1E-4</v>
      </c>
      <c r="N57" s="44">
        <v>1E-4</v>
      </c>
      <c r="O57" s="44">
        <v>1E-4</v>
      </c>
      <c r="R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/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/>
      <c r="AL57" s="44">
        <v>1E-4</v>
      </c>
      <c r="AM57" s="44">
        <v>1E-4</v>
      </c>
      <c r="AN57" s="44">
        <v>1E-4</v>
      </c>
      <c r="AO57" s="44">
        <v>1E-4</v>
      </c>
      <c r="AP57"/>
      <c r="AQ57" s="44">
        <v>1E-4</v>
      </c>
      <c r="AR57"/>
      <c r="AS57"/>
      <c r="AT57" s="44">
        <v>1E-4</v>
      </c>
    </row>
    <row r="58" spans="1:46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44">
        <v>6.9999999999999999E-4</v>
      </c>
      <c r="J58" s="58"/>
      <c r="K58" s="44">
        <v>6.9999999999999999E-4</v>
      </c>
      <c r="M58" s="44">
        <v>6.9999999999999999E-4</v>
      </c>
      <c r="N58" s="44">
        <v>6.9999999999999999E-4</v>
      </c>
      <c r="O58" s="44">
        <v>6.9999999999999999E-4</v>
      </c>
      <c r="R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/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/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/>
      <c r="AQ58" s="44">
        <v>6.9999999999999999E-4</v>
      </c>
      <c r="AR58"/>
      <c r="AS58"/>
      <c r="AT58" s="44">
        <v>6.9999999999999999E-4</v>
      </c>
    </row>
    <row r="59" spans="1:46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44">
        <v>1.22E-4</v>
      </c>
      <c r="J59" s="58"/>
      <c r="K59" s="44">
        <v>1.22E-4</v>
      </c>
      <c r="M59" s="44">
        <v>1.22E-4</v>
      </c>
      <c r="N59" s="44">
        <v>1.22E-4</v>
      </c>
      <c r="O59" s="44">
        <v>1.22E-4</v>
      </c>
      <c r="R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/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/>
      <c r="AL59" s="44">
        <v>1.22E-4</v>
      </c>
      <c r="AM59" s="44">
        <v>1.22E-4</v>
      </c>
      <c r="AN59" s="44">
        <v>1.22E-4</v>
      </c>
      <c r="AO59" s="44">
        <v>1.22E-4</v>
      </c>
      <c r="AP59"/>
      <c r="AQ59" s="44">
        <v>1.22E-4</v>
      </c>
      <c r="AR59"/>
      <c r="AS59"/>
      <c r="AT59" s="44">
        <v>1.22E-4</v>
      </c>
    </row>
    <row r="60" spans="1:46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44">
        <v>1</v>
      </c>
      <c r="J60" s="58"/>
      <c r="K60" s="44">
        <v>1</v>
      </c>
      <c r="M60" s="44">
        <v>1</v>
      </c>
      <c r="N60" s="44">
        <v>1</v>
      </c>
      <c r="O60" s="44">
        <v>1</v>
      </c>
      <c r="R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/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/>
      <c r="AL60" s="44">
        <v>1</v>
      </c>
      <c r="AM60" s="44">
        <v>1</v>
      </c>
      <c r="AN60" s="44">
        <v>1</v>
      </c>
      <c r="AO60" s="44">
        <v>1</v>
      </c>
      <c r="AP60"/>
      <c r="AQ60" s="44">
        <v>1</v>
      </c>
      <c r="AR60"/>
      <c r="AS60"/>
      <c r="AT60" s="44">
        <v>1</v>
      </c>
    </row>
    <row r="61" spans="1:46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44">
        <v>0.95</v>
      </c>
      <c r="J61" s="58"/>
      <c r="K61" s="44">
        <v>0.95</v>
      </c>
      <c r="M61" s="44">
        <v>0.95</v>
      </c>
      <c r="N61" s="44">
        <v>0.95</v>
      </c>
      <c r="O61" s="44">
        <v>0.95</v>
      </c>
      <c r="R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/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/>
      <c r="AL61" s="44">
        <v>0.95</v>
      </c>
      <c r="AM61" s="44">
        <v>0.95</v>
      </c>
      <c r="AN61" s="44">
        <v>0.95</v>
      </c>
      <c r="AO61" s="44">
        <v>0.95</v>
      </c>
      <c r="AP61"/>
      <c r="AQ61" s="44">
        <v>0.95</v>
      </c>
      <c r="AR61"/>
      <c r="AS61"/>
      <c r="AT61" s="44">
        <v>0.95</v>
      </c>
    </row>
    <row r="62" spans="1:46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44" t="s">
        <v>87</v>
      </c>
      <c r="J62" s="58"/>
      <c r="K62" s="44" t="s">
        <v>87</v>
      </c>
      <c r="M62" s="44" t="s">
        <v>87</v>
      </c>
      <c r="N62" s="44" t="s">
        <v>87</v>
      </c>
      <c r="O62" s="44" t="s">
        <v>87</v>
      </c>
      <c r="R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/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/>
      <c r="AL62" s="44" t="s">
        <v>87</v>
      </c>
      <c r="AM62" s="44" t="s">
        <v>87</v>
      </c>
      <c r="AN62" s="44" t="s">
        <v>87</v>
      </c>
      <c r="AO62" s="44" t="s">
        <v>87</v>
      </c>
      <c r="AP62"/>
      <c r="AQ62" s="44" t="s">
        <v>87</v>
      </c>
      <c r="AR62"/>
      <c r="AS62"/>
      <c r="AT62" s="44" t="s">
        <v>87</v>
      </c>
    </row>
    <row r="63" spans="1:46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44">
        <v>5</v>
      </c>
      <c r="J63" s="58"/>
      <c r="K63" s="44">
        <v>5</v>
      </c>
      <c r="M63" s="44">
        <v>5</v>
      </c>
      <c r="N63" s="44">
        <v>5</v>
      </c>
      <c r="O63" s="44">
        <v>5</v>
      </c>
      <c r="R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/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/>
      <c r="AL63" s="44">
        <v>5</v>
      </c>
      <c r="AM63" s="44">
        <v>5</v>
      </c>
      <c r="AN63" s="44">
        <v>5</v>
      </c>
      <c r="AO63" s="44">
        <v>5</v>
      </c>
      <c r="AP63"/>
      <c r="AQ63" s="44">
        <v>5</v>
      </c>
      <c r="AR63"/>
      <c r="AS63"/>
      <c r="AT63" s="44">
        <v>5</v>
      </c>
    </row>
    <row r="64" spans="1:46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44" t="s">
        <v>87</v>
      </c>
      <c r="J64" s="58"/>
      <c r="K64" s="44" t="s">
        <v>87</v>
      </c>
      <c r="M64" s="44" t="s">
        <v>87</v>
      </c>
      <c r="N64" s="44" t="s">
        <v>87</v>
      </c>
      <c r="O64" s="44" t="s">
        <v>87</v>
      </c>
      <c r="R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/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/>
      <c r="AL64" s="44" t="s">
        <v>87</v>
      </c>
      <c r="AM64" s="44" t="s">
        <v>87</v>
      </c>
      <c r="AN64" s="44" t="s">
        <v>87</v>
      </c>
      <c r="AO64" s="44" t="s">
        <v>87</v>
      </c>
      <c r="AP64"/>
      <c r="AQ64" s="44" t="s">
        <v>87</v>
      </c>
      <c r="AR64"/>
      <c r="AS64"/>
      <c r="AT64" s="44" t="s">
        <v>87</v>
      </c>
    </row>
    <row r="65" spans="1:46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44">
        <v>50</v>
      </c>
      <c r="J65" s="58"/>
      <c r="K65" s="44">
        <v>50</v>
      </c>
      <c r="M65" s="44">
        <v>50</v>
      </c>
      <c r="N65" s="44">
        <v>50</v>
      </c>
      <c r="O65" s="44">
        <v>50</v>
      </c>
      <c r="R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/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/>
      <c r="AL65" s="44">
        <v>50</v>
      </c>
      <c r="AM65" s="44">
        <v>50</v>
      </c>
      <c r="AN65" s="44">
        <v>50</v>
      </c>
      <c r="AO65" s="44">
        <v>50</v>
      </c>
      <c r="AP65"/>
      <c r="AQ65" s="44">
        <v>50</v>
      </c>
      <c r="AR65"/>
      <c r="AS65"/>
      <c r="AT65" s="44">
        <v>50</v>
      </c>
    </row>
    <row r="66" spans="1:46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44">
        <v>1453890.8941884842</v>
      </c>
      <c r="J66" s="58"/>
      <c r="K66" s="44">
        <v>1453890.8941884842</v>
      </c>
      <c r="M66" s="44">
        <v>1453890.8941884842</v>
      </c>
      <c r="N66" s="44">
        <v>1453890.8941884842</v>
      </c>
      <c r="O66" s="44">
        <v>1453890.8941884842</v>
      </c>
      <c r="R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/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/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/>
      <c r="AQ66" s="44">
        <v>1453890.8941884842</v>
      </c>
      <c r="AR66"/>
      <c r="AS66"/>
      <c r="AT66" s="44">
        <v>1453890.8941884842</v>
      </c>
    </row>
    <row r="67" spans="1:46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44">
        <v>1.3888888888888888E-5</v>
      </c>
      <c r="J67" s="58"/>
      <c r="K67" s="44">
        <v>1.3888888888888888E-5</v>
      </c>
      <c r="M67" s="44">
        <v>1.3888888888888888E-5</v>
      </c>
      <c r="N67" s="44">
        <v>1.3888888888888888E-5</v>
      </c>
      <c r="O67" s="44">
        <v>1.3888888888888888E-5</v>
      </c>
      <c r="R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/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/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/>
      <c r="AQ67" s="44">
        <v>1.3888888888888888E-5</v>
      </c>
      <c r="AR67"/>
      <c r="AS67"/>
      <c r="AT67" s="44">
        <v>1.3888888888888888E-5</v>
      </c>
    </row>
    <row r="68" spans="1:46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44">
        <v>6.5011574074074071E-4</v>
      </c>
      <c r="J68" s="58"/>
      <c r="K68" s="44">
        <v>6.5011574074074071E-4</v>
      </c>
      <c r="M68" s="44">
        <v>6.5011574074074071E-4</v>
      </c>
      <c r="N68" s="44">
        <v>6.5011574074074071E-4</v>
      </c>
      <c r="O68" s="44">
        <v>6.5011574074074071E-4</v>
      </c>
      <c r="R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/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/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/>
      <c r="AQ68" s="44">
        <v>6.5011574074074071E-4</v>
      </c>
      <c r="AR68"/>
      <c r="AS68"/>
      <c r="AT68" s="44">
        <v>6.5011574074074071E-4</v>
      </c>
    </row>
    <row r="69" spans="1:46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44">
        <v>4.7400000000000003E-3</v>
      </c>
      <c r="J69" s="58"/>
      <c r="K69" s="44">
        <v>4.7400000000000003E-3</v>
      </c>
      <c r="M69" s="44">
        <v>4.7400000000000003E-3</v>
      </c>
      <c r="N69" s="44">
        <v>4.7400000000000003E-3</v>
      </c>
      <c r="O69" s="44">
        <v>4.7400000000000003E-3</v>
      </c>
      <c r="R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/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/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/>
      <c r="AQ69" s="44">
        <v>4.7400000000000003E-3</v>
      </c>
      <c r="AR69"/>
      <c r="AS69"/>
      <c r="AT69" s="44">
        <v>4.7400000000000003E-3</v>
      </c>
    </row>
    <row r="70" spans="1:46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44">
        <v>282528</v>
      </c>
      <c r="J70" s="58"/>
      <c r="K70" s="44">
        <v>282528</v>
      </c>
      <c r="M70" s="44">
        <v>282528</v>
      </c>
      <c r="N70" s="44">
        <v>282528</v>
      </c>
      <c r="O70" s="44">
        <v>282528</v>
      </c>
      <c r="R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/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/>
      <c r="AL70" s="44">
        <v>282528</v>
      </c>
      <c r="AM70" s="44">
        <v>282528</v>
      </c>
      <c r="AN70" s="44">
        <v>282528</v>
      </c>
      <c r="AO70" s="44">
        <v>282528</v>
      </c>
      <c r="AP70"/>
      <c r="AQ70" s="44">
        <v>282528</v>
      </c>
      <c r="AR70"/>
      <c r="AS70"/>
      <c r="AT70" s="44">
        <v>282528</v>
      </c>
    </row>
    <row r="71" spans="1:46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44">
        <v>0.56999999999999995</v>
      </c>
      <c r="J71" s="58"/>
      <c r="K71" s="44">
        <v>0.56999999999999995</v>
      </c>
      <c r="M71" s="44">
        <v>0.56999999999999995</v>
      </c>
      <c r="N71" s="44">
        <v>0.56999999999999995</v>
      </c>
      <c r="O71" s="44">
        <v>0.56999999999999995</v>
      </c>
      <c r="R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/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/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/>
      <c r="AQ71" s="44">
        <v>0.56999999999999995</v>
      </c>
      <c r="AR71"/>
      <c r="AS71"/>
      <c r="AT71" s="44">
        <v>0.56999999999999995</v>
      </c>
    </row>
    <row r="72" spans="1:46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44">
        <v>0.16</v>
      </c>
      <c r="J72" s="58"/>
      <c r="K72" s="44">
        <v>0.16</v>
      </c>
      <c r="M72" s="44">
        <v>0.16</v>
      </c>
      <c r="N72" s="44">
        <v>0.16</v>
      </c>
      <c r="O72" s="44">
        <v>0.16</v>
      </c>
      <c r="R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/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/>
      <c r="AL72" s="44">
        <v>0.16</v>
      </c>
      <c r="AM72" s="44">
        <v>0.16</v>
      </c>
      <c r="AN72" s="44">
        <v>0.16</v>
      </c>
      <c r="AO72" s="44">
        <v>0.16</v>
      </c>
      <c r="AP72"/>
      <c r="AQ72" s="44">
        <v>0.16</v>
      </c>
      <c r="AR72"/>
      <c r="AS72"/>
      <c r="AT72" s="44">
        <v>0.16</v>
      </c>
    </row>
    <row r="73" spans="1:46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44">
        <v>0</v>
      </c>
      <c r="J73" s="58"/>
      <c r="K73" s="44">
        <v>0</v>
      </c>
      <c r="M73" s="44">
        <v>0</v>
      </c>
      <c r="N73" s="44">
        <v>0</v>
      </c>
      <c r="O73" s="44">
        <v>0</v>
      </c>
      <c r="R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/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/>
      <c r="AL73" s="44">
        <v>0</v>
      </c>
      <c r="AM73" s="44">
        <v>0</v>
      </c>
      <c r="AN73" s="44">
        <v>0</v>
      </c>
      <c r="AO73" s="44">
        <v>0</v>
      </c>
      <c r="AP73"/>
      <c r="AQ73" s="44">
        <v>0</v>
      </c>
      <c r="AR73"/>
      <c r="AS73"/>
      <c r="AT73" s="44">
        <v>0</v>
      </c>
    </row>
    <row r="74" spans="1:46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44">
        <v>745476480000</v>
      </c>
      <c r="J74" s="58"/>
      <c r="K74" s="44">
        <v>745476480000</v>
      </c>
      <c r="M74" s="44">
        <v>745476480000</v>
      </c>
      <c r="N74" s="44">
        <v>745476480000</v>
      </c>
      <c r="O74" s="44">
        <v>745476480000</v>
      </c>
      <c r="R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/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/>
      <c r="AL74" s="44">
        <v>745476480000</v>
      </c>
      <c r="AM74" s="44">
        <v>745476480000</v>
      </c>
      <c r="AN74" s="44">
        <v>745476480000</v>
      </c>
      <c r="AO74" s="44">
        <v>745476480000</v>
      </c>
      <c r="AP74"/>
      <c r="AQ74" s="44">
        <v>745476480000</v>
      </c>
      <c r="AR74"/>
      <c r="AS74"/>
      <c r="AT74" s="44">
        <v>745476480000</v>
      </c>
    </row>
    <row r="75" spans="1:46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44">
        <v>100</v>
      </c>
      <c r="J75" s="58"/>
      <c r="K75" s="44">
        <v>100</v>
      </c>
      <c r="M75" s="44">
        <v>100</v>
      </c>
      <c r="N75" s="44">
        <v>100</v>
      </c>
      <c r="O75" s="44">
        <v>100</v>
      </c>
      <c r="R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/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/>
      <c r="AL75" s="44">
        <v>100</v>
      </c>
      <c r="AM75" s="44">
        <v>100</v>
      </c>
      <c r="AN75" s="44">
        <v>100</v>
      </c>
      <c r="AO75" s="44">
        <v>100</v>
      </c>
      <c r="AP75"/>
      <c r="AQ75" s="44">
        <v>100</v>
      </c>
      <c r="AR75"/>
      <c r="AS75"/>
      <c r="AT75" s="44">
        <v>100</v>
      </c>
    </row>
    <row r="76" spans="1:46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44" t="s">
        <v>86</v>
      </c>
      <c r="J76" s="58"/>
      <c r="K76" s="44" t="s">
        <v>86</v>
      </c>
      <c r="M76" s="44" t="s">
        <v>86</v>
      </c>
      <c r="N76" s="44" t="s">
        <v>86</v>
      </c>
      <c r="O76" s="44" t="s">
        <v>86</v>
      </c>
      <c r="R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/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/>
      <c r="AL76" s="44" t="s">
        <v>86</v>
      </c>
      <c r="AM76" s="44" t="s">
        <v>86</v>
      </c>
      <c r="AN76" s="44" t="s">
        <v>86</v>
      </c>
      <c r="AO76" s="44" t="s">
        <v>86</v>
      </c>
      <c r="AP76"/>
      <c r="AQ76" s="44" t="s">
        <v>86</v>
      </c>
      <c r="AR76"/>
      <c r="AS76"/>
      <c r="AT76" s="44" t="s">
        <v>86</v>
      </c>
    </row>
    <row r="77" spans="1:46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44">
        <v>21600</v>
      </c>
      <c r="J77" s="58"/>
      <c r="K77" s="44">
        <v>21600</v>
      </c>
      <c r="M77" s="44">
        <v>21600</v>
      </c>
      <c r="N77" s="44">
        <v>21600</v>
      </c>
      <c r="O77" s="44">
        <v>21600</v>
      </c>
      <c r="R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/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/>
      <c r="AL77" s="44">
        <v>21600</v>
      </c>
      <c r="AM77" s="44">
        <v>21600</v>
      </c>
      <c r="AN77" s="44">
        <v>21600</v>
      </c>
      <c r="AO77" s="44">
        <v>21600</v>
      </c>
      <c r="AP77"/>
      <c r="AQ77" s="44">
        <v>21600</v>
      </c>
      <c r="AR77"/>
      <c r="AS77"/>
      <c r="AT77" s="44">
        <v>21600</v>
      </c>
    </row>
    <row r="78" spans="1:46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44">
        <v>0.5</v>
      </c>
      <c r="J78" s="58"/>
      <c r="K78" s="44">
        <v>0.5</v>
      </c>
      <c r="M78" s="44">
        <v>0.5</v>
      </c>
      <c r="N78" s="44">
        <v>0.5</v>
      </c>
      <c r="O78" s="44">
        <v>0.5</v>
      </c>
      <c r="R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/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/>
      <c r="AL78" s="44">
        <v>0.5</v>
      </c>
      <c r="AM78" s="44">
        <v>0.5</v>
      </c>
      <c r="AN78" s="44">
        <v>0.5</v>
      </c>
      <c r="AO78" s="44">
        <v>0.5</v>
      </c>
      <c r="AP78"/>
      <c r="AQ78" s="44">
        <v>0.5</v>
      </c>
      <c r="AR78"/>
      <c r="AS78"/>
      <c r="AT78" s="44">
        <v>0.5</v>
      </c>
    </row>
    <row r="79" spans="1:46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44">
        <v>60479.999999999993</v>
      </c>
      <c r="J79" s="58"/>
      <c r="K79" s="44">
        <v>60479.999999999993</v>
      </c>
      <c r="M79" s="44">
        <v>60479.999999999993</v>
      </c>
      <c r="N79" s="44">
        <v>60479.999999999993</v>
      </c>
      <c r="O79" s="44">
        <v>60479.999999999993</v>
      </c>
      <c r="R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/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/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/>
      <c r="AQ79" s="44">
        <v>60479.999999999993</v>
      </c>
      <c r="AR79"/>
      <c r="AS79"/>
      <c r="AT79" s="44">
        <v>60479.999999999993</v>
      </c>
    </row>
    <row r="80" spans="1:46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44">
        <v>0.85</v>
      </c>
      <c r="J80" s="58"/>
      <c r="K80" s="44">
        <v>0.85</v>
      </c>
      <c r="M80" s="44">
        <v>0.85</v>
      </c>
      <c r="N80" s="44">
        <v>0.85</v>
      </c>
      <c r="O80" s="44">
        <v>0.85</v>
      </c>
      <c r="R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/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/>
      <c r="AL80" s="44">
        <v>0.85</v>
      </c>
      <c r="AM80" s="44">
        <v>0.85</v>
      </c>
      <c r="AN80" s="44">
        <v>0.85</v>
      </c>
      <c r="AO80" s="44">
        <v>0.85</v>
      </c>
      <c r="AP80"/>
      <c r="AQ80" s="44">
        <v>0.85</v>
      </c>
      <c r="AR80"/>
      <c r="AS80"/>
      <c r="AT80" s="44">
        <v>0.85</v>
      </c>
    </row>
    <row r="81" spans="1:46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44">
        <v>518400</v>
      </c>
      <c r="J81" s="58"/>
      <c r="K81" s="44">
        <v>518400</v>
      </c>
      <c r="M81" s="44">
        <v>518400</v>
      </c>
      <c r="N81" s="44">
        <v>518400</v>
      </c>
      <c r="O81" s="44">
        <v>518400</v>
      </c>
      <c r="R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/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/>
      <c r="AL81" s="44">
        <v>518400</v>
      </c>
      <c r="AM81" s="44">
        <v>518400</v>
      </c>
      <c r="AN81" s="44">
        <v>518400</v>
      </c>
      <c r="AO81" s="44">
        <v>518400</v>
      </c>
      <c r="AP81"/>
      <c r="AQ81" s="44">
        <v>518400</v>
      </c>
      <c r="AR81"/>
      <c r="AS81"/>
      <c r="AT81" s="44">
        <v>518400</v>
      </c>
    </row>
    <row r="82" spans="1:46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44">
        <v>5184000</v>
      </c>
      <c r="J82" s="58"/>
      <c r="K82" s="44">
        <v>5184000</v>
      </c>
      <c r="M82" s="44">
        <v>5184000</v>
      </c>
      <c r="N82" s="44">
        <v>5184000</v>
      </c>
      <c r="O82" s="44">
        <v>5184000</v>
      </c>
      <c r="R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/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/>
      <c r="AL82" s="44">
        <v>5184000</v>
      </c>
      <c r="AM82" s="44">
        <v>5184000</v>
      </c>
      <c r="AN82" s="44">
        <v>5184000</v>
      </c>
      <c r="AO82" s="44">
        <v>5184000</v>
      </c>
      <c r="AP82"/>
      <c r="AQ82" s="44">
        <v>5184000</v>
      </c>
      <c r="AR82"/>
      <c r="AS82"/>
      <c r="AT82" s="44">
        <v>5184000</v>
      </c>
    </row>
    <row r="83" spans="1:46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44">
        <v>50000</v>
      </c>
      <c r="J83" s="58"/>
      <c r="K83" s="44">
        <v>50000</v>
      </c>
      <c r="M83" s="44">
        <v>50000</v>
      </c>
      <c r="N83" s="44">
        <v>50000</v>
      </c>
      <c r="O83" s="44">
        <v>50000</v>
      </c>
      <c r="R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/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/>
      <c r="AL83" s="44">
        <v>50000</v>
      </c>
      <c r="AM83" s="44">
        <v>50000</v>
      </c>
      <c r="AN83" s="44">
        <v>50000</v>
      </c>
      <c r="AO83" s="44">
        <v>50000</v>
      </c>
      <c r="AP83"/>
      <c r="AQ83" s="44">
        <v>50000</v>
      </c>
      <c r="AR83"/>
      <c r="AS83"/>
      <c r="AT83" s="44">
        <v>50000</v>
      </c>
    </row>
    <row r="84" spans="1:46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44">
        <v>140000</v>
      </c>
      <c r="J84" s="58"/>
      <c r="K84" s="44">
        <v>140000</v>
      </c>
      <c r="M84" s="44">
        <v>140000</v>
      </c>
      <c r="N84" s="44">
        <v>140000</v>
      </c>
      <c r="O84" s="44">
        <v>140000</v>
      </c>
      <c r="R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/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/>
      <c r="AL84" s="44">
        <v>140000</v>
      </c>
      <c r="AM84" s="44">
        <v>140000</v>
      </c>
      <c r="AN84" s="44">
        <v>140000</v>
      </c>
      <c r="AO84" s="44">
        <v>140000</v>
      </c>
      <c r="AP84"/>
      <c r="AQ84" s="44">
        <v>140000</v>
      </c>
      <c r="AR84"/>
      <c r="AS84"/>
      <c r="AT84" s="44">
        <v>140000</v>
      </c>
    </row>
    <row r="85" spans="1:46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44">
        <v>3.6636136999999999E-2</v>
      </c>
      <c r="J85" s="58"/>
      <c r="K85" s="44">
        <v>3.6636136999999999E-2</v>
      </c>
      <c r="M85" s="44">
        <v>3.6636136999999999E-2</v>
      </c>
      <c r="N85" s="44">
        <v>3.6636136999999999E-2</v>
      </c>
      <c r="O85" s="44">
        <v>3.6636136999999999E-2</v>
      </c>
      <c r="R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/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/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/>
      <c r="AQ85" s="44">
        <v>3.6636136999999999E-2</v>
      </c>
      <c r="AR85"/>
      <c r="AS85"/>
      <c r="AT85" s="44">
        <v>3.6636136999999999E-2</v>
      </c>
    </row>
    <row r="86" spans="1:46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44">
        <v>4.4999999999999997E-3</v>
      </c>
      <c r="J86" s="58"/>
      <c r="K86" s="44">
        <v>4.4999999999999997E-3</v>
      </c>
      <c r="M86" s="44">
        <v>4.4999999999999997E-3</v>
      </c>
      <c r="N86" s="44">
        <v>4.4999999999999997E-3</v>
      </c>
      <c r="O86" s="44">
        <v>4.4999999999999997E-3</v>
      </c>
      <c r="R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/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/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/>
      <c r="AQ86" s="44">
        <v>4.4999999999999997E-3</v>
      </c>
      <c r="AR86"/>
      <c r="AS86"/>
      <c r="AT86" s="44">
        <v>4.4999999999999997E-3</v>
      </c>
    </row>
    <row r="87" spans="1:46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44">
        <v>0.05</v>
      </c>
      <c r="J87" s="58"/>
      <c r="K87" s="44">
        <v>0.05</v>
      </c>
      <c r="M87" s="44">
        <v>0.05</v>
      </c>
      <c r="N87" s="44">
        <v>0.05</v>
      </c>
      <c r="O87" s="44">
        <v>0.05</v>
      </c>
      <c r="R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/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/>
      <c r="AL87" s="44">
        <v>0.05</v>
      </c>
      <c r="AM87" s="44">
        <v>0.05</v>
      </c>
      <c r="AN87" s="44">
        <v>0.05</v>
      </c>
      <c r="AO87" s="44">
        <v>0.05</v>
      </c>
      <c r="AP87"/>
      <c r="AQ87" s="44">
        <v>0.05</v>
      </c>
      <c r="AR87"/>
      <c r="AS87"/>
      <c r="AT87" s="44">
        <v>0.05</v>
      </c>
    </row>
    <row r="88" spans="1:46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44">
        <v>6.0000000000000002E-6</v>
      </c>
      <c r="J88" s="58"/>
      <c r="K88" s="44">
        <v>6.0000000000000002E-6</v>
      </c>
      <c r="M88" s="44">
        <v>6.0000000000000002E-6</v>
      </c>
      <c r="N88" s="44">
        <v>6.0000000000000002E-6</v>
      </c>
      <c r="O88" s="44">
        <v>6.0000000000000002E-6</v>
      </c>
      <c r="R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/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/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/>
      <c r="AQ88" s="44">
        <v>6.0000000000000002E-6</v>
      </c>
      <c r="AR88"/>
      <c r="AS88"/>
      <c r="AT88" s="44">
        <v>6.0000000000000002E-6</v>
      </c>
    </row>
    <row r="89" spans="1:46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44">
        <v>1E-3</v>
      </c>
      <c r="J89" s="58"/>
      <c r="K89" s="44">
        <v>1E-3</v>
      </c>
      <c r="M89" s="44">
        <v>1E-3</v>
      </c>
      <c r="N89" s="44">
        <v>1E-3</v>
      </c>
      <c r="O89" s="44">
        <v>1E-3</v>
      </c>
      <c r="R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/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/>
      <c r="AL89" s="44">
        <v>1E-3</v>
      </c>
      <c r="AM89" s="44">
        <v>1E-3</v>
      </c>
      <c r="AN89" s="44">
        <v>1E-3</v>
      </c>
      <c r="AO89" s="44">
        <v>1E-3</v>
      </c>
      <c r="AP89"/>
      <c r="AQ89" s="44">
        <v>1E-3</v>
      </c>
      <c r="AR89"/>
      <c r="AS89"/>
      <c r="AT89" s="44">
        <v>1E-3</v>
      </c>
    </row>
    <row r="90" spans="1:46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44">
        <v>374999999.99999994</v>
      </c>
      <c r="J90" s="58"/>
      <c r="K90" s="44">
        <v>374999999.99999994</v>
      </c>
      <c r="M90" s="44">
        <v>374999999.99999994</v>
      </c>
      <c r="N90" s="44">
        <v>374999999.99999994</v>
      </c>
      <c r="O90" s="44">
        <v>374999999.99999994</v>
      </c>
      <c r="R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/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/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/>
      <c r="AQ90" s="44">
        <v>374999999.99999994</v>
      </c>
      <c r="AR90"/>
      <c r="AS90"/>
      <c r="AT90" s="44">
        <v>374999999.99999994</v>
      </c>
    </row>
    <row r="91" spans="1:46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44">
        <v>3.7037037037037038E-3</v>
      </c>
      <c r="J91" s="58"/>
      <c r="K91" s="44">
        <v>3.7037037037037038E-3</v>
      </c>
      <c r="M91" s="44">
        <v>3.7037037037037038E-3</v>
      </c>
      <c r="N91" s="44">
        <v>3.7037037037037038E-3</v>
      </c>
      <c r="O91" s="44">
        <v>3.7037037037037038E-3</v>
      </c>
      <c r="R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/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/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/>
      <c r="AQ91" s="44">
        <v>3.7037037037037038E-3</v>
      </c>
      <c r="AR91"/>
      <c r="AS91"/>
      <c r="AT91" s="44">
        <v>3.7037037037037038E-3</v>
      </c>
    </row>
    <row r="92" spans="1:46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44">
        <v>165600</v>
      </c>
      <c r="J92" s="58"/>
      <c r="K92" s="44">
        <v>165600</v>
      </c>
      <c r="M92" s="44">
        <v>165600</v>
      </c>
      <c r="N92" s="44">
        <v>165600</v>
      </c>
      <c r="O92" s="44">
        <v>165600</v>
      </c>
      <c r="R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/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/>
      <c r="AL92" s="44">
        <v>165600</v>
      </c>
      <c r="AM92" s="44">
        <v>165600</v>
      </c>
      <c r="AN92" s="44">
        <v>165600</v>
      </c>
      <c r="AO92" s="44">
        <v>165600</v>
      </c>
      <c r="AP92"/>
      <c r="AQ92" s="44">
        <v>165600</v>
      </c>
      <c r="AR92"/>
      <c r="AS92"/>
      <c r="AT92" s="44">
        <v>165600</v>
      </c>
    </row>
    <row r="93" spans="1:46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44">
        <v>20</v>
      </c>
      <c r="J93" s="58"/>
      <c r="K93" s="44">
        <v>20</v>
      </c>
      <c r="M93" s="44">
        <v>20</v>
      </c>
      <c r="N93" s="44">
        <v>20</v>
      </c>
      <c r="O93" s="44">
        <v>20</v>
      </c>
      <c r="R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/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/>
      <c r="AL93" s="44">
        <v>20</v>
      </c>
      <c r="AM93" s="44">
        <v>20</v>
      </c>
      <c r="AN93" s="44">
        <v>20</v>
      </c>
      <c r="AO93" s="44">
        <v>20</v>
      </c>
      <c r="AP93"/>
      <c r="AQ93" s="44">
        <v>20</v>
      </c>
      <c r="AR93"/>
      <c r="AS93"/>
      <c r="AT93" s="44">
        <v>20</v>
      </c>
    </row>
    <row r="94" spans="1:46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44">
        <v>1</v>
      </c>
      <c r="J94" s="58"/>
      <c r="K94" s="44">
        <v>1</v>
      </c>
      <c r="M94" s="44">
        <v>1</v>
      </c>
      <c r="N94" s="44">
        <v>1</v>
      </c>
      <c r="O94" s="44">
        <v>1</v>
      </c>
      <c r="R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/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/>
      <c r="AL94" s="44">
        <v>1</v>
      </c>
      <c r="AM94" s="44">
        <v>1</v>
      </c>
      <c r="AN94" s="44">
        <v>1</v>
      </c>
      <c r="AO94" s="44">
        <v>1</v>
      </c>
      <c r="AP94"/>
      <c r="AQ94" s="44">
        <v>1</v>
      </c>
      <c r="AR94"/>
      <c r="AS94"/>
      <c r="AT94" s="44">
        <v>1</v>
      </c>
    </row>
    <row r="95" spans="1:46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44">
        <v>21</v>
      </c>
      <c r="J95" s="58"/>
      <c r="K95" s="44">
        <v>21</v>
      </c>
      <c r="M95" s="44">
        <v>21</v>
      </c>
      <c r="N95" s="44">
        <v>21</v>
      </c>
      <c r="O95" s="44">
        <v>21</v>
      </c>
      <c r="R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/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/>
      <c r="AL95" s="44">
        <v>21</v>
      </c>
      <c r="AM95" s="44">
        <v>21</v>
      </c>
      <c r="AN95" s="44">
        <v>21</v>
      </c>
      <c r="AO95" s="44">
        <v>21</v>
      </c>
      <c r="AP95"/>
      <c r="AQ95" s="44">
        <v>21</v>
      </c>
      <c r="AR95"/>
      <c r="AS95"/>
      <c r="AT95" s="44">
        <v>21</v>
      </c>
    </row>
    <row r="96" spans="1:46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44">
        <v>0.64</v>
      </c>
      <c r="J96" s="58"/>
      <c r="K96" s="44">
        <v>0.64</v>
      </c>
      <c r="M96" s="44">
        <v>0.64</v>
      </c>
      <c r="N96" s="44">
        <v>0.64</v>
      </c>
      <c r="O96" s="44">
        <v>0.64</v>
      </c>
      <c r="R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/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/>
      <c r="AL96" s="44">
        <v>0.64</v>
      </c>
      <c r="AM96" s="44">
        <v>0.64</v>
      </c>
      <c r="AN96" s="44">
        <v>0.64</v>
      </c>
      <c r="AO96" s="44">
        <v>0.64</v>
      </c>
      <c r="AP96"/>
      <c r="AQ96" s="44">
        <v>0.64</v>
      </c>
      <c r="AR96"/>
      <c r="AS96"/>
      <c r="AT96" s="44">
        <v>0.64</v>
      </c>
    </row>
    <row r="97" spans="1:46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44">
        <v>8</v>
      </c>
      <c r="J97" s="58"/>
      <c r="K97" s="44">
        <v>8</v>
      </c>
      <c r="M97" s="44">
        <v>8</v>
      </c>
      <c r="N97" s="44">
        <v>8</v>
      </c>
      <c r="O97" s="44">
        <v>8</v>
      </c>
      <c r="R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/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/>
      <c r="AL97" s="44">
        <v>8</v>
      </c>
      <c r="AM97" s="44">
        <v>8</v>
      </c>
      <c r="AN97" s="44">
        <v>8</v>
      </c>
      <c r="AO97" s="44">
        <v>8</v>
      </c>
      <c r="AP97"/>
      <c r="AQ97" s="44">
        <v>8</v>
      </c>
      <c r="AR97"/>
      <c r="AS97"/>
      <c r="AT97" s="44">
        <v>8</v>
      </c>
    </row>
    <row r="98" spans="1:46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44">
        <v>10</v>
      </c>
      <c r="J98" s="58"/>
      <c r="K98" s="44">
        <v>10</v>
      </c>
      <c r="M98" s="44">
        <v>10</v>
      </c>
      <c r="N98" s="44">
        <v>10</v>
      </c>
      <c r="O98" s="44">
        <v>10</v>
      </c>
      <c r="R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/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/>
      <c r="AL98" s="44">
        <v>10</v>
      </c>
      <c r="AM98" s="44">
        <v>10</v>
      </c>
      <c r="AN98" s="44">
        <v>10</v>
      </c>
      <c r="AO98" s="44">
        <v>10</v>
      </c>
      <c r="AP98"/>
      <c r="AQ98" s="44">
        <v>10</v>
      </c>
      <c r="AR98"/>
      <c r="AS98"/>
      <c r="AT98" s="44">
        <v>10</v>
      </c>
    </row>
    <row r="99" spans="1:46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44">
        <v>8</v>
      </c>
      <c r="J99" s="58"/>
      <c r="K99" s="44">
        <v>8</v>
      </c>
      <c r="M99" s="44">
        <v>8</v>
      </c>
      <c r="N99" s="44">
        <v>8</v>
      </c>
      <c r="O99" s="44">
        <v>8</v>
      </c>
      <c r="R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/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/>
      <c r="AL99" s="44">
        <v>8</v>
      </c>
      <c r="AM99" s="44">
        <v>8</v>
      </c>
      <c r="AN99" s="44">
        <v>8</v>
      </c>
      <c r="AO99" s="44">
        <v>8</v>
      </c>
      <c r="AP99"/>
      <c r="AQ99" s="44">
        <v>8</v>
      </c>
      <c r="AR99"/>
      <c r="AS99"/>
      <c r="AT99" s="44">
        <v>8</v>
      </c>
    </row>
    <row r="100" spans="1:46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44">
        <v>1</v>
      </c>
      <c r="J100" s="58"/>
      <c r="K100" s="44">
        <v>1</v>
      </c>
      <c r="M100" s="44">
        <v>1</v>
      </c>
      <c r="N100" s="44">
        <v>1</v>
      </c>
      <c r="O100" s="44">
        <v>1</v>
      </c>
      <c r="R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/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/>
      <c r="AL100" s="44">
        <v>1</v>
      </c>
      <c r="AM100" s="44">
        <v>1</v>
      </c>
      <c r="AN100" s="44">
        <v>1</v>
      </c>
      <c r="AO100" s="44">
        <v>1</v>
      </c>
      <c r="AP100"/>
      <c r="AQ100" s="44">
        <v>1</v>
      </c>
      <c r="AR100"/>
      <c r="AS100"/>
      <c r="AT100" s="44">
        <v>1</v>
      </c>
    </row>
    <row r="101" spans="1:46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44">
        <v>0.5</v>
      </c>
      <c r="J101" s="58"/>
      <c r="K101" s="44">
        <v>0.5</v>
      </c>
      <c r="M101" s="44">
        <v>0.5</v>
      </c>
      <c r="N101" s="44">
        <v>0.5</v>
      </c>
      <c r="O101" s="44">
        <v>0.5</v>
      </c>
      <c r="R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/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/>
      <c r="AL101" s="44">
        <v>0.5</v>
      </c>
      <c r="AM101" s="44">
        <v>0.5</v>
      </c>
      <c r="AN101" s="44">
        <v>0.5</v>
      </c>
      <c r="AO101" s="44">
        <v>0.5</v>
      </c>
      <c r="AP101"/>
      <c r="AQ101" s="44">
        <v>0.5</v>
      </c>
      <c r="AR101"/>
      <c r="AS101"/>
      <c r="AT101" s="44">
        <v>0.5</v>
      </c>
    </row>
    <row r="102" spans="1:46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44">
        <f t="shared" ref="I102:AT102" si="1">10/0.1</f>
        <v>100</v>
      </c>
      <c r="J102" s="58"/>
      <c r="K102" s="44">
        <f t="shared" si="1"/>
        <v>100</v>
      </c>
      <c r="M102" s="44">
        <f t="shared" si="1"/>
        <v>100</v>
      </c>
      <c r="N102" s="44">
        <f t="shared" si="1"/>
        <v>100</v>
      </c>
      <c r="O102" s="44">
        <f t="shared" si="1"/>
        <v>100</v>
      </c>
      <c r="R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/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/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/>
      <c r="AQ102" s="44">
        <f t="shared" si="1"/>
        <v>100</v>
      </c>
      <c r="AR102"/>
      <c r="AS102"/>
      <c r="AT102" s="44">
        <f t="shared" si="1"/>
        <v>100</v>
      </c>
    </row>
    <row r="103" spans="1:46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44">
        <f t="shared" ref="I103:AT103" si="2">150/0.1</f>
        <v>1500</v>
      </c>
      <c r="J103" s="58"/>
      <c r="K103" s="44">
        <f t="shared" si="2"/>
        <v>1500</v>
      </c>
      <c r="M103" s="44">
        <f t="shared" si="2"/>
        <v>1500</v>
      </c>
      <c r="N103" s="44">
        <f t="shared" si="2"/>
        <v>1500</v>
      </c>
      <c r="O103" s="44">
        <f t="shared" si="2"/>
        <v>1500</v>
      </c>
      <c r="R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/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/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/>
      <c r="AQ103" s="44">
        <f t="shared" si="2"/>
        <v>1500</v>
      </c>
      <c r="AR103"/>
      <c r="AS103"/>
      <c r="AT103" s="44">
        <f t="shared" si="2"/>
        <v>1500</v>
      </c>
    </row>
    <row r="104" spans="1:46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44">
        <f t="shared" ref="I104:AT104" si="4">20/0.1</f>
        <v>200</v>
      </c>
      <c r="J104" s="58"/>
      <c r="K104" s="44">
        <f t="shared" si="4"/>
        <v>200</v>
      </c>
      <c r="M104" s="44">
        <f t="shared" si="4"/>
        <v>200</v>
      </c>
      <c r="N104" s="44">
        <f t="shared" si="4"/>
        <v>200</v>
      </c>
      <c r="O104" s="44">
        <f t="shared" si="4"/>
        <v>200</v>
      </c>
      <c r="R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/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/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/>
      <c r="AQ104" s="44">
        <f t="shared" si="4"/>
        <v>200</v>
      </c>
      <c r="AR104"/>
      <c r="AS104"/>
      <c r="AT104" s="44">
        <f t="shared" si="4"/>
        <v>200</v>
      </c>
    </row>
    <row r="105" spans="1:46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44">
        <f t="shared" ref="I105:AT105" si="5">400/0.1</f>
        <v>4000</v>
      </c>
      <c r="J105" s="58"/>
      <c r="K105" s="44">
        <f t="shared" si="5"/>
        <v>4000</v>
      </c>
      <c r="M105" s="44">
        <f t="shared" si="5"/>
        <v>4000</v>
      </c>
      <c r="N105" s="44">
        <f t="shared" si="5"/>
        <v>4000</v>
      </c>
      <c r="O105" s="44">
        <f t="shared" si="5"/>
        <v>4000</v>
      </c>
      <c r="R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/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/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/>
      <c r="AQ105" s="44">
        <f t="shared" si="5"/>
        <v>4000</v>
      </c>
      <c r="AR105"/>
      <c r="AS105"/>
      <c r="AT105" s="44">
        <f t="shared" si="5"/>
        <v>4000</v>
      </c>
    </row>
    <row r="106" spans="1:46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44">
        <f t="shared" ref="I106:AT106" si="6">10/0.1</f>
        <v>100</v>
      </c>
      <c r="J106" s="58"/>
      <c r="K106" s="44">
        <f t="shared" si="6"/>
        <v>100</v>
      </c>
      <c r="M106" s="44">
        <f t="shared" si="6"/>
        <v>100</v>
      </c>
      <c r="N106" s="44">
        <f t="shared" si="6"/>
        <v>100</v>
      </c>
      <c r="O106" s="44">
        <f t="shared" si="6"/>
        <v>100</v>
      </c>
      <c r="R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/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/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/>
      <c r="AQ106" s="44">
        <f t="shared" si="6"/>
        <v>100</v>
      </c>
      <c r="AR106"/>
      <c r="AS106"/>
      <c r="AT106" s="44">
        <f t="shared" si="6"/>
        <v>100</v>
      </c>
    </row>
    <row r="107" spans="1:46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44">
        <f t="shared" ref="I107:AT107" si="7">150/0.1</f>
        <v>1500</v>
      </c>
      <c r="J107" s="58"/>
      <c r="K107" s="44">
        <f t="shared" si="7"/>
        <v>1500</v>
      </c>
      <c r="M107" s="44">
        <f t="shared" si="7"/>
        <v>1500</v>
      </c>
      <c r="N107" s="44">
        <f t="shared" si="7"/>
        <v>1500</v>
      </c>
      <c r="O107" s="44">
        <f t="shared" si="7"/>
        <v>1500</v>
      </c>
      <c r="R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/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/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/>
      <c r="AQ107" s="44">
        <f t="shared" si="7"/>
        <v>1500</v>
      </c>
      <c r="AR107"/>
      <c r="AS107"/>
      <c r="AT107" s="44">
        <f t="shared" si="7"/>
        <v>1500</v>
      </c>
    </row>
    <row r="108" spans="1:46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44">
        <f t="shared" ref="I108:AT108" si="8">20/0.1</f>
        <v>200</v>
      </c>
      <c r="J108" s="58"/>
      <c r="K108" s="44">
        <f t="shared" si="8"/>
        <v>200</v>
      </c>
      <c r="M108" s="44">
        <f t="shared" si="8"/>
        <v>200</v>
      </c>
      <c r="N108" s="44">
        <f t="shared" si="8"/>
        <v>200</v>
      </c>
      <c r="O108" s="44">
        <f t="shared" si="8"/>
        <v>200</v>
      </c>
      <c r="R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/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/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/>
      <c r="AQ108" s="44">
        <f t="shared" si="8"/>
        <v>200</v>
      </c>
      <c r="AR108"/>
      <c r="AS108"/>
      <c r="AT108" s="44">
        <f t="shared" si="8"/>
        <v>200</v>
      </c>
    </row>
    <row r="109" spans="1:46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44">
        <f t="shared" ref="I109:AT109" si="9">400/0.1</f>
        <v>4000</v>
      </c>
      <c r="J109" s="58"/>
      <c r="K109" s="44">
        <f t="shared" si="9"/>
        <v>4000</v>
      </c>
      <c r="M109" s="44">
        <f t="shared" si="9"/>
        <v>4000</v>
      </c>
      <c r="N109" s="44">
        <f t="shared" si="9"/>
        <v>4000</v>
      </c>
      <c r="O109" s="44">
        <f t="shared" si="9"/>
        <v>4000</v>
      </c>
      <c r="R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/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/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/>
      <c r="AQ109" s="44">
        <f t="shared" si="9"/>
        <v>4000</v>
      </c>
      <c r="AR109"/>
      <c r="AS109"/>
      <c r="AT109" s="44">
        <f t="shared" si="9"/>
        <v>4000</v>
      </c>
    </row>
    <row r="110" spans="1:46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44">
        <v>100</v>
      </c>
      <c r="J110" s="58"/>
      <c r="K110" s="44">
        <v>100</v>
      </c>
      <c r="M110" s="44">
        <v>100</v>
      </c>
      <c r="N110" s="44">
        <v>100</v>
      </c>
      <c r="O110" s="44">
        <v>100</v>
      </c>
      <c r="R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/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/>
      <c r="AL110" s="44">
        <v>100</v>
      </c>
      <c r="AM110" s="44">
        <v>100</v>
      </c>
      <c r="AN110" s="44">
        <v>100</v>
      </c>
      <c r="AO110" s="44">
        <v>100</v>
      </c>
      <c r="AP110"/>
      <c r="AQ110" s="44">
        <v>100</v>
      </c>
      <c r="AR110"/>
      <c r="AS110"/>
      <c r="AT110" s="44">
        <v>100</v>
      </c>
    </row>
    <row r="111" spans="1:46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44">
        <v>280800</v>
      </c>
      <c r="J111" s="58"/>
      <c r="K111" s="44">
        <v>280800</v>
      </c>
      <c r="M111" s="44">
        <v>280800</v>
      </c>
      <c r="N111" s="44">
        <v>280800</v>
      </c>
      <c r="O111" s="44">
        <v>280800</v>
      </c>
      <c r="R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/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/>
      <c r="AL111" s="44">
        <v>280800</v>
      </c>
      <c r="AM111" s="44">
        <v>280800</v>
      </c>
      <c r="AN111" s="44">
        <v>280800</v>
      </c>
      <c r="AO111" s="44">
        <v>280800</v>
      </c>
      <c r="AP111"/>
      <c r="AQ111" s="44">
        <v>280800</v>
      </c>
      <c r="AR111"/>
      <c r="AS111"/>
      <c r="AT111" s="44">
        <v>280800</v>
      </c>
    </row>
    <row r="112" spans="1:46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44">
        <f t="shared" ref="I112:AT112" si="10">1.11 / 10</f>
        <v>0.11100000000000002</v>
      </c>
      <c r="J112" s="58"/>
      <c r="K112" s="44">
        <f t="shared" si="10"/>
        <v>0.11100000000000002</v>
      </c>
      <c r="M112" s="44">
        <f t="shared" si="10"/>
        <v>0.11100000000000002</v>
      </c>
      <c r="N112" s="44">
        <f t="shared" si="10"/>
        <v>0.11100000000000002</v>
      </c>
      <c r="O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/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/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/>
      <c r="AQ112" s="44">
        <f t="shared" si="10"/>
        <v>0.11100000000000002</v>
      </c>
      <c r="AR112"/>
      <c r="AS112"/>
      <c r="AT112" s="44">
        <f t="shared" si="10"/>
        <v>0.11100000000000002</v>
      </c>
    </row>
    <row r="113" spans="1:46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44">
        <v>100</v>
      </c>
      <c r="J113" s="58"/>
      <c r="K113" s="44">
        <v>100</v>
      </c>
      <c r="M113" s="44">
        <v>100</v>
      </c>
      <c r="N113" s="44">
        <v>100</v>
      </c>
      <c r="O113" s="44">
        <v>100</v>
      </c>
      <c r="R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/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/>
      <c r="AL113" s="44">
        <v>100</v>
      </c>
      <c r="AM113" s="44">
        <v>100</v>
      </c>
      <c r="AN113" s="44">
        <v>100</v>
      </c>
      <c r="AO113" s="44">
        <v>100</v>
      </c>
      <c r="AP113"/>
      <c r="AQ113" s="44">
        <v>100</v>
      </c>
      <c r="AR113"/>
      <c r="AS113"/>
      <c r="AT113" s="44">
        <v>100</v>
      </c>
    </row>
    <row r="114" spans="1:46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44">
        <v>459648</v>
      </c>
      <c r="J114" s="58"/>
      <c r="K114" s="44">
        <v>459648</v>
      </c>
      <c r="M114" s="44">
        <v>459648</v>
      </c>
      <c r="N114" s="44">
        <v>459648</v>
      </c>
      <c r="O114" s="44">
        <v>459648</v>
      </c>
      <c r="R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/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/>
      <c r="AL114" s="44">
        <v>459648</v>
      </c>
      <c r="AM114" s="44">
        <v>459648</v>
      </c>
      <c r="AN114" s="44">
        <v>459648</v>
      </c>
      <c r="AO114" s="44">
        <v>459648</v>
      </c>
      <c r="AP114"/>
      <c r="AQ114" s="44">
        <v>459648</v>
      </c>
      <c r="AR114"/>
      <c r="AS114"/>
      <c r="AT114" s="44">
        <v>459648</v>
      </c>
    </row>
    <row r="115" spans="1:46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44">
        <f t="shared" ref="I115:AT115" si="11">1.11/8</f>
        <v>0.13875000000000001</v>
      </c>
      <c r="J115" s="58"/>
      <c r="K115" s="44">
        <f t="shared" si="11"/>
        <v>0.13875000000000001</v>
      </c>
      <c r="M115" s="44">
        <f t="shared" si="11"/>
        <v>0.13875000000000001</v>
      </c>
      <c r="N115" s="44">
        <f t="shared" si="11"/>
        <v>0.13875000000000001</v>
      </c>
      <c r="O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/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/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/>
      <c r="AQ115" s="44">
        <f t="shared" si="11"/>
        <v>0.13875000000000001</v>
      </c>
      <c r="AR115"/>
      <c r="AS115"/>
      <c r="AT115" s="44">
        <f t="shared" si="11"/>
        <v>0.13875000000000001</v>
      </c>
    </row>
    <row r="116" spans="1:46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44">
        <v>21600</v>
      </c>
      <c r="J116" s="58"/>
      <c r="K116" s="44">
        <v>21600</v>
      </c>
      <c r="M116" s="44">
        <v>21600</v>
      </c>
      <c r="N116" s="44">
        <v>21600</v>
      </c>
      <c r="O116" s="44">
        <v>21600</v>
      </c>
      <c r="R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/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/>
      <c r="AL116" s="44">
        <v>21600</v>
      </c>
      <c r="AM116" s="44">
        <v>21600</v>
      </c>
      <c r="AN116" s="44">
        <v>21600</v>
      </c>
      <c r="AO116" s="44">
        <v>21600</v>
      </c>
      <c r="AP116"/>
      <c r="AQ116" s="44">
        <v>21600</v>
      </c>
      <c r="AR116"/>
      <c r="AS116"/>
      <c r="AT116" s="44">
        <v>21600</v>
      </c>
    </row>
    <row r="117" spans="1:46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44">
        <v>43200</v>
      </c>
      <c r="J117" s="58"/>
      <c r="K117" s="44">
        <v>43200</v>
      </c>
      <c r="M117" s="44">
        <v>43200</v>
      </c>
      <c r="N117" s="44">
        <v>43200</v>
      </c>
      <c r="O117" s="44">
        <v>43200</v>
      </c>
      <c r="R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/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/>
      <c r="AL117" s="44">
        <v>43200</v>
      </c>
      <c r="AM117" s="44">
        <v>43200</v>
      </c>
      <c r="AN117" s="44">
        <v>43200</v>
      </c>
      <c r="AO117" s="44">
        <v>43200</v>
      </c>
      <c r="AP117"/>
      <c r="AQ117" s="44">
        <v>43200</v>
      </c>
      <c r="AR117"/>
      <c r="AS117"/>
      <c r="AT117" s="44">
        <v>43200</v>
      </c>
    </row>
    <row r="118" spans="1:46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44">
        <v>0.8</v>
      </c>
      <c r="J118" s="58"/>
      <c r="K118" s="44">
        <v>0.8</v>
      </c>
      <c r="M118" s="44">
        <v>0.8</v>
      </c>
      <c r="N118" s="44">
        <v>0.8</v>
      </c>
      <c r="O118" s="44">
        <v>0.8</v>
      </c>
      <c r="R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/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/>
      <c r="AL118" s="44">
        <v>0.8</v>
      </c>
      <c r="AM118" s="44">
        <v>0.8</v>
      </c>
      <c r="AN118" s="44">
        <v>0.8</v>
      </c>
      <c r="AO118" s="44">
        <v>0.8</v>
      </c>
      <c r="AP118"/>
      <c r="AQ118" s="44">
        <v>0.8</v>
      </c>
      <c r="AR118"/>
      <c r="AS118"/>
      <c r="AT118" s="44">
        <v>0.8</v>
      </c>
    </row>
    <row r="119" spans="1:46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44">
        <v>2.0833333333333335E-4</v>
      </c>
      <c r="J119" s="58"/>
      <c r="K119" s="44">
        <v>2.0833333333333335E-4</v>
      </c>
      <c r="M119" s="44">
        <v>2.0833333333333335E-4</v>
      </c>
      <c r="N119" s="44">
        <v>2.0833333333333335E-4</v>
      </c>
      <c r="O119" s="44">
        <v>2.0833333333333335E-4</v>
      </c>
      <c r="R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/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/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/>
      <c r="AQ119" s="44">
        <v>2.0833333333333335E-4</v>
      </c>
      <c r="AR119"/>
      <c r="AS119"/>
      <c r="AT119" s="44">
        <v>2.0833333333333335E-4</v>
      </c>
    </row>
    <row r="120" spans="1:46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44">
        <v>5.7899999999999998E-7</v>
      </c>
      <c r="J120" s="58"/>
      <c r="K120" s="44">
        <v>5.7899999999999998E-7</v>
      </c>
      <c r="M120" s="44">
        <v>5.7899999999999998E-7</v>
      </c>
      <c r="N120" s="44">
        <v>5.7899999999999998E-7</v>
      </c>
      <c r="O120" s="44">
        <v>5.7899999999999998E-7</v>
      </c>
      <c r="R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/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/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/>
      <c r="AQ120" s="44">
        <v>5.7899999999999998E-7</v>
      </c>
      <c r="AR120"/>
      <c r="AS120"/>
      <c r="AT120" s="44">
        <v>5.7899999999999998E-7</v>
      </c>
    </row>
    <row r="121" spans="1:46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44">
        <v>2.0833333333333335E-4</v>
      </c>
      <c r="J121" s="58"/>
      <c r="K121" s="44">
        <v>2.0833333333333335E-4</v>
      </c>
      <c r="M121" s="44">
        <v>2.0833333333333335E-4</v>
      </c>
      <c r="N121" s="44">
        <v>2.0833333333333335E-4</v>
      </c>
      <c r="O121" s="44">
        <v>2.0833333333333335E-4</v>
      </c>
      <c r="R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/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/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/>
      <c r="AQ121" s="44">
        <v>2.0833333333333335E-4</v>
      </c>
      <c r="AR121"/>
      <c r="AS121"/>
      <c r="AT121" s="44">
        <v>2.0833333333333335E-4</v>
      </c>
    </row>
    <row r="122" spans="1:46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44">
        <v>0</v>
      </c>
      <c r="J123" s="58"/>
      <c r="K123" s="44">
        <v>0</v>
      </c>
      <c r="M123" s="44">
        <v>0</v>
      </c>
      <c r="N123" s="44">
        <v>0</v>
      </c>
      <c r="O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/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/>
      <c r="AL123" s="44">
        <v>0</v>
      </c>
      <c r="AM123" s="44">
        <v>0</v>
      </c>
      <c r="AN123" s="44">
        <v>0</v>
      </c>
      <c r="AO123" s="44">
        <v>0</v>
      </c>
      <c r="AP123"/>
      <c r="AQ123" s="44">
        <v>0</v>
      </c>
      <c r="AR123"/>
      <c r="AS123"/>
      <c r="AT123" s="44">
        <v>0</v>
      </c>
    </row>
    <row r="124" spans="1:46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44">
        <v>0</v>
      </c>
      <c r="J124" s="58"/>
      <c r="K124" s="44">
        <v>0</v>
      </c>
      <c r="M124" s="44">
        <v>5.9999999999999997E-7</v>
      </c>
      <c r="N124" s="44">
        <v>5.9999999999999997E-7</v>
      </c>
      <c r="O124" s="44">
        <v>5.9999999999999997E-7</v>
      </c>
      <c r="R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/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/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/>
      <c r="AQ124" s="44">
        <v>5.9999999999999997E-7</v>
      </c>
      <c r="AR124"/>
      <c r="AS124"/>
      <c r="AT124" s="44">
        <v>9.9999999999999995E-8</v>
      </c>
    </row>
    <row r="125" spans="1:46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44">
        <f t="shared" ref="I125:AT125" si="12">1000 * 0.000001 / 12</f>
        <v>8.3333333333333331E-5</v>
      </c>
      <c r="J125" s="58"/>
      <c r="K125" s="44">
        <f t="shared" si="12"/>
        <v>8.3333333333333331E-5</v>
      </c>
      <c r="M125" s="44">
        <f t="shared" si="12"/>
        <v>8.3333333333333331E-5</v>
      </c>
      <c r="N125" s="44">
        <f t="shared" si="12"/>
        <v>8.3333333333333331E-5</v>
      </c>
      <c r="O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/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/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/>
      <c r="AQ125" s="44">
        <f t="shared" si="12"/>
        <v>8.3333333333333331E-5</v>
      </c>
      <c r="AR125"/>
      <c r="AS125"/>
      <c r="AT125" s="44">
        <f t="shared" si="12"/>
        <v>8.3333333333333331E-5</v>
      </c>
    </row>
    <row r="126" spans="1:46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44" t="s">
        <v>86</v>
      </c>
      <c r="J126" s="58"/>
      <c r="K126" s="44" t="s">
        <v>86</v>
      </c>
      <c r="M126" s="44" t="s">
        <v>86</v>
      </c>
      <c r="N126" s="44" t="s">
        <v>86</v>
      </c>
      <c r="O126" s="44" t="s">
        <v>86</v>
      </c>
      <c r="R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/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/>
      <c r="AL126" s="44" t="s">
        <v>86</v>
      </c>
      <c r="AM126" s="44" t="s">
        <v>86</v>
      </c>
      <c r="AN126" s="44" t="s">
        <v>86</v>
      </c>
      <c r="AO126" s="44" t="s">
        <v>86</v>
      </c>
      <c r="AP126"/>
      <c r="AQ126" s="44" t="s">
        <v>86</v>
      </c>
      <c r="AR126"/>
      <c r="AS126"/>
      <c r="AT126" s="44" t="s">
        <v>86</v>
      </c>
    </row>
    <row r="127" spans="1:46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44">
        <v>5.0000000000000001E-4</v>
      </c>
      <c r="J127" s="58"/>
      <c r="K127" s="44">
        <v>5.0000000000000001E-4</v>
      </c>
      <c r="M127" s="44">
        <v>5.0000000000000001E-4</v>
      </c>
      <c r="N127" s="44">
        <v>5.0000000000000001E-4</v>
      </c>
      <c r="O127" s="44">
        <v>5.0000000000000001E-4</v>
      </c>
      <c r="R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/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/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/>
      <c r="AQ127" s="44">
        <v>5.0000000000000001E-4</v>
      </c>
      <c r="AR127"/>
      <c r="AS127"/>
      <c r="AT127" s="44">
        <v>5.0000000000000001E-4</v>
      </c>
    </row>
    <row r="128" spans="1:46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44">
        <v>2.9999999999999998E-14</v>
      </c>
      <c r="J128" s="58"/>
      <c r="K128" s="44">
        <f>0.00000000000003/2</f>
        <v>1.4999999999999999E-14</v>
      </c>
      <c r="L128" s="1" t="s">
        <v>601</v>
      </c>
      <c r="M128" s="44">
        <v>4.9999999999999999E-13</v>
      </c>
      <c r="N128" s="44">
        <v>4.9999999999999999E-13</v>
      </c>
      <c r="O128" s="44">
        <v>4.9999999999999999E-13</v>
      </c>
      <c r="R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/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/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/>
      <c r="AQ128" s="44">
        <v>4.9999999999999999E-13</v>
      </c>
      <c r="AR128"/>
      <c r="AS128"/>
      <c r="AT128" s="44">
        <v>4.9999999999999999E-13</v>
      </c>
    </row>
    <row r="129" spans="1:46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44">
        <v>10</v>
      </c>
      <c r="J129" s="58"/>
      <c r="K129" s="44">
        <v>10</v>
      </c>
      <c r="M129" s="44">
        <v>10</v>
      </c>
      <c r="N129" s="44">
        <v>10</v>
      </c>
      <c r="O129" s="44">
        <v>10</v>
      </c>
      <c r="R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/>
      <c r="AD129" s="44">
        <v>10</v>
      </c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/>
      <c r="AL129" s="44">
        <v>10</v>
      </c>
      <c r="AM129" s="44">
        <v>10</v>
      </c>
      <c r="AN129" s="44">
        <v>10</v>
      </c>
      <c r="AO129" s="44">
        <v>10</v>
      </c>
      <c r="AP129"/>
      <c r="AQ129" s="44">
        <v>10</v>
      </c>
      <c r="AR129"/>
      <c r="AS129"/>
      <c r="AT129" s="44">
        <v>10</v>
      </c>
    </row>
    <row r="130" spans="1:46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44">
        <v>-0.04</v>
      </c>
      <c r="J130" s="58"/>
      <c r="K130" s="44">
        <v>-0.04</v>
      </c>
      <c r="M130" s="44">
        <v>-0.04</v>
      </c>
      <c r="N130" s="44">
        <v>-0.04</v>
      </c>
      <c r="O130" s="44">
        <v>-0.04</v>
      </c>
      <c r="R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/>
      <c r="AD130" s="44">
        <v>-0.04</v>
      </c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/>
      <c r="AL130" s="44">
        <v>-0.04</v>
      </c>
      <c r="AM130" s="44">
        <v>-0.04</v>
      </c>
      <c r="AN130" s="44">
        <v>-0.04</v>
      </c>
      <c r="AO130" s="44">
        <v>-0.04</v>
      </c>
      <c r="AP130"/>
      <c r="AQ130" s="44">
        <v>-0.04</v>
      </c>
      <c r="AR130"/>
      <c r="AS130"/>
      <c r="AT130" s="44">
        <v>-0.04</v>
      </c>
    </row>
    <row r="131" spans="1:46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44">
        <v>2.9</v>
      </c>
      <c r="J131" s="58"/>
      <c r="K131" s="44">
        <v>2.9</v>
      </c>
      <c r="M131" s="44">
        <v>2.9</v>
      </c>
      <c r="N131" s="44">
        <v>2.9</v>
      </c>
      <c r="O131" s="44">
        <v>2.9</v>
      </c>
      <c r="R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/>
      <c r="AD131" s="44">
        <v>2.9</v>
      </c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/>
      <c r="AL131" s="44">
        <v>2.9</v>
      </c>
      <c r="AM131" s="44">
        <v>2.9</v>
      </c>
      <c r="AN131" s="44">
        <v>2.9</v>
      </c>
      <c r="AO131" s="44">
        <v>2.9</v>
      </c>
      <c r="AP131"/>
      <c r="AQ131" s="44">
        <v>2.9</v>
      </c>
      <c r="AR131"/>
      <c r="AS131"/>
      <c r="AT131" s="44">
        <v>2.9</v>
      </c>
    </row>
    <row r="132" spans="1:46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44">
        <v>1</v>
      </c>
      <c r="J132" s="58"/>
      <c r="K132" s="44">
        <v>1</v>
      </c>
      <c r="M132" s="44">
        <v>1</v>
      </c>
      <c r="N132" s="44">
        <v>1</v>
      </c>
      <c r="O132" s="44">
        <v>1</v>
      </c>
      <c r="R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/>
      <c r="AD132" s="44">
        <v>1</v>
      </c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/>
      <c r="AL132" s="44">
        <v>1</v>
      </c>
      <c r="AM132" s="44">
        <v>1</v>
      </c>
      <c r="AN132" s="44">
        <v>1</v>
      </c>
      <c r="AO132" s="44">
        <v>1</v>
      </c>
      <c r="AP132"/>
      <c r="AQ132" s="44">
        <v>1</v>
      </c>
      <c r="AR132"/>
      <c r="AS132"/>
      <c r="AT132" s="44">
        <v>1</v>
      </c>
    </row>
    <row r="133" spans="1:46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44">
        <v>1.9999999999999999E-7</v>
      </c>
      <c r="J133" s="58"/>
      <c r="K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55">
        <v>0</v>
      </c>
      <c r="J134" s="60"/>
      <c r="K134" s="55">
        <v>0</v>
      </c>
      <c r="M134" s="44">
        <v>1.9999999999999999E-7</v>
      </c>
      <c r="N134" s="44">
        <v>1.9999999999999999E-7</v>
      </c>
      <c r="O134" s="44">
        <v>1.9999999999999999E-7</v>
      </c>
      <c r="R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/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/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/>
      <c r="AQ134" s="44">
        <v>1.9999999999999999E-7</v>
      </c>
      <c r="AR134"/>
      <c r="AS134"/>
      <c r="AT134" s="44">
        <v>1.9999999999999999E-7</v>
      </c>
    </row>
    <row r="135" spans="1:46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44">
        <v>10</v>
      </c>
      <c r="J135" s="58"/>
      <c r="K135" s="44">
        <v>10</v>
      </c>
      <c r="M135" s="44">
        <v>10</v>
      </c>
      <c r="N135" s="44">
        <v>10</v>
      </c>
      <c r="O135" s="44">
        <v>10</v>
      </c>
      <c r="R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/>
      <c r="AD135" s="44">
        <v>10</v>
      </c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/>
      <c r="AL135" s="44">
        <v>10</v>
      </c>
      <c r="AM135" s="44">
        <v>10</v>
      </c>
      <c r="AN135" s="44">
        <v>10</v>
      </c>
      <c r="AO135" s="44">
        <v>10</v>
      </c>
      <c r="AP135"/>
      <c r="AQ135" s="44">
        <v>10</v>
      </c>
      <c r="AR135"/>
      <c r="AS135"/>
      <c r="AT135" s="44">
        <v>10</v>
      </c>
    </row>
    <row r="136" spans="1:46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44">
        <v>-0.04</v>
      </c>
      <c r="J136" s="58"/>
      <c r="K136" s="44">
        <v>-0.04</v>
      </c>
      <c r="M136" s="44">
        <v>-0.04</v>
      </c>
      <c r="N136" s="44">
        <v>-0.04</v>
      </c>
      <c r="O136" s="44">
        <v>-0.04</v>
      </c>
      <c r="R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/>
      <c r="AD136" s="44">
        <v>-0.04</v>
      </c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/>
      <c r="AL136" s="44">
        <v>-0.04</v>
      </c>
      <c r="AM136" s="44">
        <v>-0.04</v>
      </c>
      <c r="AN136" s="44">
        <v>-0.04</v>
      </c>
      <c r="AO136" s="44">
        <v>-0.04</v>
      </c>
      <c r="AP136"/>
      <c r="AQ136" s="44">
        <v>-0.04</v>
      </c>
      <c r="AR136"/>
      <c r="AS136"/>
      <c r="AT136" s="44">
        <v>-0.04</v>
      </c>
    </row>
    <row r="137" spans="1:46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44">
        <v>2.9</v>
      </c>
      <c r="J137" s="58"/>
      <c r="K137" s="44">
        <v>2.9</v>
      </c>
      <c r="M137" s="44">
        <v>2.9</v>
      </c>
      <c r="N137" s="44">
        <v>2.9</v>
      </c>
      <c r="O137" s="44">
        <v>2.9</v>
      </c>
      <c r="R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/>
      <c r="AD137" s="44">
        <v>2.9</v>
      </c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/>
      <c r="AL137" s="44">
        <v>2.9</v>
      </c>
      <c r="AM137" s="44">
        <v>2.9</v>
      </c>
      <c r="AN137" s="44">
        <v>2.9</v>
      </c>
      <c r="AO137" s="44">
        <v>2.9</v>
      </c>
      <c r="AP137"/>
      <c r="AQ137" s="44">
        <v>2.9</v>
      </c>
      <c r="AR137"/>
      <c r="AS137"/>
      <c r="AT137" s="44">
        <v>2.9</v>
      </c>
    </row>
    <row r="138" spans="1:46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44">
        <v>1</v>
      </c>
      <c r="J138" s="58"/>
      <c r="K138" s="44">
        <v>1</v>
      </c>
      <c r="M138" s="44">
        <v>1</v>
      </c>
      <c r="N138" s="44">
        <v>1</v>
      </c>
      <c r="O138" s="44">
        <v>1</v>
      </c>
      <c r="R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/>
      <c r="AD138" s="44">
        <v>1</v>
      </c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/>
      <c r="AL138" s="44">
        <v>1</v>
      </c>
      <c r="AM138" s="44">
        <v>1</v>
      </c>
      <c r="AN138" s="44">
        <v>1</v>
      </c>
      <c r="AO138" s="44">
        <v>1</v>
      </c>
      <c r="AP138"/>
      <c r="AQ138" s="44">
        <v>1</v>
      </c>
      <c r="AR138"/>
      <c r="AS138"/>
      <c r="AT138" s="44">
        <v>1</v>
      </c>
    </row>
    <row r="139" spans="1:46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44">
        <v>0</v>
      </c>
      <c r="J139" s="58"/>
      <c r="K139" s="44">
        <v>0</v>
      </c>
      <c r="M139" s="44">
        <v>0</v>
      </c>
      <c r="N139" s="44">
        <v>0</v>
      </c>
      <c r="O139" s="44">
        <v>0</v>
      </c>
      <c r="R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/>
      <c r="AD139" s="44">
        <v>0</v>
      </c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/>
      <c r="AL139" s="44">
        <v>0</v>
      </c>
      <c r="AM139" s="44">
        <v>0</v>
      </c>
      <c r="AN139" s="44">
        <v>0</v>
      </c>
      <c r="AO139" s="44">
        <v>0</v>
      </c>
      <c r="AP139"/>
      <c r="AQ139" s="44">
        <v>0</v>
      </c>
      <c r="AR139"/>
      <c r="AS139"/>
      <c r="AT139" s="44">
        <v>0</v>
      </c>
    </row>
    <row r="140" spans="1:46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44">
        <v>5.0000000000000004E-6</v>
      </c>
      <c r="J140" s="58"/>
      <c r="K140" s="44">
        <v>5.0000000000000004E-6</v>
      </c>
      <c r="M140" s="44">
        <v>5.0000000000000004E-6</v>
      </c>
      <c r="N140" s="44">
        <v>5.0000000000000004E-6</v>
      </c>
      <c r="O140" s="44">
        <v>5.0000000000000004E-6</v>
      </c>
      <c r="R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/>
      <c r="AD140" s="44">
        <v>5.0000000000000004E-6</v>
      </c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/>
      <c r="AL140" s="44">
        <v>5.0000000000000004E-6</v>
      </c>
      <c r="AM140" s="44">
        <v>5.0000000000000004E-6</v>
      </c>
      <c r="AN140" s="44">
        <v>5.0000000000000004E-6</v>
      </c>
      <c r="AO140" s="44">
        <v>5.0000000000000004E-6</v>
      </c>
      <c r="AP140"/>
      <c r="AQ140" s="44">
        <v>5.0000000000000004E-6</v>
      </c>
      <c r="AR140"/>
      <c r="AS140"/>
      <c r="AT140" s="44">
        <v>5.0000000000000004E-6</v>
      </c>
    </row>
    <row r="141" spans="1:46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44">
        <v>0</v>
      </c>
      <c r="J141" s="58"/>
      <c r="K141" s="44">
        <v>0</v>
      </c>
      <c r="M141" s="44">
        <v>0</v>
      </c>
      <c r="N141" s="44">
        <v>0</v>
      </c>
      <c r="O141" s="44">
        <v>0</v>
      </c>
      <c r="R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/>
      <c r="AD141" s="44">
        <v>0</v>
      </c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/>
      <c r="AL141" s="44">
        <v>0</v>
      </c>
      <c r="AM141" s="44">
        <v>0</v>
      </c>
      <c r="AN141" s="44">
        <v>0</v>
      </c>
      <c r="AO141" s="44">
        <v>0</v>
      </c>
      <c r="AP141"/>
      <c r="AQ141" s="44">
        <v>0</v>
      </c>
      <c r="AR141"/>
      <c r="AS141"/>
      <c r="AT141" s="44">
        <v>0</v>
      </c>
    </row>
    <row r="142" spans="1:46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44">
        <v>2E-3</v>
      </c>
      <c r="J142" s="58"/>
      <c r="K142" s="44">
        <v>2E-3</v>
      </c>
      <c r="M142" s="44">
        <v>2E-3</v>
      </c>
      <c r="N142" s="44">
        <v>2E-3</v>
      </c>
      <c r="O142" s="44">
        <v>2E-3</v>
      </c>
      <c r="R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/>
      <c r="AD142" s="44">
        <v>2E-3</v>
      </c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/>
      <c r="AL142" s="44">
        <v>2E-3</v>
      </c>
      <c r="AM142" s="44">
        <v>2E-3</v>
      </c>
      <c r="AN142" s="44">
        <v>2E-3</v>
      </c>
      <c r="AO142" s="44">
        <v>2E-3</v>
      </c>
      <c r="AP142"/>
      <c r="AQ142" s="44">
        <v>2E-3</v>
      </c>
      <c r="AR142"/>
      <c r="AS142"/>
      <c r="AT142" s="44">
        <v>2E-3</v>
      </c>
    </row>
    <row r="143" spans="1:46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44">
        <v>3.9999999999999998E-6</v>
      </c>
      <c r="J143" s="58"/>
      <c r="K143" s="44">
        <v>3.9999999999999998E-6</v>
      </c>
      <c r="M143" s="44">
        <v>3.9999999999999998E-6</v>
      </c>
      <c r="N143" s="44">
        <v>3.9999999999999998E-6</v>
      </c>
      <c r="O143" s="44">
        <v>3.9999999999999998E-6</v>
      </c>
      <c r="R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/>
      <c r="AD143" s="44">
        <v>3.9999999999999998E-6</v>
      </c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/>
      <c r="AL143" s="44">
        <v>3.9999999999999998E-6</v>
      </c>
      <c r="AM143" s="44">
        <v>3.9999999999999998E-6</v>
      </c>
      <c r="AN143" s="44">
        <v>3.9999999999999998E-6</v>
      </c>
      <c r="AO143" s="44">
        <v>3.9999999999999998E-6</v>
      </c>
      <c r="AP143"/>
      <c r="AQ143" s="44">
        <v>3.9999999999999998E-6</v>
      </c>
      <c r="AR143"/>
      <c r="AS143"/>
      <c r="AT143" s="44">
        <v>3.9999999999999998E-6</v>
      </c>
    </row>
    <row r="144" spans="1:46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44">
        <v>3.7699999999999999E-10</v>
      </c>
      <c r="J144" s="58"/>
      <c r="K144" s="44">
        <v>3.7699999999999999E-10</v>
      </c>
      <c r="M144" s="44">
        <v>3.7699999999999999E-10</v>
      </c>
      <c r="N144" s="44">
        <v>3.7699999999999999E-10</v>
      </c>
      <c r="O144" s="44">
        <v>3.7699999999999999E-10</v>
      </c>
      <c r="R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/>
      <c r="AD144" s="44">
        <v>3.7699999999999999E-10</v>
      </c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/>
      <c r="AL144" s="44">
        <v>3.7699999999999999E-10</v>
      </c>
      <c r="AM144" s="44">
        <v>3.7699999999999999E-10</v>
      </c>
      <c r="AN144" s="44">
        <v>3.7699999999999999E-10</v>
      </c>
      <c r="AO144" s="44">
        <v>3.7699999999999999E-10</v>
      </c>
      <c r="AP144"/>
      <c r="AQ144" s="44">
        <v>3.7699999999999999E-10</v>
      </c>
      <c r="AR144"/>
      <c r="AS144"/>
      <c r="AT144" s="44">
        <v>3.7699999999999999E-10</v>
      </c>
    </row>
    <row r="145" spans="1:46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44">
        <v>20</v>
      </c>
      <c r="J145" s="58"/>
      <c r="K145" s="44">
        <v>20</v>
      </c>
      <c r="M145" s="44">
        <v>20</v>
      </c>
      <c r="N145" s="44">
        <v>20</v>
      </c>
      <c r="O145" s="44">
        <v>20</v>
      </c>
      <c r="R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/>
      <c r="AD145" s="44">
        <v>20</v>
      </c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/>
      <c r="AL145" s="44">
        <v>20</v>
      </c>
      <c r="AM145" s="44">
        <v>20</v>
      </c>
      <c r="AN145" s="44">
        <v>20</v>
      </c>
      <c r="AO145" s="44">
        <v>20</v>
      </c>
      <c r="AP145"/>
      <c r="AQ145" s="44">
        <v>20</v>
      </c>
      <c r="AR145"/>
      <c r="AS145"/>
      <c r="AT145" s="44">
        <v>20</v>
      </c>
    </row>
    <row r="146" spans="1:46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44">
        <v>-0.06</v>
      </c>
      <c r="J146" s="58"/>
      <c r="K146" s="44">
        <v>-0.06</v>
      </c>
      <c r="M146" s="44">
        <v>-0.06</v>
      </c>
      <c r="N146" s="44">
        <v>-0.06</v>
      </c>
      <c r="O146" s="44">
        <v>-0.06</v>
      </c>
      <c r="R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/>
      <c r="AD146" s="44">
        <v>-0.06</v>
      </c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/>
      <c r="AL146" s="44">
        <v>-0.06</v>
      </c>
      <c r="AM146" s="44">
        <v>-0.06</v>
      </c>
      <c r="AN146" s="44">
        <v>-0.06</v>
      </c>
      <c r="AO146" s="44">
        <v>-0.06</v>
      </c>
      <c r="AP146"/>
      <c r="AQ146" s="44">
        <v>-0.06</v>
      </c>
      <c r="AR146"/>
      <c r="AS146"/>
      <c r="AT146" s="44">
        <v>-0.06</v>
      </c>
    </row>
    <row r="147" spans="1:46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44">
        <v>0.89100000000000001</v>
      </c>
      <c r="J147" s="58"/>
      <c r="K147" s="44">
        <v>0.89100000000000001</v>
      </c>
      <c r="M147" s="44">
        <v>0.89100000000000001</v>
      </c>
      <c r="N147" s="44">
        <v>0.89100000000000001</v>
      </c>
      <c r="O147" s="44">
        <v>0.89100000000000001</v>
      </c>
      <c r="R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/>
      <c r="AD147" s="44">
        <v>0.89100000000000001</v>
      </c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/>
      <c r="AL147" s="44">
        <v>0.89100000000000001</v>
      </c>
      <c r="AM147" s="44">
        <v>0.89100000000000001</v>
      </c>
      <c r="AN147" s="44">
        <v>0.89100000000000001</v>
      </c>
      <c r="AO147" s="44">
        <v>0.89100000000000001</v>
      </c>
      <c r="AP147"/>
      <c r="AQ147" s="44">
        <v>0.89100000000000001</v>
      </c>
      <c r="AR147"/>
      <c r="AS147"/>
      <c r="AT147" s="44">
        <v>0.89100000000000001</v>
      </c>
    </row>
    <row r="148" spans="1:46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44">
        <v>1</v>
      </c>
      <c r="J148" s="58"/>
      <c r="K148" s="44">
        <v>1</v>
      </c>
      <c r="M148" s="44">
        <v>1</v>
      </c>
      <c r="N148" s="44">
        <v>1</v>
      </c>
      <c r="O148" s="44">
        <v>1</v>
      </c>
      <c r="R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/>
      <c r="AD148" s="44">
        <v>1</v>
      </c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/>
      <c r="AL148" s="44">
        <v>1</v>
      </c>
      <c r="AM148" s="44">
        <v>1</v>
      </c>
      <c r="AN148" s="44">
        <v>1</v>
      </c>
      <c r="AO148" s="44">
        <v>1</v>
      </c>
      <c r="AP148"/>
      <c r="AQ148" s="44">
        <v>1</v>
      </c>
      <c r="AR148"/>
      <c r="AS148"/>
      <c r="AT148" s="44">
        <v>1</v>
      </c>
    </row>
    <row r="149" spans="1:46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44">
        <v>4.0000000000000003E-5</v>
      </c>
      <c r="J149" s="58"/>
      <c r="K149" s="44">
        <v>4.0000000000000003E-5</v>
      </c>
      <c r="M149" s="44">
        <v>4.0000000000000003E-5</v>
      </c>
      <c r="N149" s="44">
        <v>4.0000000000000003E-5</v>
      </c>
      <c r="O149" s="44">
        <v>4.0000000000000003E-5</v>
      </c>
      <c r="R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/>
      <c r="AD149" s="44">
        <v>4.0000000000000003E-5</v>
      </c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/>
      <c r="AL149" s="44">
        <v>4.0000000000000003E-5</v>
      </c>
      <c r="AM149" s="44">
        <v>4.0000000000000003E-5</v>
      </c>
      <c r="AN149" s="44">
        <v>4.0000000000000003E-5</v>
      </c>
      <c r="AO149" s="44">
        <v>4.0000000000000003E-5</v>
      </c>
      <c r="AP149"/>
      <c r="AQ149" s="44">
        <v>4.0000000000000003E-5</v>
      </c>
      <c r="AR149"/>
      <c r="AS149"/>
      <c r="AT149" s="44">
        <v>4.0000000000000003E-5</v>
      </c>
    </row>
    <row r="150" spans="1:46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44">
        <v>5.8333333333333335E-9</v>
      </c>
      <c r="J150" s="58"/>
      <c r="K150" s="44">
        <v>5.8333333333333335E-9</v>
      </c>
      <c r="M150" s="44">
        <v>5.8333333333333335E-9</v>
      </c>
      <c r="N150" s="44">
        <v>5.8333333333333335E-9</v>
      </c>
      <c r="O150" s="44">
        <v>5.8333333333333335E-9</v>
      </c>
      <c r="R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/>
      <c r="AD150" s="44">
        <v>5.8333333333333335E-9</v>
      </c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/>
      <c r="AL150" s="44">
        <v>5.8333333333333335E-9</v>
      </c>
      <c r="AM150" s="44">
        <v>5.8333333333333335E-9</v>
      </c>
      <c r="AN150" s="44">
        <v>5.8333333333333335E-9</v>
      </c>
      <c r="AO150" s="44">
        <v>5.8333333333333335E-9</v>
      </c>
      <c r="AP150"/>
      <c r="AQ150" s="44">
        <v>5.8333333333333335E-9</v>
      </c>
      <c r="AR150"/>
      <c r="AS150"/>
      <c r="AT150" s="44">
        <v>5.8333333333333335E-9</v>
      </c>
    </row>
    <row r="151" spans="1:46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44">
        <v>20</v>
      </c>
      <c r="J151" s="58"/>
      <c r="K151" s="44">
        <v>20</v>
      </c>
      <c r="M151" s="44">
        <v>20</v>
      </c>
      <c r="N151" s="44">
        <v>20</v>
      </c>
      <c r="O151" s="44">
        <v>20</v>
      </c>
      <c r="R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/>
      <c r="AD151" s="44">
        <v>20</v>
      </c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/>
      <c r="AL151" s="44">
        <v>20</v>
      </c>
      <c r="AM151" s="44">
        <v>20</v>
      </c>
      <c r="AN151" s="44">
        <v>20</v>
      </c>
      <c r="AO151" s="44">
        <v>20</v>
      </c>
      <c r="AP151"/>
      <c r="AQ151" s="44">
        <v>20</v>
      </c>
      <c r="AR151"/>
      <c r="AS151"/>
      <c r="AT151" s="44">
        <v>20</v>
      </c>
    </row>
    <row r="152" spans="1:46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44">
        <v>-0.06</v>
      </c>
      <c r="J152" s="58"/>
      <c r="K152" s="44">
        <v>-0.06</v>
      </c>
      <c r="M152" s="44">
        <v>-0.06</v>
      </c>
      <c r="N152" s="44">
        <v>-0.06</v>
      </c>
      <c r="O152" s="44">
        <v>-0.06</v>
      </c>
      <c r="R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/>
      <c r="AD152" s="44">
        <v>-0.06</v>
      </c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/>
      <c r="AL152" s="44">
        <v>-0.06</v>
      </c>
      <c r="AM152" s="44">
        <v>-0.06</v>
      </c>
      <c r="AN152" s="44">
        <v>-0.06</v>
      </c>
      <c r="AO152" s="44">
        <v>-0.06</v>
      </c>
      <c r="AP152"/>
      <c r="AQ152" s="44">
        <v>-0.06</v>
      </c>
      <c r="AR152"/>
      <c r="AS152"/>
      <c r="AT152" s="44">
        <v>-0.06</v>
      </c>
    </row>
    <row r="153" spans="1:46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44">
        <v>0.89100000000000001</v>
      </c>
      <c r="J153" s="58"/>
      <c r="K153" s="44">
        <v>0.89100000000000001</v>
      </c>
      <c r="M153" s="44">
        <v>0.89100000000000001</v>
      </c>
      <c r="N153" s="44">
        <v>0.89100000000000001</v>
      </c>
      <c r="O153" s="44">
        <v>0.89100000000000001</v>
      </c>
      <c r="R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/>
      <c r="AD153" s="44">
        <v>0.89100000000000001</v>
      </c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/>
      <c r="AL153" s="44">
        <v>0.89100000000000001</v>
      </c>
      <c r="AM153" s="44">
        <v>0.89100000000000001</v>
      </c>
      <c r="AN153" s="44">
        <v>0.89100000000000001</v>
      </c>
      <c r="AO153" s="44">
        <v>0.89100000000000001</v>
      </c>
      <c r="AP153"/>
      <c r="AQ153" s="44">
        <v>0.89100000000000001</v>
      </c>
      <c r="AR153"/>
      <c r="AS153"/>
      <c r="AT153" s="44">
        <v>0.89100000000000001</v>
      </c>
    </row>
    <row r="154" spans="1:46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44">
        <v>1</v>
      </c>
      <c r="J154" s="58"/>
      <c r="K154" s="44">
        <v>1</v>
      </c>
      <c r="M154" s="44">
        <v>1</v>
      </c>
      <c r="N154" s="44">
        <v>1</v>
      </c>
      <c r="O154" s="44">
        <v>1</v>
      </c>
      <c r="R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/>
      <c r="AD154" s="44">
        <v>1</v>
      </c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/>
      <c r="AL154" s="44">
        <v>1</v>
      </c>
      <c r="AM154" s="44">
        <v>1</v>
      </c>
      <c r="AN154" s="44">
        <v>1</v>
      </c>
      <c r="AO154" s="44">
        <v>1</v>
      </c>
      <c r="AP154"/>
      <c r="AQ154" s="44">
        <v>1</v>
      </c>
      <c r="AR154"/>
      <c r="AS154"/>
      <c r="AT154" s="44">
        <v>1</v>
      </c>
    </row>
    <row r="155" spans="1:46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44">
        <v>4.0000000000000003E-5</v>
      </c>
      <c r="J155" s="58"/>
      <c r="K155" s="44">
        <v>4.0000000000000003E-5</v>
      </c>
      <c r="M155" s="44">
        <v>4.0000000000000003E-5</v>
      </c>
      <c r="N155" s="44">
        <v>4.0000000000000003E-5</v>
      </c>
      <c r="O155" s="44">
        <v>4.0000000000000003E-5</v>
      </c>
      <c r="R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/>
      <c r="AD155" s="44">
        <v>4.0000000000000003E-5</v>
      </c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/>
      <c r="AL155" s="44">
        <v>4.0000000000000003E-5</v>
      </c>
      <c r="AM155" s="44">
        <v>4.0000000000000003E-5</v>
      </c>
      <c r="AN155" s="44">
        <v>4.0000000000000003E-5</v>
      </c>
      <c r="AO155" s="44">
        <v>4.0000000000000003E-5</v>
      </c>
      <c r="AP155"/>
      <c r="AQ155" s="44">
        <v>4.0000000000000003E-5</v>
      </c>
      <c r="AR155"/>
      <c r="AS155"/>
      <c r="AT155" s="44">
        <v>4.0000000000000003E-5</v>
      </c>
    </row>
    <row r="156" spans="1:46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44">
        <v>4.0000000000000001E-8</v>
      </c>
      <c r="J156" s="58"/>
      <c r="K156" s="44">
        <v>4.0000000000000001E-8</v>
      </c>
      <c r="M156" s="44">
        <v>4.0000000000000001E-8</v>
      </c>
      <c r="N156" s="44">
        <v>4.0000000000000001E-8</v>
      </c>
      <c r="O156" s="44">
        <v>4.0000000000000001E-8</v>
      </c>
      <c r="R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/>
      <c r="AD156" s="44">
        <v>4.0000000000000001E-8</v>
      </c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/>
      <c r="AL156" s="44">
        <v>4.0000000000000001E-8</v>
      </c>
      <c r="AM156" s="44">
        <v>4.0000000000000001E-8</v>
      </c>
      <c r="AN156" s="44">
        <v>4.0000000000000001E-8</v>
      </c>
      <c r="AO156" s="44">
        <v>4.0000000000000001E-8</v>
      </c>
      <c r="AP156"/>
      <c r="AQ156" s="44">
        <v>4.0000000000000001E-8</v>
      </c>
      <c r="AR156"/>
      <c r="AS156"/>
      <c r="AT156" s="44">
        <v>4.0000000000000001E-8</v>
      </c>
    </row>
    <row r="157" spans="1:46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44">
        <v>20</v>
      </c>
      <c r="J157" s="58"/>
      <c r="K157" s="44">
        <v>20</v>
      </c>
      <c r="M157" s="44">
        <v>20</v>
      </c>
      <c r="N157" s="44">
        <v>20</v>
      </c>
      <c r="O157" s="44">
        <v>20</v>
      </c>
      <c r="R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/>
      <c r="AD157" s="44">
        <v>20</v>
      </c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/>
      <c r="AL157" s="44">
        <v>20</v>
      </c>
      <c r="AM157" s="44">
        <v>20</v>
      </c>
      <c r="AN157" s="44">
        <v>20</v>
      </c>
      <c r="AO157" s="44">
        <v>20</v>
      </c>
      <c r="AP157"/>
      <c r="AQ157" s="44">
        <v>20</v>
      </c>
      <c r="AR157"/>
      <c r="AS157"/>
      <c r="AT157" s="44">
        <v>20</v>
      </c>
    </row>
    <row r="158" spans="1:46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44">
        <v>-4.4200000000000003E-2</v>
      </c>
      <c r="J158" s="58"/>
      <c r="K158" s="44">
        <v>-4.4200000000000003E-2</v>
      </c>
      <c r="M158" s="44">
        <v>-4.4200000000000003E-2</v>
      </c>
      <c r="N158" s="44">
        <v>-4.4200000000000003E-2</v>
      </c>
      <c r="O158" s="44">
        <v>-4.4200000000000003E-2</v>
      </c>
      <c r="R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/>
      <c r="AD158" s="44">
        <v>-4.4200000000000003E-2</v>
      </c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/>
      <c r="AL158" s="44">
        <v>-4.4200000000000003E-2</v>
      </c>
      <c r="AM158" s="44">
        <v>-4.4200000000000003E-2</v>
      </c>
      <c r="AN158" s="44">
        <v>-4.4200000000000003E-2</v>
      </c>
      <c r="AO158" s="44">
        <v>-4.4200000000000003E-2</v>
      </c>
      <c r="AP158"/>
      <c r="AQ158" s="44">
        <v>-4.4200000000000003E-2</v>
      </c>
      <c r="AR158"/>
      <c r="AS158"/>
      <c r="AT158" s="44">
        <v>-4.4200000000000003E-2</v>
      </c>
    </row>
    <row r="159" spans="1:46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44">
        <v>1.55</v>
      </c>
      <c r="J159" s="58"/>
      <c r="K159" s="44">
        <v>1.55</v>
      </c>
      <c r="M159" s="44">
        <v>1.55</v>
      </c>
      <c r="N159" s="44">
        <v>1.55</v>
      </c>
      <c r="O159" s="44">
        <v>1.55</v>
      </c>
      <c r="R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/>
      <c r="AD159" s="44">
        <v>1.55</v>
      </c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/>
      <c r="AL159" s="44">
        <v>1.55</v>
      </c>
      <c r="AM159" s="44">
        <v>1.55</v>
      </c>
      <c r="AN159" s="44">
        <v>1.55</v>
      </c>
      <c r="AO159" s="44">
        <v>1.55</v>
      </c>
      <c r="AP159"/>
      <c r="AQ159" s="44">
        <v>1.55</v>
      </c>
      <c r="AR159"/>
      <c r="AS159"/>
      <c r="AT159" s="44">
        <v>1.55</v>
      </c>
    </row>
    <row r="160" spans="1:46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44">
        <v>1</v>
      </c>
      <c r="J160" s="58"/>
      <c r="K160" s="44">
        <v>1</v>
      </c>
      <c r="M160" s="44">
        <v>1</v>
      </c>
      <c r="N160" s="44">
        <v>1</v>
      </c>
      <c r="O160" s="44">
        <v>1</v>
      </c>
      <c r="R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/>
      <c r="AD160" s="44">
        <v>1</v>
      </c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/>
      <c r="AL160" s="44">
        <v>1</v>
      </c>
      <c r="AM160" s="44">
        <v>1</v>
      </c>
      <c r="AN160" s="44">
        <v>1</v>
      </c>
      <c r="AO160" s="44">
        <v>1</v>
      </c>
      <c r="AP160"/>
      <c r="AQ160" s="44">
        <v>1</v>
      </c>
      <c r="AR160"/>
      <c r="AS160"/>
      <c r="AT160" s="44">
        <v>1</v>
      </c>
    </row>
    <row r="161" spans="1:46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44">
        <v>2.7799999999999998E-4</v>
      </c>
      <c r="J161" s="58"/>
      <c r="K161" s="44">
        <v>2.7799999999999998E-4</v>
      </c>
      <c r="M161" s="44">
        <v>2.7799999999999998E-4</v>
      </c>
      <c r="N161" s="44">
        <v>2.7799999999999998E-4</v>
      </c>
      <c r="O161" s="44">
        <v>2.7799999999999998E-4</v>
      </c>
      <c r="R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/>
      <c r="AD161" s="44">
        <v>2.7799999999999998E-4</v>
      </c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/>
      <c r="AL161" s="44">
        <v>2.7799999999999998E-4</v>
      </c>
      <c r="AM161" s="44">
        <v>2.7799999999999998E-4</v>
      </c>
      <c r="AN161" s="44">
        <v>2.7799999999999998E-4</v>
      </c>
      <c r="AO161" s="44">
        <v>2.7799999999999998E-4</v>
      </c>
      <c r="AP161"/>
      <c r="AQ161" s="44">
        <v>2.7799999999999998E-4</v>
      </c>
      <c r="AR161"/>
      <c r="AS161"/>
      <c r="AT161" s="44">
        <v>2.7799999999999998E-4</v>
      </c>
    </row>
    <row r="162" spans="1:46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44">
        <v>2.4999999999999998E-12</v>
      </c>
      <c r="J162" s="58"/>
      <c r="K162" s="44">
        <v>2.4999999999999998E-12</v>
      </c>
      <c r="M162" s="44">
        <v>2.4999999999999998E-12</v>
      </c>
      <c r="N162" s="44">
        <v>2.4999999999999998E-12</v>
      </c>
      <c r="O162" s="44">
        <v>2.4999999999999998E-12</v>
      </c>
      <c r="R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/>
      <c r="AD162" s="44">
        <v>2.4999999999999998E-12</v>
      </c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/>
      <c r="AL162" s="44">
        <v>2.4999999999999998E-12</v>
      </c>
      <c r="AM162" s="44">
        <v>2.4999999999999998E-12</v>
      </c>
      <c r="AN162" s="44">
        <v>2.4999999999999998E-12</v>
      </c>
      <c r="AO162" s="44">
        <v>2.4999999999999998E-12</v>
      </c>
      <c r="AP162"/>
      <c r="AQ162" s="44">
        <v>2.4999999999999998E-12</v>
      </c>
      <c r="AR162"/>
      <c r="AS162"/>
      <c r="AT162" s="44">
        <v>2.4999999999999998E-12</v>
      </c>
    </row>
    <row r="163" spans="1:46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44">
        <v>20</v>
      </c>
      <c r="J163" s="58"/>
      <c r="K163" s="44">
        <v>20</v>
      </c>
      <c r="M163" s="44">
        <v>20</v>
      </c>
      <c r="N163" s="44">
        <v>20</v>
      </c>
      <c r="O163" s="44">
        <v>20</v>
      </c>
      <c r="R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/>
      <c r="AD163" s="44">
        <v>20</v>
      </c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/>
      <c r="AL163" s="44">
        <v>20</v>
      </c>
      <c r="AM163" s="44">
        <v>20</v>
      </c>
      <c r="AN163" s="44">
        <v>20</v>
      </c>
      <c r="AO163" s="44">
        <v>20</v>
      </c>
      <c r="AP163"/>
      <c r="AQ163" s="44">
        <v>20</v>
      </c>
      <c r="AR163"/>
      <c r="AS163"/>
      <c r="AT163" s="44">
        <v>20</v>
      </c>
    </row>
    <row r="164" spans="1:46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44">
        <v>0</v>
      </c>
      <c r="J164" s="58"/>
      <c r="K164" s="44">
        <v>0</v>
      </c>
      <c r="M164" s="44">
        <v>0</v>
      </c>
      <c r="N164" s="44">
        <v>0</v>
      </c>
      <c r="O164" s="44">
        <v>0</v>
      </c>
      <c r="R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/>
      <c r="AD164" s="44">
        <v>0</v>
      </c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/>
      <c r="AL164" s="44">
        <v>0</v>
      </c>
      <c r="AM164" s="44">
        <v>0</v>
      </c>
      <c r="AN164" s="44">
        <v>0</v>
      </c>
      <c r="AO164" s="44">
        <v>0</v>
      </c>
      <c r="AP164"/>
      <c r="AQ164" s="44">
        <v>0</v>
      </c>
      <c r="AR164"/>
      <c r="AS164"/>
      <c r="AT164" s="44">
        <v>0</v>
      </c>
    </row>
    <row r="165" spans="1:46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44">
        <v>1</v>
      </c>
      <c r="J165" s="58"/>
      <c r="K165" s="44">
        <v>1</v>
      </c>
      <c r="M165" s="44">
        <v>1</v>
      </c>
      <c r="N165" s="44">
        <v>1</v>
      </c>
      <c r="O165" s="44">
        <v>1</v>
      </c>
      <c r="R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/>
      <c r="AD165" s="44">
        <v>1</v>
      </c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/>
      <c r="AL165" s="44">
        <v>1</v>
      </c>
      <c r="AM165" s="44">
        <v>1</v>
      </c>
      <c r="AN165" s="44">
        <v>1</v>
      </c>
      <c r="AO165" s="44">
        <v>1</v>
      </c>
      <c r="AP165"/>
      <c r="AQ165" s="44">
        <v>1</v>
      </c>
      <c r="AR165"/>
      <c r="AS165"/>
      <c r="AT165" s="44">
        <v>1</v>
      </c>
    </row>
    <row r="166" spans="1:46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44">
        <v>0</v>
      </c>
      <c r="J166" s="58"/>
      <c r="K166" s="44">
        <v>0</v>
      </c>
      <c r="M166" s="44">
        <v>0</v>
      </c>
      <c r="N166" s="44">
        <v>0</v>
      </c>
      <c r="O166" s="44">
        <v>0</v>
      </c>
      <c r="R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/>
      <c r="AD166" s="44">
        <v>0</v>
      </c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/>
      <c r="AL166" s="44">
        <v>0</v>
      </c>
      <c r="AM166" s="44">
        <v>0</v>
      </c>
      <c r="AN166" s="44">
        <v>0</v>
      </c>
      <c r="AO166" s="44">
        <v>0</v>
      </c>
      <c r="AP166"/>
      <c r="AQ166" s="44">
        <v>0</v>
      </c>
      <c r="AR166"/>
      <c r="AS166"/>
      <c r="AT166" s="44">
        <v>0</v>
      </c>
    </row>
    <row r="167" spans="1:46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44">
        <v>0.4</v>
      </c>
      <c r="J167" s="58"/>
      <c r="K167" s="44">
        <v>0.4</v>
      </c>
      <c r="M167" s="44">
        <v>0.4</v>
      </c>
      <c r="N167" s="44">
        <v>0.4</v>
      </c>
      <c r="O167" s="44">
        <v>0.4</v>
      </c>
      <c r="R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/>
      <c r="AD167" s="44">
        <v>0.4</v>
      </c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/>
      <c r="AL167" s="44">
        <v>0.4</v>
      </c>
      <c r="AM167" s="44">
        <v>0.4</v>
      </c>
      <c r="AN167" s="44">
        <v>0.4</v>
      </c>
      <c r="AO167" s="44">
        <v>0.4</v>
      </c>
      <c r="AP167"/>
      <c r="AQ167" s="44">
        <v>0.4</v>
      </c>
      <c r="AR167"/>
      <c r="AS167"/>
      <c r="AT167" s="44">
        <v>0.4</v>
      </c>
    </row>
    <row r="168" spans="1:46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44">
        <v>2.0000000000000001E-9</v>
      </c>
      <c r="J168" s="58"/>
      <c r="K168" s="44">
        <v>2.0000000000000001E-9</v>
      </c>
      <c r="M168" s="44">
        <v>2.0000000000000001E-9</v>
      </c>
      <c r="N168" s="44">
        <v>2.0000000000000001E-9</v>
      </c>
      <c r="O168" s="44">
        <v>2.0000000000000001E-9</v>
      </c>
      <c r="R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/>
      <c r="AD168" s="44">
        <v>2.0000000000000001E-9</v>
      </c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/>
      <c r="AL168" s="44">
        <v>2.0000000000000001E-9</v>
      </c>
      <c r="AM168" s="44">
        <v>2.0000000000000001E-9</v>
      </c>
      <c r="AN168" s="44">
        <v>2.0000000000000001E-9</v>
      </c>
      <c r="AO168" s="44">
        <v>2.0000000000000001E-9</v>
      </c>
      <c r="AP168"/>
      <c r="AQ168" s="44">
        <v>2.0000000000000001E-9</v>
      </c>
      <c r="AR168"/>
      <c r="AS168"/>
      <c r="AT168" s="44">
        <v>2.0000000000000001E-9</v>
      </c>
    </row>
    <row r="169" spans="1:46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44">
        <v>25</v>
      </c>
      <c r="J169" s="58"/>
      <c r="K169" s="44">
        <v>25</v>
      </c>
      <c r="M169" s="44">
        <v>25</v>
      </c>
      <c r="N169" s="44">
        <v>25</v>
      </c>
      <c r="O169" s="44">
        <v>25</v>
      </c>
      <c r="R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/>
      <c r="AD169" s="44">
        <v>25</v>
      </c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/>
      <c r="AL169" s="44">
        <v>25</v>
      </c>
      <c r="AM169" s="44">
        <v>25</v>
      </c>
      <c r="AN169" s="44">
        <v>25</v>
      </c>
      <c r="AO169" s="44">
        <v>25</v>
      </c>
      <c r="AP169"/>
      <c r="AQ169" s="44">
        <v>25</v>
      </c>
      <c r="AR169"/>
      <c r="AS169"/>
      <c r="AT169" s="44">
        <v>25</v>
      </c>
    </row>
    <row r="170" spans="1:46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44">
        <v>0</v>
      </c>
      <c r="J170" s="58"/>
      <c r="K170" s="44">
        <v>0</v>
      </c>
      <c r="M170" s="44">
        <v>0</v>
      </c>
      <c r="N170" s="44">
        <v>0</v>
      </c>
      <c r="O170" s="44">
        <v>0</v>
      </c>
      <c r="R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/>
      <c r="AD170" s="44">
        <v>0</v>
      </c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/>
      <c r="AL170" s="44">
        <v>0</v>
      </c>
      <c r="AM170" s="44">
        <v>0</v>
      </c>
      <c r="AN170" s="44">
        <v>0</v>
      </c>
      <c r="AO170" s="44">
        <v>0</v>
      </c>
      <c r="AP170"/>
      <c r="AQ170" s="44">
        <v>0</v>
      </c>
      <c r="AR170"/>
      <c r="AS170"/>
      <c r="AT170" s="44">
        <v>0</v>
      </c>
    </row>
    <row r="171" spans="1:46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44">
        <v>3.98</v>
      </c>
      <c r="J171" s="58"/>
      <c r="K171" s="44">
        <v>3.98</v>
      </c>
      <c r="M171" s="44">
        <v>3.98</v>
      </c>
      <c r="N171" s="44">
        <v>3.98</v>
      </c>
      <c r="O171" s="44">
        <v>3.98</v>
      </c>
      <c r="R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/>
      <c r="AD171" s="44">
        <v>3.98</v>
      </c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/>
      <c r="AL171" s="44">
        <v>3.98</v>
      </c>
      <c r="AM171" s="44">
        <v>3.98</v>
      </c>
      <c r="AN171" s="44">
        <v>3.98</v>
      </c>
      <c r="AO171" s="44">
        <v>3.98</v>
      </c>
      <c r="AP171"/>
      <c r="AQ171" s="44">
        <v>3.98</v>
      </c>
      <c r="AR171"/>
      <c r="AS171"/>
      <c r="AT171" s="44">
        <v>3.98</v>
      </c>
    </row>
    <row r="172" spans="1:46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44">
        <v>1</v>
      </c>
      <c r="J172" s="58"/>
      <c r="K172" s="44">
        <v>1</v>
      </c>
      <c r="M172" s="44">
        <v>1</v>
      </c>
      <c r="N172" s="44">
        <v>1</v>
      </c>
      <c r="O172" s="44">
        <v>1</v>
      </c>
      <c r="R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/>
      <c r="AD172" s="44">
        <v>1</v>
      </c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/>
      <c r="AL172" s="44">
        <v>1</v>
      </c>
      <c r="AM172" s="44">
        <v>1</v>
      </c>
      <c r="AN172" s="44">
        <v>1</v>
      </c>
      <c r="AO172" s="44">
        <v>1</v>
      </c>
      <c r="AP172"/>
      <c r="AQ172" s="44">
        <v>1</v>
      </c>
      <c r="AR172"/>
      <c r="AS172"/>
      <c r="AT172" s="44">
        <v>1</v>
      </c>
    </row>
    <row r="173" spans="1:46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44">
        <v>1.6666666666666666E-4</v>
      </c>
      <c r="J173" s="58"/>
      <c r="K173" s="44">
        <v>1.6666666666666666E-4</v>
      </c>
      <c r="M173" s="44">
        <v>1.6666666666666666E-4</v>
      </c>
      <c r="N173" s="44">
        <v>1.6666666666666666E-4</v>
      </c>
      <c r="O173" s="44">
        <v>1.6666666666666666E-4</v>
      </c>
      <c r="R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/>
      <c r="AD173" s="44">
        <v>1.6666666666666666E-4</v>
      </c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/>
      <c r="AL173" s="44">
        <v>1.6666666666666666E-4</v>
      </c>
      <c r="AM173" s="44">
        <v>1.6666666666666666E-4</v>
      </c>
      <c r="AN173" s="44">
        <v>1.6666666666666666E-4</v>
      </c>
      <c r="AO173" s="44">
        <v>1.6666666666666666E-4</v>
      </c>
      <c r="AP173"/>
      <c r="AQ173" s="44">
        <v>1.6666666666666666E-4</v>
      </c>
      <c r="AR173"/>
      <c r="AS173"/>
      <c r="AT173" s="44">
        <v>1.6666666666666666E-4</v>
      </c>
    </row>
    <row r="174" spans="1:46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44">
        <v>1E-8</v>
      </c>
      <c r="J174" s="58"/>
      <c r="K174" s="44">
        <v>1E-8</v>
      </c>
      <c r="M174" s="44">
        <v>1E-8</v>
      </c>
      <c r="N174" s="44">
        <v>1E-8</v>
      </c>
      <c r="O174" s="44">
        <v>1E-8</v>
      </c>
      <c r="R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/>
      <c r="AD174" s="44">
        <v>1E-8</v>
      </c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/>
      <c r="AL174" s="44">
        <v>1E-8</v>
      </c>
      <c r="AM174" s="44">
        <v>1E-8</v>
      </c>
      <c r="AN174" s="44">
        <v>1E-8</v>
      </c>
      <c r="AO174" s="44">
        <v>1E-8</v>
      </c>
      <c r="AP174"/>
      <c r="AQ174" s="44">
        <v>1E-8</v>
      </c>
      <c r="AR174"/>
      <c r="AS174"/>
      <c r="AT174" s="44">
        <v>1E-8</v>
      </c>
    </row>
    <row r="175" spans="1:46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44">
        <v>20</v>
      </c>
      <c r="J175" s="58"/>
      <c r="K175" s="44">
        <v>20</v>
      </c>
      <c r="M175" s="44">
        <v>20</v>
      </c>
      <c r="N175" s="44">
        <v>20</v>
      </c>
      <c r="O175" s="44">
        <v>20</v>
      </c>
      <c r="R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/>
      <c r="AD175" s="44">
        <v>20</v>
      </c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/>
      <c r="AL175" s="44">
        <v>20</v>
      </c>
      <c r="AM175" s="44">
        <v>20</v>
      </c>
      <c r="AN175" s="44">
        <v>20</v>
      </c>
      <c r="AO175" s="44">
        <v>20</v>
      </c>
      <c r="AP175"/>
      <c r="AQ175" s="44">
        <v>20</v>
      </c>
      <c r="AR175"/>
      <c r="AS175"/>
      <c r="AT175" s="44">
        <v>20</v>
      </c>
    </row>
    <row r="176" spans="1:46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44">
        <v>0</v>
      </c>
      <c r="J176" s="58"/>
      <c r="K176" s="44">
        <v>0</v>
      </c>
      <c r="M176" s="44">
        <v>0</v>
      </c>
      <c r="N176" s="44">
        <v>0</v>
      </c>
      <c r="O176" s="44">
        <v>0</v>
      </c>
      <c r="R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/>
      <c r="AD176" s="44">
        <v>0</v>
      </c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/>
      <c r="AL176" s="44">
        <v>0</v>
      </c>
      <c r="AM176" s="44">
        <v>0</v>
      </c>
      <c r="AN176" s="44">
        <v>0</v>
      </c>
      <c r="AO176" s="44">
        <v>0</v>
      </c>
      <c r="AP176"/>
      <c r="AQ176" s="44">
        <v>0</v>
      </c>
      <c r="AR176"/>
      <c r="AS176"/>
      <c r="AT176" s="44">
        <v>0</v>
      </c>
    </row>
    <row r="177" spans="1:46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44">
        <v>2</v>
      </c>
      <c r="J177" s="58"/>
      <c r="K177" s="44">
        <v>2</v>
      </c>
      <c r="M177" s="44">
        <v>2</v>
      </c>
      <c r="N177" s="44">
        <v>2</v>
      </c>
      <c r="O177" s="44">
        <v>2</v>
      </c>
      <c r="R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/>
      <c r="AD177" s="44">
        <v>2</v>
      </c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/>
      <c r="AL177" s="44">
        <v>2</v>
      </c>
      <c r="AM177" s="44">
        <v>2</v>
      </c>
      <c r="AN177" s="44">
        <v>2</v>
      </c>
      <c r="AO177" s="44">
        <v>2</v>
      </c>
      <c r="AP177"/>
      <c r="AQ177" s="44">
        <v>2</v>
      </c>
      <c r="AR177"/>
      <c r="AS177"/>
      <c r="AT177" s="44">
        <v>2</v>
      </c>
    </row>
    <row r="178" spans="1:46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44">
        <v>1</v>
      </c>
      <c r="J178" s="58"/>
      <c r="K178" s="44">
        <v>1</v>
      </c>
      <c r="M178" s="44">
        <v>1</v>
      </c>
      <c r="N178" s="44">
        <v>1</v>
      </c>
      <c r="O178" s="44">
        <v>1</v>
      </c>
      <c r="R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/>
      <c r="AD178" s="44">
        <v>1</v>
      </c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/>
      <c r="AL178" s="44">
        <v>1</v>
      </c>
      <c r="AM178" s="44">
        <v>1</v>
      </c>
      <c r="AN178" s="44">
        <v>1</v>
      </c>
      <c r="AO178" s="44">
        <v>1</v>
      </c>
      <c r="AP178"/>
      <c r="AQ178" s="44">
        <v>1</v>
      </c>
      <c r="AR178"/>
      <c r="AS178"/>
      <c r="AT178" s="44">
        <v>1</v>
      </c>
    </row>
    <row r="179" spans="1:46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44">
        <v>8.3333333333333331E-5</v>
      </c>
      <c r="J179" s="58"/>
      <c r="K179" s="44">
        <v>8.3333333333333331E-5</v>
      </c>
      <c r="M179" s="44">
        <v>8.3333333333333331E-5</v>
      </c>
      <c r="N179" s="44">
        <v>8.3333333333333331E-5</v>
      </c>
      <c r="O179" s="44">
        <v>8.3333333333333331E-5</v>
      </c>
      <c r="R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/>
      <c r="AD179" s="44">
        <v>8.3333333333333331E-5</v>
      </c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/>
      <c r="AL179" s="44">
        <v>8.3333333333333331E-5</v>
      </c>
      <c r="AM179" s="44">
        <v>8.3333333333333331E-5</v>
      </c>
      <c r="AN179" s="44">
        <v>8.3333333333333331E-5</v>
      </c>
      <c r="AO179" s="44">
        <v>8.3333333333333331E-5</v>
      </c>
      <c r="AP179"/>
      <c r="AQ179" s="44">
        <v>8.3333333333333331E-5</v>
      </c>
      <c r="AR179"/>
      <c r="AS179"/>
      <c r="AT179" s="44">
        <v>8.3333333333333331E-5</v>
      </c>
    </row>
    <row r="180" spans="1:46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44">
        <v>1</v>
      </c>
      <c r="J180" s="58"/>
      <c r="K180" s="44">
        <v>1</v>
      </c>
      <c r="M180" s="44">
        <v>1</v>
      </c>
      <c r="N180" s="44">
        <v>1</v>
      </c>
      <c r="O180" s="44">
        <v>1</v>
      </c>
      <c r="R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/>
      <c r="AD180" s="44">
        <v>1</v>
      </c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/>
      <c r="AL180" s="44">
        <v>1</v>
      </c>
      <c r="AM180" s="44">
        <v>1</v>
      </c>
      <c r="AN180" s="44">
        <v>1</v>
      </c>
      <c r="AO180" s="44">
        <v>1</v>
      </c>
      <c r="AP180"/>
      <c r="AQ180" s="44">
        <v>1</v>
      </c>
      <c r="AR180"/>
      <c r="AS180"/>
      <c r="AT180" s="44">
        <v>1</v>
      </c>
    </row>
    <row r="181" spans="1:46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44">
        <v>2.3533050791148899E-8</v>
      </c>
      <c r="J181" s="58"/>
      <c r="K181" s="44">
        <v>2.3533050791148899E-8</v>
      </c>
      <c r="M181" s="44">
        <v>2.3533050791148899E-8</v>
      </c>
      <c r="N181" s="44">
        <v>2.3533050791148899E-8</v>
      </c>
      <c r="O181" s="44">
        <v>2.3533050791148899E-8</v>
      </c>
      <c r="R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/>
      <c r="AD181" s="44">
        <v>2.3533050791148899E-8</v>
      </c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/>
      <c r="AL181" s="44">
        <v>2.3533050791148899E-8</v>
      </c>
      <c r="AM181" s="44">
        <v>2.3533050791148899E-8</v>
      </c>
      <c r="AN181" s="44">
        <v>2.3533050791148899E-8</v>
      </c>
      <c r="AO181" s="44">
        <v>2.3533050791148899E-8</v>
      </c>
      <c r="AP181"/>
      <c r="AQ181" s="44">
        <v>2.3533050791148899E-8</v>
      </c>
      <c r="AR181"/>
      <c r="AS181"/>
      <c r="AT181" s="44">
        <v>2.3533050791148899E-8</v>
      </c>
    </row>
    <row r="182" spans="1:46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44">
        <v>20</v>
      </c>
      <c r="J182" s="58"/>
      <c r="K182" s="44">
        <v>20</v>
      </c>
      <c r="M182" s="44">
        <v>20</v>
      </c>
      <c r="N182" s="44">
        <v>20</v>
      </c>
      <c r="O182" s="44">
        <v>20</v>
      </c>
      <c r="R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/>
      <c r="AD182" s="44">
        <v>20</v>
      </c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/>
      <c r="AL182" s="44">
        <v>20</v>
      </c>
      <c r="AM182" s="44">
        <v>20</v>
      </c>
      <c r="AN182" s="44">
        <v>20</v>
      </c>
      <c r="AO182" s="44">
        <v>20</v>
      </c>
      <c r="AP182"/>
      <c r="AQ182" s="44">
        <v>20</v>
      </c>
      <c r="AR182"/>
      <c r="AS182"/>
      <c r="AT182" s="44">
        <v>20</v>
      </c>
    </row>
    <row r="183" spans="1:46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44">
        <v>-0.187</v>
      </c>
      <c r="J183" s="58"/>
      <c r="K183" s="44">
        <v>-0.187</v>
      </c>
      <c r="M183" s="44">
        <v>-0.187</v>
      </c>
      <c r="N183" s="44">
        <v>-0.187</v>
      </c>
      <c r="O183" s="44">
        <v>-0.187</v>
      </c>
      <c r="R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/>
      <c r="AD183" s="44">
        <v>-0.187</v>
      </c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/>
      <c r="AL183" s="44">
        <v>-0.187</v>
      </c>
      <c r="AM183" s="44">
        <v>-0.187</v>
      </c>
      <c r="AN183" s="44">
        <v>-0.187</v>
      </c>
      <c r="AO183" s="44">
        <v>-0.187</v>
      </c>
      <c r="AP183"/>
      <c r="AQ183" s="44">
        <v>-0.187</v>
      </c>
      <c r="AR183"/>
      <c r="AS183"/>
      <c r="AT183" s="44">
        <v>-0.187</v>
      </c>
    </row>
    <row r="184" spans="1:46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44">
        <v>2.48</v>
      </c>
      <c r="J184" s="58"/>
      <c r="K184" s="44">
        <v>2.48</v>
      </c>
      <c r="M184" s="44">
        <v>2.48</v>
      </c>
      <c r="N184" s="44">
        <v>2.48</v>
      </c>
      <c r="O184" s="44">
        <v>2.48</v>
      </c>
      <c r="R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/>
      <c r="AD184" s="44">
        <v>2.48</v>
      </c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/>
      <c r="AL184" s="44">
        <v>2.48</v>
      </c>
      <c r="AM184" s="44">
        <v>2.48</v>
      </c>
      <c r="AN184" s="44">
        <v>2.48</v>
      </c>
      <c r="AO184" s="44">
        <v>2.48</v>
      </c>
      <c r="AP184"/>
      <c r="AQ184" s="44">
        <v>2.48</v>
      </c>
      <c r="AR184"/>
      <c r="AS184"/>
      <c r="AT184" s="44">
        <v>2.48</v>
      </c>
    </row>
    <row r="185" spans="1:46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44">
        <v>1</v>
      </c>
      <c r="J185" s="58"/>
      <c r="K185" s="44">
        <v>1</v>
      </c>
      <c r="M185" s="44">
        <v>1</v>
      </c>
      <c r="N185" s="44">
        <v>1</v>
      </c>
      <c r="O185" s="44">
        <v>1</v>
      </c>
      <c r="R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/>
      <c r="AD185" s="44">
        <v>1</v>
      </c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/>
      <c r="AL185" s="44">
        <v>1</v>
      </c>
      <c r="AM185" s="44">
        <v>1</v>
      </c>
      <c r="AN185" s="44">
        <v>1</v>
      </c>
      <c r="AO185" s="44">
        <v>1</v>
      </c>
      <c r="AP185"/>
      <c r="AQ185" s="44">
        <v>1</v>
      </c>
      <c r="AR185"/>
      <c r="AS185"/>
      <c r="AT185" s="44">
        <v>1</v>
      </c>
    </row>
    <row r="186" spans="1:46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44">
        <v>6.1060227588121015E-4</v>
      </c>
      <c r="J186" s="58"/>
      <c r="K186" s="44">
        <v>6.1060227588121015E-4</v>
      </c>
      <c r="M186" s="44">
        <v>6.1060227588121015E-4</v>
      </c>
      <c r="N186" s="44">
        <v>6.1060227588121015E-4</v>
      </c>
      <c r="O186" s="44">
        <v>6.1060227588121015E-4</v>
      </c>
      <c r="R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/>
      <c r="AD186" s="44">
        <v>6.1060227588121015E-4</v>
      </c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/>
      <c r="AL186" s="44">
        <v>6.1060227588121015E-4</v>
      </c>
      <c r="AM186" s="44">
        <v>6.1060227588121015E-4</v>
      </c>
      <c r="AN186" s="44">
        <v>6.1060227588121015E-4</v>
      </c>
      <c r="AO186" s="44">
        <v>6.1060227588121015E-4</v>
      </c>
      <c r="AP186"/>
      <c r="AQ186" s="44">
        <v>6.1060227588121015E-4</v>
      </c>
      <c r="AR186"/>
      <c r="AS186"/>
      <c r="AT186" s="44">
        <v>6.1060227588121015E-4</v>
      </c>
    </row>
    <row r="187" spans="1:46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44">
        <v>3.9999999999999998E-7</v>
      </c>
      <c r="J187" s="58"/>
      <c r="K187" s="44">
        <v>3.9999999999999998E-7</v>
      </c>
      <c r="M187" s="44">
        <v>3.9999999999999998E-7</v>
      </c>
      <c r="N187" s="44">
        <v>3.9999999999999998E-7</v>
      </c>
      <c r="O187" s="44">
        <v>3.9999999999999998E-7</v>
      </c>
      <c r="R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/>
      <c r="AD187" s="44">
        <v>3.9999999999999998E-7</v>
      </c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/>
      <c r="AL187" s="44">
        <v>3.9999999999999998E-7</v>
      </c>
      <c r="AM187" s="44">
        <v>3.9999999999999998E-7</v>
      </c>
      <c r="AN187" s="44">
        <v>3.9999999999999998E-7</v>
      </c>
      <c r="AO187" s="44">
        <v>3.9999999999999998E-7</v>
      </c>
      <c r="AP187"/>
      <c r="AQ187" s="44">
        <v>3.9999999999999998E-7</v>
      </c>
      <c r="AR187"/>
      <c r="AS187"/>
      <c r="AT187" s="44">
        <v>3.9999999999999998E-7</v>
      </c>
    </row>
    <row r="188" spans="1:46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44">
        <v>25</v>
      </c>
      <c r="J188" s="58"/>
      <c r="K188" s="44">
        <v>25</v>
      </c>
      <c r="M188" s="44">
        <v>25</v>
      </c>
      <c r="N188" s="44">
        <v>25</v>
      </c>
      <c r="O188" s="44">
        <v>25</v>
      </c>
      <c r="R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/>
      <c r="AD188" s="44">
        <v>25</v>
      </c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/>
      <c r="AL188" s="44">
        <v>25</v>
      </c>
      <c r="AM188" s="44">
        <v>25</v>
      </c>
      <c r="AN188" s="44">
        <v>25</v>
      </c>
      <c r="AO188" s="44">
        <v>25</v>
      </c>
      <c r="AP188"/>
      <c r="AQ188" s="44">
        <v>25</v>
      </c>
      <c r="AR188"/>
      <c r="AS188"/>
      <c r="AT188" s="44">
        <v>25</v>
      </c>
    </row>
    <row r="189" spans="1:46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44">
        <v>0</v>
      </c>
      <c r="J189" s="58"/>
      <c r="K189" s="44">
        <v>0</v>
      </c>
      <c r="M189" s="44">
        <v>0</v>
      </c>
      <c r="N189" s="44">
        <v>0</v>
      </c>
      <c r="O189" s="44">
        <v>0</v>
      </c>
      <c r="R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/>
      <c r="AD189" s="44">
        <v>0</v>
      </c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/>
      <c r="AL189" s="44">
        <v>0</v>
      </c>
      <c r="AM189" s="44">
        <v>0</v>
      </c>
      <c r="AN189" s="44">
        <v>0</v>
      </c>
      <c r="AO189" s="44">
        <v>0</v>
      </c>
      <c r="AP189"/>
      <c r="AQ189" s="44">
        <v>0</v>
      </c>
      <c r="AR189"/>
      <c r="AS189"/>
      <c r="AT189" s="44">
        <v>0</v>
      </c>
    </row>
    <row r="190" spans="1:46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44">
        <v>3.98</v>
      </c>
      <c r="J190" s="58"/>
      <c r="K190" s="44">
        <v>3.98</v>
      </c>
      <c r="M190" s="44">
        <v>3.98</v>
      </c>
      <c r="N190" s="44">
        <v>3.98</v>
      </c>
      <c r="O190" s="44">
        <v>3.98</v>
      </c>
      <c r="R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/>
      <c r="AD190" s="44">
        <v>3.98</v>
      </c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/>
      <c r="AL190" s="44">
        <v>3.98</v>
      </c>
      <c r="AM190" s="44">
        <v>3.98</v>
      </c>
      <c r="AN190" s="44">
        <v>3.98</v>
      </c>
      <c r="AO190" s="44">
        <v>3.98</v>
      </c>
      <c r="AP190"/>
      <c r="AQ190" s="44">
        <v>3.98</v>
      </c>
      <c r="AR190"/>
      <c r="AS190"/>
      <c r="AT190" s="44">
        <v>3.98</v>
      </c>
    </row>
    <row r="191" spans="1:46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44">
        <v>1</v>
      </c>
      <c r="J191" s="58"/>
      <c r="K191" s="44">
        <v>1</v>
      </c>
      <c r="M191" s="44">
        <v>1</v>
      </c>
      <c r="N191" s="44">
        <v>1</v>
      </c>
      <c r="O191" s="44">
        <v>1</v>
      </c>
      <c r="R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/>
      <c r="AD191" s="44">
        <v>1</v>
      </c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/>
      <c r="AL191" s="44">
        <v>1</v>
      </c>
      <c r="AM191" s="44">
        <v>1</v>
      </c>
      <c r="AN191" s="44">
        <v>1</v>
      </c>
      <c r="AO191" s="44">
        <v>1</v>
      </c>
      <c r="AP191"/>
      <c r="AQ191" s="44">
        <v>1</v>
      </c>
      <c r="AR191"/>
      <c r="AS191"/>
      <c r="AT191" s="44">
        <v>1</v>
      </c>
    </row>
    <row r="192" spans="1:46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44">
        <v>8.3333333333333331E-5</v>
      </c>
      <c r="J192" s="58"/>
      <c r="K192" s="44">
        <v>8.3333333333333331E-5</v>
      </c>
      <c r="M192" s="44">
        <v>8.3333333333333331E-5</v>
      </c>
      <c r="N192" s="44">
        <v>8.3333333333333331E-5</v>
      </c>
      <c r="O192" s="44">
        <v>8.3333333333333331E-5</v>
      </c>
      <c r="R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/>
      <c r="AD192" s="44">
        <v>8.3333333333333331E-5</v>
      </c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/>
      <c r="AL192" s="44">
        <v>8.3333333333333331E-5</v>
      </c>
      <c r="AM192" s="44">
        <v>8.3333333333333331E-5</v>
      </c>
      <c r="AN192" s="44">
        <v>8.3333333333333331E-5</v>
      </c>
      <c r="AO192" s="44">
        <v>8.3333333333333331E-5</v>
      </c>
      <c r="AP192"/>
      <c r="AQ192" s="44">
        <v>8.3333333333333331E-5</v>
      </c>
      <c r="AR192"/>
      <c r="AS192"/>
      <c r="AT192" s="44">
        <v>8.3333333333333331E-5</v>
      </c>
    </row>
    <row r="193" spans="1:54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44">
        <v>3.9999999999999998E-7</v>
      </c>
      <c r="J193" s="58"/>
      <c r="K193" s="44">
        <v>3.9999999999999998E-7</v>
      </c>
      <c r="M193" s="44">
        <v>3.9999999999999998E-7</v>
      </c>
      <c r="N193" s="44">
        <v>3.9999999999999998E-7</v>
      </c>
      <c r="O193" s="44">
        <v>3.9999999999999998E-7</v>
      </c>
      <c r="R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/>
      <c r="AD193" s="44">
        <v>3.9999999999999998E-7</v>
      </c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/>
      <c r="AL193" s="44">
        <v>3.9999999999999998E-7</v>
      </c>
      <c r="AM193" s="44">
        <v>3.9999999999999998E-7</v>
      </c>
      <c r="AN193" s="44">
        <v>3.9999999999999998E-7</v>
      </c>
      <c r="AO193" s="44">
        <v>3.9999999999999998E-7</v>
      </c>
      <c r="AP193"/>
      <c r="AQ193" s="44">
        <v>3.9999999999999998E-7</v>
      </c>
      <c r="AR193"/>
      <c r="AS193"/>
      <c r="AT193" s="44">
        <v>3.9999999999999998E-7</v>
      </c>
    </row>
    <row r="194" spans="1:54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44">
        <v>25</v>
      </c>
      <c r="J194" s="58"/>
      <c r="K194" s="44">
        <v>25</v>
      </c>
      <c r="M194" s="44">
        <v>25</v>
      </c>
      <c r="N194" s="44">
        <v>25</v>
      </c>
      <c r="O194" s="44">
        <v>25</v>
      </c>
      <c r="R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/>
      <c r="AD194" s="44">
        <v>25</v>
      </c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/>
      <c r="AL194" s="44">
        <v>25</v>
      </c>
      <c r="AM194" s="44">
        <v>25</v>
      </c>
      <c r="AN194" s="44">
        <v>25</v>
      </c>
      <c r="AO194" s="44">
        <v>25</v>
      </c>
      <c r="AP194"/>
      <c r="AQ194" s="44">
        <v>25</v>
      </c>
      <c r="AR194"/>
      <c r="AS194"/>
      <c r="AT194" s="44">
        <v>25</v>
      </c>
    </row>
    <row r="195" spans="1:54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44">
        <v>0</v>
      </c>
      <c r="J195" s="58"/>
      <c r="K195" s="44">
        <v>0</v>
      </c>
      <c r="M195" s="44">
        <v>0</v>
      </c>
      <c r="N195" s="44">
        <v>0</v>
      </c>
      <c r="O195" s="44">
        <v>0</v>
      </c>
      <c r="R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/>
      <c r="AD195" s="44">
        <v>0</v>
      </c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/>
      <c r="AL195" s="44">
        <v>0</v>
      </c>
      <c r="AM195" s="44">
        <v>0</v>
      </c>
      <c r="AN195" s="44">
        <v>0</v>
      </c>
      <c r="AO195" s="44">
        <v>0</v>
      </c>
      <c r="AP195"/>
      <c r="AQ195" s="44">
        <v>0</v>
      </c>
      <c r="AR195"/>
      <c r="AS195"/>
      <c r="AT195" s="44">
        <v>0</v>
      </c>
    </row>
    <row r="196" spans="1:54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44">
        <v>3.98</v>
      </c>
      <c r="J196" s="58"/>
      <c r="K196" s="44">
        <v>3.98</v>
      </c>
      <c r="M196" s="44">
        <v>3.98</v>
      </c>
      <c r="N196" s="44">
        <v>3.98</v>
      </c>
      <c r="O196" s="44">
        <v>3.98</v>
      </c>
      <c r="R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/>
      <c r="AD196" s="44">
        <v>3.98</v>
      </c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/>
      <c r="AL196" s="44">
        <v>3.98</v>
      </c>
      <c r="AM196" s="44">
        <v>3.98</v>
      </c>
      <c r="AN196" s="44">
        <v>3.98</v>
      </c>
      <c r="AO196" s="44">
        <v>3.98</v>
      </c>
      <c r="AP196"/>
      <c r="AQ196" s="44">
        <v>3.98</v>
      </c>
      <c r="AR196"/>
      <c r="AS196"/>
      <c r="AT196" s="44">
        <v>3.98</v>
      </c>
    </row>
    <row r="197" spans="1:54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44">
        <v>1</v>
      </c>
      <c r="J197" s="58"/>
      <c r="K197" s="44">
        <v>1</v>
      </c>
      <c r="M197" s="44">
        <v>1</v>
      </c>
      <c r="N197" s="44">
        <v>1</v>
      </c>
      <c r="O197" s="44">
        <v>1</v>
      </c>
      <c r="R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/>
      <c r="AD197" s="44">
        <v>1</v>
      </c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/>
      <c r="AL197" s="44">
        <v>1</v>
      </c>
      <c r="AM197" s="44">
        <v>1</v>
      </c>
      <c r="AN197" s="44">
        <v>1</v>
      </c>
      <c r="AO197" s="44">
        <v>1</v>
      </c>
      <c r="AP197"/>
      <c r="AQ197" s="44">
        <v>1</v>
      </c>
      <c r="AR197"/>
      <c r="AS197"/>
      <c r="AT197" s="44">
        <v>1</v>
      </c>
    </row>
    <row r="198" spans="1:54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44">
        <v>8.3333333333333331E-5</v>
      </c>
      <c r="J198" s="58"/>
      <c r="K198" s="44">
        <v>8.3333333333333331E-5</v>
      </c>
      <c r="M198" s="44">
        <v>8.3333333333333331E-5</v>
      </c>
      <c r="N198" s="44">
        <v>8.3333333333333331E-5</v>
      </c>
      <c r="O198" s="44">
        <v>8.3333333333333331E-5</v>
      </c>
      <c r="R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/>
      <c r="AD198" s="44">
        <v>8.3333333333333331E-5</v>
      </c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/>
      <c r="AL198" s="44">
        <v>8.3333333333333331E-5</v>
      </c>
      <c r="AM198" s="44">
        <v>8.3333333333333331E-5</v>
      </c>
      <c r="AN198" s="44">
        <v>8.3333333333333331E-5</v>
      </c>
      <c r="AO198" s="44">
        <v>8.3333333333333331E-5</v>
      </c>
      <c r="AP198"/>
      <c r="AQ198" s="44">
        <v>8.3333333333333331E-5</v>
      </c>
      <c r="AR198"/>
      <c r="AS198"/>
      <c r="AT198" s="44">
        <v>8.3333333333333331E-5</v>
      </c>
    </row>
    <row r="199" spans="1:54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44">
        <v>1.9999999999999999E-7</v>
      </c>
      <c r="J199" s="58"/>
      <c r="K199" s="44">
        <v>1.9999999999999999E-7</v>
      </c>
      <c r="M199" s="44">
        <v>1.9999999999999999E-7</v>
      </c>
      <c r="N199" s="44">
        <v>1.9999999999999999E-7</v>
      </c>
      <c r="O199" s="44">
        <v>1.9999999999999999E-7</v>
      </c>
      <c r="R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/>
      <c r="AD199" s="44">
        <v>1.9999999999999999E-7</v>
      </c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/>
      <c r="AL199" s="44">
        <v>1.9999999999999999E-7</v>
      </c>
      <c r="AM199" s="44">
        <v>1.9999999999999999E-7</v>
      </c>
      <c r="AN199" s="44">
        <v>1.9999999999999999E-7</v>
      </c>
      <c r="AO199" s="44">
        <v>1.9999999999999999E-7</v>
      </c>
      <c r="AP199"/>
      <c r="AQ199" s="44">
        <v>1.9999999999999999E-7</v>
      </c>
      <c r="AR199"/>
      <c r="AS199"/>
      <c r="AT199" s="44">
        <v>1.9999999999999999E-7</v>
      </c>
    </row>
    <row r="200" spans="1:54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44">
        <v>25</v>
      </c>
      <c r="J200" s="58"/>
      <c r="K200" s="44">
        <v>25</v>
      </c>
      <c r="M200" s="44">
        <v>25</v>
      </c>
      <c r="N200" s="44">
        <v>25</v>
      </c>
      <c r="O200" s="44">
        <v>25</v>
      </c>
      <c r="R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/>
      <c r="AD200" s="44">
        <v>25</v>
      </c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/>
      <c r="AL200" s="44">
        <v>25</v>
      </c>
      <c r="AM200" s="44">
        <v>25</v>
      </c>
      <c r="AN200" s="44">
        <v>25</v>
      </c>
      <c r="AO200" s="44">
        <v>25</v>
      </c>
      <c r="AP200"/>
      <c r="AQ200" s="44">
        <v>25</v>
      </c>
      <c r="AR200"/>
      <c r="AS200"/>
      <c r="AT200" s="44">
        <v>25</v>
      </c>
    </row>
    <row r="201" spans="1:54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44">
        <v>0</v>
      </c>
      <c r="J201" s="58"/>
      <c r="K201" s="44">
        <v>0</v>
      </c>
      <c r="M201" s="44">
        <v>0</v>
      </c>
      <c r="N201" s="44">
        <v>0</v>
      </c>
      <c r="O201" s="44">
        <v>0</v>
      </c>
      <c r="R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/>
      <c r="AD201" s="44">
        <v>0</v>
      </c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/>
      <c r="AL201" s="44">
        <v>0</v>
      </c>
      <c r="AM201" s="44">
        <v>0</v>
      </c>
      <c r="AN201" s="44">
        <v>0</v>
      </c>
      <c r="AO201" s="44">
        <v>0</v>
      </c>
      <c r="AP201"/>
      <c r="AQ201" s="44">
        <v>0</v>
      </c>
      <c r="AR201"/>
      <c r="AS201"/>
      <c r="AT201" s="44">
        <v>0</v>
      </c>
    </row>
    <row r="202" spans="1:54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44">
        <v>3.98</v>
      </c>
      <c r="J202" s="58"/>
      <c r="K202" s="44">
        <v>3.98</v>
      </c>
      <c r="M202" s="44">
        <v>3.98</v>
      </c>
      <c r="N202" s="44">
        <v>3.98</v>
      </c>
      <c r="O202" s="44">
        <v>3.98</v>
      </c>
      <c r="R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/>
      <c r="AD202" s="44">
        <v>3.98</v>
      </c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/>
      <c r="AL202" s="44">
        <v>3.98</v>
      </c>
      <c r="AM202" s="44">
        <v>3.98</v>
      </c>
      <c r="AN202" s="44">
        <v>3.98</v>
      </c>
      <c r="AO202" s="44">
        <v>3.98</v>
      </c>
      <c r="AP202"/>
      <c r="AQ202" s="44">
        <v>3.98</v>
      </c>
      <c r="AR202"/>
      <c r="AS202"/>
      <c r="AT202" s="44">
        <v>3.98</v>
      </c>
    </row>
    <row r="203" spans="1:54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44">
        <v>1</v>
      </c>
      <c r="J203" s="58"/>
      <c r="K203" s="44">
        <v>1</v>
      </c>
      <c r="M203" s="44">
        <v>1</v>
      </c>
      <c r="N203" s="44">
        <v>1</v>
      </c>
      <c r="O203" s="44">
        <v>1</v>
      </c>
      <c r="R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/>
      <c r="AD203" s="44">
        <v>1</v>
      </c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/>
      <c r="AL203" s="44">
        <v>1</v>
      </c>
      <c r="AM203" s="44">
        <v>1</v>
      </c>
      <c r="AN203" s="44">
        <v>1</v>
      </c>
      <c r="AO203" s="44">
        <v>1</v>
      </c>
      <c r="AP203"/>
      <c r="AQ203" s="44">
        <v>1</v>
      </c>
      <c r="AR203"/>
      <c r="AS203"/>
      <c r="AT203" s="44">
        <v>1</v>
      </c>
    </row>
    <row r="204" spans="1:54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44">
        <v>8.3333333333333331E-5</v>
      </c>
      <c r="J204" s="58"/>
      <c r="K204" s="44">
        <v>8.3333333333333331E-5</v>
      </c>
      <c r="M204" s="44">
        <v>8.3333333333333331E-5</v>
      </c>
      <c r="N204" s="44">
        <v>8.3333333333333331E-5</v>
      </c>
      <c r="O204" s="44">
        <v>8.3333333333333331E-5</v>
      </c>
      <c r="R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/>
      <c r="AD204" s="44">
        <v>8.3333333333333331E-5</v>
      </c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/>
      <c r="AL204" s="44">
        <v>8.3333333333333331E-5</v>
      </c>
      <c r="AM204" s="44">
        <v>8.3333333333333331E-5</v>
      </c>
      <c r="AN204" s="44">
        <v>8.3333333333333331E-5</v>
      </c>
      <c r="AO204" s="44">
        <v>8.3333333333333331E-5</v>
      </c>
      <c r="AP204"/>
      <c r="AQ204" s="44">
        <v>8.3333333333333331E-5</v>
      </c>
      <c r="AR204"/>
      <c r="AS204"/>
      <c r="AT204" s="44">
        <v>8.3333333333333331E-5</v>
      </c>
    </row>
    <row r="205" spans="1:54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44" t="s">
        <v>89</v>
      </c>
      <c r="J205" s="58"/>
      <c r="K205" s="44" t="s">
        <v>89</v>
      </c>
      <c r="M205" s="44" t="s">
        <v>89</v>
      </c>
      <c r="N205" s="44" t="s">
        <v>89</v>
      </c>
      <c r="O205" s="44" t="s">
        <v>89</v>
      </c>
      <c r="R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/>
      <c r="AD205" s="44" t="s">
        <v>89</v>
      </c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/>
      <c r="AL205" s="44" t="s">
        <v>89</v>
      </c>
      <c r="AM205" s="44" t="s">
        <v>89</v>
      </c>
      <c r="AN205" s="44" t="s">
        <v>89</v>
      </c>
      <c r="AO205" s="44" t="s">
        <v>89</v>
      </c>
      <c r="AP205"/>
      <c r="AQ205" s="44" t="s">
        <v>89</v>
      </c>
      <c r="AR205"/>
      <c r="AS205"/>
      <c r="AT205" s="44" t="s">
        <v>89</v>
      </c>
    </row>
    <row r="206" spans="1:54" x14ac:dyDescent="0.25">
      <c r="A206" s="2" t="s">
        <v>534</v>
      </c>
      <c r="B206" s="3" t="s">
        <v>473</v>
      </c>
      <c r="C206" s="3" t="s">
        <v>582</v>
      </c>
      <c r="D206" s="3" t="s">
        <v>583</v>
      </c>
      <c r="E206" s="30" t="s">
        <v>537</v>
      </c>
      <c r="F206" s="30" t="s">
        <v>536</v>
      </c>
      <c r="G206" s="44">
        <f>0.00002</f>
        <v>2.0000000000000002E-5</v>
      </c>
      <c r="I206" s="44">
        <f>0.0000005*0.4285*10/2.028*4</f>
        <v>4.2258382642998024E-6</v>
      </c>
      <c r="J206" s="58"/>
      <c r="K206" s="44">
        <f>0.0000005*0.4285*10/2.028*4</f>
        <v>4.2258382642998024E-6</v>
      </c>
      <c r="M206" s="44">
        <f t="shared" ref="M206:AT206" si="13">0.00002</f>
        <v>2.0000000000000002E-5</v>
      </c>
      <c r="N206" s="44">
        <f t="shared" si="13"/>
        <v>2.0000000000000002E-5</v>
      </c>
      <c r="O206" s="44">
        <f t="shared" si="13"/>
        <v>2.0000000000000002E-5</v>
      </c>
      <c r="R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/>
      <c r="AD206" s="44">
        <f t="shared" si="13"/>
        <v>2.0000000000000002E-5</v>
      </c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/>
      <c r="AL206" s="44">
        <f t="shared" si="13"/>
        <v>2.0000000000000002E-5</v>
      </c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/>
      <c r="AQ206" s="44">
        <f t="shared" si="13"/>
        <v>2.0000000000000002E-5</v>
      </c>
      <c r="AR206"/>
      <c r="AS206"/>
      <c r="AT206" s="44">
        <f t="shared" si="13"/>
        <v>2.0000000000000002E-5</v>
      </c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2" t="s">
        <v>533</v>
      </c>
      <c r="B207" s="3" t="s">
        <v>473</v>
      </c>
      <c r="C207" s="3" t="s">
        <v>582</v>
      </c>
      <c r="D207" s="3" t="s">
        <v>583</v>
      </c>
      <c r="E207" s="30" t="s">
        <v>538</v>
      </c>
      <c r="F207" s="30" t="s">
        <v>539</v>
      </c>
      <c r="G207" s="44">
        <v>0.3</v>
      </c>
      <c r="I207" s="44">
        <v>0.25</v>
      </c>
      <c r="J207" s="58"/>
      <c r="K207" s="44">
        <v>0.25</v>
      </c>
      <c r="M207" s="44">
        <v>0.3</v>
      </c>
      <c r="N207" s="44">
        <v>0.3</v>
      </c>
      <c r="O207" s="44">
        <v>0.3</v>
      </c>
      <c r="R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/>
      <c r="AD207" s="44">
        <v>0.3</v>
      </c>
      <c r="AE207" s="44">
        <v>0.3</v>
      </c>
      <c r="AF207" s="44">
        <v>0.3</v>
      </c>
      <c r="AG207" s="44">
        <v>0.3</v>
      </c>
      <c r="AH207" s="44">
        <v>0.15</v>
      </c>
      <c r="AI207" s="44">
        <v>0.15</v>
      </c>
      <c r="AJ207" s="44">
        <v>0.15</v>
      </c>
      <c r="AK207"/>
      <c r="AL207" s="44">
        <v>0.15</v>
      </c>
      <c r="AM207" s="44">
        <v>0.15</v>
      </c>
      <c r="AN207" s="44">
        <v>0.15</v>
      </c>
      <c r="AO207" s="44">
        <v>0.15</v>
      </c>
      <c r="AP207"/>
      <c r="AQ207" s="44">
        <v>0.15</v>
      </c>
      <c r="AR207"/>
      <c r="AS207"/>
      <c r="AT207" s="44">
        <v>0.3</v>
      </c>
      <c r="AU207" s="51"/>
      <c r="AV207" s="51"/>
      <c r="AW207" s="51"/>
      <c r="AX207" s="51"/>
      <c r="AY207" s="51"/>
      <c r="AZ207" s="51"/>
      <c r="BA207" s="51"/>
      <c r="BB207" s="51"/>
    </row>
    <row r="208" spans="1:54" x14ac:dyDescent="0.25">
      <c r="A208" s="2" t="s">
        <v>535</v>
      </c>
      <c r="B208" s="3" t="s">
        <v>473</v>
      </c>
      <c r="C208" s="3" t="s">
        <v>582</v>
      </c>
      <c r="D208" s="3" t="s">
        <v>583</v>
      </c>
      <c r="E208" s="50" t="s">
        <v>488</v>
      </c>
      <c r="F208" s="50" t="s">
        <v>487</v>
      </c>
      <c r="G208" s="44">
        <f t="shared" ref="G208:AT208" si="14">0.00002 / 14</f>
        <v>1.4285714285714286E-6</v>
      </c>
      <c r="I208" s="44">
        <f t="shared" si="14"/>
        <v>1.4285714285714286E-6</v>
      </c>
      <c r="J208" s="58"/>
      <c r="K208" s="44">
        <f t="shared" si="14"/>
        <v>1.4285714285714286E-6</v>
      </c>
      <c r="M208" s="44">
        <f t="shared" si="14"/>
        <v>1.4285714285714286E-6</v>
      </c>
      <c r="N208" s="44">
        <v>2E-3</v>
      </c>
      <c r="O208" s="44">
        <f t="shared" si="14"/>
        <v>1.4285714285714286E-6</v>
      </c>
      <c r="R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/>
      <c r="AD208" s="44">
        <f t="shared" si="14"/>
        <v>1.4285714285714286E-6</v>
      </c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/>
      <c r="AL208" s="44">
        <f t="shared" si="14"/>
        <v>1.4285714285714286E-6</v>
      </c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/>
      <c r="AQ208" s="44">
        <v>2E-3</v>
      </c>
      <c r="AR208"/>
      <c r="AS208"/>
      <c r="AT208" s="44">
        <f t="shared" si="14"/>
        <v>1.4285714285714286E-6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489</v>
      </c>
      <c r="B209" s="3" t="s">
        <v>473</v>
      </c>
      <c r="C209" s="3" t="s">
        <v>582</v>
      </c>
      <c r="D209" s="3" t="s">
        <v>583</v>
      </c>
      <c r="E209" s="50" t="s">
        <v>490</v>
      </c>
      <c r="F209" s="50" t="s">
        <v>491</v>
      </c>
      <c r="G209" s="44" t="s">
        <v>485</v>
      </c>
      <c r="I209" s="44" t="s">
        <v>485</v>
      </c>
      <c r="J209" s="58"/>
      <c r="K209" s="44" t="s">
        <v>485</v>
      </c>
      <c r="M209" s="44" t="s">
        <v>485</v>
      </c>
      <c r="N209" s="44">
        <v>0.1</v>
      </c>
      <c r="O209" s="44" t="s">
        <v>485</v>
      </c>
      <c r="R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/>
      <c r="AD209" s="44" t="s">
        <v>485</v>
      </c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/>
      <c r="AL209" s="44" t="s">
        <v>485</v>
      </c>
      <c r="AM209" s="44" t="s">
        <v>485</v>
      </c>
      <c r="AN209" s="44" t="s">
        <v>485</v>
      </c>
      <c r="AO209" s="44" t="s">
        <v>485</v>
      </c>
      <c r="AP209"/>
      <c r="AQ209" s="44">
        <v>0.1</v>
      </c>
      <c r="AR209"/>
      <c r="AS209"/>
      <c r="AT209" s="44" t="s">
        <v>485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492</v>
      </c>
      <c r="B210" s="3" t="s">
        <v>473</v>
      </c>
      <c r="C210" s="3" t="s">
        <v>582</v>
      </c>
      <c r="D210" s="3" t="s">
        <v>583</v>
      </c>
      <c r="E210" s="50" t="s">
        <v>493</v>
      </c>
      <c r="F210" s="50" t="s">
        <v>491</v>
      </c>
      <c r="G210" s="44">
        <v>0</v>
      </c>
      <c r="I210" s="44">
        <v>0</v>
      </c>
      <c r="J210" s="58"/>
      <c r="K210" s="44">
        <v>0</v>
      </c>
      <c r="M210" s="44">
        <v>0</v>
      </c>
      <c r="N210" s="44">
        <v>0.04</v>
      </c>
      <c r="O210" s="44">
        <v>0</v>
      </c>
      <c r="R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/>
      <c r="AD210" s="44">
        <v>0</v>
      </c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/>
      <c r="AL210" s="44">
        <v>0</v>
      </c>
      <c r="AM210" s="44">
        <v>0</v>
      </c>
      <c r="AN210" s="44">
        <v>0</v>
      </c>
      <c r="AO210" s="44">
        <v>0</v>
      </c>
      <c r="AP210"/>
      <c r="AQ210" s="44">
        <v>0.04</v>
      </c>
      <c r="AR210"/>
      <c r="AS210"/>
      <c r="AT210" s="44">
        <v>0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494</v>
      </c>
      <c r="B211" s="3" t="s">
        <v>473</v>
      </c>
      <c r="C211" s="3" t="s">
        <v>582</v>
      </c>
      <c r="D211" s="3" t="s">
        <v>583</v>
      </c>
      <c r="E211" s="50" t="s">
        <v>495</v>
      </c>
      <c r="F211" s="50" t="s">
        <v>491</v>
      </c>
      <c r="G211" s="44">
        <v>1E-3</v>
      </c>
      <c r="I211" s="44">
        <v>1E-3</v>
      </c>
      <c r="J211" s="58"/>
      <c r="K211" s="44">
        <v>1E-3</v>
      </c>
      <c r="M211" s="44">
        <v>1E-3</v>
      </c>
      <c r="N211" s="44">
        <v>1E-3</v>
      </c>
      <c r="O211" s="44">
        <v>1E-3</v>
      </c>
      <c r="R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/>
      <c r="AD211" s="44">
        <v>1E-3</v>
      </c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/>
      <c r="AL211" s="44">
        <v>1E-3</v>
      </c>
      <c r="AM211" s="44">
        <v>1E-3</v>
      </c>
      <c r="AN211" s="44">
        <v>1E-3</v>
      </c>
      <c r="AO211" s="44">
        <v>1E-3</v>
      </c>
      <c r="AP211"/>
      <c r="AQ211" s="44">
        <v>1E-3</v>
      </c>
      <c r="AR211"/>
      <c r="AS211"/>
      <c r="AT211" s="44">
        <v>1E-3</v>
      </c>
      <c r="AU211" s="37"/>
      <c r="AV211" s="37"/>
      <c r="AW211" s="37"/>
      <c r="AX211" s="37"/>
      <c r="AY211" s="37"/>
      <c r="AZ211" s="37"/>
      <c r="BA211" s="37"/>
      <c r="BB211" s="37"/>
    </row>
    <row r="212" spans="1:69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44">
        <f t="shared" ref="I212:AT212" si="15">1250*0.000001/5</f>
        <v>2.5000000000000001E-4</v>
      </c>
      <c r="J212" s="58"/>
      <c r="K212" s="44">
        <f t="shared" si="15"/>
        <v>2.5000000000000001E-4</v>
      </c>
      <c r="M212" s="44">
        <f t="shared" si="15"/>
        <v>2.5000000000000001E-4</v>
      </c>
      <c r="N212" s="44">
        <f t="shared" si="15"/>
        <v>2.5000000000000001E-4</v>
      </c>
      <c r="O212" s="44">
        <f t="shared" si="15"/>
        <v>2.5000000000000001E-4</v>
      </c>
      <c r="R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/>
      <c r="AD212" s="44">
        <f t="shared" si="15"/>
        <v>2.5000000000000001E-4</v>
      </c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/>
      <c r="AL212" s="44">
        <f t="shared" si="15"/>
        <v>2.5000000000000001E-4</v>
      </c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/>
      <c r="AQ212" s="44">
        <f t="shared" si="15"/>
        <v>2.5000000000000001E-4</v>
      </c>
      <c r="AR212"/>
      <c r="AS212"/>
      <c r="AT212" s="44">
        <f t="shared" si="15"/>
        <v>2.5000000000000001E-4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44">
        <v>2.0000000000000001E-4</v>
      </c>
      <c r="J213" s="58"/>
      <c r="K213" s="44">
        <v>2.0000000000000001E-4</v>
      </c>
      <c r="M213" s="44">
        <v>2.0000000000000001E-4</v>
      </c>
      <c r="N213" s="44">
        <v>2.0000000000000001E-4</v>
      </c>
      <c r="O213" s="44">
        <v>2.0000000000000001E-4</v>
      </c>
      <c r="P213" s="1">
        <f>44.4365413894298/21.9053373</f>
        <v>2.0285714290019081</v>
      </c>
      <c r="R213" s="44">
        <v>2.0000000000000001E-4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/>
      <c r="AD213" s="44">
        <v>2.0000000000000001E-4</v>
      </c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/>
      <c r="AL213" s="44">
        <v>2.0000000000000001E-4</v>
      </c>
      <c r="AM213" s="44">
        <v>2.0000000000000001E-4</v>
      </c>
      <c r="AN213" s="44">
        <v>2.0000000000000001E-4</v>
      </c>
      <c r="AO213" s="44">
        <v>2.0000000000000001E-4</v>
      </c>
      <c r="AP213"/>
      <c r="AQ213" s="44">
        <v>2.0000000000000001E-4</v>
      </c>
      <c r="AR213"/>
      <c r="AS213"/>
      <c r="AT213" s="44">
        <v>2.0000000000000001E-4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0.0000000000025*2</f>
        <v>4.9999999999999997E-12</v>
      </c>
      <c r="J214" s="44">
        <f xml:space="preserve"> 0.0000000000025 * 10</f>
        <v>2.4999999999999998E-11</v>
      </c>
      <c r="K214" s="44">
        <f xml:space="preserve"> 0.0000000000025*2</f>
        <v>4.9999999999999997E-12</v>
      </c>
      <c r="L214" s="1" t="s">
        <v>595</v>
      </c>
      <c r="M214" s="44">
        <v>2.4999999999999999E-13</v>
      </c>
      <c r="N214" s="44">
        <v>2.4999999999999999E-13</v>
      </c>
      <c r="O214" s="44">
        <v>2.4999999999999999E-13</v>
      </c>
      <c r="R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/>
      <c r="AD214" s="44">
        <v>2.4999999999999999E-13</v>
      </c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/>
      <c r="AL214" s="44">
        <v>2.4999999999999999E-13</v>
      </c>
      <c r="AM214" s="44">
        <v>2.4999999999999999E-13</v>
      </c>
      <c r="AN214" s="44">
        <v>2.4999999999999999E-13</v>
      </c>
      <c r="AO214" s="44">
        <v>2.4999999999999999E-13</v>
      </c>
      <c r="AP214"/>
      <c r="AQ214" s="44">
        <v>2.4999999999999999E-13</v>
      </c>
      <c r="AR214"/>
      <c r="AS214"/>
      <c r="AT214" s="44">
        <v>2.4999999999999999E-13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44">
        <f>0.00000000005*2 / 10 / 2</f>
        <v>5.0000000000000005E-12</v>
      </c>
      <c r="J215" s="58"/>
      <c r="K215" s="44">
        <f>0.00000000005*2 / 10 / 2</f>
        <v>5.0000000000000005E-12</v>
      </c>
      <c r="M215" s="44">
        <f t="shared" ref="M215:AQ215" si="16">0.00000012*100</f>
        <v>1.1999999999999999E-5</v>
      </c>
      <c r="N215" s="44">
        <f t="shared" si="16"/>
        <v>1.1999999999999999E-5</v>
      </c>
      <c r="O215" s="44">
        <f t="shared" si="16"/>
        <v>1.1999999999999999E-5</v>
      </c>
      <c r="R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/>
      <c r="AD215" s="44">
        <f t="shared" si="16"/>
        <v>1.1999999999999999E-5</v>
      </c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/>
      <c r="AL215" s="44">
        <f t="shared" si="16"/>
        <v>1.1999999999999999E-5</v>
      </c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/>
      <c r="AQ215" s="44">
        <f t="shared" si="16"/>
        <v>1.1999999999999999E-5</v>
      </c>
      <c r="AR215"/>
      <c r="AS215"/>
      <c r="AT215" s="44">
        <f>0.00000012*100</f>
        <v>1.1999999999999999E-5</v>
      </c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573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511</v>
      </c>
      <c r="G216" s="44"/>
      <c r="I216" s="44">
        <f>0</f>
        <v>0</v>
      </c>
      <c r="J216" s="58"/>
      <c r="K216" s="44">
        <f>0</f>
        <v>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574</v>
      </c>
      <c r="B217" s="3" t="s">
        <v>473</v>
      </c>
      <c r="C217" s="3" t="s">
        <v>483</v>
      </c>
      <c r="D217" s="3" t="s">
        <v>521</v>
      </c>
      <c r="E217" s="50" t="s">
        <v>577</v>
      </c>
      <c r="F217" s="50" t="s">
        <v>487</v>
      </c>
      <c r="G217" s="44"/>
      <c r="I217" s="44">
        <f>100</f>
        <v>100</v>
      </c>
      <c r="J217" s="58"/>
      <c r="K217" s="44">
        <f>100</f>
        <v>100</v>
      </c>
      <c r="M217" s="44"/>
      <c r="N217" s="44"/>
      <c r="O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/>
      <c r="AD217" s="44"/>
      <c r="AE217" s="44"/>
      <c r="AF217" s="44"/>
      <c r="AG217" s="44"/>
      <c r="AH217" s="44"/>
      <c r="AI217" s="44"/>
      <c r="AJ217" s="44"/>
      <c r="AK217"/>
      <c r="AL217" s="44"/>
      <c r="AM217" s="44"/>
      <c r="AN217" s="44"/>
      <c r="AO217" s="44"/>
      <c r="AP217"/>
      <c r="AQ217" s="44"/>
      <c r="AR217"/>
      <c r="AS217"/>
      <c r="AT217" s="44"/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593</v>
      </c>
      <c r="B218" s="3" t="s">
        <v>473</v>
      </c>
      <c r="C218" s="3" t="s">
        <v>483</v>
      </c>
      <c r="D218" s="3" t="s">
        <v>521</v>
      </c>
      <c r="E218" s="50" t="s">
        <v>507</v>
      </c>
      <c r="F218" s="50" t="s">
        <v>508</v>
      </c>
      <c r="G218" s="44">
        <v>9.9999999999999995E-8</v>
      </c>
      <c r="I218" s="44">
        <f>0.000001 / 10000 *2 * 3</f>
        <v>6E-10</v>
      </c>
      <c r="J218" s="44">
        <f>0.000001 / 10000 / 4 / 10</f>
        <v>2.4999999999999998E-12</v>
      </c>
      <c r="K218" s="44">
        <f>0.000001 / 10000 *2 * 3</f>
        <v>6E-10</v>
      </c>
      <c r="L218" s="1" t="s">
        <v>602</v>
      </c>
      <c r="M218" s="44">
        <v>9.9999999999999995E-7</v>
      </c>
      <c r="N218" s="44">
        <v>9.9999999999999995E-7</v>
      </c>
      <c r="O218" s="44">
        <v>9.9999999999999995E-7</v>
      </c>
      <c r="R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/>
      <c r="AD218" s="44">
        <v>9.9999999999999995E-7</v>
      </c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/>
      <c r="AL218" s="44">
        <v>9.9999999999999995E-7</v>
      </c>
      <c r="AM218" s="44">
        <v>9.9999999999999995E-7</v>
      </c>
      <c r="AN218" s="44">
        <v>9.9999999999999995E-7</v>
      </c>
      <c r="AO218" s="44">
        <v>9.9999999999999995E-7</v>
      </c>
      <c r="AP218"/>
      <c r="AQ218" s="44">
        <v>9.9999999999999995E-7</v>
      </c>
      <c r="AR218"/>
      <c r="AS218"/>
      <c r="AT218" s="44">
        <v>9.9999999999999995E-7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594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 / 4 / 10</f>
        <v>2.4999999999999998E-12</v>
      </c>
      <c r="J219" s="44">
        <f>0.000001 / 10000 / 4 / 10</f>
        <v>2.4999999999999998E-12</v>
      </c>
      <c r="K219" s="44">
        <f>0.000001 / 10000 / 4 / 10</f>
        <v>2.4999999999999998E-12</v>
      </c>
      <c r="L219" s="1" t="s">
        <v>596</v>
      </c>
      <c r="M219" s="44">
        <v>9.9999999999999995E-7</v>
      </c>
      <c r="N219" s="44">
        <v>9.9999999999999995E-7</v>
      </c>
      <c r="O219" s="44">
        <v>9.9999999999999995E-7</v>
      </c>
      <c r="R219" s="44">
        <v>9.9999999999999995E-7</v>
      </c>
      <c r="S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/>
      <c r="AD219" s="44">
        <v>9.9999999999999995E-7</v>
      </c>
      <c r="AE219" s="44">
        <v>9.9999999999999995E-7</v>
      </c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/>
      <c r="AL219" s="44">
        <v>9.9999999999999995E-7</v>
      </c>
      <c r="AM219" s="44">
        <v>9.9999999999999995E-7</v>
      </c>
      <c r="AN219" s="44">
        <v>9.9999999999999995E-7</v>
      </c>
      <c r="AO219" s="44">
        <v>9.9999999999999995E-7</v>
      </c>
      <c r="AP219"/>
      <c r="AQ219" s="44">
        <v>9.9999999999999995E-7</v>
      </c>
      <c r="AR219"/>
      <c r="AS219"/>
      <c r="AT219" s="44">
        <v>9.9999999999999995E-7</v>
      </c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509</v>
      </c>
      <c r="B220" s="3" t="s">
        <v>473</v>
      </c>
      <c r="C220" s="3" t="s">
        <v>483</v>
      </c>
      <c r="D220" s="3" t="s">
        <v>521</v>
      </c>
      <c r="E220" s="50" t="s">
        <v>510</v>
      </c>
      <c r="F220" s="50" t="s">
        <v>511</v>
      </c>
      <c r="G220" s="44">
        <f>2*0.00001</f>
        <v>2.0000000000000002E-5</v>
      </c>
      <c r="I220" s="44">
        <f>0.00001 / 10</f>
        <v>1.0000000000000002E-6</v>
      </c>
      <c r="J220" s="44">
        <f>0.00001</f>
        <v>1.0000000000000001E-5</v>
      </c>
      <c r="K220" s="44">
        <f>0.00001 / 10/2</f>
        <v>5.0000000000000008E-7</v>
      </c>
      <c r="L220" s="1" t="s">
        <v>600</v>
      </c>
      <c r="M220" s="44">
        <v>2E-8</v>
      </c>
      <c r="N220" s="44">
        <v>2E-8</v>
      </c>
      <c r="O220" s="44">
        <v>2E-8</v>
      </c>
      <c r="R220" s="44">
        <v>5.0000000000000002E-5</v>
      </c>
      <c r="S220" s="44">
        <v>5.0000000000000002E-5</v>
      </c>
      <c r="T220" s="44">
        <v>5.0000000000000002E-5</v>
      </c>
      <c r="U220" s="44">
        <v>5.0000000000000002E-5</v>
      </c>
      <c r="V220" s="44">
        <v>2.0000000000000002E-5</v>
      </c>
      <c r="W220" s="44">
        <v>1.0000000000000001E-5</v>
      </c>
      <c r="X220" s="44">
        <v>5.0000000000000004E-6</v>
      </c>
      <c r="Y220" s="44">
        <v>1.9999999999999999E-6</v>
      </c>
      <c r="Z220" s="44">
        <v>9.9999999999999995E-7</v>
      </c>
      <c r="AA220" s="44">
        <v>4.9999999999999998E-7</v>
      </c>
      <c r="AB220" s="44">
        <v>1.9999999999999999E-7</v>
      </c>
      <c r="AC220"/>
      <c r="AD220" s="44">
        <v>2.0000000000000002E-5</v>
      </c>
      <c r="AE220" s="44">
        <v>1.0000000000000001E-5</v>
      </c>
      <c r="AF220" s="44">
        <v>5.0000000000000004E-6</v>
      </c>
      <c r="AG220" s="44">
        <v>1.9999999999999999E-6</v>
      </c>
      <c r="AH220" s="44">
        <v>9.9999999999999995E-7</v>
      </c>
      <c r="AI220" s="44">
        <v>4.9999999999999998E-7</v>
      </c>
      <c r="AJ220" s="44">
        <v>1.9999999999999999E-7</v>
      </c>
      <c r="AK220"/>
      <c r="AL220" s="44">
        <v>2E-8</v>
      </c>
      <c r="AM220" s="44">
        <v>2E-8</v>
      </c>
      <c r="AN220" s="44">
        <v>2.0000000000000001E-9</v>
      </c>
      <c r="AO220" s="44">
        <v>2.0000000000000001E-9</v>
      </c>
      <c r="AP220"/>
      <c r="AQ220" s="44">
        <v>9.9999999999999995E-7</v>
      </c>
      <c r="AR220"/>
      <c r="AS220"/>
      <c r="AT220" s="44">
        <v>5.0000000000000002E-5</v>
      </c>
      <c r="AU220" s="51"/>
      <c r="AV220" s="51"/>
      <c r="AW220" s="51"/>
      <c r="AX220" s="51"/>
      <c r="AY220" s="51"/>
      <c r="AZ220" s="51"/>
      <c r="BA220" s="51"/>
      <c r="BB220" s="51"/>
    </row>
    <row r="221" spans="1:69" x14ac:dyDescent="0.25">
      <c r="A221" s="2" t="s">
        <v>571</v>
      </c>
      <c r="B221" s="3" t="s">
        <v>473</v>
      </c>
      <c r="C221" s="3" t="s">
        <v>483</v>
      </c>
      <c r="D221" s="3" t="s">
        <v>521</v>
      </c>
      <c r="E221" s="50" t="s">
        <v>572</v>
      </c>
      <c r="F221" s="50" t="s">
        <v>511</v>
      </c>
      <c r="G221" s="44"/>
      <c r="I221" s="44">
        <f xml:space="preserve"> 0.001 / 10</f>
        <v>1E-4</v>
      </c>
      <c r="J221" s="44">
        <f xml:space="preserve"> 0.001 * 10</f>
        <v>0.01</v>
      </c>
      <c r="K221" s="44">
        <f xml:space="preserve"> 0.001 / 10</f>
        <v>1E-4</v>
      </c>
      <c r="L221" s="1" t="s">
        <v>597</v>
      </c>
      <c r="M221" s="44"/>
      <c r="N221" s="44"/>
      <c r="O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/>
      <c r="AD221" s="44"/>
      <c r="AE221" s="44"/>
      <c r="AF221" s="44"/>
      <c r="AG221" s="44"/>
      <c r="AH221" s="44"/>
      <c r="AI221" s="44"/>
      <c r="AJ221" s="44"/>
      <c r="AK221"/>
      <c r="AL221" s="44"/>
      <c r="AM221" s="44"/>
      <c r="AN221" s="44"/>
      <c r="AO221" s="44"/>
      <c r="AP221"/>
      <c r="AQ221" s="44"/>
      <c r="AR221"/>
      <c r="AS221"/>
      <c r="AT221" s="44"/>
      <c r="AU221" s="51"/>
      <c r="AV221" s="51"/>
      <c r="AW221" s="51"/>
      <c r="AX221" s="51"/>
      <c r="AY221" s="51"/>
      <c r="AZ221" s="51"/>
      <c r="BA221" s="51"/>
      <c r="BB221" s="51"/>
    </row>
    <row r="222" spans="1:69" x14ac:dyDescent="0.25">
      <c r="A222" s="2" t="s">
        <v>575</v>
      </c>
      <c r="B222" s="3" t="s">
        <v>473</v>
      </c>
      <c r="C222" s="3" t="s">
        <v>483</v>
      </c>
      <c r="D222" s="3" t="s">
        <v>521</v>
      </c>
      <c r="E222" s="50" t="s">
        <v>576</v>
      </c>
      <c r="F222" s="50" t="s">
        <v>511</v>
      </c>
      <c r="G222" s="56">
        <v>1.0000000000000001E-5</v>
      </c>
      <c r="I222" s="44">
        <f>0.00001 /5</f>
        <v>2.0000000000000003E-6</v>
      </c>
      <c r="J222" s="44">
        <f>0.00001 /10/4/2</f>
        <v>1.2500000000000002E-7</v>
      </c>
      <c r="K222" s="44">
        <f>0.00001 /5 /2</f>
        <v>1.0000000000000002E-6</v>
      </c>
      <c r="L222" s="1" t="s">
        <v>599</v>
      </c>
      <c r="M222" s="44"/>
      <c r="N222" s="44"/>
      <c r="O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/>
      <c r="AD222" s="44"/>
      <c r="AE222" s="44"/>
      <c r="AF222" s="44"/>
      <c r="AG222" s="44"/>
      <c r="AH222" s="44"/>
      <c r="AI222" s="44"/>
      <c r="AJ222" s="44"/>
      <c r="AK222"/>
      <c r="AL222" s="44"/>
      <c r="AM222" s="44"/>
      <c r="AN222" s="44"/>
      <c r="AO222" s="44"/>
      <c r="AP222"/>
      <c r="AQ222" s="44"/>
      <c r="AR222"/>
      <c r="AS222"/>
      <c r="AT222" s="44"/>
      <c r="AU222" s="51"/>
      <c r="AV222" s="51"/>
      <c r="AW222" s="51"/>
      <c r="AX222" s="51"/>
      <c r="AY222" s="51"/>
      <c r="AZ222" s="51"/>
      <c r="BA222" s="51"/>
      <c r="BB222" s="51"/>
    </row>
    <row r="223" spans="1:69" ht="14.25" customHeight="1" x14ac:dyDescent="0.25">
      <c r="A223" s="53" t="s">
        <v>517</v>
      </c>
      <c r="B223" s="3" t="s">
        <v>473</v>
      </c>
      <c r="C223" s="3" t="s">
        <v>518</v>
      </c>
      <c r="D223" s="3" t="s">
        <v>521</v>
      </c>
      <c r="E223" s="50" t="s">
        <v>519</v>
      </c>
      <c r="F223" s="50" t="s">
        <v>520</v>
      </c>
      <c r="G223" s="44">
        <v>9.9999999999999995E-8</v>
      </c>
      <c r="I223" s="44">
        <f>0.0000001</f>
        <v>9.9999999999999995E-8</v>
      </c>
      <c r="J223" s="58"/>
      <c r="K223" s="44">
        <f>0.0000001</f>
        <v>9.9999999999999995E-8</v>
      </c>
      <c r="M223" s="44">
        <v>5.0000000000000003E-10</v>
      </c>
      <c r="N223" s="44">
        <v>5.0000000000000003E-10</v>
      </c>
      <c r="O223" s="44">
        <v>9.9999999999999995E-8</v>
      </c>
      <c r="R223" s="44">
        <v>4.9999999999999998E-8</v>
      </c>
      <c r="S223" s="44">
        <v>2E-8</v>
      </c>
      <c r="T223" s="44">
        <v>1E-8</v>
      </c>
      <c r="U223" s="44">
        <v>1.0000000000000001E-9</v>
      </c>
      <c r="V223" s="44">
        <v>1E-8</v>
      </c>
      <c r="W223" s="44">
        <v>1E-8</v>
      </c>
      <c r="X223" s="44">
        <v>1E-8</v>
      </c>
      <c r="Y223" s="44">
        <v>1E-8</v>
      </c>
      <c r="Z223" s="44">
        <v>1E-8</v>
      </c>
      <c r="AA223" s="44">
        <v>1E-8</v>
      </c>
      <c r="AB223" s="44">
        <v>1E-8</v>
      </c>
      <c r="AC223"/>
      <c r="AD223" s="44">
        <v>1.0000000000000001E-9</v>
      </c>
      <c r="AE223" s="44">
        <v>1.0000000000000001E-9</v>
      </c>
      <c r="AF223" s="44">
        <v>1.0000000000000001E-9</v>
      </c>
      <c r="AG223" s="44">
        <v>1.0000000000000001E-9</v>
      </c>
      <c r="AH223" s="44">
        <v>1.0000000000000001E-9</v>
      </c>
      <c r="AI223" s="44">
        <v>1.0000000000000001E-9</v>
      </c>
      <c r="AJ223" s="44">
        <v>1.0000000000000001E-9</v>
      </c>
      <c r="AK223"/>
      <c r="AL223" s="44">
        <v>1E-8</v>
      </c>
      <c r="AM223" s="44">
        <v>1.0000000000000001E-9</v>
      </c>
      <c r="AN223" s="44">
        <v>1E-8</v>
      </c>
      <c r="AO223" s="44">
        <v>1.0000000000000001E-9</v>
      </c>
      <c r="AP223"/>
      <c r="AQ223" s="44">
        <v>1.0000000000000001E-9</v>
      </c>
      <c r="AR223"/>
      <c r="AS223"/>
      <c r="AT223" s="44">
        <v>9.9999999999999995E-8</v>
      </c>
    </row>
    <row r="224" spans="1:69" x14ac:dyDescent="0.25">
      <c r="A224" s="2" t="s">
        <v>523</v>
      </c>
      <c r="B224" s="3" t="s">
        <v>473</v>
      </c>
      <c r="C224" s="3" t="s">
        <v>483</v>
      </c>
      <c r="D224" s="3" t="s">
        <v>521</v>
      </c>
      <c r="E224" s="50" t="s">
        <v>524</v>
      </c>
      <c r="F224" s="50" t="s">
        <v>487</v>
      </c>
      <c r="G224" s="44">
        <v>0.2</v>
      </c>
      <c r="I224" s="44">
        <v>0.2</v>
      </c>
      <c r="J224" s="58"/>
      <c r="K224" s="44">
        <v>0.2</v>
      </c>
      <c r="M224" s="44">
        <v>0.2</v>
      </c>
      <c r="N224" s="44">
        <v>0.2</v>
      </c>
      <c r="O224" s="44">
        <v>0.2</v>
      </c>
      <c r="R224" s="44">
        <v>0.2</v>
      </c>
      <c r="S224" s="44">
        <v>0.2</v>
      </c>
      <c r="T224" s="44">
        <v>0.2</v>
      </c>
      <c r="U224" s="44">
        <v>0.2</v>
      </c>
      <c r="V224" s="44">
        <v>0.2</v>
      </c>
      <c r="W224" s="44">
        <v>0.2</v>
      </c>
      <c r="X224" s="44">
        <v>0.2</v>
      </c>
      <c r="Y224" s="44">
        <v>0.2</v>
      </c>
      <c r="Z224" s="44">
        <v>0.2</v>
      </c>
      <c r="AA224" s="44">
        <v>0.2</v>
      </c>
      <c r="AB224" s="44">
        <v>0.2</v>
      </c>
      <c r="AC224"/>
      <c r="AD224" s="44">
        <v>0.2</v>
      </c>
      <c r="AE224" s="44">
        <v>0.2</v>
      </c>
      <c r="AF224" s="44">
        <v>0.2</v>
      </c>
      <c r="AG224" s="44">
        <v>0.2</v>
      </c>
      <c r="AH224" s="44">
        <v>0.2</v>
      </c>
      <c r="AI224" s="44">
        <v>0.2</v>
      </c>
      <c r="AJ224" s="44">
        <v>0.2</v>
      </c>
      <c r="AK224"/>
      <c r="AL224" s="44">
        <v>0.2</v>
      </c>
      <c r="AM224" s="44">
        <v>0.2</v>
      </c>
      <c r="AN224" s="44">
        <v>0.2</v>
      </c>
      <c r="AO224" s="44">
        <v>0.2</v>
      </c>
      <c r="AP224"/>
      <c r="AQ224" s="44">
        <v>0.2</v>
      </c>
      <c r="AR224"/>
      <c r="AS224"/>
      <c r="AT224" s="44">
        <v>0.2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525</v>
      </c>
      <c r="B225" s="3" t="s">
        <v>473</v>
      </c>
      <c r="C225" s="3" t="s">
        <v>582</v>
      </c>
      <c r="D225" s="3" t="s">
        <v>583</v>
      </c>
      <c r="E225" s="50" t="s">
        <v>526</v>
      </c>
      <c r="F225" s="50" t="s">
        <v>491</v>
      </c>
      <c r="G225" s="44" t="s">
        <v>485</v>
      </c>
      <c r="I225" s="44" t="s">
        <v>485</v>
      </c>
      <c r="J225" s="58"/>
      <c r="K225" s="44" t="s">
        <v>485</v>
      </c>
      <c r="M225" s="44" t="s">
        <v>485</v>
      </c>
      <c r="N225" s="44" t="s">
        <v>485</v>
      </c>
      <c r="O225" s="44" t="s">
        <v>485</v>
      </c>
      <c r="R225" s="44" t="s">
        <v>485</v>
      </c>
      <c r="S225" s="44" t="s">
        <v>485</v>
      </c>
      <c r="T225" s="44" t="s">
        <v>485</v>
      </c>
      <c r="U225" s="44" t="s">
        <v>485</v>
      </c>
      <c r="V225" s="44" t="s">
        <v>485</v>
      </c>
      <c r="W225" s="44" t="s">
        <v>485</v>
      </c>
      <c r="X225" s="44" t="s">
        <v>485</v>
      </c>
      <c r="Y225" s="44" t="s">
        <v>485</v>
      </c>
      <c r="Z225" s="44" t="s">
        <v>485</v>
      </c>
      <c r="AA225" s="44" t="s">
        <v>485</v>
      </c>
      <c r="AB225" s="44" t="s">
        <v>485</v>
      </c>
      <c r="AC225"/>
      <c r="AD225" s="44" t="s">
        <v>485</v>
      </c>
      <c r="AE225" s="44" t="s">
        <v>485</v>
      </c>
      <c r="AF225" s="44" t="s">
        <v>485</v>
      </c>
      <c r="AG225" s="44" t="s">
        <v>485</v>
      </c>
      <c r="AH225" s="44" t="s">
        <v>485</v>
      </c>
      <c r="AI225" s="44" t="s">
        <v>485</v>
      </c>
      <c r="AJ225" s="44" t="s">
        <v>485</v>
      </c>
      <c r="AK225"/>
      <c r="AL225" s="44" t="s">
        <v>485</v>
      </c>
      <c r="AM225" s="44" t="s">
        <v>485</v>
      </c>
      <c r="AN225" s="44" t="s">
        <v>485</v>
      </c>
      <c r="AO225" s="44" t="s">
        <v>485</v>
      </c>
      <c r="AP225"/>
      <c r="AQ225" s="44" t="s">
        <v>485</v>
      </c>
      <c r="AR225"/>
      <c r="AS225"/>
      <c r="AT225" s="44" t="s">
        <v>485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527</v>
      </c>
      <c r="B226" s="3" t="s">
        <v>473</v>
      </c>
      <c r="C226" s="3" t="s">
        <v>582</v>
      </c>
      <c r="D226" s="3" t="s">
        <v>583</v>
      </c>
      <c r="E226" s="50" t="s">
        <v>528</v>
      </c>
      <c r="F226" s="50" t="s">
        <v>491</v>
      </c>
      <c r="G226" s="44">
        <f t="shared" ref="G226:AT226" si="17">2*0.1</f>
        <v>0.2</v>
      </c>
      <c r="I226" s="44">
        <f t="shared" si="17"/>
        <v>0.2</v>
      </c>
      <c r="J226" s="58"/>
      <c r="K226" s="44">
        <f t="shared" si="17"/>
        <v>0.2</v>
      </c>
      <c r="M226" s="44">
        <f t="shared" si="17"/>
        <v>0.2</v>
      </c>
      <c r="N226" s="44">
        <f t="shared" si="17"/>
        <v>0.2</v>
      </c>
      <c r="O226" s="44">
        <f t="shared" si="17"/>
        <v>0.2</v>
      </c>
      <c r="R226" s="44">
        <f t="shared" si="17"/>
        <v>0.2</v>
      </c>
      <c r="S226" s="44">
        <f t="shared" si="17"/>
        <v>0.2</v>
      </c>
      <c r="T226" s="44">
        <f t="shared" si="17"/>
        <v>0.2</v>
      </c>
      <c r="U226" s="44">
        <f t="shared" si="17"/>
        <v>0.2</v>
      </c>
      <c r="V226" s="44">
        <f t="shared" si="17"/>
        <v>0.2</v>
      </c>
      <c r="W226" s="44">
        <f t="shared" si="17"/>
        <v>0.2</v>
      </c>
      <c r="X226" s="44">
        <f t="shared" si="17"/>
        <v>0.2</v>
      </c>
      <c r="Y226" s="44">
        <f t="shared" si="17"/>
        <v>0.2</v>
      </c>
      <c r="Z226" s="44">
        <f t="shared" si="17"/>
        <v>0.2</v>
      </c>
      <c r="AA226" s="44">
        <f t="shared" si="17"/>
        <v>0.2</v>
      </c>
      <c r="AB226" s="44">
        <f t="shared" si="17"/>
        <v>0.2</v>
      </c>
      <c r="AC226"/>
      <c r="AD226" s="44">
        <f t="shared" si="17"/>
        <v>0.2</v>
      </c>
      <c r="AE226" s="44">
        <f t="shared" si="17"/>
        <v>0.2</v>
      </c>
      <c r="AF226" s="44">
        <f t="shared" si="17"/>
        <v>0.2</v>
      </c>
      <c r="AG226" s="44">
        <f t="shared" si="17"/>
        <v>0.2</v>
      </c>
      <c r="AH226" s="44">
        <f t="shared" si="17"/>
        <v>0.2</v>
      </c>
      <c r="AI226" s="44">
        <f t="shared" si="17"/>
        <v>0.2</v>
      </c>
      <c r="AJ226" s="44">
        <f t="shared" si="17"/>
        <v>0.2</v>
      </c>
      <c r="AK226"/>
      <c r="AL226" s="44">
        <f t="shared" si="17"/>
        <v>0.2</v>
      </c>
      <c r="AM226" s="44">
        <f t="shared" si="17"/>
        <v>0.2</v>
      </c>
      <c r="AN226" s="44">
        <f t="shared" si="17"/>
        <v>0.2</v>
      </c>
      <c r="AO226" s="44">
        <f t="shared" si="17"/>
        <v>0.2</v>
      </c>
      <c r="AP226"/>
      <c r="AQ226" s="44">
        <f t="shared" si="17"/>
        <v>0.2</v>
      </c>
      <c r="AR226"/>
      <c r="AS226"/>
      <c r="AT226" s="44">
        <f t="shared" si="17"/>
        <v>0.2</v>
      </c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</row>
    <row r="227" spans="1:69" x14ac:dyDescent="0.25">
      <c r="A227" s="2" t="s">
        <v>529</v>
      </c>
      <c r="B227" s="3" t="s">
        <v>473</v>
      </c>
      <c r="C227" s="3" t="s">
        <v>582</v>
      </c>
      <c r="D227" s="3" t="s">
        <v>583</v>
      </c>
      <c r="E227" s="50" t="s">
        <v>530</v>
      </c>
      <c r="F227" s="50" t="s">
        <v>491</v>
      </c>
      <c r="G227" s="44">
        <v>1E-3</v>
      </c>
      <c r="I227" s="44">
        <v>1E-3</v>
      </c>
      <c r="J227" s="58"/>
      <c r="K227" s="44">
        <v>1E-3</v>
      </c>
      <c r="M227" s="44">
        <v>1E-3</v>
      </c>
      <c r="N227" s="44">
        <v>1E-3</v>
      </c>
      <c r="O227" s="44">
        <v>1E-3</v>
      </c>
      <c r="R227" s="44">
        <v>1E-3</v>
      </c>
      <c r="S227" s="44">
        <v>1E-3</v>
      </c>
      <c r="T227" s="44">
        <v>1E-3</v>
      </c>
      <c r="U227" s="44">
        <v>1E-3</v>
      </c>
      <c r="V227" s="44">
        <v>1E-3</v>
      </c>
      <c r="W227" s="44">
        <v>1E-3</v>
      </c>
      <c r="X227" s="44">
        <v>1E-3</v>
      </c>
      <c r="Y227" s="44">
        <v>1E-3</v>
      </c>
      <c r="Z227" s="44">
        <v>1E-3</v>
      </c>
      <c r="AA227" s="44">
        <v>1E-3</v>
      </c>
      <c r="AB227" s="44">
        <v>1E-3</v>
      </c>
      <c r="AC227"/>
      <c r="AD227" s="44">
        <v>1E-3</v>
      </c>
      <c r="AE227" s="44">
        <v>1E-3</v>
      </c>
      <c r="AF227" s="44">
        <v>1E-3</v>
      </c>
      <c r="AG227" s="44">
        <v>1E-3</v>
      </c>
      <c r="AH227" s="44">
        <v>1E-3</v>
      </c>
      <c r="AI227" s="44">
        <v>1E-3</v>
      </c>
      <c r="AJ227" s="44">
        <v>1E-3</v>
      </c>
      <c r="AK227"/>
      <c r="AL227" s="44">
        <v>1E-3</v>
      </c>
      <c r="AM227" s="44">
        <v>1E-3</v>
      </c>
      <c r="AN227" s="44">
        <v>1E-3</v>
      </c>
      <c r="AO227" s="44">
        <v>1E-3</v>
      </c>
      <c r="AP227"/>
      <c r="AQ227" s="44">
        <v>1E-3</v>
      </c>
      <c r="AR227"/>
      <c r="AS227"/>
      <c r="AT227" s="44">
        <v>1E-3</v>
      </c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</row>
    <row r="228" spans="1:69" x14ac:dyDescent="0.25">
      <c r="A228" s="2" t="s">
        <v>531</v>
      </c>
      <c r="B228" s="3" t="s">
        <v>473</v>
      </c>
      <c r="C228" s="3" t="s">
        <v>483</v>
      </c>
      <c r="D228" s="3" t="s">
        <v>521</v>
      </c>
      <c r="E228" s="50" t="s">
        <v>532</v>
      </c>
      <c r="F228" s="50" t="s">
        <v>561</v>
      </c>
      <c r="G228" s="44">
        <v>1.0000000000000001E-5</v>
      </c>
      <c r="I228" s="44">
        <f>0.00001 / 2</f>
        <v>5.0000000000000004E-6</v>
      </c>
      <c r="J228" s="58"/>
      <c r="K228" s="44">
        <f>0.00001 / 2</f>
        <v>5.0000000000000004E-6</v>
      </c>
      <c r="M228" s="44">
        <v>1.0000000000000001E-5</v>
      </c>
      <c r="N228" s="44">
        <v>1.0000000000000001E-5</v>
      </c>
      <c r="O228" s="44">
        <v>1.0000000000000001E-5</v>
      </c>
      <c r="R228" s="44">
        <v>1.0000000000000001E-5</v>
      </c>
      <c r="S228" s="44">
        <v>1.0000000000000001E-5</v>
      </c>
      <c r="T228" s="44">
        <v>1.0000000000000001E-5</v>
      </c>
      <c r="U228" s="44">
        <v>1.0000000000000001E-5</v>
      </c>
      <c r="V228" s="44">
        <v>1.0000000000000001E-5</v>
      </c>
      <c r="W228" s="44">
        <v>1.0000000000000001E-5</v>
      </c>
      <c r="X228" s="44">
        <v>1.0000000000000001E-5</v>
      </c>
      <c r="Y228" s="44">
        <v>1.0000000000000001E-5</v>
      </c>
      <c r="Z228" s="44">
        <v>1.0000000000000001E-5</v>
      </c>
      <c r="AA228" s="44">
        <v>1.0000000000000001E-5</v>
      </c>
      <c r="AB228" s="44">
        <v>1.0000000000000001E-5</v>
      </c>
      <c r="AC228"/>
      <c r="AD228" s="44">
        <v>1.0000000000000001E-5</v>
      </c>
      <c r="AE228" s="44">
        <v>1.0000000000000001E-5</v>
      </c>
      <c r="AF228" s="44">
        <v>1.0000000000000001E-5</v>
      </c>
      <c r="AG228" s="44">
        <v>1.0000000000000001E-5</v>
      </c>
      <c r="AH228" s="44">
        <v>1.0000000000000001E-5</v>
      </c>
      <c r="AI228" s="44">
        <v>1.0000000000000001E-5</v>
      </c>
      <c r="AJ228" s="44">
        <v>1.0000000000000001E-5</v>
      </c>
      <c r="AK228"/>
      <c r="AL228" s="44">
        <v>1.0000000000000001E-5</v>
      </c>
      <c r="AM228" s="44">
        <v>1.0000000000000001E-5</v>
      </c>
      <c r="AN228" s="44">
        <v>1.0000000000000001E-5</v>
      </c>
      <c r="AO228" s="44">
        <v>1.0000000000000001E-5</v>
      </c>
      <c r="AP228"/>
      <c r="AQ228" s="44">
        <v>1.0000000000000001E-5</v>
      </c>
      <c r="AR228"/>
      <c r="AS228"/>
      <c r="AT228" s="44">
        <v>1.0000000000000001E-5</v>
      </c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1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</row>
    <row r="229" spans="1:69" x14ac:dyDescent="0.25">
      <c r="A229" s="2" t="s">
        <v>580</v>
      </c>
      <c r="B229" s="3" t="s">
        <v>473</v>
      </c>
      <c r="C229" s="3" t="s">
        <v>483</v>
      </c>
      <c r="D229" s="3" t="s">
        <v>521</v>
      </c>
      <c r="E229" s="50" t="s">
        <v>581</v>
      </c>
      <c r="F229" s="50" t="s">
        <v>491</v>
      </c>
      <c r="G229" s="57">
        <v>1.0000000000000001E-5</v>
      </c>
      <c r="I229" s="44">
        <f t="shared" ref="I229:K229" si="18">0.000000005 / 5</f>
        <v>1.0000000000000001E-9</v>
      </c>
      <c r="J229" s="58"/>
      <c r="K229" s="44">
        <f t="shared" si="18"/>
        <v>1.0000000000000001E-9</v>
      </c>
      <c r="M229" s="44"/>
      <c r="N229" s="44"/>
      <c r="O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/>
      <c r="AD229" s="44"/>
      <c r="AE229" s="44"/>
      <c r="AF229" s="44"/>
      <c r="AG229" s="44"/>
      <c r="AH229" s="44"/>
      <c r="AI229" s="44"/>
      <c r="AJ229" s="44"/>
      <c r="AK229"/>
      <c r="AL229" s="44"/>
      <c r="AM229" s="44"/>
      <c r="AN229" s="44"/>
      <c r="AO229" s="44"/>
      <c r="AP229"/>
      <c r="AQ229" s="44"/>
      <c r="AR229"/>
      <c r="AS229"/>
      <c r="AT229" s="44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1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</row>
    <row r="230" spans="1:69" x14ac:dyDescent="0.25">
      <c r="A230" s="2" t="s">
        <v>540</v>
      </c>
      <c r="B230" s="3" t="s">
        <v>473</v>
      </c>
      <c r="C230" s="3" t="s">
        <v>483</v>
      </c>
      <c r="D230" s="3" t="s">
        <v>521</v>
      </c>
      <c r="E230" s="30" t="s">
        <v>537</v>
      </c>
      <c r="F230" s="30" t="s">
        <v>536</v>
      </c>
      <c r="G230" s="44">
        <f t="shared" ref="G230:AT231" si="19">0.00002 / 14 / 5</f>
        <v>2.8571428571428575E-7</v>
      </c>
      <c r="I230" s="44">
        <v>0</v>
      </c>
      <c r="J230" s="58"/>
      <c r="K230" s="44">
        <v>0</v>
      </c>
      <c r="M230" s="44">
        <f t="shared" si="19"/>
        <v>2.8571428571428575E-7</v>
      </c>
      <c r="N230" s="44">
        <f t="shared" si="19"/>
        <v>2.8571428571428575E-7</v>
      </c>
      <c r="O230" s="44">
        <f t="shared" si="19"/>
        <v>2.8571428571428575E-7</v>
      </c>
      <c r="R230" s="44">
        <f t="shared" si="19"/>
        <v>2.8571428571428575E-7</v>
      </c>
      <c r="S230" s="44">
        <f t="shared" si="19"/>
        <v>2.8571428571428575E-7</v>
      </c>
      <c r="T230" s="44">
        <f t="shared" si="19"/>
        <v>2.8571428571428575E-7</v>
      </c>
      <c r="U230" s="44">
        <f t="shared" si="19"/>
        <v>2.8571428571428575E-7</v>
      </c>
      <c r="V230" s="44">
        <f t="shared" si="19"/>
        <v>2.8571428571428575E-7</v>
      </c>
      <c r="W230" s="44">
        <f t="shared" si="19"/>
        <v>2.8571428571428575E-7</v>
      </c>
      <c r="X230" s="44">
        <f t="shared" si="19"/>
        <v>2.8571428571428575E-7</v>
      </c>
      <c r="Y230" s="44">
        <f t="shared" si="19"/>
        <v>2.8571428571428575E-7</v>
      </c>
      <c r="Z230" s="44">
        <f t="shared" si="19"/>
        <v>2.8571428571428575E-7</v>
      </c>
      <c r="AA230" s="44">
        <f t="shared" si="19"/>
        <v>2.8571428571428575E-7</v>
      </c>
      <c r="AB230" s="44">
        <f t="shared" si="19"/>
        <v>2.8571428571428575E-7</v>
      </c>
      <c r="AC230"/>
      <c r="AD230" s="44">
        <f t="shared" si="19"/>
        <v>2.8571428571428575E-7</v>
      </c>
      <c r="AE230" s="44">
        <f t="shared" si="19"/>
        <v>2.8571428571428575E-7</v>
      </c>
      <c r="AF230" s="44">
        <f t="shared" si="19"/>
        <v>2.8571428571428575E-7</v>
      </c>
      <c r="AG230" s="44">
        <f t="shared" si="19"/>
        <v>2.8571428571428575E-7</v>
      </c>
      <c r="AH230" s="44">
        <f t="shared" si="19"/>
        <v>2.8571428571428575E-7</v>
      </c>
      <c r="AI230" s="44">
        <f t="shared" si="19"/>
        <v>2.8571428571428575E-7</v>
      </c>
      <c r="AJ230" s="44">
        <f t="shared" si="19"/>
        <v>2.8571428571428575E-7</v>
      </c>
      <c r="AK230"/>
      <c r="AL230" s="44">
        <f t="shared" si="19"/>
        <v>2.8571428571428575E-7</v>
      </c>
      <c r="AM230" s="44">
        <f t="shared" si="19"/>
        <v>2.8571428571428575E-7</v>
      </c>
      <c r="AN230" s="44">
        <f t="shared" si="19"/>
        <v>2.8571428571428575E-7</v>
      </c>
      <c r="AO230" s="44">
        <f t="shared" si="19"/>
        <v>2.8571428571428575E-7</v>
      </c>
      <c r="AP230"/>
      <c r="AQ230" s="44">
        <f t="shared" si="19"/>
        <v>2.8571428571428575E-7</v>
      </c>
      <c r="AR230"/>
      <c r="AS230"/>
      <c r="AT230" s="44">
        <f t="shared" si="19"/>
        <v>2.8571428571428575E-7</v>
      </c>
      <c r="AU230" s="1"/>
      <c r="AV230" s="1"/>
      <c r="AW230" s="1"/>
      <c r="AX230" s="1"/>
      <c r="AY230" s="1"/>
      <c r="AZ230" s="1"/>
      <c r="BA230" s="1"/>
      <c r="BB230" s="1"/>
    </row>
    <row r="231" spans="1:69" x14ac:dyDescent="0.25">
      <c r="A231" s="2" t="s">
        <v>541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Q231" si="20">0.00002 / 14 / 5 /10</f>
        <v>2.8571428571428575E-8</v>
      </c>
      <c r="I231" s="44">
        <v>0</v>
      </c>
      <c r="J231" s="58"/>
      <c r="K231" s="44">
        <v>0</v>
      </c>
      <c r="M231" s="44">
        <f t="shared" si="20"/>
        <v>2.8571428571428575E-8</v>
      </c>
      <c r="N231" s="44">
        <f t="shared" si="20"/>
        <v>2.8571428571428575E-8</v>
      </c>
      <c r="O231" s="44">
        <f t="shared" si="20"/>
        <v>2.8571428571428575E-8</v>
      </c>
      <c r="R231" s="44">
        <f t="shared" si="20"/>
        <v>2.8571428571428575E-8</v>
      </c>
      <c r="S231" s="44">
        <f t="shared" si="20"/>
        <v>2.8571428571428575E-8</v>
      </c>
      <c r="T231" s="44">
        <f t="shared" si="20"/>
        <v>2.8571428571428575E-8</v>
      </c>
      <c r="U231" s="44">
        <f t="shared" si="20"/>
        <v>2.8571428571428575E-8</v>
      </c>
      <c r="V231" s="44">
        <f t="shared" si="20"/>
        <v>2.8571428571428575E-8</v>
      </c>
      <c r="W231" s="44">
        <f t="shared" si="20"/>
        <v>2.8571428571428575E-8</v>
      </c>
      <c r="X231" s="44">
        <f t="shared" si="20"/>
        <v>2.8571428571428575E-8</v>
      </c>
      <c r="Y231" s="44">
        <f t="shared" si="20"/>
        <v>2.8571428571428575E-8</v>
      </c>
      <c r="Z231" s="44">
        <f t="shared" si="20"/>
        <v>2.8571428571428575E-8</v>
      </c>
      <c r="AA231" s="44">
        <f t="shared" si="20"/>
        <v>2.8571428571428575E-8</v>
      </c>
      <c r="AB231" s="44">
        <f t="shared" si="20"/>
        <v>2.8571428571428575E-8</v>
      </c>
      <c r="AC231"/>
      <c r="AD231" s="44">
        <f t="shared" si="20"/>
        <v>2.8571428571428575E-8</v>
      </c>
      <c r="AE231" s="44">
        <f t="shared" si="20"/>
        <v>2.8571428571428575E-8</v>
      </c>
      <c r="AF231" s="44">
        <f t="shared" si="20"/>
        <v>2.8571428571428575E-8</v>
      </c>
      <c r="AG231" s="44">
        <f t="shared" si="20"/>
        <v>2.8571428571428575E-8</v>
      </c>
      <c r="AH231" s="44">
        <f t="shared" si="20"/>
        <v>2.8571428571428575E-8</v>
      </c>
      <c r="AI231" s="44">
        <f t="shared" si="20"/>
        <v>2.8571428571428575E-8</v>
      </c>
      <c r="AJ231" s="44">
        <f t="shared" si="20"/>
        <v>2.8571428571428575E-8</v>
      </c>
      <c r="AK231"/>
      <c r="AL231" s="44">
        <f t="shared" si="20"/>
        <v>2.8571428571428575E-8</v>
      </c>
      <c r="AM231" s="44">
        <f t="shared" si="20"/>
        <v>2.8571428571428575E-8</v>
      </c>
      <c r="AN231" s="44">
        <f t="shared" si="20"/>
        <v>2.8571428571428575E-8</v>
      </c>
      <c r="AO231" s="44">
        <f t="shared" si="20"/>
        <v>2.8571428571428575E-8</v>
      </c>
      <c r="AP231"/>
      <c r="AQ231" s="44">
        <f t="shared" si="20"/>
        <v>2.8571428571428575E-8</v>
      </c>
      <c r="AR231"/>
      <c r="AS231"/>
      <c r="AT231" s="44">
        <f t="shared" si="19"/>
        <v>2.8571428571428575E-7</v>
      </c>
      <c r="AU231" s="1"/>
      <c r="AV231" s="1"/>
      <c r="AW231" s="1"/>
      <c r="AX231" s="1"/>
      <c r="AY231" s="1"/>
      <c r="AZ231" s="1"/>
      <c r="BA231" s="1"/>
      <c r="BB231" s="1"/>
    </row>
    <row r="232" spans="1:69" x14ac:dyDescent="0.25">
      <c r="A232" s="1" t="s">
        <v>585</v>
      </c>
      <c r="B232" s="3" t="s">
        <v>473</v>
      </c>
      <c r="C232" s="3" t="s">
        <v>483</v>
      </c>
      <c r="D232" s="3" t="s">
        <v>521</v>
      </c>
      <c r="E232" s="30" t="s">
        <v>586</v>
      </c>
      <c r="F232" s="30" t="s">
        <v>486</v>
      </c>
      <c r="G232" s="44">
        <v>-1</v>
      </c>
      <c r="I232" s="44" t="s">
        <v>86</v>
      </c>
      <c r="J232" s="58"/>
      <c r="K232" s="44" t="s">
        <v>86</v>
      </c>
      <c r="M232" s="44">
        <v>-1</v>
      </c>
      <c r="N232" s="44">
        <v>-1</v>
      </c>
      <c r="O232" s="44">
        <v>-1</v>
      </c>
      <c r="R232" s="44">
        <v>-1</v>
      </c>
      <c r="S232" s="44">
        <v>-1</v>
      </c>
      <c r="T232" s="44">
        <v>-1</v>
      </c>
      <c r="U232" s="44">
        <v>-1</v>
      </c>
      <c r="V232" s="44">
        <v>-1</v>
      </c>
      <c r="W232" s="44">
        <v>-1</v>
      </c>
      <c r="X232" s="44">
        <v>-1</v>
      </c>
      <c r="Y232" s="44">
        <v>-1</v>
      </c>
      <c r="Z232" s="44">
        <v>-1</v>
      </c>
      <c r="AA232" s="44">
        <v>-1</v>
      </c>
      <c r="AB232" s="44">
        <v>-1</v>
      </c>
      <c r="AC232" s="44">
        <v>-1</v>
      </c>
      <c r="AD232" s="44">
        <v>-1</v>
      </c>
      <c r="AE232" s="44">
        <v>-1</v>
      </c>
      <c r="AF232" s="44">
        <v>-1</v>
      </c>
      <c r="AG232" s="44">
        <v>-1</v>
      </c>
      <c r="AH232" s="44">
        <v>-1</v>
      </c>
      <c r="AI232" s="44">
        <v>-1</v>
      </c>
      <c r="AJ232" s="44">
        <v>-1</v>
      </c>
      <c r="AK232" s="44">
        <v>-1</v>
      </c>
      <c r="AL232" s="44">
        <v>-1</v>
      </c>
      <c r="AM232" s="44">
        <v>-1</v>
      </c>
      <c r="AN232" s="44">
        <v>-1</v>
      </c>
      <c r="AO232" s="44">
        <v>-1</v>
      </c>
      <c r="AP232" s="44">
        <v>-1</v>
      </c>
      <c r="AQ232" s="44">
        <v>-1</v>
      </c>
      <c r="AR232" s="44">
        <v>-1</v>
      </c>
      <c r="AS232" s="44">
        <v>-1</v>
      </c>
      <c r="AT232" s="44">
        <v>-1</v>
      </c>
      <c r="AU232" s="1"/>
      <c r="AV232" s="1"/>
      <c r="AW232" s="1"/>
      <c r="AX232" s="1"/>
      <c r="AY232" s="1"/>
      <c r="AZ232" s="1"/>
      <c r="BA232" s="1"/>
      <c r="BB232" s="1"/>
    </row>
    <row r="233" spans="1:69" x14ac:dyDescent="0.25">
      <c r="A233" s="21" t="s">
        <v>590</v>
      </c>
      <c r="B233" s="3" t="s">
        <v>473</v>
      </c>
      <c r="C233" s="3" t="s">
        <v>483</v>
      </c>
      <c r="D233" s="3" t="s">
        <v>521</v>
      </c>
      <c r="E233" s="22" t="s">
        <v>591</v>
      </c>
      <c r="F233" s="22" t="s">
        <v>592</v>
      </c>
      <c r="G233" s="44">
        <v>1.0000000000000001E-9</v>
      </c>
      <c r="I233" s="44">
        <f>I128* 6 * 12 / 0.44 * 0.015 / 14 / 1.4</f>
        <v>3.756957328385899E-15</v>
      </c>
      <c r="J233" s="58"/>
      <c r="K233" s="44">
        <f>K128* 6 * 12 / 0.44 * 0.015 / 14 / 1.4 /2</f>
        <v>9.3923933209647475E-16</v>
      </c>
      <c r="L233" s="1" t="s">
        <v>601</v>
      </c>
      <c r="M233" s="44">
        <v>4.9999999999999999E-13</v>
      </c>
      <c r="N233" s="44">
        <v>4.9999999999999999E-13</v>
      </c>
      <c r="O233" s="44">
        <v>4.9999999999999999E-13</v>
      </c>
      <c r="R233" s="44">
        <v>4.9999999999999999E-13</v>
      </c>
      <c r="S233" s="44">
        <v>4.9999999999999999E-13</v>
      </c>
      <c r="T233" s="44">
        <v>4.9999999999999999E-13</v>
      </c>
      <c r="U233" s="44">
        <v>4.9999999999999999E-13</v>
      </c>
      <c r="V233" s="44">
        <v>4.9999999999999999E-13</v>
      </c>
      <c r="W233" s="44">
        <v>4.9999999999999999E-13</v>
      </c>
      <c r="X233" s="44">
        <v>4.9999999999999999E-13</v>
      </c>
      <c r="Y233" s="44">
        <v>4.9999999999999999E-13</v>
      </c>
      <c r="Z233" s="44">
        <v>4.9999999999999999E-13</v>
      </c>
      <c r="AA233" s="44">
        <v>4.9999999999999999E-13</v>
      </c>
      <c r="AB233" s="44">
        <v>4.9999999999999999E-13</v>
      </c>
      <c r="AC233"/>
      <c r="AD233" s="44">
        <v>4.9999999999999999E-13</v>
      </c>
      <c r="AE233" s="44">
        <v>4.9999999999999999E-13</v>
      </c>
      <c r="AF233" s="44">
        <v>4.9999999999999999E-13</v>
      </c>
      <c r="AG233" s="44">
        <v>4.9999999999999999E-13</v>
      </c>
      <c r="AH233" s="44">
        <v>4.9999999999999999E-13</v>
      </c>
      <c r="AI233" s="44">
        <v>4.9999999999999999E-13</v>
      </c>
      <c r="AJ233" s="44">
        <v>4.9999999999999999E-13</v>
      </c>
      <c r="AK233"/>
      <c r="AL233" s="44">
        <v>4.9999999999999999E-13</v>
      </c>
      <c r="AM233" s="44">
        <v>4.9999999999999999E-13</v>
      </c>
      <c r="AN233" s="44">
        <v>4.9999999999999999E-13</v>
      </c>
      <c r="AO233" s="44">
        <v>4.9999999999999999E-13</v>
      </c>
      <c r="AP233"/>
      <c r="AQ233" s="44">
        <v>4.9999999999999999E-13</v>
      </c>
      <c r="AR233"/>
      <c r="AS233"/>
      <c r="AT233" s="44">
        <v>4.9999999999999999E-13</v>
      </c>
    </row>
  </sheetData>
  <phoneticPr fontId="19" type="noConversion"/>
  <conditionalFormatting sqref="G223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5"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7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9"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K221">
    <cfRule type="colorScale" priority="4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2"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28">
    <cfRule type="colorScale" priority="4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K229"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3:O223 AT223 I223:K223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4 AT3:AT4 G3:G4 M3:O4 I3:K4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:U22 AT22 G22 M22:O22 I22:K22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 I126:K126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 I133:K133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 I205:K205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:O207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 AT211 G211 M211 I211:K211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4 AT214 G214 M214:O214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U217 AT215:AT217 G215:G217 M215:O217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19 AT218:AT219 G218:G219 M218:O21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U222 AT220:AT222 G220:G221 M220:O222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3:U223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3:U233 AT233 G233 M233:O233 I233:K23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:V24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4:V229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0:V231"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AB22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4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AB217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19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AB222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3:AB223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3:AB2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4:W229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0:W231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4:X229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0:X231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4:Y229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0:Y231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4:Z229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0:Z231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4:AA229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0:AA231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4:AB229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0:AB231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4:AD229"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0:AD231"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4 AL3:AO4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J22 AL22:AO22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 AL207:AO207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 AL211:AO211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4 AL214:AO214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5:AJ217 AL215:AO217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19 AL218:AO219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0:AJ222 AL220:AO222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J223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3:AJ233 AL233:AO2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4:AE229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0:AE231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:AF229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0:AF231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:AG229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0:AG231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:AH229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0:AH231"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:AI229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0:AI231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:AJ229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0:AJ231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O24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8:AO208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2:AO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O223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4:AO229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0:AO231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:AQ4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5:AQ217"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:AQ219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0:AQ222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4:AQ229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0:AQ231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 R23:U24 G23:G24 M23:O24 I23:K24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 G212 M212:O212 I212:K213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4:AT229 R224:U229 G224:G228 M224:O229 I224:K227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0:AT231 R230:U231 I230:K231 G230:G232 M230:O232 R232:AT232 J232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2025-09-11T08:58:49Z</dcterms:modified>
</cp:coreProperties>
</file>