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\\wsl.localhost\Ubuntu\home\tigerault\Wheat-BRIDGES_framework\Wheat-BRIDGES\simulations\scene\inputs\"/>
    </mc:Choice>
  </mc:AlternateContent>
  <xr:revisionPtr revIDLastSave="0" documentId="13_ncr:1_{5D019FEB-55B5-405E-B11E-51784C81AC91}" xr6:coauthVersionLast="47" xr6:coauthVersionMax="47" xr10:uidLastSave="{00000000-0000-0000-0000-000000000000}"/>
  <bookViews>
    <workbookView xWindow="3465" yWindow="3465" windowWidth="21600" windowHeight="11295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2" l="1"/>
  <c r="N218" i="2"/>
  <c r="N224" i="2"/>
  <c r="N231" i="2"/>
  <c r="N230" i="2"/>
  <c r="N216" i="2"/>
  <c r="N217" i="2" s="1"/>
  <c r="N222" i="2"/>
  <c r="N220" i="2"/>
  <c r="N128" i="2"/>
  <c r="N129" i="2"/>
  <c r="N215" i="2" l="1"/>
  <c r="N119" i="2"/>
  <c r="N213" i="2"/>
  <c r="N236" i="2"/>
  <c r="N163" i="2"/>
  <c r="N228" i="2"/>
  <c r="N225" i="2"/>
  <c r="N223" i="2"/>
  <c r="N219" i="2"/>
  <c r="N209" i="2"/>
  <c r="N207" i="2"/>
  <c r="N125" i="2"/>
  <c r="N115" i="2"/>
  <c r="N112" i="2"/>
  <c r="N109" i="2"/>
  <c r="N108" i="2"/>
  <c r="N107" i="2"/>
  <c r="N106" i="2"/>
  <c r="N105" i="2"/>
  <c r="N104" i="2"/>
  <c r="N103" i="2"/>
  <c r="N102" i="2"/>
  <c r="L231" i="2" l="1"/>
  <c r="L221" i="2"/>
  <c r="L230" i="2"/>
  <c r="L119" i="2"/>
  <c r="L213" i="2"/>
  <c r="L129" i="2"/>
  <c r="L236" i="2"/>
  <c r="L216" i="2"/>
  <c r="L217" i="2" s="1"/>
  <c r="P128" i="2"/>
  <c r="L128" i="2"/>
  <c r="L235" i="2" s="1"/>
  <c r="K128" i="2"/>
  <c r="J128" i="2"/>
  <c r="P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Y217" i="2"/>
  <c r="AV217" i="2"/>
  <c r="AT217" i="2"/>
  <c r="AS217" i="2"/>
  <c r="AR217" i="2"/>
  <c r="AQ217" i="2"/>
  <c r="AO217" i="2"/>
  <c r="AN217" i="2"/>
  <c r="AM217" i="2"/>
  <c r="AL217" i="2"/>
  <c r="AK217" i="2"/>
  <c r="AJ217" i="2"/>
  <c r="AI217" i="2"/>
  <c r="AG217" i="2"/>
  <c r="AF217" i="2"/>
  <c r="AE217" i="2"/>
  <c r="AD217" i="2"/>
  <c r="AC217" i="2"/>
  <c r="AB217" i="2"/>
  <c r="AA217" i="2"/>
  <c r="Z217" i="2"/>
  <c r="Y217" i="2"/>
  <c r="X217" i="2"/>
  <c r="W217" i="2"/>
  <c r="T217" i="2"/>
  <c r="S217" i="2"/>
  <c r="R217" i="2"/>
  <c r="P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P231" i="2"/>
  <c r="P230" i="2"/>
  <c r="P228" i="2"/>
  <c r="P225" i="2"/>
  <c r="P224" i="2"/>
  <c r="P223" i="2"/>
  <c r="P222" i="2"/>
  <c r="P221" i="2"/>
  <c r="P220" i="2"/>
  <c r="P219" i="2"/>
  <c r="P218" i="2"/>
  <c r="P216" i="2"/>
  <c r="P215" i="2"/>
  <c r="P213" i="2"/>
  <c r="P209" i="2"/>
  <c r="P207" i="2"/>
  <c r="P129" i="2"/>
  <c r="P235" i="2" s="1"/>
  <c r="P125" i="2"/>
  <c r="P119" i="2"/>
  <c r="P115" i="2"/>
  <c r="P112" i="2"/>
  <c r="P109" i="2"/>
  <c r="P108" i="2"/>
  <c r="P107" i="2"/>
  <c r="P106" i="2"/>
  <c r="P105" i="2"/>
  <c r="P104" i="2"/>
  <c r="P103" i="2"/>
  <c r="P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U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R233" i="2" l="1"/>
  <c r="R232" i="2"/>
  <c r="R228" i="2"/>
  <c r="R216" i="2"/>
  <c r="R213" i="2"/>
  <c r="R209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T233" i="2"/>
  <c r="T232" i="2"/>
  <c r="T228" i="2"/>
  <c r="T216" i="2"/>
  <c r="T213" i="2"/>
  <c r="T209" i="2"/>
  <c r="T207" i="2"/>
  <c r="T125" i="2"/>
  <c r="T115" i="2"/>
  <c r="T112" i="2"/>
  <c r="T109" i="2"/>
  <c r="T108" i="2"/>
  <c r="T107" i="2"/>
  <c r="T106" i="2"/>
  <c r="T105" i="2"/>
  <c r="T104" i="2"/>
  <c r="T103" i="2"/>
  <c r="T102" i="2"/>
  <c r="S233" i="2"/>
  <c r="S232" i="2"/>
  <c r="S228" i="2"/>
  <c r="S216" i="2"/>
  <c r="S213" i="2"/>
  <c r="S207" i="2"/>
  <c r="S125" i="2"/>
  <c r="S115" i="2"/>
  <c r="S112" i="2"/>
  <c r="S109" i="2"/>
  <c r="S108" i="2"/>
  <c r="S107" i="2"/>
  <c r="S106" i="2"/>
  <c r="S105" i="2"/>
  <c r="S104" i="2"/>
  <c r="S103" i="2"/>
  <c r="S102" i="2"/>
  <c r="AT233" i="2"/>
  <c r="AS233" i="2"/>
  <c r="AT232" i="2"/>
  <c r="AS232" i="2"/>
  <c r="AT228" i="2"/>
  <c r="AS228" i="2"/>
  <c r="AT216" i="2"/>
  <c r="AS216" i="2"/>
  <c r="AT213" i="2"/>
  <c r="AS213" i="2"/>
  <c r="AT209" i="2"/>
  <c r="AS209" i="2"/>
  <c r="AT207" i="2"/>
  <c r="AS207" i="2"/>
  <c r="AT125" i="2"/>
  <c r="AS125" i="2"/>
  <c r="AT115" i="2"/>
  <c r="AS115" i="2"/>
  <c r="AT112" i="2"/>
  <c r="AS112" i="2"/>
  <c r="AT109" i="2"/>
  <c r="AS109" i="2"/>
  <c r="AT108" i="2"/>
  <c r="AS108" i="2"/>
  <c r="AT107" i="2"/>
  <c r="AS107" i="2"/>
  <c r="AT106" i="2"/>
  <c r="AS106" i="2"/>
  <c r="AT105" i="2"/>
  <c r="AS105" i="2"/>
  <c r="AT104" i="2"/>
  <c r="AS104" i="2"/>
  <c r="AT103" i="2"/>
  <c r="AS103" i="2"/>
  <c r="AT102" i="2"/>
  <c r="AS102" i="2"/>
  <c r="AR233" i="2"/>
  <c r="AR232" i="2"/>
  <c r="AR228" i="2"/>
  <c r="AR216" i="2"/>
  <c r="AR213" i="2"/>
  <c r="AR209" i="2"/>
  <c r="AR207" i="2"/>
  <c r="AR125" i="2"/>
  <c r="AR115" i="2"/>
  <c r="AR112" i="2"/>
  <c r="AR109" i="2"/>
  <c r="AR108" i="2"/>
  <c r="AR107" i="2"/>
  <c r="AR106" i="2"/>
  <c r="AR105" i="2"/>
  <c r="AR104" i="2"/>
  <c r="AR103" i="2"/>
  <c r="AR102" i="2"/>
  <c r="AQ233" i="2"/>
  <c r="AQ232" i="2"/>
  <c r="AQ228" i="2"/>
  <c r="AQ216" i="2"/>
  <c r="AQ213" i="2"/>
  <c r="AQ209" i="2"/>
  <c r="AQ207" i="2"/>
  <c r="AQ125" i="2"/>
  <c r="AQ115" i="2"/>
  <c r="AQ112" i="2"/>
  <c r="AQ109" i="2"/>
  <c r="AQ108" i="2"/>
  <c r="AQ107" i="2"/>
  <c r="AQ106" i="2"/>
  <c r="AQ105" i="2"/>
  <c r="AQ104" i="2"/>
  <c r="AQ103" i="2"/>
  <c r="AQ102" i="2"/>
  <c r="AV233" i="2"/>
  <c r="AV232" i="2"/>
  <c r="AV228" i="2"/>
  <c r="AV216" i="2"/>
  <c r="AV213" i="2"/>
  <c r="AV207" i="2"/>
  <c r="AV125" i="2"/>
  <c r="AV115" i="2"/>
  <c r="AV112" i="2"/>
  <c r="AV109" i="2"/>
  <c r="AV108" i="2"/>
  <c r="AV107" i="2"/>
  <c r="AV106" i="2"/>
  <c r="AV105" i="2"/>
  <c r="AV104" i="2"/>
  <c r="AV103" i="2"/>
  <c r="AV102" i="2"/>
  <c r="AO233" i="2"/>
  <c r="AN233" i="2"/>
  <c r="AM233" i="2"/>
  <c r="AL233" i="2"/>
  <c r="AK233" i="2"/>
  <c r="AJ233" i="2"/>
  <c r="AI233" i="2"/>
  <c r="AO232" i="2"/>
  <c r="AN232" i="2"/>
  <c r="AM232" i="2"/>
  <c r="AL232" i="2"/>
  <c r="AK232" i="2"/>
  <c r="AJ232" i="2"/>
  <c r="AI232" i="2"/>
  <c r="AO228" i="2"/>
  <c r="AN228" i="2"/>
  <c r="AM228" i="2"/>
  <c r="AL228" i="2"/>
  <c r="AK228" i="2"/>
  <c r="AJ228" i="2"/>
  <c r="AI228" i="2"/>
  <c r="AO216" i="2"/>
  <c r="AN216" i="2"/>
  <c r="AM216" i="2"/>
  <c r="AL216" i="2"/>
  <c r="AK216" i="2"/>
  <c r="AJ216" i="2"/>
  <c r="AI216" i="2"/>
  <c r="AO213" i="2"/>
  <c r="AN213" i="2"/>
  <c r="AM213" i="2"/>
  <c r="AL213" i="2"/>
  <c r="AK213" i="2"/>
  <c r="AJ213" i="2"/>
  <c r="AI213" i="2"/>
  <c r="AO209" i="2"/>
  <c r="AN209" i="2"/>
  <c r="AM209" i="2"/>
  <c r="AL209" i="2"/>
  <c r="AK209" i="2"/>
  <c r="AJ209" i="2"/>
  <c r="AI209" i="2"/>
  <c r="AO207" i="2"/>
  <c r="AN207" i="2"/>
  <c r="AM207" i="2"/>
  <c r="AL207" i="2"/>
  <c r="AK207" i="2"/>
  <c r="AJ207" i="2"/>
  <c r="AI207" i="2"/>
  <c r="AO125" i="2"/>
  <c r="AN125" i="2"/>
  <c r="AM125" i="2"/>
  <c r="AL125" i="2"/>
  <c r="AK125" i="2"/>
  <c r="AJ125" i="2"/>
  <c r="AI125" i="2"/>
  <c r="AO115" i="2"/>
  <c r="AN115" i="2"/>
  <c r="AM115" i="2"/>
  <c r="AL115" i="2"/>
  <c r="AK115" i="2"/>
  <c r="AJ115" i="2"/>
  <c r="AI115" i="2"/>
  <c r="AO112" i="2"/>
  <c r="AN112" i="2"/>
  <c r="AM112" i="2"/>
  <c r="AL112" i="2"/>
  <c r="AK112" i="2"/>
  <c r="AJ112" i="2"/>
  <c r="AI112" i="2"/>
  <c r="AO109" i="2"/>
  <c r="AN109" i="2"/>
  <c r="AM109" i="2"/>
  <c r="AL109" i="2"/>
  <c r="AK109" i="2"/>
  <c r="AJ109" i="2"/>
  <c r="AI109" i="2"/>
  <c r="AO108" i="2"/>
  <c r="AN108" i="2"/>
  <c r="AM108" i="2"/>
  <c r="AL108" i="2"/>
  <c r="AK108" i="2"/>
  <c r="AJ108" i="2"/>
  <c r="AI108" i="2"/>
  <c r="AO107" i="2"/>
  <c r="AN107" i="2"/>
  <c r="AM107" i="2"/>
  <c r="AL107" i="2"/>
  <c r="AK107" i="2"/>
  <c r="AJ107" i="2"/>
  <c r="AI107" i="2"/>
  <c r="AO106" i="2"/>
  <c r="AN106" i="2"/>
  <c r="AM106" i="2"/>
  <c r="AL106" i="2"/>
  <c r="AK106" i="2"/>
  <c r="AJ106" i="2"/>
  <c r="AI106" i="2"/>
  <c r="AO105" i="2"/>
  <c r="AN105" i="2"/>
  <c r="AM105" i="2"/>
  <c r="AL105" i="2"/>
  <c r="AK105" i="2"/>
  <c r="AJ105" i="2"/>
  <c r="AI105" i="2"/>
  <c r="AO104" i="2"/>
  <c r="AN104" i="2"/>
  <c r="AM104" i="2"/>
  <c r="AL104" i="2"/>
  <c r="AK104" i="2"/>
  <c r="AJ104" i="2"/>
  <c r="AI104" i="2"/>
  <c r="AO103" i="2"/>
  <c r="AN103" i="2"/>
  <c r="AM103" i="2"/>
  <c r="AL103" i="2"/>
  <c r="AK103" i="2"/>
  <c r="AJ103" i="2"/>
  <c r="AI103" i="2"/>
  <c r="AO102" i="2"/>
  <c r="AN102" i="2"/>
  <c r="AM102" i="2"/>
  <c r="AL102" i="2"/>
  <c r="AK102" i="2"/>
  <c r="AJ102" i="2"/>
  <c r="AI102" i="2"/>
  <c r="AG233" i="2"/>
  <c r="AG232" i="2"/>
  <c r="AG228" i="2"/>
  <c r="AG216" i="2"/>
  <c r="AG213" i="2"/>
  <c r="AG209" i="2"/>
  <c r="AG207" i="2"/>
  <c r="AG125" i="2"/>
  <c r="AG115" i="2"/>
  <c r="AG112" i="2"/>
  <c r="AG109" i="2"/>
  <c r="AG108" i="2"/>
  <c r="AG107" i="2"/>
  <c r="AG106" i="2"/>
  <c r="AG105" i="2"/>
  <c r="AG104" i="2"/>
  <c r="AG103" i="2"/>
  <c r="AG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Y233" i="2"/>
  <c r="X233" i="2"/>
  <c r="W233" i="2"/>
  <c r="G233" i="2"/>
  <c r="Z232" i="2" l="1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2" i="2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AY233" i="2"/>
  <c r="AY232" i="2"/>
  <c r="AY228" i="2"/>
  <c r="AY216" i="2"/>
  <c r="AY213" i="2"/>
  <c r="AY209" i="2"/>
  <c r="AY207" i="2"/>
  <c r="AY125" i="2"/>
  <c r="AY115" i="2"/>
  <c r="AY112" i="2"/>
  <c r="AY109" i="2"/>
  <c r="AY108" i="2"/>
  <c r="AY107" i="2"/>
  <c r="AY106" i="2"/>
  <c r="AY105" i="2"/>
  <c r="AY104" i="2"/>
  <c r="AY103" i="2"/>
  <c r="AY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<sst xmlns="http://schemas.openxmlformats.org/spreadsheetml/2006/main" count="2909" uniqueCount="608">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</sst>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236"/>
  <sheetViews>
    <sheetView tabSelected="1" zoomScale="79" zoomScaleNormal="100" workbookViewId="0">
      <pane xSplit="6" ySplit="1" topLeftCell="J208" activePane="bottomRight" state="frozen"/>
      <selection pane="topRight" activeCell="G1" sqref="G1"/>
      <selection pane="bottomLeft" activeCell="A2" sqref="A2"/>
      <selection pane="bottomRight" activeCell="O217" sqref="O217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1" width="21.5703125" style="1" customWidth="1"/>
  </cols>
  <sheetData>
    <row r="1" spans="1:51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/>
      <c r="N1" s="54" t="s">
        <v>604</v>
      </c>
      <c r="P1" s="54" t="s">
        <v>596</v>
      </c>
      <c r="Q1" s="54"/>
      <c r="R1" s="54" t="s">
        <v>570</v>
      </c>
      <c r="S1" s="54" t="s">
        <v>568</v>
      </c>
      <c r="T1" s="54" t="s">
        <v>569</v>
      </c>
      <c r="V1" s="1" t="s">
        <v>567</v>
      </c>
      <c r="W1" s="36" t="s">
        <v>543</v>
      </c>
      <c r="X1" s="36" t="s">
        <v>544</v>
      </c>
      <c r="Y1" s="36" t="s">
        <v>545</v>
      </c>
      <c r="Z1" s="36" t="s">
        <v>546</v>
      </c>
      <c r="AA1" s="36" t="s">
        <v>547</v>
      </c>
      <c r="AB1" s="36" t="s">
        <v>548</v>
      </c>
      <c r="AC1" s="36" t="s">
        <v>549</v>
      </c>
      <c r="AD1" s="36" t="s">
        <v>550</v>
      </c>
      <c r="AE1" s="36" t="s">
        <v>551</v>
      </c>
      <c r="AF1" s="36" t="s">
        <v>552</v>
      </c>
      <c r="AG1" s="36" t="s">
        <v>553</v>
      </c>
      <c r="AH1"/>
      <c r="AI1" s="36" t="s">
        <v>554</v>
      </c>
      <c r="AJ1" s="36" t="s">
        <v>555</v>
      </c>
      <c r="AK1" s="36" t="s">
        <v>556</v>
      </c>
      <c r="AL1" s="36" t="s">
        <v>557</v>
      </c>
      <c r="AM1" s="36" t="s">
        <v>558</v>
      </c>
      <c r="AN1" s="36" t="s">
        <v>559</v>
      </c>
      <c r="AO1" s="36" t="s">
        <v>560</v>
      </c>
      <c r="AP1"/>
      <c r="AQ1" s="36" t="s">
        <v>563</v>
      </c>
      <c r="AR1" s="36" t="s">
        <v>564</v>
      </c>
      <c r="AS1" s="36" t="s">
        <v>565</v>
      </c>
      <c r="AT1" s="36" t="s">
        <v>566</v>
      </c>
      <c r="AU1"/>
      <c r="AV1" s="36" t="s">
        <v>562</v>
      </c>
      <c r="AW1"/>
      <c r="AX1"/>
      <c r="AY1" s="36" t="s">
        <v>542</v>
      </c>
    </row>
    <row r="2" spans="1:51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/>
      <c r="N2" s="44" t="s">
        <v>478</v>
      </c>
      <c r="P2" s="44" t="s">
        <v>478</v>
      </c>
      <c r="Q2" s="44"/>
      <c r="R2" s="44" t="s">
        <v>478</v>
      </c>
      <c r="S2" s="44" t="s">
        <v>478</v>
      </c>
      <c r="T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/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 s="44" t="s">
        <v>478</v>
      </c>
      <c r="AS2" s="44" t="s">
        <v>478</v>
      </c>
      <c r="AT2" s="44" t="s">
        <v>478</v>
      </c>
      <c r="AU2"/>
      <c r="AV2" s="44" t="s">
        <v>478</v>
      </c>
      <c r="AW2"/>
      <c r="AX2"/>
      <c r="AY2" s="44" t="s">
        <v>478</v>
      </c>
    </row>
    <row r="3" spans="1:51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/>
      <c r="N3" s="44" t="s">
        <v>593</v>
      </c>
      <c r="P3" s="44" t="s">
        <v>476</v>
      </c>
      <c r="Q3" s="44"/>
      <c r="R3" s="44" t="s">
        <v>476</v>
      </c>
      <c r="S3" s="44" t="s">
        <v>476</v>
      </c>
      <c r="T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/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 s="44" t="s">
        <v>476</v>
      </c>
      <c r="AS3" s="44" t="s">
        <v>476</v>
      </c>
      <c r="AT3" s="44" t="s">
        <v>476</v>
      </c>
      <c r="AU3"/>
      <c r="AV3" s="44" t="s">
        <v>476</v>
      </c>
      <c r="AW3"/>
      <c r="AX3"/>
      <c r="AY3" s="44" t="s">
        <v>476</v>
      </c>
    </row>
    <row r="4" spans="1:51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/>
      <c r="N4" s="44" t="s">
        <v>476</v>
      </c>
      <c r="P4" s="44" t="s">
        <v>476</v>
      </c>
      <c r="Q4" s="44"/>
      <c r="R4" s="44" t="s">
        <v>476</v>
      </c>
      <c r="S4" s="44" t="s">
        <v>476</v>
      </c>
      <c r="T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 s="44" t="s">
        <v>476</v>
      </c>
      <c r="AH4"/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 s="44" t="s">
        <v>476</v>
      </c>
      <c r="AO4" s="44" t="s">
        <v>476</v>
      </c>
      <c r="AP4"/>
      <c r="AQ4" s="44" t="s">
        <v>476</v>
      </c>
      <c r="AR4" s="44" t="s">
        <v>476</v>
      </c>
      <c r="AS4" s="44" t="s">
        <v>476</v>
      </c>
      <c r="AT4" s="44" t="s">
        <v>476</v>
      </c>
      <c r="AU4"/>
      <c r="AV4" s="44" t="s">
        <v>476</v>
      </c>
      <c r="AW4"/>
      <c r="AX4"/>
      <c r="AY4" s="44" t="s">
        <v>476</v>
      </c>
    </row>
    <row r="5" spans="1:51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/>
      <c r="N5" s="44" t="s">
        <v>86</v>
      </c>
      <c r="P5" s="44" t="s">
        <v>86</v>
      </c>
      <c r="Q5" s="44"/>
      <c r="R5" s="44" t="s">
        <v>86</v>
      </c>
      <c r="S5" s="44" t="s">
        <v>86</v>
      </c>
      <c r="T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 s="44" t="s">
        <v>86</v>
      </c>
      <c r="AH5"/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44" t="s">
        <v>86</v>
      </c>
      <c r="AO5" s="44" t="s">
        <v>86</v>
      </c>
      <c r="AP5"/>
      <c r="AQ5" s="44" t="s">
        <v>86</v>
      </c>
      <c r="AR5" s="44" t="s">
        <v>86</v>
      </c>
      <c r="AS5" s="44" t="s">
        <v>86</v>
      </c>
      <c r="AT5" s="44" t="s">
        <v>86</v>
      </c>
      <c r="AU5"/>
      <c r="AV5" s="44" t="s">
        <v>86</v>
      </c>
      <c r="AW5"/>
      <c r="AX5"/>
      <c r="AY5" s="44" t="s">
        <v>86</v>
      </c>
    </row>
    <row r="6" spans="1:51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/>
      <c r="N6" s="44">
        <v>1</v>
      </c>
      <c r="P6" s="44">
        <v>1</v>
      </c>
      <c r="Q6" s="44"/>
      <c r="R6" s="44">
        <v>1</v>
      </c>
      <c r="S6" s="44">
        <v>1</v>
      </c>
      <c r="T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 s="44">
        <v>1</v>
      </c>
      <c r="AH6"/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 s="44">
        <v>1</v>
      </c>
      <c r="AO6" s="44">
        <v>1</v>
      </c>
      <c r="AP6"/>
      <c r="AQ6" s="44">
        <v>1</v>
      </c>
      <c r="AR6" s="44">
        <v>1</v>
      </c>
      <c r="AS6" s="44">
        <v>1</v>
      </c>
      <c r="AT6" s="44">
        <v>1</v>
      </c>
      <c r="AU6"/>
      <c r="AV6" s="44">
        <v>1</v>
      </c>
      <c r="AW6"/>
      <c r="AX6"/>
      <c r="AY6" s="44">
        <v>1</v>
      </c>
    </row>
    <row r="7" spans="1:51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/>
      <c r="N7" s="44">
        <v>180</v>
      </c>
      <c r="P7" s="44">
        <v>180</v>
      </c>
      <c r="Q7" s="44"/>
      <c r="R7" s="44">
        <v>180</v>
      </c>
      <c r="S7" s="44">
        <v>180</v>
      </c>
      <c r="T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 s="44">
        <v>180</v>
      </c>
      <c r="AH7"/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 s="44">
        <v>180</v>
      </c>
      <c r="AO7" s="44">
        <v>180</v>
      </c>
      <c r="AP7"/>
      <c r="AQ7" s="44">
        <v>180</v>
      </c>
      <c r="AR7" s="44">
        <v>180</v>
      </c>
      <c r="AS7" s="44">
        <v>180</v>
      </c>
      <c r="AT7" s="44">
        <v>180</v>
      </c>
      <c r="AU7"/>
      <c r="AV7" s="44">
        <v>180</v>
      </c>
      <c r="AW7"/>
      <c r="AX7"/>
      <c r="AY7" s="44">
        <v>180</v>
      </c>
    </row>
    <row r="8" spans="1:51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/>
      <c r="N8" s="44">
        <v>4.1666666999999998E-2</v>
      </c>
      <c r="P8" s="44">
        <v>4.1666666999999998E-2</v>
      </c>
      <c r="Q8" s="44"/>
      <c r="R8" s="44">
        <v>4.1666666999999998E-2</v>
      </c>
      <c r="S8" s="44">
        <v>4.1666666999999998E-2</v>
      </c>
      <c r="T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/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 s="44">
        <v>4.1666666999999998E-2</v>
      </c>
      <c r="AS8" s="44">
        <v>4.1666666999999998E-2</v>
      </c>
      <c r="AT8" s="44">
        <v>4.1666666999999998E-2</v>
      </c>
      <c r="AU8"/>
      <c r="AV8" s="44">
        <v>4.1666666999999998E-2</v>
      </c>
      <c r="AW8"/>
      <c r="AX8"/>
      <c r="AY8" s="44">
        <v>4.1666666999999998E-2</v>
      </c>
    </row>
    <row r="9" spans="1:51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/>
      <c r="N9" s="44">
        <v>4.1666666999999998E-2</v>
      </c>
      <c r="P9" s="44">
        <v>4.1666666999999998E-2</v>
      </c>
      <c r="Q9" s="44"/>
      <c r="R9" s="44">
        <v>4.1666666999999998E-2</v>
      </c>
      <c r="S9" s="44">
        <v>4.1666666999999998E-2</v>
      </c>
      <c r="T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 s="44">
        <v>4.1666666999999998E-2</v>
      </c>
      <c r="AH9"/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 s="44">
        <v>4.1666666999999998E-2</v>
      </c>
      <c r="AP9"/>
      <c r="AQ9" s="44">
        <v>4.1666666999999998E-2</v>
      </c>
      <c r="AR9" s="44">
        <v>4.1666666999999998E-2</v>
      </c>
      <c r="AS9" s="44">
        <v>4.1666666999999998E-2</v>
      </c>
      <c r="AT9" s="44">
        <v>4.1666666999999998E-2</v>
      </c>
      <c r="AU9"/>
      <c r="AV9" s="44">
        <v>4.1666666999999998E-2</v>
      </c>
      <c r="AW9"/>
      <c r="AX9"/>
      <c r="AY9" s="44">
        <v>4.1666666999999998E-2</v>
      </c>
    </row>
    <row r="10" spans="1:51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/>
      <c r="N10" s="44">
        <v>1</v>
      </c>
      <c r="P10" s="44">
        <v>1</v>
      </c>
      <c r="Q10" s="44"/>
      <c r="R10" s="44">
        <v>1</v>
      </c>
      <c r="S10" s="44">
        <v>1</v>
      </c>
      <c r="T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 s="44">
        <v>1</v>
      </c>
      <c r="AH10"/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 s="44">
        <v>1</v>
      </c>
      <c r="AO10" s="44">
        <v>1</v>
      </c>
      <c r="AP10"/>
      <c r="AQ10" s="44">
        <v>1</v>
      </c>
      <c r="AR10" s="44">
        <v>1</v>
      </c>
      <c r="AS10" s="44">
        <v>1</v>
      </c>
      <c r="AT10" s="44">
        <v>1</v>
      </c>
      <c r="AU10"/>
      <c r="AV10" s="44">
        <v>1</v>
      </c>
      <c r="AW10"/>
      <c r="AX10"/>
      <c r="AY10" s="44">
        <v>1</v>
      </c>
    </row>
    <row r="11" spans="1:51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/>
      <c r="N11" s="44">
        <v>0</v>
      </c>
      <c r="P11" s="44">
        <v>0</v>
      </c>
      <c r="Q11" s="44"/>
      <c r="R11" s="44">
        <v>0</v>
      </c>
      <c r="S11" s="44">
        <v>0</v>
      </c>
      <c r="T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  <c r="AH11"/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 s="44">
        <v>0</v>
      </c>
      <c r="AO11" s="44">
        <v>0</v>
      </c>
      <c r="AP11"/>
      <c r="AQ11" s="44">
        <v>0</v>
      </c>
      <c r="AR11" s="44">
        <v>0</v>
      </c>
      <c r="AS11" s="44">
        <v>0</v>
      </c>
      <c r="AT11" s="44">
        <v>0</v>
      </c>
      <c r="AU11"/>
      <c r="AV11" s="44">
        <v>0</v>
      </c>
      <c r="AW11"/>
      <c r="AX11"/>
      <c r="AY11" s="44">
        <v>0</v>
      </c>
    </row>
    <row r="12" spans="1:51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/>
      <c r="N12" s="44" t="s">
        <v>87</v>
      </c>
      <c r="P12" s="44" t="s">
        <v>87</v>
      </c>
      <c r="Q12" s="44"/>
      <c r="R12" s="44" t="s">
        <v>87</v>
      </c>
      <c r="S12" s="44" t="s">
        <v>87</v>
      </c>
      <c r="T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 s="44" t="s">
        <v>87</v>
      </c>
      <c r="AH12"/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 s="44" t="s">
        <v>87</v>
      </c>
      <c r="AO12" s="44" t="s">
        <v>87</v>
      </c>
      <c r="AP12"/>
      <c r="AQ12" s="44" t="s">
        <v>87</v>
      </c>
      <c r="AR12" s="44" t="s">
        <v>87</v>
      </c>
      <c r="AS12" s="44" t="s">
        <v>87</v>
      </c>
      <c r="AT12" s="44" t="s">
        <v>87</v>
      </c>
      <c r="AU12"/>
      <c r="AV12" s="44" t="s">
        <v>87</v>
      </c>
      <c r="AW12"/>
      <c r="AX12"/>
      <c r="AY12" s="44" t="s">
        <v>87</v>
      </c>
    </row>
    <row r="13" spans="1:51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/>
      <c r="N13" s="44">
        <v>5.0000000000000001E-9</v>
      </c>
      <c r="P13" s="44">
        <v>5.0000000000000001E-9</v>
      </c>
      <c r="Q13" s="44"/>
      <c r="R13" s="44">
        <v>5.0000000000000001E-9</v>
      </c>
      <c r="S13" s="44">
        <v>5.0000000000000001E-9</v>
      </c>
      <c r="T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 s="44">
        <v>5.0000000000000001E-9</v>
      </c>
      <c r="AH13"/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 s="44">
        <v>5.0000000000000001E-9</v>
      </c>
      <c r="AP13"/>
      <c r="AQ13" s="44">
        <v>5.0000000000000001E-9</v>
      </c>
      <c r="AR13" s="44">
        <v>5.0000000000000001E-9</v>
      </c>
      <c r="AS13" s="44">
        <v>5.0000000000000001E-9</v>
      </c>
      <c r="AT13" s="44">
        <v>5.0000000000000001E-9</v>
      </c>
      <c r="AU13"/>
      <c r="AV13" s="44">
        <v>5.0000000000000001E-9</v>
      </c>
      <c r="AW13"/>
      <c r="AX13"/>
      <c r="AY13" s="44">
        <v>5.0000000000000001E-9</v>
      </c>
    </row>
    <row r="14" spans="1:51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/>
      <c r="N14" s="44">
        <v>10</v>
      </c>
      <c r="P14" s="44">
        <v>10</v>
      </c>
      <c r="Q14" s="44"/>
      <c r="R14" s="44">
        <v>10</v>
      </c>
      <c r="S14" s="44">
        <v>10</v>
      </c>
      <c r="T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 s="44">
        <v>10</v>
      </c>
      <c r="AH14"/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 s="44">
        <v>10</v>
      </c>
      <c r="AO14" s="44">
        <v>10</v>
      </c>
      <c r="AP14"/>
      <c r="AQ14" s="44">
        <v>10</v>
      </c>
      <c r="AR14" s="44">
        <v>10</v>
      </c>
      <c r="AS14" s="44">
        <v>10</v>
      </c>
      <c r="AT14" s="44">
        <v>10</v>
      </c>
      <c r="AU14"/>
      <c r="AV14" s="44">
        <v>10</v>
      </c>
      <c r="AW14"/>
      <c r="AX14"/>
      <c r="AY14" s="44">
        <v>10</v>
      </c>
    </row>
    <row r="15" spans="1:51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/>
      <c r="N15" s="44" t="s">
        <v>87</v>
      </c>
      <c r="P15" s="44" t="s">
        <v>87</v>
      </c>
      <c r="Q15" s="44"/>
      <c r="R15" s="44" t="s">
        <v>87</v>
      </c>
      <c r="S15" s="44" t="s">
        <v>87</v>
      </c>
      <c r="T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/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 s="44" t="s">
        <v>87</v>
      </c>
      <c r="AS15" s="44" t="s">
        <v>87</v>
      </c>
      <c r="AT15" s="44" t="s">
        <v>87</v>
      </c>
      <c r="AU15"/>
      <c r="AV15" s="44" t="s">
        <v>87</v>
      </c>
      <c r="AW15"/>
      <c r="AX15"/>
      <c r="AY15" s="44" t="s">
        <v>87</v>
      </c>
    </row>
    <row r="16" spans="1:51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/>
      <c r="N16" s="44" t="s">
        <v>87</v>
      </c>
      <c r="P16" s="44" t="s">
        <v>87</v>
      </c>
      <c r="Q16" s="44"/>
      <c r="R16" s="44" t="s">
        <v>87</v>
      </c>
      <c r="S16" s="44" t="s">
        <v>87</v>
      </c>
      <c r="T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/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 s="44" t="s">
        <v>87</v>
      </c>
      <c r="AS16" s="44" t="s">
        <v>87</v>
      </c>
      <c r="AT16" s="44" t="s">
        <v>87</v>
      </c>
      <c r="AU16"/>
      <c r="AV16" s="44" t="s">
        <v>87</v>
      </c>
      <c r="AW16"/>
      <c r="AX16"/>
      <c r="AY16" s="44" t="s">
        <v>87</v>
      </c>
    </row>
    <row r="17" spans="1:51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/>
      <c r="N17" s="44" t="s">
        <v>87</v>
      </c>
      <c r="P17" s="44" t="s">
        <v>87</v>
      </c>
      <c r="Q17" s="44"/>
      <c r="R17" s="44" t="s">
        <v>87</v>
      </c>
      <c r="S17" s="44" t="s">
        <v>87</v>
      </c>
      <c r="T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 s="44" t="s">
        <v>87</v>
      </c>
      <c r="AH17"/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 s="44" t="s">
        <v>87</v>
      </c>
      <c r="AO17" s="44" t="s">
        <v>87</v>
      </c>
      <c r="AP17"/>
      <c r="AQ17" s="44" t="s">
        <v>87</v>
      </c>
      <c r="AR17" s="44" t="s">
        <v>87</v>
      </c>
      <c r="AS17" s="44" t="s">
        <v>87</v>
      </c>
      <c r="AT17" s="44" t="s">
        <v>87</v>
      </c>
      <c r="AU17"/>
      <c r="AV17" s="44" t="s">
        <v>87</v>
      </c>
      <c r="AW17"/>
      <c r="AX17"/>
      <c r="AY17" s="44" t="s">
        <v>87</v>
      </c>
    </row>
    <row r="18" spans="1:51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/>
      <c r="N18" s="44">
        <v>86400</v>
      </c>
      <c r="P18" s="44">
        <v>86400</v>
      </c>
      <c r="Q18" s="44"/>
      <c r="R18" s="44">
        <v>86400</v>
      </c>
      <c r="S18" s="44">
        <v>86400</v>
      </c>
      <c r="T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 s="44">
        <v>86400</v>
      </c>
      <c r="AH18"/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 s="44">
        <v>86400</v>
      </c>
      <c r="AO18" s="44">
        <v>86400</v>
      </c>
      <c r="AP18"/>
      <c r="AQ18" s="44">
        <v>86400</v>
      </c>
      <c r="AR18" s="44">
        <v>86400</v>
      </c>
      <c r="AS18" s="44">
        <v>86400</v>
      </c>
      <c r="AT18" s="44">
        <v>86400</v>
      </c>
      <c r="AU18"/>
      <c r="AV18" s="44">
        <v>86400</v>
      </c>
      <c r="AW18"/>
      <c r="AX18"/>
      <c r="AY18" s="44">
        <v>86400</v>
      </c>
    </row>
    <row r="19" spans="1:51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/>
      <c r="N19" s="44" t="s">
        <v>86</v>
      </c>
      <c r="P19" s="44" t="s">
        <v>86</v>
      </c>
      <c r="Q19" s="44"/>
      <c r="R19" s="44" t="s">
        <v>86</v>
      </c>
      <c r="S19" s="44" t="s">
        <v>86</v>
      </c>
      <c r="T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 s="44" t="s">
        <v>86</v>
      </c>
      <c r="AH19"/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44" t="s">
        <v>86</v>
      </c>
      <c r="AO19" s="44" t="s">
        <v>86</v>
      </c>
      <c r="AP19"/>
      <c r="AQ19" s="44" t="s">
        <v>86</v>
      </c>
      <c r="AR19" s="44" t="s">
        <v>86</v>
      </c>
      <c r="AS19" s="44" t="s">
        <v>86</v>
      </c>
      <c r="AT19" s="44" t="s">
        <v>86</v>
      </c>
      <c r="AU19"/>
      <c r="AV19" s="44" t="s">
        <v>86</v>
      </c>
      <c r="AW19"/>
      <c r="AX19"/>
      <c r="AY19" s="44" t="s">
        <v>86</v>
      </c>
    </row>
    <row r="20" spans="1:51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/>
      <c r="N20" s="44">
        <v>3</v>
      </c>
      <c r="P20" s="44">
        <v>3</v>
      </c>
      <c r="Q20" s="44"/>
      <c r="R20" s="44">
        <v>3</v>
      </c>
      <c r="S20" s="44">
        <v>3</v>
      </c>
      <c r="T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 s="44">
        <v>3</v>
      </c>
      <c r="AH20"/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 s="44">
        <v>3</v>
      </c>
      <c r="AO20" s="44">
        <v>3</v>
      </c>
      <c r="AP20"/>
      <c r="AQ20" s="44">
        <v>3</v>
      </c>
      <c r="AR20" s="44">
        <v>3</v>
      </c>
      <c r="AS20" s="44">
        <v>3</v>
      </c>
      <c r="AT20" s="44">
        <v>3</v>
      </c>
      <c r="AU20"/>
      <c r="AV20" s="44">
        <v>3</v>
      </c>
      <c r="AW20"/>
      <c r="AX20"/>
      <c r="AY20" s="44">
        <v>3</v>
      </c>
    </row>
    <row r="21" spans="1:51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/>
      <c r="N21" s="44" t="s">
        <v>87</v>
      </c>
      <c r="P21" s="44" t="s">
        <v>87</v>
      </c>
      <c r="Q21" s="44"/>
      <c r="R21" s="44" t="s">
        <v>87</v>
      </c>
      <c r="S21" s="44" t="s">
        <v>87</v>
      </c>
      <c r="T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/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 s="44" t="s">
        <v>87</v>
      </c>
      <c r="AS21" s="44" t="s">
        <v>87</v>
      </c>
      <c r="AT21" s="44" t="s">
        <v>87</v>
      </c>
      <c r="AU21"/>
      <c r="AV21" s="44" t="s">
        <v>87</v>
      </c>
      <c r="AW21"/>
      <c r="AX21"/>
      <c r="AY21" s="44" t="s">
        <v>87</v>
      </c>
    </row>
    <row r="22" spans="1:51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/>
      <c r="N22" s="44" t="s">
        <v>87</v>
      </c>
      <c r="P22" s="44" t="s">
        <v>87</v>
      </c>
      <c r="Q22" s="44"/>
      <c r="R22" s="44" t="s">
        <v>87</v>
      </c>
      <c r="S22" s="44" t="s">
        <v>87</v>
      </c>
      <c r="T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/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 s="44" t="s">
        <v>87</v>
      </c>
      <c r="AS22" s="44" t="s">
        <v>87</v>
      </c>
      <c r="AT22" s="44" t="s">
        <v>87</v>
      </c>
      <c r="AU22"/>
      <c r="AV22" s="44" t="s">
        <v>87</v>
      </c>
      <c r="AW22"/>
      <c r="AX22"/>
      <c r="AY22" s="44" t="s">
        <v>87</v>
      </c>
    </row>
    <row r="23" spans="1:51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/>
      <c r="N23" s="44" t="s">
        <v>87</v>
      </c>
      <c r="P23" s="44" t="s">
        <v>87</v>
      </c>
      <c r="Q23" s="44"/>
      <c r="R23" s="44" t="s">
        <v>87</v>
      </c>
      <c r="S23" s="44" t="s">
        <v>87</v>
      </c>
      <c r="T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/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 s="44" t="s">
        <v>87</v>
      </c>
      <c r="AS23" s="44" t="s">
        <v>87</v>
      </c>
      <c r="AT23" s="44" t="s">
        <v>87</v>
      </c>
      <c r="AU23"/>
      <c r="AV23" s="44" t="s">
        <v>87</v>
      </c>
      <c r="AW23"/>
      <c r="AX23"/>
      <c r="AY23" s="44" t="s">
        <v>87</v>
      </c>
    </row>
    <row r="24" spans="1:51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/>
      <c r="N24" s="44" t="s">
        <v>87</v>
      </c>
      <c r="P24" s="44" t="s">
        <v>87</v>
      </c>
      <c r="Q24" s="44"/>
      <c r="R24" s="44" t="s">
        <v>87</v>
      </c>
      <c r="S24" s="44" t="s">
        <v>87</v>
      </c>
      <c r="T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/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 s="44" t="s">
        <v>87</v>
      </c>
      <c r="AS24" s="44" t="s">
        <v>87</v>
      </c>
      <c r="AT24" s="44" t="s">
        <v>87</v>
      </c>
      <c r="AU24"/>
      <c r="AV24" s="44" t="s">
        <v>87</v>
      </c>
      <c r="AW24"/>
      <c r="AX24"/>
      <c r="AY24" s="44" t="s">
        <v>87</v>
      </c>
    </row>
    <row r="25" spans="1:51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/>
      <c r="N25" s="44" t="s">
        <v>87</v>
      </c>
      <c r="P25" s="44" t="s">
        <v>87</v>
      </c>
      <c r="Q25" s="44"/>
      <c r="R25" s="44" t="s">
        <v>87</v>
      </c>
      <c r="S25" s="44" t="s">
        <v>87</v>
      </c>
      <c r="T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/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 s="44" t="s">
        <v>87</v>
      </c>
      <c r="AS25" s="44" t="s">
        <v>87</v>
      </c>
      <c r="AT25" s="44" t="s">
        <v>87</v>
      </c>
      <c r="AU25"/>
      <c r="AV25" s="44" t="s">
        <v>87</v>
      </c>
      <c r="AW25"/>
      <c r="AX25"/>
      <c r="AY25" s="44" t="s">
        <v>87</v>
      </c>
    </row>
    <row r="26" spans="1:51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/>
      <c r="N26" s="44" t="s">
        <v>87</v>
      </c>
      <c r="P26" s="44" t="s">
        <v>87</v>
      </c>
      <c r="Q26" s="44"/>
      <c r="R26" s="44" t="s">
        <v>87</v>
      </c>
      <c r="S26" s="44" t="s">
        <v>87</v>
      </c>
      <c r="T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 s="44" t="s">
        <v>87</v>
      </c>
      <c r="AH26"/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 s="44" t="s">
        <v>87</v>
      </c>
      <c r="AO26" s="44" t="s">
        <v>87</v>
      </c>
      <c r="AP26"/>
      <c r="AQ26" s="44" t="s">
        <v>87</v>
      </c>
      <c r="AR26" s="44" t="s">
        <v>87</v>
      </c>
      <c r="AS26" s="44" t="s">
        <v>87</v>
      </c>
      <c r="AT26" s="44" t="s">
        <v>87</v>
      </c>
      <c r="AU26"/>
      <c r="AV26" s="44" t="s">
        <v>87</v>
      </c>
      <c r="AW26"/>
      <c r="AX26"/>
      <c r="AY26" s="44" t="s">
        <v>87</v>
      </c>
    </row>
    <row r="27" spans="1:51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/>
      <c r="N27" s="44">
        <v>0.33</v>
      </c>
      <c r="P27" s="44">
        <v>0.33</v>
      </c>
      <c r="Q27" s="44"/>
      <c r="R27" s="44">
        <v>0.33</v>
      </c>
      <c r="S27" s="44">
        <v>0.33</v>
      </c>
      <c r="T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 s="44">
        <v>0.33</v>
      </c>
      <c r="AH27"/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 s="44">
        <v>0.33</v>
      </c>
      <c r="AO27" s="44">
        <v>0.33</v>
      </c>
      <c r="AP27"/>
      <c r="AQ27" s="44">
        <v>0.33</v>
      </c>
      <c r="AR27" s="44">
        <v>0.33</v>
      </c>
      <c r="AS27" s="44">
        <v>0.33</v>
      </c>
      <c r="AT27" s="44">
        <v>0.33</v>
      </c>
      <c r="AU27"/>
      <c r="AV27" s="44">
        <v>0.33</v>
      </c>
      <c r="AW27"/>
      <c r="AX27"/>
      <c r="AY27" s="44">
        <v>0.33</v>
      </c>
    </row>
    <row r="28" spans="1:51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/>
      <c r="N28" s="44" t="s">
        <v>87</v>
      </c>
      <c r="P28" s="44" t="s">
        <v>87</v>
      </c>
      <c r="Q28" s="44"/>
      <c r="R28" s="44" t="s">
        <v>87</v>
      </c>
      <c r="S28" s="44" t="s">
        <v>87</v>
      </c>
      <c r="T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/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 s="44" t="s">
        <v>87</v>
      </c>
      <c r="AS28" s="44" t="s">
        <v>87</v>
      </c>
      <c r="AT28" s="44" t="s">
        <v>87</v>
      </c>
      <c r="AU28"/>
      <c r="AV28" s="44" t="s">
        <v>87</v>
      </c>
      <c r="AW28"/>
      <c r="AX28"/>
      <c r="AY28" s="44" t="s">
        <v>87</v>
      </c>
    </row>
    <row r="29" spans="1:51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/>
      <c r="N29" s="44" t="s">
        <v>87</v>
      </c>
      <c r="P29" s="44" t="s">
        <v>87</v>
      </c>
      <c r="Q29" s="44"/>
      <c r="R29" s="44" t="s">
        <v>87</v>
      </c>
      <c r="S29" s="44" t="s">
        <v>87</v>
      </c>
      <c r="T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/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 s="44" t="s">
        <v>87</v>
      </c>
      <c r="AS29" s="44" t="s">
        <v>87</v>
      </c>
      <c r="AT29" s="44" t="s">
        <v>87</v>
      </c>
      <c r="AU29"/>
      <c r="AV29" s="44" t="s">
        <v>87</v>
      </c>
      <c r="AW29"/>
      <c r="AX29"/>
      <c r="AY29" s="44" t="s">
        <v>87</v>
      </c>
    </row>
    <row r="30" spans="1:51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/>
      <c r="N30" s="44" t="s">
        <v>87</v>
      </c>
      <c r="P30" s="44" t="s">
        <v>87</v>
      </c>
      <c r="Q30" s="44"/>
      <c r="R30" s="44" t="s">
        <v>87</v>
      </c>
      <c r="S30" s="44" t="s">
        <v>87</v>
      </c>
      <c r="T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 s="44" t="s">
        <v>87</v>
      </c>
      <c r="AH30"/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 s="44" t="s">
        <v>87</v>
      </c>
      <c r="AO30" s="44" t="s">
        <v>87</v>
      </c>
      <c r="AP30"/>
      <c r="AQ30" s="44" t="s">
        <v>87</v>
      </c>
      <c r="AR30" s="44" t="s">
        <v>87</v>
      </c>
      <c r="AS30" s="44" t="s">
        <v>87</v>
      </c>
      <c r="AT30" s="44" t="s">
        <v>87</v>
      </c>
      <c r="AU30"/>
      <c r="AV30" s="44" t="s">
        <v>87</v>
      </c>
      <c r="AW30"/>
      <c r="AX30"/>
      <c r="AY30" s="44" t="s">
        <v>87</v>
      </c>
    </row>
    <row r="31" spans="1:51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/>
      <c r="N31" s="44" t="s">
        <v>86</v>
      </c>
      <c r="P31" s="44" t="s">
        <v>86</v>
      </c>
      <c r="Q31" s="44"/>
      <c r="R31" s="44" t="s">
        <v>86</v>
      </c>
      <c r="S31" s="44" t="s">
        <v>86</v>
      </c>
      <c r="T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 s="44" t="s">
        <v>86</v>
      </c>
      <c r="AH31"/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44" t="s">
        <v>86</v>
      </c>
      <c r="AO31" s="44" t="s">
        <v>86</v>
      </c>
      <c r="AP31"/>
      <c r="AQ31" s="44" t="s">
        <v>86</v>
      </c>
      <c r="AR31" s="44" t="s">
        <v>86</v>
      </c>
      <c r="AS31" s="44" t="s">
        <v>86</v>
      </c>
      <c r="AT31" s="44" t="s">
        <v>86</v>
      </c>
      <c r="AU31"/>
      <c r="AV31" s="44" t="s">
        <v>86</v>
      </c>
      <c r="AW31"/>
      <c r="AX31"/>
      <c r="AY31" s="44" t="s">
        <v>86</v>
      </c>
    </row>
    <row r="32" spans="1:51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/>
      <c r="N32" s="45" t="s">
        <v>436</v>
      </c>
      <c r="P32" s="45" t="s">
        <v>436</v>
      </c>
      <c r="Q32" s="45"/>
      <c r="R32" s="45" t="s">
        <v>436</v>
      </c>
      <c r="S32" s="45" t="s">
        <v>436</v>
      </c>
      <c r="T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 s="45" t="s">
        <v>436</v>
      </c>
      <c r="AH32"/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 s="45" t="s">
        <v>436</v>
      </c>
      <c r="AO32" s="45" t="s">
        <v>436</v>
      </c>
      <c r="AP32"/>
      <c r="AQ32" s="45" t="s">
        <v>436</v>
      </c>
      <c r="AR32" s="45" t="s">
        <v>436</v>
      </c>
      <c r="AS32" s="45" t="s">
        <v>436</v>
      </c>
      <c r="AT32" s="45" t="s">
        <v>436</v>
      </c>
      <c r="AU32"/>
      <c r="AV32" s="45" t="s">
        <v>436</v>
      </c>
      <c r="AW32"/>
      <c r="AX32"/>
      <c r="AY32" s="45" t="s">
        <v>436</v>
      </c>
    </row>
    <row r="33" spans="1:51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/>
      <c r="N33" s="44">
        <v>9.9999999999999995E-7</v>
      </c>
      <c r="P33" s="44">
        <v>9.9999999999999995E-7</v>
      </c>
      <c r="Q33" s="44"/>
      <c r="R33" s="44">
        <v>9.9999999999999995E-7</v>
      </c>
      <c r="S33" s="44">
        <v>9.9999999999999995E-7</v>
      </c>
      <c r="T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 s="44">
        <v>9.9999999999999995E-7</v>
      </c>
      <c r="AH33"/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 s="44">
        <v>9.9999999999999995E-7</v>
      </c>
      <c r="AP33"/>
      <c r="AQ33" s="44">
        <v>9.9999999999999995E-7</v>
      </c>
      <c r="AR33" s="44">
        <v>9.9999999999999995E-7</v>
      </c>
      <c r="AS33" s="44">
        <v>9.9999999999999995E-7</v>
      </c>
      <c r="AT33" s="44">
        <v>9.9999999999999995E-7</v>
      </c>
      <c r="AU33"/>
      <c r="AV33" s="44">
        <v>9.9999999999999995E-7</v>
      </c>
      <c r="AW33"/>
      <c r="AX33"/>
      <c r="AY33" s="44">
        <v>9.9999999999999995E-7</v>
      </c>
    </row>
    <row r="34" spans="1:51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/>
      <c r="N34" s="44">
        <v>1E-3</v>
      </c>
      <c r="P34" s="44">
        <v>1E-3</v>
      </c>
      <c r="Q34" s="44"/>
      <c r="R34" s="44">
        <v>1E-3</v>
      </c>
      <c r="S34" s="44">
        <v>1E-3</v>
      </c>
      <c r="T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 s="44">
        <v>1E-3</v>
      </c>
      <c r="AH34"/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 s="44">
        <v>1E-3</v>
      </c>
      <c r="AO34" s="44">
        <v>1E-3</v>
      </c>
      <c r="AP34"/>
      <c r="AQ34" s="44">
        <v>1E-3</v>
      </c>
      <c r="AR34" s="44">
        <v>1E-3</v>
      </c>
      <c r="AS34" s="44">
        <v>1E-3</v>
      </c>
      <c r="AT34" s="44">
        <v>1E-3</v>
      </c>
      <c r="AU34"/>
      <c r="AV34" s="44">
        <v>1E-3</v>
      </c>
      <c r="AW34"/>
      <c r="AX34"/>
      <c r="AY34" s="44">
        <v>1E-3</v>
      </c>
    </row>
    <row r="35" spans="1:51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/>
      <c r="N35" s="44" t="s">
        <v>86</v>
      </c>
      <c r="P35" s="44" t="s">
        <v>86</v>
      </c>
      <c r="Q35" s="44"/>
      <c r="R35" s="44" t="s">
        <v>86</v>
      </c>
      <c r="S35" s="44" t="s">
        <v>86</v>
      </c>
      <c r="T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 s="44" t="s">
        <v>86</v>
      </c>
      <c r="AH35"/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44" t="s">
        <v>86</v>
      </c>
      <c r="AO35" s="44" t="s">
        <v>86</v>
      </c>
      <c r="AP35"/>
      <c r="AQ35" s="44" t="s">
        <v>86</v>
      </c>
      <c r="AR35" s="44" t="s">
        <v>86</v>
      </c>
      <c r="AS35" s="44" t="s">
        <v>86</v>
      </c>
      <c r="AT35" s="44" t="s">
        <v>86</v>
      </c>
      <c r="AU35"/>
      <c r="AV35" s="44" t="s">
        <v>86</v>
      </c>
      <c r="AW35"/>
      <c r="AX35"/>
      <c r="AY35" s="44" t="s">
        <v>86</v>
      </c>
    </row>
    <row r="36" spans="1:51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/>
      <c r="N36" s="44" t="s">
        <v>88</v>
      </c>
      <c r="P36" s="44" t="s">
        <v>88</v>
      </c>
      <c r="Q36" s="44"/>
      <c r="R36" s="44" t="s">
        <v>88</v>
      </c>
      <c r="S36" s="44" t="s">
        <v>88</v>
      </c>
      <c r="T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 s="44" t="s">
        <v>88</v>
      </c>
      <c r="AH36"/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 s="44" t="s">
        <v>88</v>
      </c>
      <c r="AO36" s="44" t="s">
        <v>88</v>
      </c>
      <c r="AP36"/>
      <c r="AQ36" s="44" t="s">
        <v>88</v>
      </c>
      <c r="AR36" s="44" t="s">
        <v>88</v>
      </c>
      <c r="AS36" s="44" t="s">
        <v>88</v>
      </c>
      <c r="AT36" s="44" t="s">
        <v>88</v>
      </c>
      <c r="AU36"/>
      <c r="AV36" s="44" t="s">
        <v>88</v>
      </c>
      <c r="AW36"/>
      <c r="AX36"/>
      <c r="AY36" s="44" t="s">
        <v>88</v>
      </c>
    </row>
    <row r="37" spans="1:51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/>
      <c r="N37" s="44" t="s">
        <v>86</v>
      </c>
      <c r="P37" s="44" t="s">
        <v>86</v>
      </c>
      <c r="Q37" s="44"/>
      <c r="R37" s="44" t="s">
        <v>86</v>
      </c>
      <c r="S37" s="44" t="s">
        <v>86</v>
      </c>
      <c r="T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 s="44" t="s">
        <v>86</v>
      </c>
      <c r="AH37"/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44" t="s">
        <v>86</v>
      </c>
      <c r="AO37" s="44" t="s">
        <v>86</v>
      </c>
      <c r="AP37"/>
      <c r="AQ37" s="44" t="s">
        <v>86</v>
      </c>
      <c r="AR37" s="44" t="s">
        <v>86</v>
      </c>
      <c r="AS37" s="44" t="s">
        <v>86</v>
      </c>
      <c r="AT37" s="44" t="s">
        <v>86</v>
      </c>
      <c r="AU37"/>
      <c r="AV37" s="44" t="s">
        <v>86</v>
      </c>
      <c r="AW37"/>
      <c r="AX37"/>
      <c r="AY37" s="44" t="s">
        <v>86</v>
      </c>
    </row>
    <row r="38" spans="1:51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/>
      <c r="N38" s="44" t="s">
        <v>87</v>
      </c>
      <c r="P38" s="44" t="s">
        <v>87</v>
      </c>
      <c r="Q38" s="44"/>
      <c r="R38" s="44" t="s">
        <v>87</v>
      </c>
      <c r="S38" s="44" t="s">
        <v>87</v>
      </c>
      <c r="T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 s="44" t="s">
        <v>87</v>
      </c>
      <c r="AH38"/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 s="44" t="s">
        <v>87</v>
      </c>
      <c r="AO38" s="44" t="s">
        <v>87</v>
      </c>
      <c r="AP38"/>
      <c r="AQ38" s="44" t="s">
        <v>87</v>
      </c>
      <c r="AR38" s="44" t="s">
        <v>87</v>
      </c>
      <c r="AS38" s="44" t="s">
        <v>87</v>
      </c>
      <c r="AT38" s="44" t="s">
        <v>87</v>
      </c>
      <c r="AU38"/>
      <c r="AV38" s="44" t="s">
        <v>87</v>
      </c>
      <c r="AW38"/>
      <c r="AX38"/>
      <c r="AY38" s="44" t="s">
        <v>87</v>
      </c>
    </row>
    <row r="39" spans="1:51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/>
      <c r="N39" s="44">
        <v>120</v>
      </c>
      <c r="P39" s="44">
        <v>120</v>
      </c>
      <c r="Q39" s="44"/>
      <c r="R39" s="44">
        <v>120</v>
      </c>
      <c r="S39" s="44">
        <v>120</v>
      </c>
      <c r="T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 s="44">
        <v>120</v>
      </c>
      <c r="AH39"/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 s="44">
        <v>120</v>
      </c>
      <c r="AO39" s="44">
        <v>120</v>
      </c>
      <c r="AP39"/>
      <c r="AQ39" s="44">
        <v>120</v>
      </c>
      <c r="AR39" s="44">
        <v>120</v>
      </c>
      <c r="AS39" s="44">
        <v>120</v>
      </c>
      <c r="AT39" s="44">
        <v>120</v>
      </c>
      <c r="AU39"/>
      <c r="AV39" s="44">
        <v>120</v>
      </c>
      <c r="AW39"/>
      <c r="AX39"/>
      <c r="AY39" s="44">
        <v>120</v>
      </c>
    </row>
    <row r="40" spans="1:51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/>
      <c r="N40" s="44">
        <v>0</v>
      </c>
      <c r="P40" s="44">
        <v>0</v>
      </c>
      <c r="Q40" s="44"/>
      <c r="R40" s="44">
        <v>0</v>
      </c>
      <c r="S40" s="44">
        <v>0</v>
      </c>
      <c r="T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/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 s="44">
        <v>0</v>
      </c>
      <c r="AS40" s="44">
        <v>0</v>
      </c>
      <c r="AT40" s="44">
        <v>0</v>
      </c>
      <c r="AU40"/>
      <c r="AV40" s="44">
        <v>0</v>
      </c>
      <c r="AW40"/>
      <c r="AX40"/>
      <c r="AY40" s="44">
        <v>0</v>
      </c>
    </row>
    <row r="41" spans="1:51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/>
      <c r="N41" s="44">
        <v>0</v>
      </c>
      <c r="P41" s="44">
        <v>0</v>
      </c>
      <c r="Q41" s="44"/>
      <c r="R41" s="44">
        <v>0</v>
      </c>
      <c r="S41" s="44">
        <v>0</v>
      </c>
      <c r="T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 s="44">
        <v>0</v>
      </c>
      <c r="AH41"/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 s="44">
        <v>0</v>
      </c>
      <c r="AO41" s="44">
        <v>0</v>
      </c>
      <c r="AP41"/>
      <c r="AQ41" s="44">
        <v>0</v>
      </c>
      <c r="AR41" s="44">
        <v>0</v>
      </c>
      <c r="AS41" s="44">
        <v>0</v>
      </c>
      <c r="AT41" s="44">
        <v>0</v>
      </c>
      <c r="AU41"/>
      <c r="AV41" s="44">
        <v>0</v>
      </c>
      <c r="AW41"/>
      <c r="AX41"/>
      <c r="AY41" s="44">
        <v>0</v>
      </c>
    </row>
    <row r="42" spans="1:51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/>
      <c r="N42" s="44">
        <v>-0.1</v>
      </c>
      <c r="P42" s="44">
        <v>-0.1</v>
      </c>
      <c r="Q42" s="44"/>
      <c r="R42" s="44">
        <v>-0.1</v>
      </c>
      <c r="S42" s="44">
        <v>-0.1</v>
      </c>
      <c r="T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 s="44">
        <v>-0.1</v>
      </c>
      <c r="AH42"/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 s="44">
        <v>-0.1</v>
      </c>
      <c r="AO42" s="44">
        <v>-0.1</v>
      </c>
      <c r="AP42"/>
      <c r="AQ42" s="44">
        <v>-0.1</v>
      </c>
      <c r="AR42" s="44">
        <v>-0.1</v>
      </c>
      <c r="AS42" s="44">
        <v>-0.1</v>
      </c>
      <c r="AT42" s="44">
        <v>-0.1</v>
      </c>
      <c r="AU42"/>
      <c r="AV42" s="44">
        <v>-0.1</v>
      </c>
      <c r="AW42"/>
      <c r="AX42"/>
      <c r="AY42" s="44">
        <v>-0.1</v>
      </c>
    </row>
    <row r="43" spans="1:51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/>
      <c r="N43" s="44">
        <v>-0.2</v>
      </c>
      <c r="P43" s="44">
        <v>-0.2</v>
      </c>
      <c r="Q43" s="44"/>
      <c r="R43" s="44">
        <v>-0.2</v>
      </c>
      <c r="S43" s="44">
        <v>-0.2</v>
      </c>
      <c r="T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 s="44">
        <v>-0.2</v>
      </c>
      <c r="AH43"/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 s="44">
        <v>-0.2</v>
      </c>
      <c r="AO43" s="44">
        <v>-0.2</v>
      </c>
      <c r="AP43"/>
      <c r="AQ43" s="44">
        <v>-0.2</v>
      </c>
      <c r="AR43" s="44">
        <v>-0.2</v>
      </c>
      <c r="AS43" s="44">
        <v>-0.2</v>
      </c>
      <c r="AT43" s="44">
        <v>-0.2</v>
      </c>
      <c r="AU43"/>
      <c r="AV43" s="44">
        <v>-0.2</v>
      </c>
      <c r="AW43"/>
      <c r="AX43"/>
      <c r="AY43" s="44">
        <v>-0.2</v>
      </c>
    </row>
    <row r="44" spans="1:51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/>
      <c r="N44" s="44">
        <v>0.4</v>
      </c>
      <c r="P44" s="44">
        <v>0.4</v>
      </c>
      <c r="Q44" s="44"/>
      <c r="R44" s="44">
        <v>0.4</v>
      </c>
      <c r="S44" s="44">
        <v>0.4</v>
      </c>
      <c r="T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 s="44">
        <v>0.4</v>
      </c>
      <c r="AH44"/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 s="44">
        <v>0.4</v>
      </c>
      <c r="AO44" s="44">
        <v>0.4</v>
      </c>
      <c r="AP44"/>
      <c r="AQ44" s="44">
        <v>0.4</v>
      </c>
      <c r="AR44" s="44">
        <v>0.4</v>
      </c>
      <c r="AS44" s="44">
        <v>0.4</v>
      </c>
      <c r="AT44" s="44">
        <v>0.4</v>
      </c>
      <c r="AU44"/>
      <c r="AV44" s="44">
        <v>0.4</v>
      </c>
      <c r="AW44"/>
      <c r="AX44"/>
      <c r="AY44" s="44">
        <v>0.4</v>
      </c>
    </row>
    <row r="45" spans="1:51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/>
      <c r="N45" s="44">
        <v>0</v>
      </c>
      <c r="P45" s="44">
        <v>0</v>
      </c>
      <c r="Q45" s="44"/>
      <c r="R45" s="44">
        <v>0</v>
      </c>
      <c r="S45" s="44">
        <v>0</v>
      </c>
      <c r="T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 s="44">
        <v>0</v>
      </c>
      <c r="AH45"/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 s="44">
        <v>0</v>
      </c>
      <c r="AO45" s="44">
        <v>0</v>
      </c>
      <c r="AP45"/>
      <c r="AQ45" s="44">
        <v>0</v>
      </c>
      <c r="AR45" s="44">
        <v>0</v>
      </c>
      <c r="AS45" s="44">
        <v>0</v>
      </c>
      <c r="AT45" s="44">
        <v>0</v>
      </c>
      <c r="AU45"/>
      <c r="AV45" s="44">
        <v>0</v>
      </c>
      <c r="AW45"/>
      <c r="AX45"/>
      <c r="AY45" s="44">
        <v>0</v>
      </c>
    </row>
    <row r="46" spans="1:51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/>
      <c r="N46" s="44">
        <v>1200</v>
      </c>
      <c r="P46" s="44">
        <v>1200</v>
      </c>
      <c r="Q46" s="44"/>
      <c r="R46" s="44">
        <v>1200</v>
      </c>
      <c r="S46" s="44">
        <v>1200</v>
      </c>
      <c r="T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/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 s="44">
        <v>1200</v>
      </c>
      <c r="AS46" s="44">
        <v>1200</v>
      </c>
      <c r="AT46" s="44">
        <v>1200</v>
      </c>
      <c r="AU46"/>
      <c r="AV46" s="44">
        <v>1200</v>
      </c>
      <c r="AW46"/>
      <c r="AX46"/>
      <c r="AY46" s="44">
        <v>1200</v>
      </c>
    </row>
    <row r="47" spans="1:51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/>
      <c r="N47" s="44">
        <v>1200</v>
      </c>
      <c r="P47" s="44">
        <v>1200</v>
      </c>
      <c r="Q47" s="44"/>
      <c r="R47" s="44">
        <v>1200</v>
      </c>
      <c r="S47" s="44">
        <v>1200</v>
      </c>
      <c r="T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 s="44">
        <v>1200</v>
      </c>
      <c r="AH47"/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 s="44">
        <v>1200</v>
      </c>
      <c r="AO47" s="44">
        <v>1200</v>
      </c>
      <c r="AP47"/>
      <c r="AQ47" s="44">
        <v>1200</v>
      </c>
      <c r="AR47" s="44">
        <v>1200</v>
      </c>
      <c r="AS47" s="44">
        <v>1200</v>
      </c>
      <c r="AT47" s="44">
        <v>1200</v>
      </c>
      <c r="AU47"/>
      <c r="AV47" s="44">
        <v>1200</v>
      </c>
      <c r="AW47"/>
      <c r="AX47"/>
      <c r="AY47" s="44">
        <v>1200</v>
      </c>
    </row>
    <row r="48" spans="1:51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/>
      <c r="N48" s="44" t="s">
        <v>462</v>
      </c>
      <c r="P48" s="44" t="s">
        <v>462</v>
      </c>
      <c r="Q48" s="44"/>
      <c r="R48" s="44" t="s">
        <v>462</v>
      </c>
      <c r="S48" s="44" t="s">
        <v>462</v>
      </c>
      <c r="T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 s="44" t="s">
        <v>462</v>
      </c>
      <c r="AH48"/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 s="44" t="s">
        <v>462</v>
      </c>
      <c r="AO48" s="44" t="s">
        <v>462</v>
      </c>
      <c r="AP48"/>
      <c r="AQ48" s="44" t="s">
        <v>462</v>
      </c>
      <c r="AR48" s="44" t="s">
        <v>462</v>
      </c>
      <c r="AS48" s="44" t="s">
        <v>462</v>
      </c>
      <c r="AT48" s="44" t="s">
        <v>462</v>
      </c>
      <c r="AU48"/>
      <c r="AV48" s="44" t="s">
        <v>462</v>
      </c>
      <c r="AW48"/>
      <c r="AX48"/>
      <c r="AY48" s="44" t="s">
        <v>462</v>
      </c>
    </row>
    <row r="49" spans="1:51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/>
      <c r="N49" s="44" t="s">
        <v>86</v>
      </c>
      <c r="P49" s="44" t="s">
        <v>86</v>
      </c>
      <c r="Q49" s="44"/>
      <c r="R49" s="44" t="s">
        <v>86</v>
      </c>
      <c r="S49" s="44" t="s">
        <v>86</v>
      </c>
      <c r="T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/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 s="44" t="s">
        <v>86</v>
      </c>
      <c r="AS49" s="44" t="s">
        <v>86</v>
      </c>
      <c r="AT49" s="44" t="s">
        <v>86</v>
      </c>
      <c r="AU49"/>
      <c r="AV49" s="44" t="s">
        <v>86</v>
      </c>
      <c r="AW49"/>
      <c r="AX49"/>
      <c r="AY49" s="44" t="s">
        <v>86</v>
      </c>
    </row>
    <row r="50" spans="1:51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/>
      <c r="N50" s="44" t="s">
        <v>86</v>
      </c>
      <c r="P50" s="44" t="s">
        <v>86</v>
      </c>
      <c r="Q50" s="44"/>
      <c r="R50" s="44" t="s">
        <v>86</v>
      </c>
      <c r="S50" s="44" t="s">
        <v>86</v>
      </c>
      <c r="T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 s="44" t="s">
        <v>86</v>
      </c>
      <c r="AH50"/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44" t="s">
        <v>86</v>
      </c>
      <c r="AO50" s="44" t="s">
        <v>86</v>
      </c>
      <c r="AP50"/>
      <c r="AQ50" s="44" t="s">
        <v>86</v>
      </c>
      <c r="AR50" s="44" t="s">
        <v>86</v>
      </c>
      <c r="AS50" s="44" t="s">
        <v>86</v>
      </c>
      <c r="AT50" s="44" t="s">
        <v>86</v>
      </c>
      <c r="AU50"/>
      <c r="AV50" s="44" t="s">
        <v>86</v>
      </c>
      <c r="AW50"/>
      <c r="AX50"/>
      <c r="AY50" s="44" t="s">
        <v>86</v>
      </c>
    </row>
    <row r="51" spans="1:51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/>
      <c r="N51" s="44">
        <v>0</v>
      </c>
      <c r="P51" s="44">
        <v>0</v>
      </c>
      <c r="Q51" s="44"/>
      <c r="R51" s="44">
        <v>0</v>
      </c>
      <c r="S51" s="44">
        <v>0</v>
      </c>
      <c r="T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 s="44">
        <v>0</v>
      </c>
      <c r="AH51"/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 s="44">
        <v>0</v>
      </c>
      <c r="AO51" s="44">
        <v>0</v>
      </c>
      <c r="AP51"/>
      <c r="AQ51" s="44">
        <v>0</v>
      </c>
      <c r="AR51" s="44">
        <v>0</v>
      </c>
      <c r="AS51" s="44">
        <v>0</v>
      </c>
      <c r="AT51" s="44">
        <v>0</v>
      </c>
      <c r="AU51"/>
      <c r="AV51" s="44">
        <v>0</v>
      </c>
      <c r="AW51"/>
      <c r="AX51"/>
      <c r="AY51" s="44">
        <v>0</v>
      </c>
    </row>
    <row r="52" spans="1:51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/>
      <c r="N52" s="44">
        <v>0.5</v>
      </c>
      <c r="P52" s="44">
        <v>0.5</v>
      </c>
      <c r="Q52" s="44"/>
      <c r="R52" s="44">
        <v>0.5</v>
      </c>
      <c r="S52" s="44">
        <v>0.5</v>
      </c>
      <c r="T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 s="44">
        <v>0.5</v>
      </c>
      <c r="AH52"/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 s="44">
        <v>0.5</v>
      </c>
      <c r="AO52" s="44">
        <v>0.5</v>
      </c>
      <c r="AP52"/>
      <c r="AQ52" s="44">
        <v>0.5</v>
      </c>
      <c r="AR52" s="44">
        <v>0.5</v>
      </c>
      <c r="AS52" s="44">
        <v>0.5</v>
      </c>
      <c r="AT52" s="44">
        <v>0.5</v>
      </c>
      <c r="AU52"/>
      <c r="AV52" s="44">
        <v>0.5</v>
      </c>
      <c r="AW52"/>
      <c r="AX52"/>
      <c r="AY52" s="44">
        <v>0.5</v>
      </c>
    </row>
    <row r="53" spans="1:51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/>
      <c r="N53" s="44">
        <v>0.05</v>
      </c>
      <c r="P53" s="44">
        <v>0.05</v>
      </c>
      <c r="Q53" s="44"/>
      <c r="R53" s="44">
        <v>0.05</v>
      </c>
      <c r="S53" s="44">
        <v>0.05</v>
      </c>
      <c r="T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 s="44">
        <v>0.05</v>
      </c>
      <c r="AH53"/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 s="44">
        <v>0.05</v>
      </c>
      <c r="AO53" s="44">
        <v>0.05</v>
      </c>
      <c r="AP53"/>
      <c r="AQ53" s="44">
        <v>0.05</v>
      </c>
      <c r="AR53" s="44">
        <v>0.05</v>
      </c>
      <c r="AS53" s="44">
        <v>0.05</v>
      </c>
      <c r="AT53" s="44">
        <v>0.05</v>
      </c>
      <c r="AU53"/>
      <c r="AV53" s="44">
        <v>0.05</v>
      </c>
      <c r="AW53"/>
      <c r="AX53"/>
      <c r="AY53" s="44">
        <v>0.05</v>
      </c>
    </row>
    <row r="54" spans="1:51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/>
      <c r="N54" s="44">
        <v>1E-3</v>
      </c>
      <c r="P54" s="44">
        <v>1E-3</v>
      </c>
      <c r="Q54" s="44"/>
      <c r="R54" s="44">
        <v>1E-3</v>
      </c>
      <c r="S54" s="44">
        <v>1E-3</v>
      </c>
      <c r="T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 s="44">
        <v>1E-3</v>
      </c>
      <c r="AH54"/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 s="44">
        <v>1E-3</v>
      </c>
      <c r="AO54" s="44">
        <v>1E-3</v>
      </c>
      <c r="AP54"/>
      <c r="AQ54" s="44">
        <v>1E-3</v>
      </c>
      <c r="AR54" s="44">
        <v>1E-3</v>
      </c>
      <c r="AS54" s="44">
        <v>1E-3</v>
      </c>
      <c r="AT54" s="44">
        <v>1E-3</v>
      </c>
      <c r="AU54"/>
      <c r="AV54" s="44">
        <v>1E-3</v>
      </c>
      <c r="AW54"/>
      <c r="AX54"/>
      <c r="AY54" s="44">
        <v>1E-3</v>
      </c>
    </row>
    <row r="55" spans="1:51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/>
      <c r="N55" s="44">
        <v>0</v>
      </c>
      <c r="P55" s="44">
        <v>0</v>
      </c>
      <c r="Q55" s="44"/>
      <c r="R55" s="44">
        <v>0</v>
      </c>
      <c r="S55" s="44">
        <v>0</v>
      </c>
      <c r="T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4">
        <v>0</v>
      </c>
      <c r="AH55"/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 s="44">
        <v>0</v>
      </c>
      <c r="AO55" s="44">
        <v>0</v>
      </c>
      <c r="AP55"/>
      <c r="AQ55" s="44">
        <v>0</v>
      </c>
      <c r="AR55" s="44">
        <v>0</v>
      </c>
      <c r="AS55" s="44">
        <v>0</v>
      </c>
      <c r="AT55" s="44">
        <v>0</v>
      </c>
      <c r="AU55"/>
      <c r="AV55" s="44">
        <v>0</v>
      </c>
      <c r="AW55"/>
      <c r="AX55"/>
      <c r="AY55" s="44">
        <v>0</v>
      </c>
    </row>
    <row r="56" spans="1:51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/>
      <c r="N56" s="44">
        <v>1E-4</v>
      </c>
      <c r="P56" s="44">
        <v>1E-4</v>
      </c>
      <c r="Q56" s="44"/>
      <c r="R56" s="44">
        <v>1E-4</v>
      </c>
      <c r="S56" s="44">
        <v>1E-4</v>
      </c>
      <c r="T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/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 s="44">
        <v>1E-4</v>
      </c>
      <c r="AS56" s="44">
        <v>1E-4</v>
      </c>
      <c r="AT56" s="44">
        <v>1E-4</v>
      </c>
      <c r="AU56"/>
      <c r="AV56" s="44">
        <v>1E-4</v>
      </c>
      <c r="AW56"/>
      <c r="AX56"/>
      <c r="AY56" s="44">
        <v>1E-4</v>
      </c>
    </row>
    <row r="57" spans="1:51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/>
      <c r="N57" s="44">
        <v>1E-4</v>
      </c>
      <c r="P57" s="44">
        <v>1E-4</v>
      </c>
      <c r="Q57" s="44"/>
      <c r="R57" s="44">
        <v>1E-4</v>
      </c>
      <c r="S57" s="44">
        <v>1E-4</v>
      </c>
      <c r="T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 s="44">
        <v>1E-4</v>
      </c>
      <c r="AH57"/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 s="44">
        <v>1E-4</v>
      </c>
      <c r="AO57" s="44">
        <v>1E-4</v>
      </c>
      <c r="AP57"/>
      <c r="AQ57" s="44">
        <v>1E-4</v>
      </c>
      <c r="AR57" s="44">
        <v>1E-4</v>
      </c>
      <c r="AS57" s="44">
        <v>1E-4</v>
      </c>
      <c r="AT57" s="44">
        <v>1E-4</v>
      </c>
      <c r="AU57"/>
      <c r="AV57" s="44">
        <v>1E-4</v>
      </c>
      <c r="AW57"/>
      <c r="AX57"/>
      <c r="AY57" s="44">
        <v>1E-4</v>
      </c>
    </row>
    <row r="58" spans="1:51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/>
      <c r="N58" s="44">
        <v>6.9999999999999999E-4</v>
      </c>
      <c r="P58" s="44">
        <v>6.9999999999999999E-4</v>
      </c>
      <c r="Q58" s="44"/>
      <c r="R58" s="44">
        <v>6.9999999999999999E-4</v>
      </c>
      <c r="S58" s="44">
        <v>6.9999999999999999E-4</v>
      </c>
      <c r="T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 s="44">
        <v>6.9999999999999999E-4</v>
      </c>
      <c r="AH58"/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 s="44">
        <v>6.9999999999999999E-4</v>
      </c>
      <c r="AP58"/>
      <c r="AQ58" s="44">
        <v>6.9999999999999999E-4</v>
      </c>
      <c r="AR58" s="44">
        <v>6.9999999999999999E-4</v>
      </c>
      <c r="AS58" s="44">
        <v>6.9999999999999999E-4</v>
      </c>
      <c r="AT58" s="44">
        <v>6.9999999999999999E-4</v>
      </c>
      <c r="AU58"/>
      <c r="AV58" s="44">
        <v>6.9999999999999999E-4</v>
      </c>
      <c r="AW58"/>
      <c r="AX58"/>
      <c r="AY58" s="44">
        <v>6.9999999999999999E-4</v>
      </c>
    </row>
    <row r="59" spans="1:51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/>
      <c r="N59" s="44">
        <v>1.22E-4</v>
      </c>
      <c r="P59" s="44">
        <v>1.22E-4</v>
      </c>
      <c r="Q59" s="44"/>
      <c r="R59" s="44">
        <v>1.22E-4</v>
      </c>
      <c r="S59" s="44">
        <v>1.22E-4</v>
      </c>
      <c r="T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 s="44">
        <v>1.22E-4</v>
      </c>
      <c r="AH59"/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 s="44">
        <v>1.22E-4</v>
      </c>
      <c r="AO59" s="44">
        <v>1.22E-4</v>
      </c>
      <c r="AP59"/>
      <c r="AQ59" s="44">
        <v>1.22E-4</v>
      </c>
      <c r="AR59" s="44">
        <v>1.22E-4</v>
      </c>
      <c r="AS59" s="44">
        <v>1.22E-4</v>
      </c>
      <c r="AT59" s="44">
        <v>1.22E-4</v>
      </c>
      <c r="AU59"/>
      <c r="AV59" s="44">
        <v>1.22E-4</v>
      </c>
      <c r="AW59"/>
      <c r="AX59"/>
      <c r="AY59" s="44">
        <v>1.22E-4</v>
      </c>
    </row>
    <row r="60" spans="1:51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/>
      <c r="N60" s="44">
        <v>1</v>
      </c>
      <c r="P60" s="44">
        <v>1</v>
      </c>
      <c r="Q60" s="44"/>
      <c r="R60" s="44">
        <v>1</v>
      </c>
      <c r="S60" s="44">
        <v>1</v>
      </c>
      <c r="T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 s="44">
        <v>1</v>
      </c>
      <c r="AH60"/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 s="44">
        <v>1</v>
      </c>
      <c r="AO60" s="44">
        <v>1</v>
      </c>
      <c r="AP60"/>
      <c r="AQ60" s="44">
        <v>1</v>
      </c>
      <c r="AR60" s="44">
        <v>1</v>
      </c>
      <c r="AS60" s="44">
        <v>1</v>
      </c>
      <c r="AT60" s="44">
        <v>1</v>
      </c>
      <c r="AU60"/>
      <c r="AV60" s="44">
        <v>1</v>
      </c>
      <c r="AW60"/>
      <c r="AX60"/>
      <c r="AY60" s="44">
        <v>1</v>
      </c>
    </row>
    <row r="61" spans="1:51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/>
      <c r="N61" s="44">
        <v>0.95</v>
      </c>
      <c r="P61" s="44">
        <v>0.95</v>
      </c>
      <c r="Q61" s="44"/>
      <c r="R61" s="44">
        <v>0.95</v>
      </c>
      <c r="S61" s="44">
        <v>0.95</v>
      </c>
      <c r="T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 s="44">
        <v>0.95</v>
      </c>
      <c r="AH61"/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 s="44">
        <v>0.95</v>
      </c>
      <c r="AO61" s="44">
        <v>0.95</v>
      </c>
      <c r="AP61"/>
      <c r="AQ61" s="44">
        <v>0.95</v>
      </c>
      <c r="AR61" s="44">
        <v>0.95</v>
      </c>
      <c r="AS61" s="44">
        <v>0.95</v>
      </c>
      <c r="AT61" s="44">
        <v>0.95</v>
      </c>
      <c r="AU61"/>
      <c r="AV61" s="44">
        <v>0.95</v>
      </c>
      <c r="AW61"/>
      <c r="AX61"/>
      <c r="AY61" s="44">
        <v>0.95</v>
      </c>
    </row>
    <row r="62" spans="1:51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/>
      <c r="N62" s="44" t="s">
        <v>87</v>
      </c>
      <c r="P62" s="44" t="s">
        <v>87</v>
      </c>
      <c r="Q62" s="44"/>
      <c r="R62" s="44" t="s">
        <v>87</v>
      </c>
      <c r="S62" s="44" t="s">
        <v>87</v>
      </c>
      <c r="T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 s="44" t="s">
        <v>87</v>
      </c>
      <c r="AH62"/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 s="44" t="s">
        <v>87</v>
      </c>
      <c r="AO62" s="44" t="s">
        <v>87</v>
      </c>
      <c r="AP62"/>
      <c r="AQ62" s="44" t="s">
        <v>87</v>
      </c>
      <c r="AR62" s="44" t="s">
        <v>87</v>
      </c>
      <c r="AS62" s="44" t="s">
        <v>87</v>
      </c>
      <c r="AT62" s="44" t="s">
        <v>87</v>
      </c>
      <c r="AU62"/>
      <c r="AV62" s="44" t="s">
        <v>87</v>
      </c>
      <c r="AW62"/>
      <c r="AX62"/>
      <c r="AY62" s="44" t="s">
        <v>87</v>
      </c>
    </row>
    <row r="63" spans="1:51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/>
      <c r="N63" s="44">
        <v>5</v>
      </c>
      <c r="P63" s="44">
        <v>5</v>
      </c>
      <c r="Q63" s="44"/>
      <c r="R63" s="44">
        <v>5</v>
      </c>
      <c r="S63" s="44">
        <v>5</v>
      </c>
      <c r="T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 s="44">
        <v>5</v>
      </c>
      <c r="AH63"/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 s="44">
        <v>5</v>
      </c>
      <c r="AO63" s="44">
        <v>5</v>
      </c>
      <c r="AP63"/>
      <c r="AQ63" s="44">
        <v>5</v>
      </c>
      <c r="AR63" s="44">
        <v>5</v>
      </c>
      <c r="AS63" s="44">
        <v>5</v>
      </c>
      <c r="AT63" s="44">
        <v>5</v>
      </c>
      <c r="AU63"/>
      <c r="AV63" s="44">
        <v>5</v>
      </c>
      <c r="AW63"/>
      <c r="AX63"/>
      <c r="AY63" s="44">
        <v>5</v>
      </c>
    </row>
    <row r="64" spans="1:51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/>
      <c r="N64" s="44" t="s">
        <v>87</v>
      </c>
      <c r="P64" s="44" t="s">
        <v>87</v>
      </c>
      <c r="Q64" s="44"/>
      <c r="R64" s="44" t="s">
        <v>87</v>
      </c>
      <c r="S64" s="44" t="s">
        <v>87</v>
      </c>
      <c r="T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 s="44" t="s">
        <v>87</v>
      </c>
      <c r="AH64"/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 s="44" t="s">
        <v>87</v>
      </c>
      <c r="AO64" s="44" t="s">
        <v>87</v>
      </c>
      <c r="AP64"/>
      <c r="AQ64" s="44" t="s">
        <v>87</v>
      </c>
      <c r="AR64" s="44" t="s">
        <v>87</v>
      </c>
      <c r="AS64" s="44" t="s">
        <v>87</v>
      </c>
      <c r="AT64" s="44" t="s">
        <v>87</v>
      </c>
      <c r="AU64"/>
      <c r="AV64" s="44" t="s">
        <v>87</v>
      </c>
      <c r="AW64"/>
      <c r="AX64"/>
      <c r="AY64" s="44" t="s">
        <v>87</v>
      </c>
    </row>
    <row r="65" spans="1:51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/>
      <c r="N65" s="44">
        <v>50</v>
      </c>
      <c r="P65" s="44">
        <v>50</v>
      </c>
      <c r="Q65" s="44"/>
      <c r="R65" s="44">
        <v>50</v>
      </c>
      <c r="S65" s="44">
        <v>50</v>
      </c>
      <c r="T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 s="44">
        <v>50</v>
      </c>
      <c r="AH65"/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 s="44">
        <v>50</v>
      </c>
      <c r="AO65" s="44">
        <v>50</v>
      </c>
      <c r="AP65"/>
      <c r="AQ65" s="44">
        <v>50</v>
      </c>
      <c r="AR65" s="44">
        <v>50</v>
      </c>
      <c r="AS65" s="44">
        <v>50</v>
      </c>
      <c r="AT65" s="44">
        <v>50</v>
      </c>
      <c r="AU65"/>
      <c r="AV65" s="44">
        <v>50</v>
      </c>
      <c r="AW65"/>
      <c r="AX65"/>
      <c r="AY65" s="44">
        <v>50</v>
      </c>
    </row>
    <row r="66" spans="1:51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/>
      <c r="N66" s="44">
        <v>1453890.8941884842</v>
      </c>
      <c r="P66" s="44">
        <v>1453890.8941884842</v>
      </c>
      <c r="Q66" s="44"/>
      <c r="R66" s="44">
        <v>1453890.8941884842</v>
      </c>
      <c r="S66" s="44">
        <v>1453890.8941884842</v>
      </c>
      <c r="T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 s="44">
        <v>1453890.8941884842</v>
      </c>
      <c r="AH66"/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 s="44">
        <v>1453890.8941884842</v>
      </c>
      <c r="AP66"/>
      <c r="AQ66" s="44">
        <v>1453890.8941884842</v>
      </c>
      <c r="AR66" s="44">
        <v>1453890.8941884842</v>
      </c>
      <c r="AS66" s="44">
        <v>1453890.8941884842</v>
      </c>
      <c r="AT66" s="44">
        <v>1453890.8941884842</v>
      </c>
      <c r="AU66"/>
      <c r="AV66" s="44">
        <v>1453890.8941884842</v>
      </c>
      <c r="AW66"/>
      <c r="AX66"/>
      <c r="AY66" s="44">
        <v>1453890.8941884842</v>
      </c>
    </row>
    <row r="67" spans="1:51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/>
      <c r="N67" s="44">
        <v>1.3888888888888888E-5</v>
      </c>
      <c r="P67" s="44">
        <v>1.3888888888888888E-5</v>
      </c>
      <c r="Q67" s="44"/>
      <c r="R67" s="44">
        <v>1.3888888888888888E-5</v>
      </c>
      <c r="S67" s="44">
        <v>1.3888888888888888E-5</v>
      </c>
      <c r="T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 s="44">
        <v>1.3888888888888888E-5</v>
      </c>
      <c r="AH67"/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 s="44">
        <v>1.3888888888888888E-5</v>
      </c>
      <c r="AP67"/>
      <c r="AQ67" s="44">
        <v>1.3888888888888888E-5</v>
      </c>
      <c r="AR67" s="44">
        <v>1.3888888888888888E-5</v>
      </c>
      <c r="AS67" s="44">
        <v>1.3888888888888888E-5</v>
      </c>
      <c r="AT67" s="44">
        <v>1.3888888888888888E-5</v>
      </c>
      <c r="AU67"/>
      <c r="AV67" s="44">
        <v>1.3888888888888888E-5</v>
      </c>
      <c r="AW67"/>
      <c r="AX67"/>
      <c r="AY67" s="44">
        <v>1.3888888888888888E-5</v>
      </c>
    </row>
    <row r="68" spans="1:51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/>
      <c r="N68" s="44">
        <v>6.5011574074074071E-4</v>
      </c>
      <c r="P68" s="44">
        <v>6.5011574074074071E-4</v>
      </c>
      <c r="Q68" s="44"/>
      <c r="R68" s="44">
        <v>6.5011574074074071E-4</v>
      </c>
      <c r="S68" s="44">
        <v>6.5011574074074071E-4</v>
      </c>
      <c r="T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 s="44">
        <v>6.5011574074074071E-4</v>
      </c>
      <c r="AH68"/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 s="44">
        <v>6.5011574074074071E-4</v>
      </c>
      <c r="AP68"/>
      <c r="AQ68" s="44">
        <v>6.5011574074074071E-4</v>
      </c>
      <c r="AR68" s="44">
        <v>6.5011574074074071E-4</v>
      </c>
      <c r="AS68" s="44">
        <v>6.5011574074074071E-4</v>
      </c>
      <c r="AT68" s="44">
        <v>6.5011574074074071E-4</v>
      </c>
      <c r="AU68"/>
      <c r="AV68" s="44">
        <v>6.5011574074074071E-4</v>
      </c>
      <c r="AW68"/>
      <c r="AX68"/>
      <c r="AY68" s="44">
        <v>6.5011574074074071E-4</v>
      </c>
    </row>
    <row r="69" spans="1:51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/>
      <c r="N69" s="44">
        <v>4.7400000000000003E-3</v>
      </c>
      <c r="P69" s="44">
        <v>4.7400000000000003E-3</v>
      </c>
      <c r="Q69" s="44"/>
      <c r="R69" s="44">
        <v>4.7400000000000003E-3</v>
      </c>
      <c r="S69" s="44">
        <v>4.7400000000000003E-3</v>
      </c>
      <c r="T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 s="44">
        <v>4.7400000000000003E-3</v>
      </c>
      <c r="AH69"/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 s="44">
        <v>4.7400000000000003E-3</v>
      </c>
      <c r="AP69"/>
      <c r="AQ69" s="44">
        <v>4.7400000000000003E-3</v>
      </c>
      <c r="AR69" s="44">
        <v>4.7400000000000003E-3</v>
      </c>
      <c r="AS69" s="44">
        <v>4.7400000000000003E-3</v>
      </c>
      <c r="AT69" s="44">
        <v>4.7400000000000003E-3</v>
      </c>
      <c r="AU69"/>
      <c r="AV69" s="44">
        <v>4.7400000000000003E-3</v>
      </c>
      <c r="AW69"/>
      <c r="AX69"/>
      <c r="AY69" s="44">
        <v>4.7400000000000003E-3</v>
      </c>
    </row>
    <row r="70" spans="1:51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/>
      <c r="N70" s="44">
        <v>282528</v>
      </c>
      <c r="P70" s="44">
        <v>282528</v>
      </c>
      <c r="Q70" s="44"/>
      <c r="R70" s="44">
        <v>282528</v>
      </c>
      <c r="S70" s="44">
        <v>282528</v>
      </c>
      <c r="T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 s="44">
        <v>282528</v>
      </c>
      <c r="AH70"/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 s="44">
        <v>282528</v>
      </c>
      <c r="AO70" s="44">
        <v>282528</v>
      </c>
      <c r="AP70"/>
      <c r="AQ70" s="44">
        <v>282528</v>
      </c>
      <c r="AR70" s="44">
        <v>282528</v>
      </c>
      <c r="AS70" s="44">
        <v>282528</v>
      </c>
      <c r="AT70" s="44">
        <v>282528</v>
      </c>
      <c r="AU70"/>
      <c r="AV70" s="44">
        <v>282528</v>
      </c>
      <c r="AW70"/>
      <c r="AX70"/>
      <c r="AY70" s="44">
        <v>282528</v>
      </c>
    </row>
    <row r="71" spans="1:51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/>
      <c r="N71" s="44">
        <v>0.56999999999999995</v>
      </c>
      <c r="P71" s="44">
        <v>0.56999999999999995</v>
      </c>
      <c r="Q71" s="44"/>
      <c r="R71" s="44">
        <v>0.56999999999999995</v>
      </c>
      <c r="S71" s="44">
        <v>0.56999999999999995</v>
      </c>
      <c r="T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 s="44">
        <v>0.56999999999999995</v>
      </c>
      <c r="AH71"/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 s="44">
        <v>0.56999999999999995</v>
      </c>
      <c r="AP71"/>
      <c r="AQ71" s="44">
        <v>0.56999999999999995</v>
      </c>
      <c r="AR71" s="44">
        <v>0.56999999999999995</v>
      </c>
      <c r="AS71" s="44">
        <v>0.56999999999999995</v>
      </c>
      <c r="AT71" s="44">
        <v>0.56999999999999995</v>
      </c>
      <c r="AU71"/>
      <c r="AV71" s="44">
        <v>0.56999999999999995</v>
      </c>
      <c r="AW71"/>
      <c r="AX71"/>
      <c r="AY71" s="44">
        <v>0.56999999999999995</v>
      </c>
    </row>
    <row r="72" spans="1:51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/>
      <c r="N72" s="44">
        <v>0.16</v>
      </c>
      <c r="P72" s="44">
        <v>0.16</v>
      </c>
      <c r="Q72" s="44"/>
      <c r="R72" s="44">
        <v>0.16</v>
      </c>
      <c r="S72" s="44">
        <v>0.16</v>
      </c>
      <c r="T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 s="44">
        <v>0.16</v>
      </c>
      <c r="AH72"/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 s="44">
        <v>0.16</v>
      </c>
      <c r="AO72" s="44">
        <v>0.16</v>
      </c>
      <c r="AP72"/>
      <c r="AQ72" s="44">
        <v>0.16</v>
      </c>
      <c r="AR72" s="44">
        <v>0.16</v>
      </c>
      <c r="AS72" s="44">
        <v>0.16</v>
      </c>
      <c r="AT72" s="44">
        <v>0.16</v>
      </c>
      <c r="AU72"/>
      <c r="AV72" s="44">
        <v>0.16</v>
      </c>
      <c r="AW72"/>
      <c r="AX72"/>
      <c r="AY72" s="44">
        <v>0.16</v>
      </c>
    </row>
    <row r="73" spans="1:51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/>
      <c r="N73" s="44">
        <v>0</v>
      </c>
      <c r="P73" s="44">
        <v>0</v>
      </c>
      <c r="Q73" s="44"/>
      <c r="R73" s="44">
        <v>0</v>
      </c>
      <c r="S73" s="44">
        <v>0</v>
      </c>
      <c r="T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 s="44">
        <v>0</v>
      </c>
      <c r="AH73"/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 s="44">
        <v>0</v>
      </c>
      <c r="AO73" s="44">
        <v>0</v>
      </c>
      <c r="AP73"/>
      <c r="AQ73" s="44">
        <v>0</v>
      </c>
      <c r="AR73" s="44">
        <v>0</v>
      </c>
      <c r="AS73" s="44">
        <v>0</v>
      </c>
      <c r="AT73" s="44">
        <v>0</v>
      </c>
      <c r="AU73"/>
      <c r="AV73" s="44">
        <v>0</v>
      </c>
      <c r="AW73"/>
      <c r="AX73"/>
      <c r="AY73" s="44">
        <v>0</v>
      </c>
    </row>
    <row r="74" spans="1:51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/>
      <c r="N74" s="44">
        <v>745476480000</v>
      </c>
      <c r="P74" s="44">
        <v>745476480000</v>
      </c>
      <c r="Q74" s="44"/>
      <c r="R74" s="44">
        <v>745476480000</v>
      </c>
      <c r="S74" s="44">
        <v>745476480000</v>
      </c>
      <c r="T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 s="44">
        <v>745476480000</v>
      </c>
      <c r="AH74"/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 s="44">
        <v>745476480000</v>
      </c>
      <c r="AO74" s="44">
        <v>745476480000</v>
      </c>
      <c r="AP74"/>
      <c r="AQ74" s="44">
        <v>745476480000</v>
      </c>
      <c r="AR74" s="44">
        <v>745476480000</v>
      </c>
      <c r="AS74" s="44">
        <v>745476480000</v>
      </c>
      <c r="AT74" s="44">
        <v>745476480000</v>
      </c>
      <c r="AU74"/>
      <c r="AV74" s="44">
        <v>745476480000</v>
      </c>
      <c r="AW74"/>
      <c r="AX74"/>
      <c r="AY74" s="44">
        <v>745476480000</v>
      </c>
    </row>
    <row r="75" spans="1:51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/>
      <c r="N75" s="44">
        <v>100</v>
      </c>
      <c r="P75" s="44">
        <v>100</v>
      </c>
      <c r="Q75" s="44"/>
      <c r="R75" s="44">
        <v>100</v>
      </c>
      <c r="S75" s="44">
        <v>100</v>
      </c>
      <c r="T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 s="44">
        <v>100</v>
      </c>
      <c r="AH75"/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 s="44">
        <v>100</v>
      </c>
      <c r="AO75" s="44">
        <v>100</v>
      </c>
      <c r="AP75"/>
      <c r="AQ75" s="44">
        <v>100</v>
      </c>
      <c r="AR75" s="44">
        <v>100</v>
      </c>
      <c r="AS75" s="44">
        <v>100</v>
      </c>
      <c r="AT75" s="44">
        <v>100</v>
      </c>
      <c r="AU75"/>
      <c r="AV75" s="44">
        <v>100</v>
      </c>
      <c r="AW75"/>
      <c r="AX75"/>
      <c r="AY75" s="44">
        <v>100</v>
      </c>
    </row>
    <row r="76" spans="1:51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/>
      <c r="N76" s="44" t="s">
        <v>86</v>
      </c>
      <c r="P76" s="44" t="s">
        <v>86</v>
      </c>
      <c r="Q76" s="44"/>
      <c r="R76" s="44" t="s">
        <v>86</v>
      </c>
      <c r="S76" s="44" t="s">
        <v>86</v>
      </c>
      <c r="T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 s="44" t="s">
        <v>86</v>
      </c>
      <c r="AH76"/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44" t="s">
        <v>86</v>
      </c>
      <c r="AO76" s="44" t="s">
        <v>86</v>
      </c>
      <c r="AP76"/>
      <c r="AQ76" s="44" t="s">
        <v>86</v>
      </c>
      <c r="AR76" s="44" t="s">
        <v>86</v>
      </c>
      <c r="AS76" s="44" t="s">
        <v>86</v>
      </c>
      <c r="AT76" s="44" t="s">
        <v>86</v>
      </c>
      <c r="AU76"/>
      <c r="AV76" s="44" t="s">
        <v>86</v>
      </c>
      <c r="AW76"/>
      <c r="AX76"/>
      <c r="AY76" s="44" t="s">
        <v>86</v>
      </c>
    </row>
    <row r="77" spans="1:51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/>
      <c r="N77" s="44">
        <v>21600</v>
      </c>
      <c r="P77" s="44">
        <v>21600</v>
      </c>
      <c r="Q77" s="44"/>
      <c r="R77" s="44">
        <v>21600</v>
      </c>
      <c r="S77" s="44">
        <v>21600</v>
      </c>
      <c r="T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 s="44">
        <v>21600</v>
      </c>
      <c r="AH77"/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 s="44">
        <v>21600</v>
      </c>
      <c r="AO77" s="44">
        <v>21600</v>
      </c>
      <c r="AP77"/>
      <c r="AQ77" s="44">
        <v>21600</v>
      </c>
      <c r="AR77" s="44">
        <v>21600</v>
      </c>
      <c r="AS77" s="44">
        <v>21600</v>
      </c>
      <c r="AT77" s="44">
        <v>21600</v>
      </c>
      <c r="AU77"/>
      <c r="AV77" s="44">
        <v>21600</v>
      </c>
      <c r="AW77"/>
      <c r="AX77"/>
      <c r="AY77" s="44">
        <v>21600</v>
      </c>
    </row>
    <row r="78" spans="1:51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/>
      <c r="N78" s="44">
        <v>0.5</v>
      </c>
      <c r="P78" s="44">
        <v>0.5</v>
      </c>
      <c r="Q78" s="44"/>
      <c r="R78" s="44">
        <v>0.5</v>
      </c>
      <c r="S78" s="44">
        <v>0.5</v>
      </c>
      <c r="T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 s="44">
        <v>0.5</v>
      </c>
      <c r="AH78"/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 s="44">
        <v>0.5</v>
      </c>
      <c r="AO78" s="44">
        <v>0.5</v>
      </c>
      <c r="AP78"/>
      <c r="AQ78" s="44">
        <v>0.5</v>
      </c>
      <c r="AR78" s="44">
        <v>0.5</v>
      </c>
      <c r="AS78" s="44">
        <v>0.5</v>
      </c>
      <c r="AT78" s="44">
        <v>0.5</v>
      </c>
      <c r="AU78"/>
      <c r="AV78" s="44">
        <v>0.5</v>
      </c>
      <c r="AW78"/>
      <c r="AX78"/>
      <c r="AY78" s="44">
        <v>0.5</v>
      </c>
    </row>
    <row r="79" spans="1:51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/>
      <c r="N79" s="44">
        <v>60479.999999999993</v>
      </c>
      <c r="P79" s="44">
        <v>60479.999999999993</v>
      </c>
      <c r="Q79" s="44"/>
      <c r="R79" s="44">
        <v>60479.999999999993</v>
      </c>
      <c r="S79" s="44">
        <v>60479.999999999993</v>
      </c>
      <c r="T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 s="44">
        <v>60479.999999999993</v>
      </c>
      <c r="AH79"/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 s="44">
        <v>60479.999999999993</v>
      </c>
      <c r="AP79"/>
      <c r="AQ79" s="44">
        <v>60479.999999999993</v>
      </c>
      <c r="AR79" s="44">
        <v>60479.999999999993</v>
      </c>
      <c r="AS79" s="44">
        <v>60479.999999999993</v>
      </c>
      <c r="AT79" s="44">
        <v>60479.999999999993</v>
      </c>
      <c r="AU79"/>
      <c r="AV79" s="44">
        <v>60479.999999999993</v>
      </c>
      <c r="AW79"/>
      <c r="AX79"/>
      <c r="AY79" s="44">
        <v>60479.999999999993</v>
      </c>
    </row>
    <row r="80" spans="1:51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/>
      <c r="N80" s="44">
        <v>0.85</v>
      </c>
      <c r="P80" s="44">
        <v>0.85</v>
      </c>
      <c r="Q80" s="44"/>
      <c r="R80" s="44">
        <v>0.85</v>
      </c>
      <c r="S80" s="44">
        <v>0.85</v>
      </c>
      <c r="T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 s="44">
        <v>0.85</v>
      </c>
      <c r="AH80"/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 s="44">
        <v>0.85</v>
      </c>
      <c r="AO80" s="44">
        <v>0.85</v>
      </c>
      <c r="AP80"/>
      <c r="AQ80" s="44">
        <v>0.85</v>
      </c>
      <c r="AR80" s="44">
        <v>0.85</v>
      </c>
      <c r="AS80" s="44">
        <v>0.85</v>
      </c>
      <c r="AT80" s="44">
        <v>0.85</v>
      </c>
      <c r="AU80"/>
      <c r="AV80" s="44">
        <v>0.85</v>
      </c>
      <c r="AW80"/>
      <c r="AX80"/>
      <c r="AY80" s="44">
        <v>0.85</v>
      </c>
    </row>
    <row r="81" spans="1:51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/>
      <c r="N81" s="44">
        <v>518400</v>
      </c>
      <c r="P81" s="44">
        <v>518400</v>
      </c>
      <c r="Q81" s="44"/>
      <c r="R81" s="44">
        <v>518400</v>
      </c>
      <c r="S81" s="44">
        <v>518400</v>
      </c>
      <c r="T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 s="44">
        <v>518400</v>
      </c>
      <c r="AH81"/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 s="44">
        <v>518400</v>
      </c>
      <c r="AO81" s="44">
        <v>518400</v>
      </c>
      <c r="AP81"/>
      <c r="AQ81" s="44">
        <v>518400</v>
      </c>
      <c r="AR81" s="44">
        <v>518400</v>
      </c>
      <c r="AS81" s="44">
        <v>518400</v>
      </c>
      <c r="AT81" s="44">
        <v>518400</v>
      </c>
      <c r="AU81"/>
      <c r="AV81" s="44">
        <v>518400</v>
      </c>
      <c r="AW81"/>
      <c r="AX81"/>
      <c r="AY81" s="44">
        <v>518400</v>
      </c>
    </row>
    <row r="82" spans="1:51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/>
      <c r="N82" s="44">
        <v>5184000</v>
      </c>
      <c r="P82" s="44">
        <v>5184000</v>
      </c>
      <c r="Q82" s="44"/>
      <c r="R82" s="44">
        <v>5184000</v>
      </c>
      <c r="S82" s="44">
        <v>5184000</v>
      </c>
      <c r="T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 s="44">
        <v>5184000</v>
      </c>
      <c r="AH82"/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 s="44">
        <v>5184000</v>
      </c>
      <c r="AO82" s="44">
        <v>5184000</v>
      </c>
      <c r="AP82"/>
      <c r="AQ82" s="44">
        <v>5184000</v>
      </c>
      <c r="AR82" s="44">
        <v>5184000</v>
      </c>
      <c r="AS82" s="44">
        <v>5184000</v>
      </c>
      <c r="AT82" s="44">
        <v>5184000</v>
      </c>
      <c r="AU82"/>
      <c r="AV82" s="44">
        <v>5184000</v>
      </c>
      <c r="AW82"/>
      <c r="AX82"/>
      <c r="AY82" s="44">
        <v>5184000</v>
      </c>
    </row>
    <row r="83" spans="1:51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/>
      <c r="N83" s="44">
        <v>50000</v>
      </c>
      <c r="P83" s="44">
        <v>50000</v>
      </c>
      <c r="Q83" s="44"/>
      <c r="R83" s="44">
        <v>50000</v>
      </c>
      <c r="S83" s="44">
        <v>50000</v>
      </c>
      <c r="T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 s="44">
        <v>50000</v>
      </c>
      <c r="AH83"/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 s="44">
        <v>50000</v>
      </c>
      <c r="AO83" s="44">
        <v>50000</v>
      </c>
      <c r="AP83"/>
      <c r="AQ83" s="44">
        <v>50000</v>
      </c>
      <c r="AR83" s="44">
        <v>50000</v>
      </c>
      <c r="AS83" s="44">
        <v>50000</v>
      </c>
      <c r="AT83" s="44">
        <v>50000</v>
      </c>
      <c r="AU83"/>
      <c r="AV83" s="44">
        <v>50000</v>
      </c>
      <c r="AW83"/>
      <c r="AX83"/>
      <c r="AY83" s="44">
        <v>50000</v>
      </c>
    </row>
    <row r="84" spans="1:51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/>
      <c r="N84" s="44">
        <v>140000</v>
      </c>
      <c r="P84" s="44">
        <v>140000</v>
      </c>
      <c r="Q84" s="44"/>
      <c r="R84" s="44">
        <v>140000</v>
      </c>
      <c r="S84" s="44">
        <v>140000</v>
      </c>
      <c r="T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 s="44">
        <v>140000</v>
      </c>
      <c r="AH84"/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 s="44">
        <v>140000</v>
      </c>
      <c r="AO84" s="44">
        <v>140000</v>
      </c>
      <c r="AP84"/>
      <c r="AQ84" s="44">
        <v>140000</v>
      </c>
      <c r="AR84" s="44">
        <v>140000</v>
      </c>
      <c r="AS84" s="44">
        <v>140000</v>
      </c>
      <c r="AT84" s="44">
        <v>140000</v>
      </c>
      <c r="AU84"/>
      <c r="AV84" s="44">
        <v>140000</v>
      </c>
      <c r="AW84"/>
      <c r="AX84"/>
      <c r="AY84" s="44">
        <v>140000</v>
      </c>
    </row>
    <row r="85" spans="1:51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/>
      <c r="N85" s="44">
        <v>3.6636136999999999E-2</v>
      </c>
      <c r="P85" s="44">
        <v>3.6636136999999999E-2</v>
      </c>
      <c r="Q85" s="44"/>
      <c r="R85" s="44">
        <v>3.6636136999999999E-2</v>
      </c>
      <c r="S85" s="44">
        <v>3.6636136999999999E-2</v>
      </c>
      <c r="T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 s="44">
        <v>3.6636136999999999E-2</v>
      </c>
      <c r="AH85"/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 s="44">
        <v>3.6636136999999999E-2</v>
      </c>
      <c r="AP85"/>
      <c r="AQ85" s="44">
        <v>3.6636136999999999E-2</v>
      </c>
      <c r="AR85" s="44">
        <v>3.6636136999999999E-2</v>
      </c>
      <c r="AS85" s="44">
        <v>3.6636136999999999E-2</v>
      </c>
      <c r="AT85" s="44">
        <v>3.6636136999999999E-2</v>
      </c>
      <c r="AU85"/>
      <c r="AV85" s="44">
        <v>3.6636136999999999E-2</v>
      </c>
      <c r="AW85"/>
      <c r="AX85"/>
      <c r="AY85" s="44">
        <v>3.6636136999999999E-2</v>
      </c>
    </row>
    <row r="86" spans="1:51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/>
      <c r="N86" s="44">
        <v>4.4999999999999997E-3</v>
      </c>
      <c r="P86" s="44">
        <v>4.4999999999999997E-3</v>
      </c>
      <c r="Q86" s="44"/>
      <c r="R86" s="44">
        <v>4.4999999999999997E-3</v>
      </c>
      <c r="S86" s="44">
        <v>4.4999999999999997E-3</v>
      </c>
      <c r="T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 s="44">
        <v>4.4999999999999997E-3</v>
      </c>
      <c r="AH86"/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 s="44">
        <v>4.4999999999999997E-3</v>
      </c>
      <c r="AP86"/>
      <c r="AQ86" s="44">
        <v>4.4999999999999997E-3</v>
      </c>
      <c r="AR86" s="44">
        <v>4.4999999999999997E-3</v>
      </c>
      <c r="AS86" s="44">
        <v>4.4999999999999997E-3</v>
      </c>
      <c r="AT86" s="44">
        <v>4.4999999999999997E-3</v>
      </c>
      <c r="AU86"/>
      <c r="AV86" s="44">
        <v>4.4999999999999997E-3</v>
      </c>
      <c r="AW86"/>
      <c r="AX86"/>
      <c r="AY86" s="44">
        <v>4.4999999999999997E-3</v>
      </c>
    </row>
    <row r="87" spans="1:51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/>
      <c r="N87" s="44">
        <v>0.05</v>
      </c>
      <c r="P87" s="44">
        <v>0.05</v>
      </c>
      <c r="Q87" s="44"/>
      <c r="R87" s="44">
        <v>0.05</v>
      </c>
      <c r="S87" s="44">
        <v>0.05</v>
      </c>
      <c r="T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 s="44">
        <v>0.05</v>
      </c>
      <c r="AH87"/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 s="44">
        <v>0.05</v>
      </c>
      <c r="AO87" s="44">
        <v>0.05</v>
      </c>
      <c r="AP87"/>
      <c r="AQ87" s="44">
        <v>0.05</v>
      </c>
      <c r="AR87" s="44">
        <v>0.05</v>
      </c>
      <c r="AS87" s="44">
        <v>0.05</v>
      </c>
      <c r="AT87" s="44">
        <v>0.05</v>
      </c>
      <c r="AU87"/>
      <c r="AV87" s="44">
        <v>0.05</v>
      </c>
      <c r="AW87"/>
      <c r="AX87"/>
      <c r="AY87" s="44">
        <v>0.05</v>
      </c>
    </row>
    <row r="88" spans="1:51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/>
      <c r="N88" s="44">
        <v>6.0000000000000002E-6</v>
      </c>
      <c r="P88" s="44">
        <v>6.0000000000000002E-6</v>
      </c>
      <c r="Q88" s="44"/>
      <c r="R88" s="44">
        <v>6.0000000000000002E-6</v>
      </c>
      <c r="S88" s="44">
        <v>6.0000000000000002E-6</v>
      </c>
      <c r="T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 s="44">
        <v>6.0000000000000002E-6</v>
      </c>
      <c r="AH88"/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 s="44">
        <v>6.0000000000000002E-6</v>
      </c>
      <c r="AP88"/>
      <c r="AQ88" s="44">
        <v>6.0000000000000002E-6</v>
      </c>
      <c r="AR88" s="44">
        <v>6.0000000000000002E-6</v>
      </c>
      <c r="AS88" s="44">
        <v>6.0000000000000002E-6</v>
      </c>
      <c r="AT88" s="44">
        <v>6.0000000000000002E-6</v>
      </c>
      <c r="AU88"/>
      <c r="AV88" s="44">
        <v>6.0000000000000002E-6</v>
      </c>
      <c r="AW88"/>
      <c r="AX88"/>
      <c r="AY88" s="44">
        <v>6.0000000000000002E-6</v>
      </c>
    </row>
    <row r="89" spans="1:51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/>
      <c r="N89" s="44">
        <v>1E-3</v>
      </c>
      <c r="P89" s="44">
        <v>1E-3</v>
      </c>
      <c r="Q89" s="44"/>
      <c r="R89" s="44">
        <v>1E-3</v>
      </c>
      <c r="S89" s="44">
        <v>1E-3</v>
      </c>
      <c r="T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 s="44">
        <v>1E-3</v>
      </c>
      <c r="AH89"/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 s="44">
        <v>1E-3</v>
      </c>
      <c r="AO89" s="44">
        <v>1E-3</v>
      </c>
      <c r="AP89"/>
      <c r="AQ89" s="44">
        <v>1E-3</v>
      </c>
      <c r="AR89" s="44">
        <v>1E-3</v>
      </c>
      <c r="AS89" s="44">
        <v>1E-3</v>
      </c>
      <c r="AT89" s="44">
        <v>1E-3</v>
      </c>
      <c r="AU89"/>
      <c r="AV89" s="44">
        <v>1E-3</v>
      </c>
      <c r="AW89"/>
      <c r="AX89"/>
      <c r="AY89" s="44">
        <v>1E-3</v>
      </c>
    </row>
    <row r="90" spans="1:51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/>
      <c r="N90" s="44">
        <v>374999999.99999994</v>
      </c>
      <c r="P90" s="44">
        <v>374999999.99999994</v>
      </c>
      <c r="Q90" s="44"/>
      <c r="R90" s="44">
        <v>374999999.99999994</v>
      </c>
      <c r="S90" s="44">
        <v>374999999.99999994</v>
      </c>
      <c r="T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 s="44">
        <v>374999999.99999994</v>
      </c>
      <c r="AH90"/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 s="44">
        <v>374999999.99999994</v>
      </c>
      <c r="AP90"/>
      <c r="AQ90" s="44">
        <v>374999999.99999994</v>
      </c>
      <c r="AR90" s="44">
        <v>374999999.99999994</v>
      </c>
      <c r="AS90" s="44">
        <v>374999999.99999994</v>
      </c>
      <c r="AT90" s="44">
        <v>374999999.99999994</v>
      </c>
      <c r="AU90"/>
      <c r="AV90" s="44">
        <v>374999999.99999994</v>
      </c>
      <c r="AW90"/>
      <c r="AX90"/>
      <c r="AY90" s="44">
        <v>374999999.99999994</v>
      </c>
    </row>
    <row r="91" spans="1:51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/>
      <c r="N91" s="44">
        <v>3.7037037037037038E-3</v>
      </c>
      <c r="P91" s="44">
        <v>3.7037037037037038E-3</v>
      </c>
      <c r="Q91" s="44"/>
      <c r="R91" s="44">
        <v>3.7037037037037038E-3</v>
      </c>
      <c r="S91" s="44">
        <v>3.7037037037037038E-3</v>
      </c>
      <c r="T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 s="44">
        <v>3.7037037037037038E-3</v>
      </c>
      <c r="AH91"/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 s="44">
        <v>3.7037037037037038E-3</v>
      </c>
      <c r="AP91"/>
      <c r="AQ91" s="44">
        <v>3.7037037037037038E-3</v>
      </c>
      <c r="AR91" s="44">
        <v>3.7037037037037038E-3</v>
      </c>
      <c r="AS91" s="44">
        <v>3.7037037037037038E-3</v>
      </c>
      <c r="AT91" s="44">
        <v>3.7037037037037038E-3</v>
      </c>
      <c r="AU91"/>
      <c r="AV91" s="44">
        <v>3.7037037037037038E-3</v>
      </c>
      <c r="AW91"/>
      <c r="AX91"/>
      <c r="AY91" s="44">
        <v>3.7037037037037038E-3</v>
      </c>
    </row>
    <row r="92" spans="1:51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/>
      <c r="N92" s="44">
        <v>165600</v>
      </c>
      <c r="P92" s="44">
        <v>165600</v>
      </c>
      <c r="Q92" s="44"/>
      <c r="R92" s="44">
        <v>165600</v>
      </c>
      <c r="S92" s="44">
        <v>165600</v>
      </c>
      <c r="T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 s="44">
        <v>165600</v>
      </c>
      <c r="AH92"/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 s="44">
        <v>165600</v>
      </c>
      <c r="AO92" s="44">
        <v>165600</v>
      </c>
      <c r="AP92"/>
      <c r="AQ92" s="44">
        <v>165600</v>
      </c>
      <c r="AR92" s="44">
        <v>165600</v>
      </c>
      <c r="AS92" s="44">
        <v>165600</v>
      </c>
      <c r="AT92" s="44">
        <v>165600</v>
      </c>
      <c r="AU92"/>
      <c r="AV92" s="44">
        <v>165600</v>
      </c>
      <c r="AW92"/>
      <c r="AX92"/>
      <c r="AY92" s="44">
        <v>165600</v>
      </c>
    </row>
    <row r="93" spans="1:51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/>
      <c r="N93" s="44">
        <v>20</v>
      </c>
      <c r="P93" s="44">
        <v>20</v>
      </c>
      <c r="Q93" s="44"/>
      <c r="R93" s="44">
        <v>20</v>
      </c>
      <c r="S93" s="44">
        <v>20</v>
      </c>
      <c r="T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 s="44">
        <v>20</v>
      </c>
      <c r="AH93"/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 s="44">
        <v>20</v>
      </c>
      <c r="AO93" s="44">
        <v>20</v>
      </c>
      <c r="AP93"/>
      <c r="AQ93" s="44">
        <v>20</v>
      </c>
      <c r="AR93" s="44">
        <v>20</v>
      </c>
      <c r="AS93" s="44">
        <v>20</v>
      </c>
      <c r="AT93" s="44">
        <v>20</v>
      </c>
      <c r="AU93"/>
      <c r="AV93" s="44">
        <v>20</v>
      </c>
      <c r="AW93"/>
      <c r="AX93"/>
      <c r="AY93" s="44">
        <v>20</v>
      </c>
    </row>
    <row r="94" spans="1:51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/>
      <c r="N94" s="44">
        <v>1</v>
      </c>
      <c r="P94" s="44">
        <v>1</v>
      </c>
      <c r="Q94" s="44"/>
      <c r="R94" s="44">
        <v>1</v>
      </c>
      <c r="S94" s="44">
        <v>1</v>
      </c>
      <c r="T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 s="44">
        <v>1</v>
      </c>
      <c r="AH94"/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 s="44">
        <v>1</v>
      </c>
      <c r="AO94" s="44">
        <v>1</v>
      </c>
      <c r="AP94"/>
      <c r="AQ94" s="44">
        <v>1</v>
      </c>
      <c r="AR94" s="44">
        <v>1</v>
      </c>
      <c r="AS94" s="44">
        <v>1</v>
      </c>
      <c r="AT94" s="44">
        <v>1</v>
      </c>
      <c r="AU94"/>
      <c r="AV94" s="44">
        <v>1</v>
      </c>
      <c r="AW94"/>
      <c r="AX94"/>
      <c r="AY94" s="44">
        <v>1</v>
      </c>
    </row>
    <row r="95" spans="1:51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/>
      <c r="N95" s="44">
        <v>21</v>
      </c>
      <c r="P95" s="44">
        <v>21</v>
      </c>
      <c r="Q95" s="44"/>
      <c r="R95" s="44">
        <v>21</v>
      </c>
      <c r="S95" s="44">
        <v>21</v>
      </c>
      <c r="T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 s="44">
        <v>21</v>
      </c>
      <c r="AH95"/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 s="44">
        <v>21</v>
      </c>
      <c r="AO95" s="44">
        <v>21</v>
      </c>
      <c r="AP95"/>
      <c r="AQ95" s="44">
        <v>21</v>
      </c>
      <c r="AR95" s="44">
        <v>21</v>
      </c>
      <c r="AS95" s="44">
        <v>21</v>
      </c>
      <c r="AT95" s="44">
        <v>21</v>
      </c>
      <c r="AU95"/>
      <c r="AV95" s="44">
        <v>21</v>
      </c>
      <c r="AW95"/>
      <c r="AX95"/>
      <c r="AY95" s="44">
        <v>21</v>
      </c>
    </row>
    <row r="96" spans="1:51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/>
      <c r="N96" s="44">
        <v>0.64</v>
      </c>
      <c r="P96" s="44">
        <v>0.64</v>
      </c>
      <c r="Q96" s="44"/>
      <c r="R96" s="44">
        <v>0.64</v>
      </c>
      <c r="S96" s="44">
        <v>0.64</v>
      </c>
      <c r="T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 s="44">
        <v>0.64</v>
      </c>
      <c r="AH96"/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 s="44">
        <v>0.64</v>
      </c>
      <c r="AO96" s="44">
        <v>0.64</v>
      </c>
      <c r="AP96"/>
      <c r="AQ96" s="44">
        <v>0.64</v>
      </c>
      <c r="AR96" s="44">
        <v>0.64</v>
      </c>
      <c r="AS96" s="44">
        <v>0.64</v>
      </c>
      <c r="AT96" s="44">
        <v>0.64</v>
      </c>
      <c r="AU96"/>
      <c r="AV96" s="44">
        <v>0.64</v>
      </c>
      <c r="AW96"/>
      <c r="AX96"/>
      <c r="AY96" s="44">
        <v>0.64</v>
      </c>
    </row>
    <row r="97" spans="1:51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/>
      <c r="N97" s="44">
        <v>8</v>
      </c>
      <c r="P97" s="44">
        <v>8</v>
      </c>
      <c r="Q97" s="44"/>
      <c r="R97" s="44">
        <v>8</v>
      </c>
      <c r="S97" s="44">
        <v>8</v>
      </c>
      <c r="T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 s="44">
        <v>8</v>
      </c>
      <c r="AH97"/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 s="44">
        <v>8</v>
      </c>
      <c r="AO97" s="44">
        <v>8</v>
      </c>
      <c r="AP97"/>
      <c r="AQ97" s="44">
        <v>8</v>
      </c>
      <c r="AR97" s="44">
        <v>8</v>
      </c>
      <c r="AS97" s="44">
        <v>8</v>
      </c>
      <c r="AT97" s="44">
        <v>8</v>
      </c>
      <c r="AU97"/>
      <c r="AV97" s="44">
        <v>8</v>
      </c>
      <c r="AW97"/>
      <c r="AX97"/>
      <c r="AY97" s="44">
        <v>8</v>
      </c>
    </row>
    <row r="98" spans="1:51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/>
      <c r="N98" s="44">
        <v>10</v>
      </c>
      <c r="P98" s="44">
        <v>10</v>
      </c>
      <c r="Q98" s="44"/>
      <c r="R98" s="44">
        <v>10</v>
      </c>
      <c r="S98" s="44">
        <v>10</v>
      </c>
      <c r="T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 s="44">
        <v>10</v>
      </c>
      <c r="AH98"/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 s="44">
        <v>10</v>
      </c>
      <c r="AO98" s="44">
        <v>10</v>
      </c>
      <c r="AP98"/>
      <c r="AQ98" s="44">
        <v>10</v>
      </c>
      <c r="AR98" s="44">
        <v>10</v>
      </c>
      <c r="AS98" s="44">
        <v>10</v>
      </c>
      <c r="AT98" s="44">
        <v>10</v>
      </c>
      <c r="AU98"/>
      <c r="AV98" s="44">
        <v>10</v>
      </c>
      <c r="AW98"/>
      <c r="AX98"/>
      <c r="AY98" s="44">
        <v>10</v>
      </c>
    </row>
    <row r="99" spans="1:51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/>
      <c r="N99" s="44">
        <v>8</v>
      </c>
      <c r="P99" s="44">
        <v>8</v>
      </c>
      <c r="Q99" s="44"/>
      <c r="R99" s="44">
        <v>8</v>
      </c>
      <c r="S99" s="44">
        <v>8</v>
      </c>
      <c r="T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 s="44">
        <v>8</v>
      </c>
      <c r="AH99"/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 s="44">
        <v>8</v>
      </c>
      <c r="AO99" s="44">
        <v>8</v>
      </c>
      <c r="AP99"/>
      <c r="AQ99" s="44">
        <v>8</v>
      </c>
      <c r="AR99" s="44">
        <v>8</v>
      </c>
      <c r="AS99" s="44">
        <v>8</v>
      </c>
      <c r="AT99" s="44">
        <v>8</v>
      </c>
      <c r="AU99"/>
      <c r="AV99" s="44">
        <v>8</v>
      </c>
      <c r="AW99"/>
      <c r="AX99"/>
      <c r="AY99" s="44">
        <v>8</v>
      </c>
    </row>
    <row r="100" spans="1:51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/>
      <c r="N100" s="44">
        <v>1</v>
      </c>
      <c r="P100" s="44">
        <v>1</v>
      </c>
      <c r="Q100" s="44"/>
      <c r="R100" s="44">
        <v>1</v>
      </c>
      <c r="S100" s="44">
        <v>1</v>
      </c>
      <c r="T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 s="44">
        <v>1</v>
      </c>
      <c r="AH100"/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 s="44">
        <v>1</v>
      </c>
      <c r="AO100" s="44">
        <v>1</v>
      </c>
      <c r="AP100"/>
      <c r="AQ100" s="44">
        <v>1</v>
      </c>
      <c r="AR100" s="44">
        <v>1</v>
      </c>
      <c r="AS100" s="44">
        <v>1</v>
      </c>
      <c r="AT100" s="44">
        <v>1</v>
      </c>
      <c r="AU100"/>
      <c r="AV100" s="44">
        <v>1</v>
      </c>
      <c r="AW100"/>
      <c r="AX100"/>
      <c r="AY100" s="44">
        <v>1</v>
      </c>
    </row>
    <row r="101" spans="1:51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/>
      <c r="N101" s="44">
        <v>0.5</v>
      </c>
      <c r="P101" s="44">
        <v>0.5</v>
      </c>
      <c r="Q101" s="44"/>
      <c r="R101" s="44">
        <v>0.5</v>
      </c>
      <c r="S101" s="44">
        <v>0.5</v>
      </c>
      <c r="T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 s="44">
        <v>0.5</v>
      </c>
      <c r="AH101"/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 s="44">
        <v>0.5</v>
      </c>
      <c r="AO101" s="44">
        <v>0.5</v>
      </c>
      <c r="AP101"/>
      <c r="AQ101" s="44">
        <v>0.5</v>
      </c>
      <c r="AR101" s="44">
        <v>0.5</v>
      </c>
      <c r="AS101" s="44">
        <v>0.5</v>
      </c>
      <c r="AT101" s="44">
        <v>0.5</v>
      </c>
      <c r="AU101"/>
      <c r="AV101" s="44">
        <v>0.5</v>
      </c>
      <c r="AW101"/>
      <c r="AX101"/>
      <c r="AY101" s="44">
        <v>0.5</v>
      </c>
    </row>
    <row r="102" spans="1:51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Y102" si="1">10/0.1</f>
        <v>100</v>
      </c>
      <c r="K102" s="44">
        <f t="shared" si="1"/>
        <v>100</v>
      </c>
      <c r="L102" s="44">
        <f t="shared" si="1"/>
        <v>100</v>
      </c>
      <c r="M102" s="44"/>
      <c r="N102" s="44">
        <f t="shared" si="1"/>
        <v>100</v>
      </c>
      <c r="P102" s="44">
        <f t="shared" si="1"/>
        <v>100</v>
      </c>
      <c r="Q102" s="44"/>
      <c r="R102" s="44">
        <f t="shared" si="1"/>
        <v>100</v>
      </c>
      <c r="S102" s="44">
        <f t="shared" si="1"/>
        <v>100</v>
      </c>
      <c r="T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 s="44">
        <f t="shared" si="1"/>
        <v>100</v>
      </c>
      <c r="AH102"/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 s="44">
        <f t="shared" si="1"/>
        <v>100</v>
      </c>
      <c r="AP102"/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 s="44">
        <f t="shared" si="1"/>
        <v>100</v>
      </c>
      <c r="AU102"/>
      <c r="AV102" s="44">
        <f t="shared" si="1"/>
        <v>100</v>
      </c>
      <c r="AW102"/>
      <c r="AX102"/>
      <c r="AY102" s="44">
        <f t="shared" si="1"/>
        <v>100</v>
      </c>
    </row>
    <row r="103" spans="1:51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Y103" si="2">150/0.1</f>
        <v>1500</v>
      </c>
      <c r="K103" s="44">
        <f t="shared" si="2"/>
        <v>1500</v>
      </c>
      <c r="L103" s="44">
        <f t="shared" si="2"/>
        <v>1500</v>
      </c>
      <c r="M103" s="44"/>
      <c r="N103" s="44">
        <f t="shared" si="2"/>
        <v>1500</v>
      </c>
      <c r="P103" s="44">
        <f t="shared" si="2"/>
        <v>1500</v>
      </c>
      <c r="Q103" s="44"/>
      <c r="R103" s="44">
        <f t="shared" si="2"/>
        <v>1500</v>
      </c>
      <c r="S103" s="44">
        <f t="shared" si="2"/>
        <v>1500</v>
      </c>
      <c r="T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 s="44">
        <f t="shared" si="2"/>
        <v>1500</v>
      </c>
      <c r="AH103"/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 s="44">
        <f t="shared" si="2"/>
        <v>1500</v>
      </c>
      <c r="AP103"/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 s="44">
        <f t="shared" si="2"/>
        <v>1500</v>
      </c>
      <c r="AU103"/>
      <c r="AV103" s="44">
        <f t="shared" si="2"/>
        <v>1500</v>
      </c>
      <c r="AW103"/>
      <c r="AX103"/>
      <c r="AY103" s="44">
        <f t="shared" si="2"/>
        <v>1500</v>
      </c>
    </row>
    <row r="104" spans="1:51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Y104" si="4">20/0.1</f>
        <v>200</v>
      </c>
      <c r="K104" s="44">
        <f t="shared" si="4"/>
        <v>200</v>
      </c>
      <c r="L104" s="44">
        <f t="shared" si="4"/>
        <v>200</v>
      </c>
      <c r="M104" s="44"/>
      <c r="N104" s="44">
        <f t="shared" si="4"/>
        <v>200</v>
      </c>
      <c r="P104" s="44">
        <f t="shared" si="4"/>
        <v>200</v>
      </c>
      <c r="Q104" s="44"/>
      <c r="R104" s="44">
        <f t="shared" si="4"/>
        <v>200</v>
      </c>
      <c r="S104" s="44">
        <f t="shared" si="4"/>
        <v>200</v>
      </c>
      <c r="T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 s="44">
        <f t="shared" si="4"/>
        <v>200</v>
      </c>
      <c r="AH104"/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 s="44">
        <f t="shared" si="4"/>
        <v>200</v>
      </c>
      <c r="AP104"/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 s="44">
        <f t="shared" si="4"/>
        <v>200</v>
      </c>
      <c r="AU104"/>
      <c r="AV104" s="44">
        <f t="shared" si="4"/>
        <v>200</v>
      </c>
      <c r="AW104"/>
      <c r="AX104"/>
      <c r="AY104" s="44">
        <f t="shared" si="4"/>
        <v>200</v>
      </c>
    </row>
    <row r="105" spans="1:51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Y105" si="5">400/0.1</f>
        <v>4000</v>
      </c>
      <c r="K105" s="44">
        <f t="shared" si="5"/>
        <v>4000</v>
      </c>
      <c r="L105" s="44">
        <f t="shared" si="5"/>
        <v>4000</v>
      </c>
      <c r="M105" s="44"/>
      <c r="N105" s="44">
        <f t="shared" si="5"/>
        <v>4000</v>
      </c>
      <c r="P105" s="44">
        <f t="shared" si="5"/>
        <v>4000</v>
      </c>
      <c r="Q105" s="44"/>
      <c r="R105" s="44">
        <f t="shared" si="5"/>
        <v>4000</v>
      </c>
      <c r="S105" s="44">
        <f t="shared" si="5"/>
        <v>4000</v>
      </c>
      <c r="T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 s="44">
        <f t="shared" si="5"/>
        <v>4000</v>
      </c>
      <c r="AH105"/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 s="44">
        <f t="shared" si="5"/>
        <v>4000</v>
      </c>
      <c r="AP105"/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 s="44">
        <f t="shared" si="5"/>
        <v>4000</v>
      </c>
      <c r="AU105"/>
      <c r="AV105" s="44">
        <f t="shared" si="5"/>
        <v>4000</v>
      </c>
      <c r="AW105"/>
      <c r="AX105"/>
      <c r="AY105" s="44">
        <f t="shared" si="5"/>
        <v>4000</v>
      </c>
    </row>
    <row r="106" spans="1:51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Y106" si="6">10/0.1</f>
        <v>100</v>
      </c>
      <c r="K106" s="44">
        <f t="shared" si="6"/>
        <v>100</v>
      </c>
      <c r="L106" s="44">
        <f t="shared" si="6"/>
        <v>100</v>
      </c>
      <c r="M106" s="44"/>
      <c r="N106" s="44">
        <f t="shared" si="6"/>
        <v>100</v>
      </c>
      <c r="P106" s="44">
        <f t="shared" si="6"/>
        <v>100</v>
      </c>
      <c r="Q106" s="44"/>
      <c r="R106" s="44">
        <f t="shared" si="6"/>
        <v>100</v>
      </c>
      <c r="S106" s="44">
        <f t="shared" si="6"/>
        <v>100</v>
      </c>
      <c r="T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 s="44">
        <f t="shared" si="6"/>
        <v>100</v>
      </c>
      <c r="AH106"/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 s="44">
        <f t="shared" si="6"/>
        <v>100</v>
      </c>
      <c r="AP106"/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 s="44">
        <f t="shared" si="6"/>
        <v>100</v>
      </c>
      <c r="AU106"/>
      <c r="AV106" s="44">
        <f t="shared" si="6"/>
        <v>100</v>
      </c>
      <c r="AW106"/>
      <c r="AX106"/>
      <c r="AY106" s="44">
        <f t="shared" si="6"/>
        <v>100</v>
      </c>
    </row>
    <row r="107" spans="1:51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Y107" si="7">150/0.1</f>
        <v>1500</v>
      </c>
      <c r="K107" s="44">
        <f t="shared" si="7"/>
        <v>1500</v>
      </c>
      <c r="L107" s="44">
        <f t="shared" si="7"/>
        <v>1500</v>
      </c>
      <c r="M107" s="44"/>
      <c r="N107" s="44">
        <f t="shared" si="7"/>
        <v>1500</v>
      </c>
      <c r="P107" s="44">
        <f t="shared" si="7"/>
        <v>1500</v>
      </c>
      <c r="Q107" s="44"/>
      <c r="R107" s="44">
        <f t="shared" si="7"/>
        <v>1500</v>
      </c>
      <c r="S107" s="44">
        <f t="shared" si="7"/>
        <v>1500</v>
      </c>
      <c r="T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 s="44">
        <f t="shared" si="7"/>
        <v>1500</v>
      </c>
      <c r="AH107"/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 s="44">
        <f t="shared" si="7"/>
        <v>1500</v>
      </c>
      <c r="AP107"/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 s="44">
        <f t="shared" si="7"/>
        <v>1500</v>
      </c>
      <c r="AU107"/>
      <c r="AV107" s="44">
        <f t="shared" si="7"/>
        <v>1500</v>
      </c>
      <c r="AW107"/>
      <c r="AX107"/>
      <c r="AY107" s="44">
        <f t="shared" si="7"/>
        <v>1500</v>
      </c>
    </row>
    <row r="108" spans="1:51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Y108" si="8">20/0.1</f>
        <v>200</v>
      </c>
      <c r="K108" s="44">
        <f t="shared" si="8"/>
        <v>200</v>
      </c>
      <c r="L108" s="44">
        <f t="shared" si="8"/>
        <v>200</v>
      </c>
      <c r="M108" s="44"/>
      <c r="N108" s="44">
        <f t="shared" si="8"/>
        <v>200</v>
      </c>
      <c r="P108" s="44">
        <f t="shared" si="8"/>
        <v>200</v>
      </c>
      <c r="Q108" s="44"/>
      <c r="R108" s="44">
        <f t="shared" si="8"/>
        <v>200</v>
      </c>
      <c r="S108" s="44">
        <f t="shared" si="8"/>
        <v>200</v>
      </c>
      <c r="T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 s="44">
        <f t="shared" si="8"/>
        <v>200</v>
      </c>
      <c r="AH108"/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 s="44">
        <f t="shared" si="8"/>
        <v>200</v>
      </c>
      <c r="AP108"/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 s="44">
        <f t="shared" si="8"/>
        <v>200</v>
      </c>
      <c r="AU108"/>
      <c r="AV108" s="44">
        <f t="shared" si="8"/>
        <v>200</v>
      </c>
      <c r="AW108"/>
      <c r="AX108"/>
      <c r="AY108" s="44">
        <f t="shared" si="8"/>
        <v>200</v>
      </c>
    </row>
    <row r="109" spans="1:51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Y109" si="9">400/0.1</f>
        <v>4000</v>
      </c>
      <c r="K109" s="44">
        <f t="shared" si="9"/>
        <v>4000</v>
      </c>
      <c r="L109" s="44">
        <f t="shared" si="9"/>
        <v>4000</v>
      </c>
      <c r="M109" s="44"/>
      <c r="N109" s="44">
        <f t="shared" si="9"/>
        <v>4000</v>
      </c>
      <c r="P109" s="44">
        <f t="shared" si="9"/>
        <v>4000</v>
      </c>
      <c r="Q109" s="44"/>
      <c r="R109" s="44">
        <f t="shared" si="9"/>
        <v>4000</v>
      </c>
      <c r="S109" s="44">
        <f t="shared" si="9"/>
        <v>4000</v>
      </c>
      <c r="T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 s="44">
        <f t="shared" si="9"/>
        <v>4000</v>
      </c>
      <c r="AH109"/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 s="44">
        <f t="shared" si="9"/>
        <v>4000</v>
      </c>
      <c r="AP109"/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 s="44">
        <f t="shared" si="9"/>
        <v>4000</v>
      </c>
      <c r="AU109"/>
      <c r="AV109" s="44">
        <f t="shared" si="9"/>
        <v>4000</v>
      </c>
      <c r="AW109"/>
      <c r="AX109"/>
      <c r="AY109" s="44">
        <f t="shared" si="9"/>
        <v>4000</v>
      </c>
    </row>
    <row r="110" spans="1:51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/>
      <c r="N110" s="44">
        <v>100</v>
      </c>
      <c r="P110" s="44">
        <v>100</v>
      </c>
      <c r="Q110" s="44"/>
      <c r="R110" s="44">
        <v>100</v>
      </c>
      <c r="S110" s="44">
        <v>100</v>
      </c>
      <c r="T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 s="44">
        <v>100</v>
      </c>
      <c r="AH110"/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 s="44">
        <v>100</v>
      </c>
      <c r="AO110" s="44">
        <v>100</v>
      </c>
      <c r="AP110"/>
      <c r="AQ110" s="44">
        <v>100</v>
      </c>
      <c r="AR110" s="44">
        <v>100</v>
      </c>
      <c r="AS110" s="44">
        <v>100</v>
      </c>
      <c r="AT110" s="44">
        <v>100</v>
      </c>
      <c r="AU110"/>
      <c r="AV110" s="44">
        <v>100</v>
      </c>
      <c r="AW110"/>
      <c r="AX110"/>
      <c r="AY110" s="44">
        <v>100</v>
      </c>
    </row>
    <row r="111" spans="1:51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/>
      <c r="N111" s="44">
        <v>280800</v>
      </c>
      <c r="P111" s="44">
        <v>280800</v>
      </c>
      <c r="Q111" s="44"/>
      <c r="R111" s="44">
        <v>280800</v>
      </c>
      <c r="S111" s="44">
        <v>280800</v>
      </c>
      <c r="T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 s="44">
        <v>280800</v>
      </c>
      <c r="AH111"/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 s="44">
        <v>280800</v>
      </c>
      <c r="AO111" s="44">
        <v>280800</v>
      </c>
      <c r="AP111"/>
      <c r="AQ111" s="44">
        <v>280800</v>
      </c>
      <c r="AR111" s="44">
        <v>280800</v>
      </c>
      <c r="AS111" s="44">
        <v>280800</v>
      </c>
      <c r="AT111" s="44">
        <v>280800</v>
      </c>
      <c r="AU111"/>
      <c r="AV111" s="44">
        <v>280800</v>
      </c>
      <c r="AW111"/>
      <c r="AX111"/>
      <c r="AY111" s="44">
        <v>280800</v>
      </c>
    </row>
    <row r="112" spans="1:51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Y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/>
      <c r="N112" s="44">
        <f t="shared" si="10"/>
        <v>0.11100000000000002</v>
      </c>
      <c r="P112" s="44">
        <f t="shared" si="10"/>
        <v>0.11100000000000002</v>
      </c>
      <c r="Q112" s="44"/>
      <c r="R112" s="44">
        <f t="shared" si="10"/>
        <v>0.11100000000000002</v>
      </c>
      <c r="S112" s="44">
        <f t="shared" si="10"/>
        <v>0.11100000000000002</v>
      </c>
      <c r="T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 s="44">
        <f t="shared" si="10"/>
        <v>0.11100000000000002</v>
      </c>
      <c r="AH112"/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 s="44">
        <f t="shared" si="10"/>
        <v>0.11100000000000002</v>
      </c>
      <c r="AP112"/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 s="44">
        <f t="shared" si="10"/>
        <v>0.11100000000000002</v>
      </c>
      <c r="AU112"/>
      <c r="AV112" s="44">
        <f t="shared" si="10"/>
        <v>0.11100000000000002</v>
      </c>
      <c r="AW112"/>
      <c r="AX112"/>
      <c r="AY112" s="44">
        <f t="shared" si="10"/>
        <v>0.11100000000000002</v>
      </c>
    </row>
    <row r="113" spans="1:51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/>
      <c r="N113" s="44">
        <v>100</v>
      </c>
      <c r="P113" s="44">
        <v>100</v>
      </c>
      <c r="Q113" s="44"/>
      <c r="R113" s="44">
        <v>100</v>
      </c>
      <c r="S113" s="44">
        <v>100</v>
      </c>
      <c r="T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 s="44">
        <v>100</v>
      </c>
      <c r="AH113"/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 s="44">
        <v>100</v>
      </c>
      <c r="AO113" s="44">
        <v>100</v>
      </c>
      <c r="AP113"/>
      <c r="AQ113" s="44">
        <v>100</v>
      </c>
      <c r="AR113" s="44">
        <v>100</v>
      </c>
      <c r="AS113" s="44">
        <v>100</v>
      </c>
      <c r="AT113" s="44">
        <v>100</v>
      </c>
      <c r="AU113"/>
      <c r="AV113" s="44">
        <v>100</v>
      </c>
      <c r="AW113"/>
      <c r="AX113"/>
      <c r="AY113" s="44">
        <v>100</v>
      </c>
    </row>
    <row r="114" spans="1:51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/>
      <c r="N114" s="44">
        <v>459648</v>
      </c>
      <c r="P114" s="44">
        <v>459648</v>
      </c>
      <c r="Q114" s="44"/>
      <c r="R114" s="44">
        <v>459648</v>
      </c>
      <c r="S114" s="44">
        <v>459648</v>
      </c>
      <c r="T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 s="44">
        <v>459648</v>
      </c>
      <c r="AH114"/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 s="44">
        <v>459648</v>
      </c>
      <c r="AO114" s="44">
        <v>459648</v>
      </c>
      <c r="AP114"/>
      <c r="AQ114" s="44">
        <v>459648</v>
      </c>
      <c r="AR114" s="44">
        <v>459648</v>
      </c>
      <c r="AS114" s="44">
        <v>459648</v>
      </c>
      <c r="AT114" s="44">
        <v>459648</v>
      </c>
      <c r="AU114"/>
      <c r="AV114" s="44">
        <v>459648</v>
      </c>
      <c r="AW114"/>
      <c r="AX114"/>
      <c r="AY114" s="44">
        <v>459648</v>
      </c>
    </row>
    <row r="115" spans="1:51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Y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/>
      <c r="N115" s="44">
        <f t="shared" si="11"/>
        <v>0.13875000000000001</v>
      </c>
      <c r="P115" s="44">
        <f t="shared" si="11"/>
        <v>0.13875000000000001</v>
      </c>
      <c r="Q115" s="44"/>
      <c r="R115" s="44">
        <f t="shared" si="11"/>
        <v>0.13875000000000001</v>
      </c>
      <c r="S115" s="44">
        <f t="shared" si="11"/>
        <v>0.13875000000000001</v>
      </c>
      <c r="T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 s="44">
        <f t="shared" si="11"/>
        <v>0.13875000000000001</v>
      </c>
      <c r="AH115"/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 s="44">
        <f t="shared" si="11"/>
        <v>0.13875000000000001</v>
      </c>
      <c r="AP115"/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 s="44">
        <f t="shared" si="11"/>
        <v>0.13875000000000001</v>
      </c>
      <c r="AU115"/>
      <c r="AV115" s="44">
        <f t="shared" si="11"/>
        <v>0.13875000000000001</v>
      </c>
      <c r="AW115"/>
      <c r="AX115"/>
      <c r="AY115" s="44">
        <f t="shared" si="11"/>
        <v>0.13875000000000001</v>
      </c>
    </row>
    <row r="116" spans="1:51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/>
      <c r="N116" s="44">
        <v>21600</v>
      </c>
      <c r="P116" s="44">
        <v>21600</v>
      </c>
      <c r="Q116" s="44"/>
      <c r="R116" s="44">
        <v>21600</v>
      </c>
      <c r="S116" s="44">
        <v>21600</v>
      </c>
      <c r="T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 s="44">
        <v>21600</v>
      </c>
      <c r="AH116"/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 s="44">
        <v>21600</v>
      </c>
      <c r="AO116" s="44">
        <v>21600</v>
      </c>
      <c r="AP116"/>
      <c r="AQ116" s="44">
        <v>21600</v>
      </c>
      <c r="AR116" s="44">
        <v>21600</v>
      </c>
      <c r="AS116" s="44">
        <v>21600</v>
      </c>
      <c r="AT116" s="44">
        <v>21600</v>
      </c>
      <c r="AU116"/>
      <c r="AV116" s="44">
        <v>21600</v>
      </c>
      <c r="AW116"/>
      <c r="AX116"/>
      <c r="AY116" s="44">
        <v>21600</v>
      </c>
    </row>
    <row r="117" spans="1:51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/>
      <c r="N117" s="44">
        <v>43200</v>
      </c>
      <c r="P117" s="44">
        <v>43200</v>
      </c>
      <c r="Q117" s="44"/>
      <c r="R117" s="44">
        <v>43200</v>
      </c>
      <c r="S117" s="44">
        <v>43200</v>
      </c>
      <c r="T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 s="44">
        <v>43200</v>
      </c>
      <c r="AH117"/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 s="44">
        <v>43200</v>
      </c>
      <c r="AO117" s="44">
        <v>43200</v>
      </c>
      <c r="AP117"/>
      <c r="AQ117" s="44">
        <v>43200</v>
      </c>
      <c r="AR117" s="44">
        <v>43200</v>
      </c>
      <c r="AS117" s="44">
        <v>43200</v>
      </c>
      <c r="AT117" s="44">
        <v>43200</v>
      </c>
      <c r="AU117"/>
      <c r="AV117" s="44">
        <v>43200</v>
      </c>
      <c r="AW117"/>
      <c r="AX117"/>
      <c r="AY117" s="44">
        <v>43200</v>
      </c>
    </row>
    <row r="118" spans="1:51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/>
      <c r="N118" s="44">
        <v>0.8</v>
      </c>
      <c r="P118" s="44">
        <v>0.8</v>
      </c>
      <c r="Q118" s="44"/>
      <c r="R118" s="44">
        <v>0.8</v>
      </c>
      <c r="S118" s="44">
        <v>0.8</v>
      </c>
      <c r="T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 s="44">
        <v>0.8</v>
      </c>
      <c r="AH118"/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 s="44">
        <v>0.8</v>
      </c>
      <c r="AO118" s="44">
        <v>0.8</v>
      </c>
      <c r="AP118"/>
      <c r="AQ118" s="44">
        <v>0.8</v>
      </c>
      <c r="AR118" s="44">
        <v>0.8</v>
      </c>
      <c r="AS118" s="44">
        <v>0.8</v>
      </c>
      <c r="AT118" s="44">
        <v>0.8</v>
      </c>
      <c r="AU118"/>
      <c r="AV118" s="44">
        <v>0.8</v>
      </c>
      <c r="AW118"/>
      <c r="AX118"/>
      <c r="AY118" s="44">
        <v>0.8</v>
      </c>
    </row>
    <row r="119" spans="1:51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/>
      <c r="N119" s="44">
        <f>0.000208333333333333 / 2</f>
        <v>1.041666666666665E-4</v>
      </c>
      <c r="O119" s="1" t="s">
        <v>595</v>
      </c>
      <c r="P119" s="44">
        <f>0.000208333333333333 / 2</f>
        <v>1.041666666666665E-4</v>
      </c>
      <c r="Q119" s="44"/>
      <c r="R119" s="44">
        <v>2.0833333333333335E-4</v>
      </c>
      <c r="S119" s="44">
        <v>2.0833333333333335E-4</v>
      </c>
      <c r="T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 s="44">
        <v>2.0833333333333335E-4</v>
      </c>
      <c r="AH119"/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 s="44">
        <v>2.0833333333333335E-4</v>
      </c>
      <c r="AP119"/>
      <c r="AQ119" s="44">
        <v>2.0833333333333335E-4</v>
      </c>
      <c r="AR119" s="44">
        <v>2.0833333333333335E-4</v>
      </c>
      <c r="AS119" s="44">
        <v>2.0833333333333335E-4</v>
      </c>
      <c r="AT119" s="44">
        <v>2.0833333333333335E-4</v>
      </c>
      <c r="AU119"/>
      <c r="AV119" s="44">
        <v>2.0833333333333335E-4</v>
      </c>
      <c r="AW119"/>
      <c r="AX119"/>
      <c r="AY119" s="44">
        <v>2.0833333333333335E-4</v>
      </c>
    </row>
    <row r="120" spans="1:51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/>
      <c r="N120" s="44">
        <v>5.7899999999999998E-7</v>
      </c>
      <c r="P120" s="44">
        <v>5.7899999999999998E-7</v>
      </c>
      <c r="Q120" s="44"/>
      <c r="R120" s="44">
        <v>5.7899999999999998E-7</v>
      </c>
      <c r="S120" s="44">
        <v>5.7899999999999998E-7</v>
      </c>
      <c r="T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 s="44">
        <v>5.7899999999999998E-7</v>
      </c>
      <c r="AH120"/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 s="44">
        <v>5.7899999999999998E-7</v>
      </c>
      <c r="AP120"/>
      <c r="AQ120" s="44">
        <v>5.7899999999999998E-7</v>
      </c>
      <c r="AR120" s="44">
        <v>5.7899999999999998E-7</v>
      </c>
      <c r="AS120" s="44">
        <v>5.7899999999999998E-7</v>
      </c>
      <c r="AT120" s="44">
        <v>5.7899999999999998E-7</v>
      </c>
      <c r="AU120"/>
      <c r="AV120" s="44">
        <v>5.7899999999999998E-7</v>
      </c>
      <c r="AW120"/>
      <c r="AX120"/>
      <c r="AY120" s="44">
        <v>5.7899999999999998E-7</v>
      </c>
    </row>
    <row r="121" spans="1:51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/>
      <c r="N121" s="44">
        <v>2.0833333333333335E-4</v>
      </c>
      <c r="P121" s="44">
        <v>2.0833333333333335E-4</v>
      </c>
      <c r="Q121" s="44"/>
      <c r="R121" s="44">
        <v>2.0833333333333335E-4</v>
      </c>
      <c r="S121" s="44">
        <v>2.0833333333333335E-4</v>
      </c>
      <c r="T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 s="44">
        <v>2.0833333333333335E-4</v>
      </c>
      <c r="AH121"/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 s="44">
        <v>2.0833333333333335E-4</v>
      </c>
      <c r="AP121"/>
      <c r="AQ121" s="44">
        <v>2.0833333333333335E-4</v>
      </c>
      <c r="AR121" s="44">
        <v>2.0833333333333335E-4</v>
      </c>
      <c r="AS121" s="44">
        <v>2.0833333333333335E-4</v>
      </c>
      <c r="AT121" s="44">
        <v>2.0833333333333335E-4</v>
      </c>
      <c r="AU121"/>
      <c r="AV121" s="44">
        <v>2.0833333333333335E-4</v>
      </c>
      <c r="AW121"/>
      <c r="AX121"/>
      <c r="AY121" s="44">
        <v>2.0833333333333335E-4</v>
      </c>
    </row>
    <row r="122" spans="1:51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/>
      <c r="N122" s="44">
        <v>0</v>
      </c>
      <c r="P122" s="44">
        <v>0</v>
      </c>
      <c r="Q122" s="44"/>
      <c r="R122" s="44">
        <v>0</v>
      </c>
      <c r="S122" s="44">
        <v>0</v>
      </c>
      <c r="T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/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 s="44">
        <v>0</v>
      </c>
      <c r="AS122" s="44">
        <v>0</v>
      </c>
      <c r="AT122" s="44">
        <v>0</v>
      </c>
      <c r="AU122"/>
      <c r="AV122" s="44">
        <v>0</v>
      </c>
      <c r="AW122"/>
      <c r="AX122"/>
      <c r="AY122" s="44">
        <v>0</v>
      </c>
    </row>
    <row r="123" spans="1:51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/>
      <c r="N123" s="44">
        <v>0</v>
      </c>
      <c r="P123" s="44">
        <v>0</v>
      </c>
      <c r="Q123" s="44"/>
      <c r="R123" s="44">
        <v>0</v>
      </c>
      <c r="S123" s="44">
        <v>0</v>
      </c>
      <c r="T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 s="44">
        <v>0</v>
      </c>
      <c r="AH123"/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 s="44">
        <v>0</v>
      </c>
      <c r="AP123"/>
      <c r="AQ123" s="44">
        <v>0</v>
      </c>
      <c r="AR123" s="44">
        <v>0</v>
      </c>
      <c r="AS123" s="44">
        <v>0</v>
      </c>
      <c r="AT123" s="44">
        <v>0</v>
      </c>
      <c r="AU123"/>
      <c r="AV123" s="44">
        <v>0</v>
      </c>
      <c r="AW123"/>
      <c r="AX123"/>
      <c r="AY123" s="44">
        <v>0</v>
      </c>
    </row>
    <row r="124" spans="1:51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/>
      <c r="N124" s="44">
        <v>0</v>
      </c>
      <c r="P124" s="44">
        <v>0</v>
      </c>
      <c r="Q124" s="44"/>
      <c r="R124" s="44">
        <v>5.9999999999999997E-7</v>
      </c>
      <c r="S124" s="44">
        <v>5.9999999999999997E-7</v>
      </c>
      <c r="T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 s="44">
        <v>5.9999999999999997E-7</v>
      </c>
      <c r="AH124"/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 s="44">
        <v>5.9999999999999997E-7</v>
      </c>
      <c r="AP124"/>
      <c r="AQ124" s="44">
        <v>5.9999999999999997E-7</v>
      </c>
      <c r="AR124" s="44">
        <v>5.9999999999999997E-7</v>
      </c>
      <c r="AS124" s="44">
        <v>5.9999999999999997E-7</v>
      </c>
      <c r="AT124" s="44">
        <v>5.9999999999999997E-7</v>
      </c>
      <c r="AU124"/>
      <c r="AV124" s="44">
        <v>5.9999999999999997E-7</v>
      </c>
      <c r="AW124"/>
      <c r="AX124"/>
      <c r="AY124" s="44">
        <v>9.9999999999999995E-8</v>
      </c>
    </row>
    <row r="125" spans="1:51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Y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/>
      <c r="N125" s="44">
        <f t="shared" si="12"/>
        <v>8.3333333333333331E-5</v>
      </c>
      <c r="P125" s="44">
        <f t="shared" si="12"/>
        <v>8.3333333333333331E-5</v>
      </c>
      <c r="Q125" s="44"/>
      <c r="R125" s="44">
        <f t="shared" si="12"/>
        <v>8.3333333333333331E-5</v>
      </c>
      <c r="S125" s="44">
        <f t="shared" si="12"/>
        <v>8.3333333333333331E-5</v>
      </c>
      <c r="T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 s="44">
        <f t="shared" si="12"/>
        <v>8.3333333333333331E-5</v>
      </c>
      <c r="AH125"/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 s="44">
        <f t="shared" si="12"/>
        <v>8.3333333333333331E-5</v>
      </c>
      <c r="AP125"/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 s="44">
        <f t="shared" si="12"/>
        <v>8.3333333333333331E-5</v>
      </c>
      <c r="AU125"/>
      <c r="AV125" s="44">
        <f t="shared" si="12"/>
        <v>8.3333333333333331E-5</v>
      </c>
      <c r="AW125"/>
      <c r="AX125"/>
      <c r="AY125" s="44">
        <f t="shared" si="12"/>
        <v>8.3333333333333331E-5</v>
      </c>
    </row>
    <row r="126" spans="1:51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/>
      <c r="N126" s="44" t="s">
        <v>86</v>
      </c>
      <c r="P126" s="44" t="s">
        <v>86</v>
      </c>
      <c r="Q126" s="44"/>
      <c r="R126" s="44" t="s">
        <v>86</v>
      </c>
      <c r="S126" s="44" t="s">
        <v>86</v>
      </c>
      <c r="T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 s="44" t="s">
        <v>86</v>
      </c>
      <c r="AH126"/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44" t="s">
        <v>86</v>
      </c>
      <c r="AO126" s="44" t="s">
        <v>86</v>
      </c>
      <c r="AP126"/>
      <c r="AQ126" s="44" t="s">
        <v>86</v>
      </c>
      <c r="AR126" s="44" t="s">
        <v>86</v>
      </c>
      <c r="AS126" s="44" t="s">
        <v>86</v>
      </c>
      <c r="AT126" s="44" t="s">
        <v>86</v>
      </c>
      <c r="AU126"/>
      <c r="AV126" s="44" t="s">
        <v>86</v>
      </c>
      <c r="AW126"/>
      <c r="AX126"/>
      <c r="AY126" s="44" t="s">
        <v>86</v>
      </c>
    </row>
    <row r="127" spans="1:51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/>
      <c r="N127" s="44">
        <v>5.0000000000000001E-4</v>
      </c>
      <c r="P127" s="44">
        <v>5.0000000000000001E-4</v>
      </c>
      <c r="Q127" s="44"/>
      <c r="R127" s="44">
        <v>5.0000000000000001E-4</v>
      </c>
      <c r="S127" s="44">
        <v>5.0000000000000001E-4</v>
      </c>
      <c r="T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 s="44">
        <v>5.0000000000000001E-4</v>
      </c>
      <c r="AH127"/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 s="44">
        <v>5.0000000000000001E-4</v>
      </c>
      <c r="AP127"/>
      <c r="AQ127" s="44">
        <v>5.0000000000000001E-4</v>
      </c>
      <c r="AR127" s="44">
        <v>5.0000000000000001E-4</v>
      </c>
      <c r="AS127" s="44">
        <v>5.0000000000000001E-4</v>
      </c>
      <c r="AT127" s="44">
        <v>5.0000000000000001E-4</v>
      </c>
      <c r="AU127"/>
      <c r="AV127" s="44">
        <v>5.0000000000000001E-4</v>
      </c>
      <c r="AW127"/>
      <c r="AX127"/>
      <c r="AY127" s="44">
        <v>5.0000000000000001E-4</v>
      </c>
    </row>
    <row r="128" spans="1:51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/>
      <c r="N128" s="44">
        <f>0.0000000000005/100</f>
        <v>5E-15</v>
      </c>
      <c r="P128" s="44">
        <f>0.00000000000003/2/2/2</f>
        <v>3.7499999999999998E-15</v>
      </c>
      <c r="Q128" s="44"/>
      <c r="R128" s="44">
        <v>4.9999999999999999E-13</v>
      </c>
      <c r="S128" s="44">
        <v>4.9999999999999999E-13</v>
      </c>
      <c r="T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 s="44">
        <v>4.9999999999999999E-13</v>
      </c>
      <c r="AH128"/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 s="44">
        <v>4.9999999999999999E-13</v>
      </c>
      <c r="AP128"/>
      <c r="AQ128" s="44">
        <v>4.9999999999999999E-13</v>
      </c>
      <c r="AR128" s="44">
        <v>4.9999999999999999E-13</v>
      </c>
      <c r="AS128" s="44">
        <v>4.9999999999999999E-13</v>
      </c>
      <c r="AT128" s="44">
        <v>4.9999999999999999E-13</v>
      </c>
      <c r="AU128"/>
      <c r="AV128" s="44">
        <v>4.9999999999999999E-13</v>
      </c>
      <c r="AW128"/>
      <c r="AX128"/>
      <c r="AY128" s="44">
        <v>4.9999999999999999E-13</v>
      </c>
    </row>
    <row r="129" spans="1:51" x14ac:dyDescent="0.2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/>
      <c r="N129" s="44">
        <f>0.000005/3600/100</f>
        <v>1.388888888888889E-11</v>
      </c>
      <c r="P129" s="44">
        <f>0.00000000000003/2/2/2</f>
        <v>3.7499999999999998E-15</v>
      </c>
      <c r="Q129" s="44"/>
      <c r="R129" s="44">
        <v>4.9999999999999999E-13</v>
      </c>
      <c r="S129" s="44">
        <v>4.9999999999999999E-13</v>
      </c>
      <c r="T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 s="44">
        <v>4.9999999999999999E-13</v>
      </c>
      <c r="AH129"/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 s="44">
        <v>4.9999999999999999E-13</v>
      </c>
      <c r="AP129"/>
      <c r="AQ129" s="44">
        <v>4.9999999999999999E-13</v>
      </c>
      <c r="AR129" s="44">
        <v>4.9999999999999999E-13</v>
      </c>
      <c r="AS129" s="44">
        <v>4.9999999999999999E-13</v>
      </c>
      <c r="AT129" s="44">
        <v>4.9999999999999999E-13</v>
      </c>
      <c r="AU129"/>
      <c r="AV129" s="44">
        <v>4.9999999999999999E-13</v>
      </c>
      <c r="AW129"/>
      <c r="AX129"/>
      <c r="AY129" s="44">
        <v>4.9999999999999999E-13</v>
      </c>
    </row>
    <row r="130" spans="1:51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/>
      <c r="N130" s="44">
        <v>10</v>
      </c>
      <c r="P130" s="44">
        <v>10</v>
      </c>
      <c r="Q130" s="44"/>
      <c r="R130" s="44">
        <v>10</v>
      </c>
      <c r="S130" s="44">
        <v>10</v>
      </c>
      <c r="T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 s="44">
        <v>10</v>
      </c>
      <c r="AH130"/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 s="44">
        <v>10</v>
      </c>
      <c r="AO130" s="44">
        <v>10</v>
      </c>
      <c r="AP130"/>
      <c r="AQ130" s="44">
        <v>10</v>
      </c>
      <c r="AR130" s="44">
        <v>10</v>
      </c>
      <c r="AS130" s="44">
        <v>10</v>
      </c>
      <c r="AT130" s="44">
        <v>10</v>
      </c>
      <c r="AU130"/>
      <c r="AV130" s="44">
        <v>10</v>
      </c>
      <c r="AW130"/>
      <c r="AX130"/>
      <c r="AY130" s="44">
        <v>10</v>
      </c>
    </row>
    <row r="131" spans="1:51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/>
      <c r="N131" s="44">
        <v>-0.04</v>
      </c>
      <c r="P131" s="44">
        <v>-0.04</v>
      </c>
      <c r="Q131" s="44"/>
      <c r="R131" s="44">
        <v>-0.04</v>
      </c>
      <c r="S131" s="44">
        <v>-0.04</v>
      </c>
      <c r="T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 s="44">
        <v>-0.04</v>
      </c>
      <c r="AH131"/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 s="44">
        <v>-0.04</v>
      </c>
      <c r="AO131" s="44">
        <v>-0.04</v>
      </c>
      <c r="AP131"/>
      <c r="AQ131" s="44">
        <v>-0.04</v>
      </c>
      <c r="AR131" s="44">
        <v>-0.04</v>
      </c>
      <c r="AS131" s="44">
        <v>-0.04</v>
      </c>
      <c r="AT131" s="44">
        <v>-0.04</v>
      </c>
      <c r="AU131"/>
      <c r="AV131" s="44">
        <v>-0.04</v>
      </c>
      <c r="AW131"/>
      <c r="AX131"/>
      <c r="AY131" s="44">
        <v>-0.04</v>
      </c>
    </row>
    <row r="132" spans="1:51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/>
      <c r="N132" s="44">
        <v>2.9</v>
      </c>
      <c r="P132" s="44">
        <v>2.9</v>
      </c>
      <c r="Q132" s="44"/>
      <c r="R132" s="44">
        <v>2.9</v>
      </c>
      <c r="S132" s="44">
        <v>2.9</v>
      </c>
      <c r="T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 s="44">
        <v>2.9</v>
      </c>
      <c r="AH132"/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 s="44">
        <v>2.9</v>
      </c>
      <c r="AO132" s="44">
        <v>2.9</v>
      </c>
      <c r="AP132"/>
      <c r="AQ132" s="44">
        <v>2.9</v>
      </c>
      <c r="AR132" s="44">
        <v>2.9</v>
      </c>
      <c r="AS132" s="44">
        <v>2.9</v>
      </c>
      <c r="AT132" s="44">
        <v>2.9</v>
      </c>
      <c r="AU132"/>
      <c r="AV132" s="44">
        <v>2.9</v>
      </c>
      <c r="AW132"/>
      <c r="AX132"/>
      <c r="AY132" s="44">
        <v>2.9</v>
      </c>
    </row>
    <row r="133" spans="1:51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/>
      <c r="N133" s="44">
        <v>1</v>
      </c>
      <c r="P133" s="44">
        <v>1</v>
      </c>
      <c r="Q133" s="44"/>
      <c r="R133" s="44">
        <v>1</v>
      </c>
      <c r="S133" s="44">
        <v>1</v>
      </c>
      <c r="T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 s="44">
        <v>1</v>
      </c>
      <c r="AH133"/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 s="44">
        <v>1</v>
      </c>
      <c r="AO133" s="44">
        <v>1</v>
      </c>
      <c r="AP133"/>
      <c r="AQ133" s="44">
        <v>1</v>
      </c>
      <c r="AR133" s="44">
        <v>1</v>
      </c>
      <c r="AS133" s="44">
        <v>1</v>
      </c>
      <c r="AT133" s="44">
        <v>1</v>
      </c>
      <c r="AU133"/>
      <c r="AV133" s="44">
        <v>1</v>
      </c>
      <c r="AW133"/>
      <c r="AX133"/>
      <c r="AY133" s="44">
        <v>1</v>
      </c>
    </row>
    <row r="134" spans="1:51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/>
      <c r="N134" s="44">
        <v>1.9999999999999999E-7</v>
      </c>
      <c r="P134" s="44">
        <v>1.9999999999999999E-7</v>
      </c>
      <c r="Q134" s="44"/>
      <c r="R134" s="44">
        <v>1.9999999999999999E-7</v>
      </c>
      <c r="S134" s="44">
        <v>1.9999999999999999E-7</v>
      </c>
      <c r="T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 s="44">
        <v>1.9999999999999999E-7</v>
      </c>
      <c r="AH134"/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 s="44">
        <v>1.9999999999999999E-7</v>
      </c>
      <c r="AP134"/>
      <c r="AQ134" s="44">
        <v>1.9999999999999999E-7</v>
      </c>
      <c r="AR134" s="44">
        <v>1.9999999999999999E-7</v>
      </c>
      <c r="AS134" s="44">
        <v>1.9999999999999999E-7</v>
      </c>
      <c r="AT134" s="44">
        <v>1.9999999999999999E-7</v>
      </c>
      <c r="AU134"/>
      <c r="AV134" s="44">
        <v>1.9999999999999999E-7</v>
      </c>
      <c r="AW134"/>
      <c r="AX134"/>
      <c r="AY134" s="44">
        <v>1.9999999999999999E-7</v>
      </c>
    </row>
    <row r="135" spans="1:51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/>
      <c r="N135" s="55">
        <v>0</v>
      </c>
      <c r="P135" s="55">
        <v>0</v>
      </c>
      <c r="Q135" s="55"/>
      <c r="R135" s="44">
        <v>1.9999999999999999E-7</v>
      </c>
      <c r="S135" s="44">
        <v>1.9999999999999999E-7</v>
      </c>
      <c r="T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 s="44">
        <v>1.9999999999999999E-7</v>
      </c>
      <c r="AH135"/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 s="44">
        <v>1.9999999999999999E-7</v>
      </c>
      <c r="AP135"/>
      <c r="AQ135" s="44">
        <v>1.9999999999999999E-7</v>
      </c>
      <c r="AR135" s="44">
        <v>1.9999999999999999E-7</v>
      </c>
      <c r="AS135" s="44">
        <v>1.9999999999999999E-7</v>
      </c>
      <c r="AT135" s="44">
        <v>1.9999999999999999E-7</v>
      </c>
      <c r="AU135"/>
      <c r="AV135" s="44">
        <v>1.9999999999999999E-7</v>
      </c>
      <c r="AW135"/>
      <c r="AX135"/>
      <c r="AY135" s="44">
        <v>1.9999999999999999E-7</v>
      </c>
    </row>
    <row r="136" spans="1:51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/>
      <c r="N136" s="44">
        <v>10</v>
      </c>
      <c r="P136" s="44">
        <v>10</v>
      </c>
      <c r="Q136" s="44"/>
      <c r="R136" s="44">
        <v>10</v>
      </c>
      <c r="S136" s="44">
        <v>10</v>
      </c>
      <c r="T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 s="44">
        <v>10</v>
      </c>
      <c r="AH136"/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 s="44">
        <v>10</v>
      </c>
      <c r="AO136" s="44">
        <v>10</v>
      </c>
      <c r="AP136"/>
      <c r="AQ136" s="44">
        <v>10</v>
      </c>
      <c r="AR136" s="44">
        <v>10</v>
      </c>
      <c r="AS136" s="44">
        <v>10</v>
      </c>
      <c r="AT136" s="44">
        <v>10</v>
      </c>
      <c r="AU136"/>
      <c r="AV136" s="44">
        <v>10</v>
      </c>
      <c r="AW136"/>
      <c r="AX136"/>
      <c r="AY136" s="44">
        <v>10</v>
      </c>
    </row>
    <row r="137" spans="1:51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/>
      <c r="N137" s="44">
        <v>-0.04</v>
      </c>
      <c r="P137" s="44">
        <v>-0.04</v>
      </c>
      <c r="Q137" s="44"/>
      <c r="R137" s="44">
        <v>-0.04</v>
      </c>
      <c r="S137" s="44">
        <v>-0.04</v>
      </c>
      <c r="T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 s="44">
        <v>-0.04</v>
      </c>
      <c r="AH137"/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 s="44">
        <v>-0.04</v>
      </c>
      <c r="AO137" s="44">
        <v>-0.04</v>
      </c>
      <c r="AP137"/>
      <c r="AQ137" s="44">
        <v>-0.04</v>
      </c>
      <c r="AR137" s="44">
        <v>-0.04</v>
      </c>
      <c r="AS137" s="44">
        <v>-0.04</v>
      </c>
      <c r="AT137" s="44">
        <v>-0.04</v>
      </c>
      <c r="AU137"/>
      <c r="AV137" s="44">
        <v>-0.04</v>
      </c>
      <c r="AW137"/>
      <c r="AX137"/>
      <c r="AY137" s="44">
        <v>-0.04</v>
      </c>
    </row>
    <row r="138" spans="1:51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/>
      <c r="N138" s="44">
        <v>2.9</v>
      </c>
      <c r="P138" s="44">
        <v>2.9</v>
      </c>
      <c r="Q138" s="44"/>
      <c r="R138" s="44">
        <v>2.9</v>
      </c>
      <c r="S138" s="44">
        <v>2.9</v>
      </c>
      <c r="T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 s="44">
        <v>2.9</v>
      </c>
      <c r="AH138"/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 s="44">
        <v>2.9</v>
      </c>
      <c r="AO138" s="44">
        <v>2.9</v>
      </c>
      <c r="AP138"/>
      <c r="AQ138" s="44">
        <v>2.9</v>
      </c>
      <c r="AR138" s="44">
        <v>2.9</v>
      </c>
      <c r="AS138" s="44">
        <v>2.9</v>
      </c>
      <c r="AT138" s="44">
        <v>2.9</v>
      </c>
      <c r="AU138"/>
      <c r="AV138" s="44">
        <v>2.9</v>
      </c>
      <c r="AW138"/>
      <c r="AX138"/>
      <c r="AY138" s="44">
        <v>2.9</v>
      </c>
    </row>
    <row r="139" spans="1:51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/>
      <c r="N139" s="44">
        <v>1</v>
      </c>
      <c r="P139" s="44">
        <v>1</v>
      </c>
      <c r="Q139" s="44"/>
      <c r="R139" s="44">
        <v>1</v>
      </c>
      <c r="S139" s="44">
        <v>1</v>
      </c>
      <c r="T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 s="44">
        <v>1</v>
      </c>
      <c r="AH139"/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 s="44">
        <v>1</v>
      </c>
      <c r="AO139" s="44">
        <v>1</v>
      </c>
      <c r="AP139"/>
      <c r="AQ139" s="44">
        <v>1</v>
      </c>
      <c r="AR139" s="44">
        <v>1</v>
      </c>
      <c r="AS139" s="44">
        <v>1</v>
      </c>
      <c r="AT139" s="44">
        <v>1</v>
      </c>
      <c r="AU139"/>
      <c r="AV139" s="44">
        <v>1</v>
      </c>
      <c r="AW139"/>
      <c r="AX139"/>
      <c r="AY139" s="44">
        <v>1</v>
      </c>
    </row>
    <row r="140" spans="1:51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/>
      <c r="N140" s="44">
        <v>0</v>
      </c>
      <c r="P140" s="44">
        <v>0</v>
      </c>
      <c r="Q140" s="44"/>
      <c r="R140" s="44">
        <v>0</v>
      </c>
      <c r="S140" s="44">
        <v>0</v>
      </c>
      <c r="T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/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 s="44">
        <v>0</v>
      </c>
      <c r="AP140"/>
      <c r="AQ140" s="44">
        <v>0</v>
      </c>
      <c r="AR140" s="44">
        <v>0</v>
      </c>
      <c r="AS140" s="44">
        <v>0</v>
      </c>
      <c r="AT140" s="44">
        <v>0</v>
      </c>
      <c r="AU140"/>
      <c r="AV140" s="44">
        <v>0</v>
      </c>
      <c r="AW140"/>
      <c r="AX140"/>
      <c r="AY140" s="44">
        <v>0</v>
      </c>
    </row>
    <row r="141" spans="1:51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/>
      <c r="N141" s="44">
        <v>5.0000000000000004E-6</v>
      </c>
      <c r="P141" s="44">
        <v>5.0000000000000004E-6</v>
      </c>
      <c r="Q141" s="44"/>
      <c r="R141" s="44">
        <v>5.0000000000000004E-6</v>
      </c>
      <c r="S141" s="44">
        <v>5.0000000000000004E-6</v>
      </c>
      <c r="T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 s="44">
        <v>5.0000000000000004E-6</v>
      </c>
      <c r="AH141"/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 s="44">
        <v>5.0000000000000004E-6</v>
      </c>
      <c r="AP141"/>
      <c r="AQ141" s="44">
        <v>5.0000000000000004E-6</v>
      </c>
      <c r="AR141" s="44">
        <v>5.0000000000000004E-6</v>
      </c>
      <c r="AS141" s="44">
        <v>5.0000000000000004E-6</v>
      </c>
      <c r="AT141" s="44">
        <v>5.0000000000000004E-6</v>
      </c>
      <c r="AU141"/>
      <c r="AV141" s="44">
        <v>5.0000000000000004E-6</v>
      </c>
      <c r="AW141"/>
      <c r="AX141"/>
      <c r="AY141" s="44">
        <v>5.0000000000000004E-6</v>
      </c>
    </row>
    <row r="142" spans="1:51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/>
      <c r="N142" s="44">
        <v>0</v>
      </c>
      <c r="P142" s="44">
        <v>0</v>
      </c>
      <c r="Q142" s="44"/>
      <c r="R142" s="44">
        <v>0</v>
      </c>
      <c r="S142" s="44">
        <v>0</v>
      </c>
      <c r="T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 s="44">
        <v>0</v>
      </c>
      <c r="AH142"/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 s="44">
        <v>0</v>
      </c>
      <c r="AP142"/>
      <c r="AQ142" s="44">
        <v>0</v>
      </c>
      <c r="AR142" s="44">
        <v>0</v>
      </c>
      <c r="AS142" s="44">
        <v>0</v>
      </c>
      <c r="AT142" s="44">
        <v>0</v>
      </c>
      <c r="AU142"/>
      <c r="AV142" s="44">
        <v>0</v>
      </c>
      <c r="AW142"/>
      <c r="AX142"/>
      <c r="AY142" s="44">
        <v>0</v>
      </c>
    </row>
    <row r="143" spans="1:51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/>
      <c r="N143" s="44">
        <v>2E-3</v>
      </c>
      <c r="P143" s="44">
        <v>2E-3</v>
      </c>
      <c r="Q143" s="44"/>
      <c r="R143" s="44">
        <v>2E-3</v>
      </c>
      <c r="S143" s="44">
        <v>2E-3</v>
      </c>
      <c r="T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 s="44">
        <v>2E-3</v>
      </c>
      <c r="AH143"/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 s="44">
        <v>2E-3</v>
      </c>
      <c r="AO143" s="44">
        <v>2E-3</v>
      </c>
      <c r="AP143"/>
      <c r="AQ143" s="44">
        <v>2E-3</v>
      </c>
      <c r="AR143" s="44">
        <v>2E-3</v>
      </c>
      <c r="AS143" s="44">
        <v>2E-3</v>
      </c>
      <c r="AT143" s="44">
        <v>2E-3</v>
      </c>
      <c r="AU143"/>
      <c r="AV143" s="44">
        <v>2E-3</v>
      </c>
      <c r="AW143"/>
      <c r="AX143"/>
      <c r="AY143" s="44">
        <v>2E-3</v>
      </c>
    </row>
    <row r="144" spans="1:51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/>
      <c r="N144" s="44">
        <v>3.9999999999999998E-6</v>
      </c>
      <c r="P144" s="44">
        <v>3.9999999999999998E-6</v>
      </c>
      <c r="Q144" s="44"/>
      <c r="R144" s="44">
        <v>3.9999999999999998E-6</v>
      </c>
      <c r="S144" s="44">
        <v>3.9999999999999998E-6</v>
      </c>
      <c r="T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 s="44">
        <v>3.9999999999999998E-6</v>
      </c>
      <c r="AH144"/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 s="44">
        <v>3.9999999999999998E-6</v>
      </c>
      <c r="AP144"/>
      <c r="AQ144" s="44">
        <v>3.9999999999999998E-6</v>
      </c>
      <c r="AR144" s="44">
        <v>3.9999999999999998E-6</v>
      </c>
      <c r="AS144" s="44">
        <v>3.9999999999999998E-6</v>
      </c>
      <c r="AT144" s="44">
        <v>3.9999999999999998E-6</v>
      </c>
      <c r="AU144"/>
      <c r="AV144" s="44">
        <v>3.9999999999999998E-6</v>
      </c>
      <c r="AW144"/>
      <c r="AX144"/>
      <c r="AY144" s="44">
        <v>3.9999999999999998E-6</v>
      </c>
    </row>
    <row r="145" spans="1:51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/>
      <c r="N145" s="44">
        <v>3.7699999999999999E-10</v>
      </c>
      <c r="P145" s="44">
        <v>3.7699999999999999E-10</v>
      </c>
      <c r="Q145" s="44"/>
      <c r="R145" s="44">
        <v>3.7699999999999999E-10</v>
      </c>
      <c r="S145" s="44">
        <v>3.7699999999999999E-10</v>
      </c>
      <c r="T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 s="44">
        <v>3.7699999999999999E-10</v>
      </c>
      <c r="AH145"/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 s="44">
        <v>3.7699999999999999E-10</v>
      </c>
      <c r="AP145"/>
      <c r="AQ145" s="44">
        <v>3.7699999999999999E-10</v>
      </c>
      <c r="AR145" s="44">
        <v>3.7699999999999999E-10</v>
      </c>
      <c r="AS145" s="44">
        <v>3.7699999999999999E-10</v>
      </c>
      <c r="AT145" s="44">
        <v>3.7699999999999999E-10</v>
      </c>
      <c r="AU145"/>
      <c r="AV145" s="44">
        <v>3.7699999999999999E-10</v>
      </c>
      <c r="AW145"/>
      <c r="AX145"/>
      <c r="AY145" s="44">
        <v>3.7699999999999999E-10</v>
      </c>
    </row>
    <row r="146" spans="1:51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/>
      <c r="N146" s="44">
        <v>20</v>
      </c>
      <c r="P146" s="44">
        <v>20</v>
      </c>
      <c r="Q146" s="44"/>
      <c r="R146" s="44">
        <v>20</v>
      </c>
      <c r="S146" s="44">
        <v>20</v>
      </c>
      <c r="T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 s="44">
        <v>20</v>
      </c>
      <c r="AH146"/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 s="44">
        <v>20</v>
      </c>
      <c r="AO146" s="44">
        <v>20</v>
      </c>
      <c r="AP146"/>
      <c r="AQ146" s="44">
        <v>20</v>
      </c>
      <c r="AR146" s="44">
        <v>20</v>
      </c>
      <c r="AS146" s="44">
        <v>20</v>
      </c>
      <c r="AT146" s="44">
        <v>20</v>
      </c>
      <c r="AU146"/>
      <c r="AV146" s="44">
        <v>20</v>
      </c>
      <c r="AW146"/>
      <c r="AX146"/>
      <c r="AY146" s="44">
        <v>20</v>
      </c>
    </row>
    <row r="147" spans="1:51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/>
      <c r="N147" s="44">
        <v>-0.06</v>
      </c>
      <c r="P147" s="44">
        <v>-0.06</v>
      </c>
      <c r="Q147" s="44"/>
      <c r="R147" s="44">
        <v>-0.06</v>
      </c>
      <c r="S147" s="44">
        <v>-0.06</v>
      </c>
      <c r="T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 s="44">
        <v>-0.06</v>
      </c>
      <c r="AH147"/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 s="44">
        <v>-0.06</v>
      </c>
      <c r="AO147" s="44">
        <v>-0.06</v>
      </c>
      <c r="AP147"/>
      <c r="AQ147" s="44">
        <v>-0.06</v>
      </c>
      <c r="AR147" s="44">
        <v>-0.06</v>
      </c>
      <c r="AS147" s="44">
        <v>-0.06</v>
      </c>
      <c r="AT147" s="44">
        <v>-0.06</v>
      </c>
      <c r="AU147"/>
      <c r="AV147" s="44">
        <v>-0.06</v>
      </c>
      <c r="AW147"/>
      <c r="AX147"/>
      <c r="AY147" s="44">
        <v>-0.06</v>
      </c>
    </row>
    <row r="148" spans="1:51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/>
      <c r="N148" s="44">
        <v>0.89100000000000001</v>
      </c>
      <c r="P148" s="44">
        <v>0.89100000000000001</v>
      </c>
      <c r="Q148" s="44"/>
      <c r="R148" s="44">
        <v>0.89100000000000001</v>
      </c>
      <c r="S148" s="44">
        <v>0.89100000000000001</v>
      </c>
      <c r="T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 s="44">
        <v>0.89100000000000001</v>
      </c>
      <c r="AH148"/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 s="44">
        <v>0.89100000000000001</v>
      </c>
      <c r="AP148"/>
      <c r="AQ148" s="44">
        <v>0.89100000000000001</v>
      </c>
      <c r="AR148" s="44">
        <v>0.89100000000000001</v>
      </c>
      <c r="AS148" s="44">
        <v>0.89100000000000001</v>
      </c>
      <c r="AT148" s="44">
        <v>0.89100000000000001</v>
      </c>
      <c r="AU148"/>
      <c r="AV148" s="44">
        <v>0.89100000000000001</v>
      </c>
      <c r="AW148"/>
      <c r="AX148"/>
      <c r="AY148" s="44">
        <v>0.89100000000000001</v>
      </c>
    </row>
    <row r="149" spans="1:51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/>
      <c r="N149" s="44">
        <v>1</v>
      </c>
      <c r="P149" s="44">
        <v>1</v>
      </c>
      <c r="Q149" s="44"/>
      <c r="R149" s="44">
        <v>1</v>
      </c>
      <c r="S149" s="44">
        <v>1</v>
      </c>
      <c r="T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 s="44">
        <v>1</v>
      </c>
      <c r="AH149"/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 s="44">
        <v>1</v>
      </c>
      <c r="AO149" s="44">
        <v>1</v>
      </c>
      <c r="AP149"/>
      <c r="AQ149" s="44">
        <v>1</v>
      </c>
      <c r="AR149" s="44">
        <v>1</v>
      </c>
      <c r="AS149" s="44">
        <v>1</v>
      </c>
      <c r="AT149" s="44">
        <v>1</v>
      </c>
      <c r="AU149"/>
      <c r="AV149" s="44">
        <v>1</v>
      </c>
      <c r="AW149"/>
      <c r="AX149"/>
      <c r="AY149" s="44">
        <v>1</v>
      </c>
    </row>
    <row r="150" spans="1:51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/>
      <c r="N150" s="44">
        <v>4.0000000000000003E-5</v>
      </c>
      <c r="P150" s="44">
        <v>4.0000000000000003E-5</v>
      </c>
      <c r="Q150" s="44"/>
      <c r="R150" s="44">
        <v>4.0000000000000003E-5</v>
      </c>
      <c r="S150" s="44">
        <v>4.0000000000000003E-5</v>
      </c>
      <c r="T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 s="44">
        <v>4.0000000000000003E-5</v>
      </c>
      <c r="AH150"/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 s="44">
        <v>4.0000000000000003E-5</v>
      </c>
      <c r="AP150"/>
      <c r="AQ150" s="44">
        <v>4.0000000000000003E-5</v>
      </c>
      <c r="AR150" s="44">
        <v>4.0000000000000003E-5</v>
      </c>
      <c r="AS150" s="44">
        <v>4.0000000000000003E-5</v>
      </c>
      <c r="AT150" s="44">
        <v>4.0000000000000003E-5</v>
      </c>
      <c r="AU150"/>
      <c r="AV150" s="44">
        <v>4.0000000000000003E-5</v>
      </c>
      <c r="AW150"/>
      <c r="AX150"/>
      <c r="AY150" s="44">
        <v>4.0000000000000003E-5</v>
      </c>
    </row>
    <row r="151" spans="1:51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/>
      <c r="N151" s="44">
        <v>5.8333333333333335E-9</v>
      </c>
      <c r="P151" s="44">
        <v>5.8333333333333335E-9</v>
      </c>
      <c r="Q151" s="44"/>
      <c r="R151" s="44">
        <v>5.8333333333333335E-9</v>
      </c>
      <c r="S151" s="44">
        <v>5.8333333333333335E-9</v>
      </c>
      <c r="T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 s="44">
        <v>5.8333333333333335E-9</v>
      </c>
      <c r="AH151"/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 s="44">
        <v>5.8333333333333335E-9</v>
      </c>
      <c r="AP151"/>
      <c r="AQ151" s="44">
        <v>5.8333333333333335E-9</v>
      </c>
      <c r="AR151" s="44">
        <v>5.8333333333333335E-9</v>
      </c>
      <c r="AS151" s="44">
        <v>5.8333333333333335E-9</v>
      </c>
      <c r="AT151" s="44">
        <v>5.8333333333333335E-9</v>
      </c>
      <c r="AU151"/>
      <c r="AV151" s="44">
        <v>5.8333333333333335E-9</v>
      </c>
      <c r="AW151"/>
      <c r="AX151"/>
      <c r="AY151" s="44">
        <v>5.8333333333333335E-9</v>
      </c>
    </row>
    <row r="152" spans="1:51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/>
      <c r="N152" s="44">
        <v>20</v>
      </c>
      <c r="P152" s="44">
        <v>20</v>
      </c>
      <c r="Q152" s="44"/>
      <c r="R152" s="44">
        <v>20</v>
      </c>
      <c r="S152" s="44">
        <v>20</v>
      </c>
      <c r="T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 s="44">
        <v>20</v>
      </c>
      <c r="AH152"/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 s="44">
        <v>20</v>
      </c>
      <c r="AO152" s="44">
        <v>20</v>
      </c>
      <c r="AP152"/>
      <c r="AQ152" s="44">
        <v>20</v>
      </c>
      <c r="AR152" s="44">
        <v>20</v>
      </c>
      <c r="AS152" s="44">
        <v>20</v>
      </c>
      <c r="AT152" s="44">
        <v>20</v>
      </c>
      <c r="AU152"/>
      <c r="AV152" s="44">
        <v>20</v>
      </c>
      <c r="AW152"/>
      <c r="AX152"/>
      <c r="AY152" s="44">
        <v>20</v>
      </c>
    </row>
    <row r="153" spans="1:51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/>
      <c r="N153" s="44">
        <v>-0.06</v>
      </c>
      <c r="P153" s="44">
        <v>-0.06</v>
      </c>
      <c r="Q153" s="44"/>
      <c r="R153" s="44">
        <v>-0.06</v>
      </c>
      <c r="S153" s="44">
        <v>-0.06</v>
      </c>
      <c r="T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 s="44">
        <v>-0.06</v>
      </c>
      <c r="AH153"/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 s="44">
        <v>-0.06</v>
      </c>
      <c r="AO153" s="44">
        <v>-0.06</v>
      </c>
      <c r="AP153"/>
      <c r="AQ153" s="44">
        <v>-0.06</v>
      </c>
      <c r="AR153" s="44">
        <v>-0.06</v>
      </c>
      <c r="AS153" s="44">
        <v>-0.06</v>
      </c>
      <c r="AT153" s="44">
        <v>-0.06</v>
      </c>
      <c r="AU153"/>
      <c r="AV153" s="44">
        <v>-0.06</v>
      </c>
      <c r="AW153"/>
      <c r="AX153"/>
      <c r="AY153" s="44">
        <v>-0.06</v>
      </c>
    </row>
    <row r="154" spans="1:51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/>
      <c r="N154" s="44">
        <v>0.89100000000000001</v>
      </c>
      <c r="P154" s="44">
        <v>0.89100000000000001</v>
      </c>
      <c r="Q154" s="44"/>
      <c r="R154" s="44">
        <v>0.89100000000000001</v>
      </c>
      <c r="S154" s="44">
        <v>0.89100000000000001</v>
      </c>
      <c r="T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 s="44">
        <v>0.89100000000000001</v>
      </c>
      <c r="AH154"/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 s="44">
        <v>0.89100000000000001</v>
      </c>
      <c r="AP154"/>
      <c r="AQ154" s="44">
        <v>0.89100000000000001</v>
      </c>
      <c r="AR154" s="44">
        <v>0.89100000000000001</v>
      </c>
      <c r="AS154" s="44">
        <v>0.89100000000000001</v>
      </c>
      <c r="AT154" s="44">
        <v>0.89100000000000001</v>
      </c>
      <c r="AU154"/>
      <c r="AV154" s="44">
        <v>0.89100000000000001</v>
      </c>
      <c r="AW154"/>
      <c r="AX154"/>
      <c r="AY154" s="44">
        <v>0.89100000000000001</v>
      </c>
    </row>
    <row r="155" spans="1:51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/>
      <c r="N155" s="44">
        <v>1</v>
      </c>
      <c r="P155" s="44">
        <v>1</v>
      </c>
      <c r="Q155" s="44"/>
      <c r="R155" s="44">
        <v>1</v>
      </c>
      <c r="S155" s="44">
        <v>1</v>
      </c>
      <c r="T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 s="44">
        <v>1</v>
      </c>
      <c r="AH155"/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 s="44">
        <v>1</v>
      </c>
      <c r="AO155" s="44">
        <v>1</v>
      </c>
      <c r="AP155"/>
      <c r="AQ155" s="44">
        <v>1</v>
      </c>
      <c r="AR155" s="44">
        <v>1</v>
      </c>
      <c r="AS155" s="44">
        <v>1</v>
      </c>
      <c r="AT155" s="44">
        <v>1</v>
      </c>
      <c r="AU155"/>
      <c r="AV155" s="44">
        <v>1</v>
      </c>
      <c r="AW155"/>
      <c r="AX155"/>
      <c r="AY155" s="44">
        <v>1</v>
      </c>
    </row>
    <row r="156" spans="1:51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/>
      <c r="N156" s="44">
        <v>4.0000000000000003E-5</v>
      </c>
      <c r="P156" s="44">
        <v>4.0000000000000003E-5</v>
      </c>
      <c r="Q156" s="44"/>
      <c r="R156" s="44">
        <v>4.0000000000000003E-5</v>
      </c>
      <c r="S156" s="44">
        <v>4.0000000000000003E-5</v>
      </c>
      <c r="T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 s="44">
        <v>4.0000000000000003E-5</v>
      </c>
      <c r="AH156"/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 s="44">
        <v>4.0000000000000003E-5</v>
      </c>
      <c r="AP156"/>
      <c r="AQ156" s="44">
        <v>4.0000000000000003E-5</v>
      </c>
      <c r="AR156" s="44">
        <v>4.0000000000000003E-5</v>
      </c>
      <c r="AS156" s="44">
        <v>4.0000000000000003E-5</v>
      </c>
      <c r="AT156" s="44">
        <v>4.0000000000000003E-5</v>
      </c>
      <c r="AU156"/>
      <c r="AV156" s="44">
        <v>4.0000000000000003E-5</v>
      </c>
      <c r="AW156"/>
      <c r="AX156"/>
      <c r="AY156" s="44">
        <v>4.0000000000000003E-5</v>
      </c>
    </row>
    <row r="157" spans="1:51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/>
      <c r="N157" s="44">
        <v>4.0000000000000001E-8</v>
      </c>
      <c r="P157" s="44">
        <v>4.0000000000000001E-8</v>
      </c>
      <c r="Q157" s="44"/>
      <c r="R157" s="44">
        <v>4.0000000000000001E-8</v>
      </c>
      <c r="S157" s="44">
        <v>4.0000000000000001E-8</v>
      </c>
      <c r="T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 s="44">
        <v>4.0000000000000001E-8</v>
      </c>
      <c r="AH157"/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 s="44">
        <v>4.0000000000000001E-8</v>
      </c>
      <c r="AP157"/>
      <c r="AQ157" s="44">
        <v>4.0000000000000001E-8</v>
      </c>
      <c r="AR157" s="44">
        <v>4.0000000000000001E-8</v>
      </c>
      <c r="AS157" s="44">
        <v>4.0000000000000001E-8</v>
      </c>
      <c r="AT157" s="44">
        <v>4.0000000000000001E-8</v>
      </c>
      <c r="AU157"/>
      <c r="AV157" s="44">
        <v>4.0000000000000001E-8</v>
      </c>
      <c r="AW157"/>
      <c r="AX157"/>
      <c r="AY157" s="44">
        <v>4.0000000000000001E-8</v>
      </c>
    </row>
    <row r="158" spans="1:51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/>
      <c r="N158" s="44">
        <v>20</v>
      </c>
      <c r="P158" s="44">
        <v>20</v>
      </c>
      <c r="Q158" s="44"/>
      <c r="R158" s="44">
        <v>20</v>
      </c>
      <c r="S158" s="44">
        <v>20</v>
      </c>
      <c r="T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 s="44">
        <v>20</v>
      </c>
      <c r="AH158"/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 s="44">
        <v>20</v>
      </c>
      <c r="AO158" s="44">
        <v>20</v>
      </c>
      <c r="AP158"/>
      <c r="AQ158" s="44">
        <v>20</v>
      </c>
      <c r="AR158" s="44">
        <v>20</v>
      </c>
      <c r="AS158" s="44">
        <v>20</v>
      </c>
      <c r="AT158" s="44">
        <v>20</v>
      </c>
      <c r="AU158"/>
      <c r="AV158" s="44">
        <v>20</v>
      </c>
      <c r="AW158"/>
      <c r="AX158"/>
      <c r="AY158" s="44">
        <v>20</v>
      </c>
    </row>
    <row r="159" spans="1:51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/>
      <c r="N159" s="44">
        <v>-4.4200000000000003E-2</v>
      </c>
      <c r="P159" s="44">
        <v>-4.4200000000000003E-2</v>
      </c>
      <c r="Q159" s="44"/>
      <c r="R159" s="44">
        <v>-4.4200000000000003E-2</v>
      </c>
      <c r="S159" s="44">
        <v>-4.4200000000000003E-2</v>
      </c>
      <c r="T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 s="44">
        <v>-4.4200000000000003E-2</v>
      </c>
      <c r="AH159"/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 s="44">
        <v>-4.4200000000000003E-2</v>
      </c>
      <c r="AP159"/>
      <c r="AQ159" s="44">
        <v>-4.4200000000000003E-2</v>
      </c>
      <c r="AR159" s="44">
        <v>-4.4200000000000003E-2</v>
      </c>
      <c r="AS159" s="44">
        <v>-4.4200000000000003E-2</v>
      </c>
      <c r="AT159" s="44">
        <v>-4.4200000000000003E-2</v>
      </c>
      <c r="AU159"/>
      <c r="AV159" s="44">
        <v>-4.4200000000000003E-2</v>
      </c>
      <c r="AW159"/>
      <c r="AX159"/>
      <c r="AY159" s="44">
        <v>-4.4200000000000003E-2</v>
      </c>
    </row>
    <row r="160" spans="1:51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/>
      <c r="N160" s="44">
        <v>1.55</v>
      </c>
      <c r="P160" s="44">
        <v>1.55</v>
      </c>
      <c r="Q160" s="44"/>
      <c r="R160" s="44">
        <v>1.55</v>
      </c>
      <c r="S160" s="44">
        <v>1.55</v>
      </c>
      <c r="T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 s="44">
        <v>1.55</v>
      </c>
      <c r="AH160"/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 s="44">
        <v>1.55</v>
      </c>
      <c r="AO160" s="44">
        <v>1.55</v>
      </c>
      <c r="AP160"/>
      <c r="AQ160" s="44">
        <v>1.55</v>
      </c>
      <c r="AR160" s="44">
        <v>1.55</v>
      </c>
      <c r="AS160" s="44">
        <v>1.55</v>
      </c>
      <c r="AT160" s="44">
        <v>1.55</v>
      </c>
      <c r="AU160"/>
      <c r="AV160" s="44">
        <v>1.55</v>
      </c>
      <c r="AW160"/>
      <c r="AX160"/>
      <c r="AY160" s="44">
        <v>1.55</v>
      </c>
    </row>
    <row r="161" spans="1:51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/>
      <c r="N161" s="44">
        <v>1</v>
      </c>
      <c r="P161" s="44">
        <v>1</v>
      </c>
      <c r="Q161" s="44"/>
      <c r="R161" s="44">
        <v>1</v>
      </c>
      <c r="S161" s="44">
        <v>1</v>
      </c>
      <c r="T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 s="44">
        <v>1</v>
      </c>
      <c r="AH161"/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 s="44">
        <v>1</v>
      </c>
      <c r="AO161" s="44">
        <v>1</v>
      </c>
      <c r="AP161"/>
      <c r="AQ161" s="44">
        <v>1</v>
      </c>
      <c r="AR161" s="44">
        <v>1</v>
      </c>
      <c r="AS161" s="44">
        <v>1</v>
      </c>
      <c r="AT161" s="44">
        <v>1</v>
      </c>
      <c r="AU161"/>
      <c r="AV161" s="44">
        <v>1</v>
      </c>
      <c r="AW161"/>
      <c r="AX161"/>
      <c r="AY161" s="44">
        <v>1</v>
      </c>
    </row>
    <row r="162" spans="1:51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/>
      <c r="N162" s="44">
        <v>2.7799999999999998E-4</v>
      </c>
      <c r="P162" s="44">
        <v>2.7799999999999998E-4</v>
      </c>
      <c r="Q162" s="44"/>
      <c r="R162" s="44">
        <v>2.7799999999999998E-4</v>
      </c>
      <c r="S162" s="44">
        <v>2.7799999999999998E-4</v>
      </c>
      <c r="T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 s="44">
        <v>2.7799999999999998E-4</v>
      </c>
      <c r="AH162"/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 s="44">
        <v>2.7799999999999998E-4</v>
      </c>
      <c r="AP162"/>
      <c r="AQ162" s="44">
        <v>2.7799999999999998E-4</v>
      </c>
      <c r="AR162" s="44">
        <v>2.7799999999999998E-4</v>
      </c>
      <c r="AS162" s="44">
        <v>2.7799999999999998E-4</v>
      </c>
      <c r="AT162" s="44">
        <v>2.7799999999999998E-4</v>
      </c>
      <c r="AU162"/>
      <c r="AV162" s="44">
        <v>2.7799999999999998E-4</v>
      </c>
      <c r="AW162"/>
      <c r="AX162"/>
      <c r="AY162" s="44">
        <v>2.7799999999999998E-4</v>
      </c>
    </row>
    <row r="163" spans="1:51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/>
      <c r="N163" s="44">
        <f>0.0000000000025/5</f>
        <v>4.9999999999999999E-13</v>
      </c>
      <c r="O163" s="1" t="s">
        <v>605</v>
      </c>
      <c r="P163" s="44">
        <v>2.4999999999999998E-12</v>
      </c>
      <c r="Q163" s="44"/>
      <c r="R163" s="44">
        <v>2.4999999999999998E-12</v>
      </c>
      <c r="S163" s="44">
        <v>2.4999999999999998E-12</v>
      </c>
      <c r="T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 s="44">
        <v>2.4999999999999998E-12</v>
      </c>
      <c r="AH163"/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 s="44">
        <v>2.4999999999999998E-12</v>
      </c>
      <c r="AP163"/>
      <c r="AQ163" s="44">
        <v>2.4999999999999998E-12</v>
      </c>
      <c r="AR163" s="44">
        <v>2.4999999999999998E-12</v>
      </c>
      <c r="AS163" s="44">
        <v>2.4999999999999998E-12</v>
      </c>
      <c r="AT163" s="44">
        <v>2.4999999999999998E-12</v>
      </c>
      <c r="AU163"/>
      <c r="AV163" s="44">
        <v>2.4999999999999998E-12</v>
      </c>
      <c r="AW163"/>
      <c r="AX163"/>
      <c r="AY163" s="44">
        <v>2.4999999999999998E-12</v>
      </c>
    </row>
    <row r="164" spans="1:51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/>
      <c r="N164" s="44">
        <v>20</v>
      </c>
      <c r="P164" s="44">
        <v>20</v>
      </c>
      <c r="Q164" s="44"/>
      <c r="R164" s="44">
        <v>20</v>
      </c>
      <c r="S164" s="44">
        <v>20</v>
      </c>
      <c r="T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 s="44">
        <v>20</v>
      </c>
      <c r="AH164"/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 s="44">
        <v>20</v>
      </c>
      <c r="AO164" s="44">
        <v>20</v>
      </c>
      <c r="AP164"/>
      <c r="AQ164" s="44">
        <v>20</v>
      </c>
      <c r="AR164" s="44">
        <v>20</v>
      </c>
      <c r="AS164" s="44">
        <v>20</v>
      </c>
      <c r="AT164" s="44">
        <v>20</v>
      </c>
      <c r="AU164"/>
      <c r="AV164" s="44">
        <v>20</v>
      </c>
      <c r="AW164"/>
      <c r="AX164"/>
      <c r="AY164" s="44">
        <v>20</v>
      </c>
    </row>
    <row r="165" spans="1:51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/>
      <c r="N165" s="44">
        <v>0</v>
      </c>
      <c r="P165" s="44">
        <v>0</v>
      </c>
      <c r="Q165" s="44"/>
      <c r="R165" s="44">
        <v>0</v>
      </c>
      <c r="S165" s="44">
        <v>0</v>
      </c>
      <c r="T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/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 s="44">
        <v>0</v>
      </c>
      <c r="AP165"/>
      <c r="AQ165" s="44">
        <v>0</v>
      </c>
      <c r="AR165" s="44">
        <v>0</v>
      </c>
      <c r="AS165" s="44">
        <v>0</v>
      </c>
      <c r="AT165" s="44">
        <v>0</v>
      </c>
      <c r="AU165"/>
      <c r="AV165" s="44">
        <v>0</v>
      </c>
      <c r="AW165"/>
      <c r="AX165"/>
      <c r="AY165" s="44">
        <v>0</v>
      </c>
    </row>
    <row r="166" spans="1:51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/>
      <c r="N166" s="44">
        <v>1</v>
      </c>
      <c r="P166" s="44">
        <v>1</v>
      </c>
      <c r="Q166" s="44"/>
      <c r="R166" s="44">
        <v>1</v>
      </c>
      <c r="S166" s="44">
        <v>1</v>
      </c>
      <c r="T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 s="44">
        <v>1</v>
      </c>
      <c r="AH166"/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 s="44">
        <v>1</v>
      </c>
      <c r="AO166" s="44">
        <v>1</v>
      </c>
      <c r="AP166"/>
      <c r="AQ166" s="44">
        <v>1</v>
      </c>
      <c r="AR166" s="44">
        <v>1</v>
      </c>
      <c r="AS166" s="44">
        <v>1</v>
      </c>
      <c r="AT166" s="44">
        <v>1</v>
      </c>
      <c r="AU166"/>
      <c r="AV166" s="44">
        <v>1</v>
      </c>
      <c r="AW166"/>
      <c r="AX166"/>
      <c r="AY166" s="44">
        <v>1</v>
      </c>
    </row>
    <row r="167" spans="1:51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/>
      <c r="N167" s="44">
        <v>0</v>
      </c>
      <c r="P167" s="44">
        <v>0</v>
      </c>
      <c r="Q167" s="44"/>
      <c r="R167" s="44">
        <v>0</v>
      </c>
      <c r="S167" s="44">
        <v>0</v>
      </c>
      <c r="T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 s="44">
        <v>0</v>
      </c>
      <c r="AH167"/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 s="44">
        <v>0</v>
      </c>
      <c r="AO167" s="44">
        <v>0</v>
      </c>
      <c r="AP167"/>
      <c r="AQ167" s="44">
        <v>0</v>
      </c>
      <c r="AR167" s="44">
        <v>0</v>
      </c>
      <c r="AS167" s="44">
        <v>0</v>
      </c>
      <c r="AT167" s="44">
        <v>0</v>
      </c>
      <c r="AU167"/>
      <c r="AV167" s="44">
        <v>0</v>
      </c>
      <c r="AW167"/>
      <c r="AX167"/>
      <c r="AY167" s="44">
        <v>0</v>
      </c>
    </row>
    <row r="168" spans="1:51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/>
      <c r="N168" s="44">
        <v>0.4</v>
      </c>
      <c r="P168" s="44">
        <v>0.4</v>
      </c>
      <c r="Q168" s="44"/>
      <c r="R168" s="44">
        <v>0.4</v>
      </c>
      <c r="S168" s="44">
        <v>0.4</v>
      </c>
      <c r="T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 s="44">
        <v>0.4</v>
      </c>
      <c r="AH168"/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 s="44">
        <v>0.4</v>
      </c>
      <c r="AO168" s="44">
        <v>0.4</v>
      </c>
      <c r="AP168"/>
      <c r="AQ168" s="44">
        <v>0.4</v>
      </c>
      <c r="AR168" s="44">
        <v>0.4</v>
      </c>
      <c r="AS168" s="44">
        <v>0.4</v>
      </c>
      <c r="AT168" s="44">
        <v>0.4</v>
      </c>
      <c r="AU168"/>
      <c r="AV168" s="44">
        <v>0.4</v>
      </c>
      <c r="AW168"/>
      <c r="AX168"/>
      <c r="AY168" s="44">
        <v>0.4</v>
      </c>
    </row>
    <row r="169" spans="1:51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/>
      <c r="N169" s="44">
        <v>2.0000000000000001E-9</v>
      </c>
      <c r="P169" s="44">
        <v>2.0000000000000001E-9</v>
      </c>
      <c r="Q169" s="44"/>
      <c r="R169" s="44">
        <v>2.0000000000000001E-9</v>
      </c>
      <c r="S169" s="44">
        <v>2.0000000000000001E-9</v>
      </c>
      <c r="T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 s="44">
        <v>2.0000000000000001E-9</v>
      </c>
      <c r="AH169"/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 s="44">
        <v>2.0000000000000001E-9</v>
      </c>
      <c r="AP169"/>
      <c r="AQ169" s="44">
        <v>2.0000000000000001E-9</v>
      </c>
      <c r="AR169" s="44">
        <v>2.0000000000000001E-9</v>
      </c>
      <c r="AS169" s="44">
        <v>2.0000000000000001E-9</v>
      </c>
      <c r="AT169" s="44">
        <v>2.0000000000000001E-9</v>
      </c>
      <c r="AU169"/>
      <c r="AV169" s="44">
        <v>2.0000000000000001E-9</v>
      </c>
      <c r="AW169"/>
      <c r="AX169"/>
      <c r="AY169" s="44">
        <v>2.0000000000000001E-9</v>
      </c>
    </row>
    <row r="170" spans="1:51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/>
      <c r="N170" s="44">
        <v>25</v>
      </c>
      <c r="P170" s="44">
        <v>25</v>
      </c>
      <c r="Q170" s="44"/>
      <c r="R170" s="44">
        <v>25</v>
      </c>
      <c r="S170" s="44">
        <v>25</v>
      </c>
      <c r="T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 s="44">
        <v>25</v>
      </c>
      <c r="AH170"/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 s="44">
        <v>25</v>
      </c>
      <c r="AO170" s="44">
        <v>25</v>
      </c>
      <c r="AP170"/>
      <c r="AQ170" s="44">
        <v>25</v>
      </c>
      <c r="AR170" s="44">
        <v>25</v>
      </c>
      <c r="AS170" s="44">
        <v>25</v>
      </c>
      <c r="AT170" s="44">
        <v>25</v>
      </c>
      <c r="AU170"/>
      <c r="AV170" s="44">
        <v>25</v>
      </c>
      <c r="AW170"/>
      <c r="AX170"/>
      <c r="AY170" s="44">
        <v>25</v>
      </c>
    </row>
    <row r="171" spans="1:51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/>
      <c r="N171" s="44">
        <v>0</v>
      </c>
      <c r="P171" s="44">
        <v>0</v>
      </c>
      <c r="Q171" s="44"/>
      <c r="R171" s="44">
        <v>0</v>
      </c>
      <c r="S171" s="44">
        <v>0</v>
      </c>
      <c r="T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 s="44">
        <v>0</v>
      </c>
      <c r="AH171"/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 s="44">
        <v>0</v>
      </c>
      <c r="AO171" s="44">
        <v>0</v>
      </c>
      <c r="AP171"/>
      <c r="AQ171" s="44">
        <v>0</v>
      </c>
      <c r="AR171" s="44">
        <v>0</v>
      </c>
      <c r="AS171" s="44">
        <v>0</v>
      </c>
      <c r="AT171" s="44">
        <v>0</v>
      </c>
      <c r="AU171"/>
      <c r="AV171" s="44">
        <v>0</v>
      </c>
      <c r="AW171"/>
      <c r="AX171"/>
      <c r="AY171" s="44">
        <v>0</v>
      </c>
    </row>
    <row r="172" spans="1:51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/>
      <c r="N172" s="44">
        <v>3.98</v>
      </c>
      <c r="P172" s="44">
        <v>3.98</v>
      </c>
      <c r="Q172" s="44"/>
      <c r="R172" s="44">
        <v>3.98</v>
      </c>
      <c r="S172" s="44">
        <v>3.98</v>
      </c>
      <c r="T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 s="44">
        <v>3.98</v>
      </c>
      <c r="AH172"/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 s="44">
        <v>3.98</v>
      </c>
      <c r="AO172" s="44">
        <v>3.98</v>
      </c>
      <c r="AP172"/>
      <c r="AQ172" s="44">
        <v>3.98</v>
      </c>
      <c r="AR172" s="44">
        <v>3.98</v>
      </c>
      <c r="AS172" s="44">
        <v>3.98</v>
      </c>
      <c r="AT172" s="44">
        <v>3.98</v>
      </c>
      <c r="AU172"/>
      <c r="AV172" s="44">
        <v>3.98</v>
      </c>
      <c r="AW172"/>
      <c r="AX172"/>
      <c r="AY172" s="44">
        <v>3.98</v>
      </c>
    </row>
    <row r="173" spans="1:51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/>
      <c r="N173" s="44">
        <v>1</v>
      </c>
      <c r="P173" s="44">
        <v>1</v>
      </c>
      <c r="Q173" s="44"/>
      <c r="R173" s="44">
        <v>1</v>
      </c>
      <c r="S173" s="44">
        <v>1</v>
      </c>
      <c r="T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 s="44">
        <v>1</v>
      </c>
      <c r="AH173"/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 s="44">
        <v>1</v>
      </c>
      <c r="AO173" s="44">
        <v>1</v>
      </c>
      <c r="AP173"/>
      <c r="AQ173" s="44">
        <v>1</v>
      </c>
      <c r="AR173" s="44">
        <v>1</v>
      </c>
      <c r="AS173" s="44">
        <v>1</v>
      </c>
      <c r="AT173" s="44">
        <v>1</v>
      </c>
      <c r="AU173"/>
      <c r="AV173" s="44">
        <v>1</v>
      </c>
      <c r="AW173"/>
      <c r="AX173"/>
      <c r="AY173" s="44">
        <v>1</v>
      </c>
    </row>
    <row r="174" spans="1:51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/>
      <c r="N174" s="44">
        <v>1.6666666666666666E-4</v>
      </c>
      <c r="P174" s="44">
        <v>1.6666666666666666E-4</v>
      </c>
      <c r="Q174" s="44"/>
      <c r="R174" s="44">
        <v>1.6666666666666666E-4</v>
      </c>
      <c r="S174" s="44">
        <v>1.6666666666666666E-4</v>
      </c>
      <c r="T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 s="44">
        <v>1.6666666666666666E-4</v>
      </c>
      <c r="AH174"/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 s="44">
        <v>1.6666666666666666E-4</v>
      </c>
      <c r="AP174"/>
      <c r="AQ174" s="44">
        <v>1.6666666666666666E-4</v>
      </c>
      <c r="AR174" s="44">
        <v>1.6666666666666666E-4</v>
      </c>
      <c r="AS174" s="44">
        <v>1.6666666666666666E-4</v>
      </c>
      <c r="AT174" s="44">
        <v>1.6666666666666666E-4</v>
      </c>
      <c r="AU174"/>
      <c r="AV174" s="44">
        <v>1.6666666666666666E-4</v>
      </c>
      <c r="AW174"/>
      <c r="AX174"/>
      <c r="AY174" s="44">
        <v>1.6666666666666666E-4</v>
      </c>
    </row>
    <row r="175" spans="1:51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/>
      <c r="N175" s="44">
        <v>1E-8</v>
      </c>
      <c r="P175" s="44">
        <v>1E-8</v>
      </c>
      <c r="Q175" s="44"/>
      <c r="R175" s="44">
        <v>1E-8</v>
      </c>
      <c r="S175" s="44">
        <v>1E-8</v>
      </c>
      <c r="T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 s="44">
        <v>1E-8</v>
      </c>
      <c r="AH175"/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 s="44">
        <v>1E-8</v>
      </c>
      <c r="AO175" s="44">
        <v>1E-8</v>
      </c>
      <c r="AP175"/>
      <c r="AQ175" s="44">
        <v>1E-8</v>
      </c>
      <c r="AR175" s="44">
        <v>1E-8</v>
      </c>
      <c r="AS175" s="44">
        <v>1E-8</v>
      </c>
      <c r="AT175" s="44">
        <v>1E-8</v>
      </c>
      <c r="AU175"/>
      <c r="AV175" s="44">
        <v>1E-8</v>
      </c>
      <c r="AW175"/>
      <c r="AX175"/>
      <c r="AY175" s="44">
        <v>1E-8</v>
      </c>
    </row>
    <row r="176" spans="1:51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/>
      <c r="N176" s="44">
        <v>20</v>
      </c>
      <c r="P176" s="44">
        <v>20</v>
      </c>
      <c r="Q176" s="44"/>
      <c r="R176" s="44">
        <v>20</v>
      </c>
      <c r="S176" s="44">
        <v>20</v>
      </c>
      <c r="T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 s="44">
        <v>20</v>
      </c>
      <c r="AH176"/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 s="44">
        <v>20</v>
      </c>
      <c r="AO176" s="44">
        <v>20</v>
      </c>
      <c r="AP176"/>
      <c r="AQ176" s="44">
        <v>20</v>
      </c>
      <c r="AR176" s="44">
        <v>20</v>
      </c>
      <c r="AS176" s="44">
        <v>20</v>
      </c>
      <c r="AT176" s="44">
        <v>20</v>
      </c>
      <c r="AU176"/>
      <c r="AV176" s="44">
        <v>20</v>
      </c>
      <c r="AW176"/>
      <c r="AX176"/>
      <c r="AY176" s="44">
        <v>20</v>
      </c>
    </row>
    <row r="177" spans="1:51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/>
      <c r="N177" s="44">
        <v>0</v>
      </c>
      <c r="P177" s="44">
        <v>0</v>
      </c>
      <c r="Q177" s="44"/>
      <c r="R177" s="44">
        <v>0</v>
      </c>
      <c r="S177" s="44">
        <v>0</v>
      </c>
      <c r="T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 s="44">
        <v>0</v>
      </c>
      <c r="AH177"/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 s="44">
        <v>0</v>
      </c>
      <c r="AO177" s="44">
        <v>0</v>
      </c>
      <c r="AP177"/>
      <c r="AQ177" s="44">
        <v>0</v>
      </c>
      <c r="AR177" s="44">
        <v>0</v>
      </c>
      <c r="AS177" s="44">
        <v>0</v>
      </c>
      <c r="AT177" s="44">
        <v>0</v>
      </c>
      <c r="AU177"/>
      <c r="AV177" s="44">
        <v>0</v>
      </c>
      <c r="AW177"/>
      <c r="AX177"/>
      <c r="AY177" s="44">
        <v>0</v>
      </c>
    </row>
    <row r="178" spans="1:51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/>
      <c r="N178" s="44">
        <v>2</v>
      </c>
      <c r="P178" s="44">
        <v>2</v>
      </c>
      <c r="Q178" s="44"/>
      <c r="R178" s="44">
        <v>2</v>
      </c>
      <c r="S178" s="44">
        <v>2</v>
      </c>
      <c r="T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 s="44">
        <v>2</v>
      </c>
      <c r="AH178"/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 s="44">
        <v>2</v>
      </c>
      <c r="AO178" s="44">
        <v>2</v>
      </c>
      <c r="AP178"/>
      <c r="AQ178" s="44">
        <v>2</v>
      </c>
      <c r="AR178" s="44">
        <v>2</v>
      </c>
      <c r="AS178" s="44">
        <v>2</v>
      </c>
      <c r="AT178" s="44">
        <v>2</v>
      </c>
      <c r="AU178"/>
      <c r="AV178" s="44">
        <v>2</v>
      </c>
      <c r="AW178"/>
      <c r="AX178"/>
      <c r="AY178" s="44">
        <v>2</v>
      </c>
    </row>
    <row r="179" spans="1:51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/>
      <c r="N179" s="44">
        <v>1</v>
      </c>
      <c r="P179" s="44">
        <v>1</v>
      </c>
      <c r="Q179" s="44"/>
      <c r="R179" s="44">
        <v>1</v>
      </c>
      <c r="S179" s="44">
        <v>1</v>
      </c>
      <c r="T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/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 s="44">
        <v>1</v>
      </c>
      <c r="AP179"/>
      <c r="AQ179" s="44">
        <v>1</v>
      </c>
      <c r="AR179" s="44">
        <v>1</v>
      </c>
      <c r="AS179" s="44">
        <v>1</v>
      </c>
      <c r="AT179" s="44">
        <v>1</v>
      </c>
      <c r="AU179"/>
      <c r="AV179" s="44">
        <v>1</v>
      </c>
      <c r="AW179"/>
      <c r="AX179"/>
      <c r="AY179" s="44">
        <v>1</v>
      </c>
    </row>
    <row r="180" spans="1:51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/>
      <c r="N180" s="44">
        <v>8.3333333333333331E-5</v>
      </c>
      <c r="P180" s="44">
        <v>8.3333333333333331E-5</v>
      </c>
      <c r="Q180" s="44"/>
      <c r="R180" s="44">
        <v>8.3333333333333331E-5</v>
      </c>
      <c r="S180" s="44">
        <v>8.3333333333333331E-5</v>
      </c>
      <c r="T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 s="44">
        <v>8.3333333333333331E-5</v>
      </c>
      <c r="AH180"/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 s="44">
        <v>8.3333333333333331E-5</v>
      </c>
      <c r="AP180"/>
      <c r="AQ180" s="44">
        <v>8.3333333333333331E-5</v>
      </c>
      <c r="AR180" s="44">
        <v>8.3333333333333331E-5</v>
      </c>
      <c r="AS180" s="44">
        <v>8.3333333333333331E-5</v>
      </c>
      <c r="AT180" s="44">
        <v>8.3333333333333331E-5</v>
      </c>
      <c r="AU180"/>
      <c r="AV180" s="44">
        <v>8.3333333333333331E-5</v>
      </c>
      <c r="AW180"/>
      <c r="AX180"/>
      <c r="AY180" s="44">
        <v>8.3333333333333331E-5</v>
      </c>
    </row>
    <row r="181" spans="1:51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/>
      <c r="N181" s="44">
        <v>1</v>
      </c>
      <c r="P181" s="44">
        <v>1</v>
      </c>
      <c r="Q181" s="44"/>
      <c r="R181" s="44">
        <v>1</v>
      </c>
      <c r="S181" s="44">
        <v>1</v>
      </c>
      <c r="T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 s="44">
        <v>1</v>
      </c>
      <c r="AH181"/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 s="44">
        <v>1</v>
      </c>
      <c r="AO181" s="44">
        <v>1</v>
      </c>
      <c r="AP181"/>
      <c r="AQ181" s="44">
        <v>1</v>
      </c>
      <c r="AR181" s="44">
        <v>1</v>
      </c>
      <c r="AS181" s="44">
        <v>1</v>
      </c>
      <c r="AT181" s="44">
        <v>1</v>
      </c>
      <c r="AU181"/>
      <c r="AV181" s="44">
        <v>1</v>
      </c>
      <c r="AW181"/>
      <c r="AX181"/>
      <c r="AY181" s="44">
        <v>1</v>
      </c>
    </row>
    <row r="182" spans="1:51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/>
      <c r="N182" s="44">
        <v>2.3533050791148899E-8</v>
      </c>
      <c r="P182" s="44">
        <v>2.3533050791148899E-8</v>
      </c>
      <c r="Q182" s="44"/>
      <c r="R182" s="44">
        <v>2.3533050791148899E-8</v>
      </c>
      <c r="S182" s="44">
        <v>2.3533050791148899E-8</v>
      </c>
      <c r="T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 s="44">
        <v>2.3533050791148899E-8</v>
      </c>
      <c r="AH182"/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 s="44">
        <v>2.3533050791148899E-8</v>
      </c>
      <c r="AP182"/>
      <c r="AQ182" s="44">
        <v>2.3533050791148899E-8</v>
      </c>
      <c r="AR182" s="44">
        <v>2.3533050791148899E-8</v>
      </c>
      <c r="AS182" s="44">
        <v>2.3533050791148899E-8</v>
      </c>
      <c r="AT182" s="44">
        <v>2.3533050791148899E-8</v>
      </c>
      <c r="AU182"/>
      <c r="AV182" s="44">
        <v>2.3533050791148899E-8</v>
      </c>
      <c r="AW182"/>
      <c r="AX182"/>
      <c r="AY182" s="44">
        <v>2.3533050791148899E-8</v>
      </c>
    </row>
    <row r="183" spans="1:51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/>
      <c r="N183" s="44">
        <v>20</v>
      </c>
      <c r="P183" s="44">
        <v>20</v>
      </c>
      <c r="Q183" s="44"/>
      <c r="R183" s="44">
        <v>20</v>
      </c>
      <c r="S183" s="44">
        <v>20</v>
      </c>
      <c r="T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 s="44">
        <v>20</v>
      </c>
      <c r="AH183"/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 s="44">
        <v>20</v>
      </c>
      <c r="AO183" s="44">
        <v>20</v>
      </c>
      <c r="AP183"/>
      <c r="AQ183" s="44">
        <v>20</v>
      </c>
      <c r="AR183" s="44">
        <v>20</v>
      </c>
      <c r="AS183" s="44">
        <v>20</v>
      </c>
      <c r="AT183" s="44">
        <v>20</v>
      </c>
      <c r="AU183"/>
      <c r="AV183" s="44">
        <v>20</v>
      </c>
      <c r="AW183"/>
      <c r="AX183"/>
      <c r="AY183" s="44">
        <v>20</v>
      </c>
    </row>
    <row r="184" spans="1:51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/>
      <c r="N184" s="44">
        <v>-0.187</v>
      </c>
      <c r="P184" s="44">
        <v>-0.187</v>
      </c>
      <c r="Q184" s="44"/>
      <c r="R184" s="44">
        <v>-0.187</v>
      </c>
      <c r="S184" s="44">
        <v>-0.187</v>
      </c>
      <c r="T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 s="44">
        <v>-0.187</v>
      </c>
      <c r="AH184"/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 s="44">
        <v>-0.187</v>
      </c>
      <c r="AO184" s="44">
        <v>-0.187</v>
      </c>
      <c r="AP184"/>
      <c r="AQ184" s="44">
        <v>-0.187</v>
      </c>
      <c r="AR184" s="44">
        <v>-0.187</v>
      </c>
      <c r="AS184" s="44">
        <v>-0.187</v>
      </c>
      <c r="AT184" s="44">
        <v>-0.187</v>
      </c>
      <c r="AU184"/>
      <c r="AV184" s="44">
        <v>-0.187</v>
      </c>
      <c r="AW184"/>
      <c r="AX184"/>
      <c r="AY184" s="44">
        <v>-0.187</v>
      </c>
    </row>
    <row r="185" spans="1:51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/>
      <c r="N185" s="44">
        <v>2.48</v>
      </c>
      <c r="P185" s="44">
        <v>2.48</v>
      </c>
      <c r="Q185" s="44"/>
      <c r="R185" s="44">
        <v>2.48</v>
      </c>
      <c r="S185" s="44">
        <v>2.48</v>
      </c>
      <c r="T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 s="44">
        <v>2.48</v>
      </c>
      <c r="AH185"/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 s="44">
        <v>2.48</v>
      </c>
      <c r="AO185" s="44">
        <v>2.48</v>
      </c>
      <c r="AP185"/>
      <c r="AQ185" s="44">
        <v>2.48</v>
      </c>
      <c r="AR185" s="44">
        <v>2.48</v>
      </c>
      <c r="AS185" s="44">
        <v>2.48</v>
      </c>
      <c r="AT185" s="44">
        <v>2.48</v>
      </c>
      <c r="AU185"/>
      <c r="AV185" s="44">
        <v>2.48</v>
      </c>
      <c r="AW185"/>
      <c r="AX185"/>
      <c r="AY185" s="44">
        <v>2.48</v>
      </c>
    </row>
    <row r="186" spans="1:51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/>
      <c r="N186" s="44">
        <v>1</v>
      </c>
      <c r="P186" s="44">
        <v>1</v>
      </c>
      <c r="Q186" s="44"/>
      <c r="R186" s="44">
        <v>1</v>
      </c>
      <c r="S186" s="44">
        <v>1</v>
      </c>
      <c r="T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 s="44">
        <v>1</v>
      </c>
      <c r="AH186"/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 s="44">
        <v>1</v>
      </c>
      <c r="AO186" s="44">
        <v>1</v>
      </c>
      <c r="AP186"/>
      <c r="AQ186" s="44">
        <v>1</v>
      </c>
      <c r="AR186" s="44">
        <v>1</v>
      </c>
      <c r="AS186" s="44">
        <v>1</v>
      </c>
      <c r="AT186" s="44">
        <v>1</v>
      </c>
      <c r="AU186"/>
      <c r="AV186" s="44">
        <v>1</v>
      </c>
      <c r="AW186"/>
      <c r="AX186"/>
      <c r="AY186" s="44">
        <v>1</v>
      </c>
    </row>
    <row r="187" spans="1:51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/>
      <c r="N187" s="44">
        <v>6.1060227588121015E-4</v>
      </c>
      <c r="P187" s="44">
        <v>6.1060227588121015E-4</v>
      </c>
      <c r="Q187" s="44"/>
      <c r="R187" s="44">
        <v>6.1060227588121015E-4</v>
      </c>
      <c r="S187" s="44">
        <v>6.1060227588121015E-4</v>
      </c>
      <c r="T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 s="44">
        <v>6.1060227588121015E-4</v>
      </c>
      <c r="AH187"/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 s="44">
        <v>6.1060227588121015E-4</v>
      </c>
      <c r="AP187"/>
      <c r="AQ187" s="44">
        <v>6.1060227588121015E-4</v>
      </c>
      <c r="AR187" s="44">
        <v>6.1060227588121015E-4</v>
      </c>
      <c r="AS187" s="44">
        <v>6.1060227588121015E-4</v>
      </c>
      <c r="AT187" s="44">
        <v>6.1060227588121015E-4</v>
      </c>
      <c r="AU187"/>
      <c r="AV187" s="44">
        <v>6.1060227588121015E-4</v>
      </c>
      <c r="AW187"/>
      <c r="AX187"/>
      <c r="AY187" s="44">
        <v>6.1060227588121015E-4</v>
      </c>
    </row>
    <row r="188" spans="1:51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/>
      <c r="N188" s="44">
        <v>3.9999999999999998E-7</v>
      </c>
      <c r="P188" s="44">
        <v>3.9999999999999998E-7</v>
      </c>
      <c r="Q188" s="44"/>
      <c r="R188" s="44">
        <v>3.9999999999999998E-7</v>
      </c>
      <c r="S188" s="44">
        <v>3.9999999999999998E-7</v>
      </c>
      <c r="T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 s="44">
        <v>3.9999999999999998E-7</v>
      </c>
      <c r="AH188"/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 s="44">
        <v>3.9999999999999998E-7</v>
      </c>
      <c r="AP188"/>
      <c r="AQ188" s="44">
        <v>3.9999999999999998E-7</v>
      </c>
      <c r="AR188" s="44">
        <v>3.9999999999999998E-7</v>
      </c>
      <c r="AS188" s="44">
        <v>3.9999999999999998E-7</v>
      </c>
      <c r="AT188" s="44">
        <v>3.9999999999999998E-7</v>
      </c>
      <c r="AU188"/>
      <c r="AV188" s="44">
        <v>3.9999999999999998E-7</v>
      </c>
      <c r="AW188"/>
      <c r="AX188"/>
      <c r="AY188" s="44">
        <v>3.9999999999999998E-7</v>
      </c>
    </row>
    <row r="189" spans="1:51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/>
      <c r="N189" s="44">
        <v>25</v>
      </c>
      <c r="P189" s="44">
        <v>25</v>
      </c>
      <c r="Q189" s="44"/>
      <c r="R189" s="44">
        <v>25</v>
      </c>
      <c r="S189" s="44">
        <v>25</v>
      </c>
      <c r="T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 s="44">
        <v>25</v>
      </c>
      <c r="AH189"/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 s="44">
        <v>25</v>
      </c>
      <c r="AO189" s="44">
        <v>25</v>
      </c>
      <c r="AP189"/>
      <c r="AQ189" s="44">
        <v>25</v>
      </c>
      <c r="AR189" s="44">
        <v>25</v>
      </c>
      <c r="AS189" s="44">
        <v>25</v>
      </c>
      <c r="AT189" s="44">
        <v>25</v>
      </c>
      <c r="AU189"/>
      <c r="AV189" s="44">
        <v>25</v>
      </c>
      <c r="AW189"/>
      <c r="AX189"/>
      <c r="AY189" s="44">
        <v>25</v>
      </c>
    </row>
    <row r="190" spans="1:51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/>
      <c r="N190" s="44">
        <v>0</v>
      </c>
      <c r="P190" s="44">
        <v>0</v>
      </c>
      <c r="Q190" s="44"/>
      <c r="R190" s="44">
        <v>0</v>
      </c>
      <c r="S190" s="44">
        <v>0</v>
      </c>
      <c r="T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 s="44">
        <v>0</v>
      </c>
      <c r="AH190"/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 s="44">
        <v>0</v>
      </c>
      <c r="AO190" s="44">
        <v>0</v>
      </c>
      <c r="AP190"/>
      <c r="AQ190" s="44">
        <v>0</v>
      </c>
      <c r="AR190" s="44">
        <v>0</v>
      </c>
      <c r="AS190" s="44">
        <v>0</v>
      </c>
      <c r="AT190" s="44">
        <v>0</v>
      </c>
      <c r="AU190"/>
      <c r="AV190" s="44">
        <v>0</v>
      </c>
      <c r="AW190"/>
      <c r="AX190"/>
      <c r="AY190" s="44">
        <v>0</v>
      </c>
    </row>
    <row r="191" spans="1:51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/>
      <c r="N191" s="44">
        <v>3.98</v>
      </c>
      <c r="P191" s="44">
        <v>3.98</v>
      </c>
      <c r="Q191" s="44"/>
      <c r="R191" s="44">
        <v>3.98</v>
      </c>
      <c r="S191" s="44">
        <v>3.98</v>
      </c>
      <c r="T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 s="44">
        <v>3.98</v>
      </c>
      <c r="AH191"/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 s="44">
        <v>3.98</v>
      </c>
      <c r="AO191" s="44">
        <v>3.98</v>
      </c>
      <c r="AP191"/>
      <c r="AQ191" s="44">
        <v>3.98</v>
      </c>
      <c r="AR191" s="44">
        <v>3.98</v>
      </c>
      <c r="AS191" s="44">
        <v>3.98</v>
      </c>
      <c r="AT191" s="44">
        <v>3.98</v>
      </c>
      <c r="AU191"/>
      <c r="AV191" s="44">
        <v>3.98</v>
      </c>
      <c r="AW191"/>
      <c r="AX191"/>
      <c r="AY191" s="44">
        <v>3.98</v>
      </c>
    </row>
    <row r="192" spans="1:51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/>
      <c r="N192" s="44">
        <v>1</v>
      </c>
      <c r="P192" s="44">
        <v>1</v>
      </c>
      <c r="Q192" s="44"/>
      <c r="R192" s="44">
        <v>1</v>
      </c>
      <c r="S192" s="44">
        <v>1</v>
      </c>
      <c r="T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 s="44">
        <v>1</v>
      </c>
      <c r="AH192"/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 s="44">
        <v>1</v>
      </c>
      <c r="AO192" s="44">
        <v>1</v>
      </c>
      <c r="AP192"/>
      <c r="AQ192" s="44">
        <v>1</v>
      </c>
      <c r="AR192" s="44">
        <v>1</v>
      </c>
      <c r="AS192" s="44">
        <v>1</v>
      </c>
      <c r="AT192" s="44">
        <v>1</v>
      </c>
      <c r="AU192"/>
      <c r="AV192" s="44">
        <v>1</v>
      </c>
      <c r="AW192"/>
      <c r="AX192"/>
      <c r="AY192" s="44">
        <v>1</v>
      </c>
    </row>
    <row r="193" spans="1:59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/>
      <c r="N193" s="44">
        <v>8.3333333333333331E-5</v>
      </c>
      <c r="P193" s="44">
        <v>8.3333333333333331E-5</v>
      </c>
      <c r="Q193" s="44"/>
      <c r="R193" s="44">
        <v>8.3333333333333331E-5</v>
      </c>
      <c r="S193" s="44">
        <v>8.3333333333333331E-5</v>
      </c>
      <c r="T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 s="44">
        <v>8.3333333333333331E-5</v>
      </c>
      <c r="AH193"/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 s="44">
        <v>8.3333333333333331E-5</v>
      </c>
      <c r="AP193"/>
      <c r="AQ193" s="44">
        <v>8.3333333333333331E-5</v>
      </c>
      <c r="AR193" s="44">
        <v>8.3333333333333331E-5</v>
      </c>
      <c r="AS193" s="44">
        <v>8.3333333333333331E-5</v>
      </c>
      <c r="AT193" s="44">
        <v>8.3333333333333331E-5</v>
      </c>
      <c r="AU193"/>
      <c r="AV193" s="44">
        <v>8.3333333333333331E-5</v>
      </c>
      <c r="AW193"/>
      <c r="AX193"/>
      <c r="AY193" s="44">
        <v>8.3333333333333331E-5</v>
      </c>
    </row>
    <row r="194" spans="1:59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/>
      <c r="N194" s="44">
        <v>3.9999999999999998E-7</v>
      </c>
      <c r="P194" s="44">
        <v>3.9999999999999998E-7</v>
      </c>
      <c r="Q194" s="44"/>
      <c r="R194" s="44">
        <v>3.9999999999999998E-7</v>
      </c>
      <c r="S194" s="44">
        <v>3.9999999999999998E-7</v>
      </c>
      <c r="T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 s="44">
        <v>3.9999999999999998E-7</v>
      </c>
      <c r="AH194"/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 s="44">
        <v>3.9999999999999998E-7</v>
      </c>
      <c r="AP194"/>
      <c r="AQ194" s="44">
        <v>3.9999999999999998E-7</v>
      </c>
      <c r="AR194" s="44">
        <v>3.9999999999999998E-7</v>
      </c>
      <c r="AS194" s="44">
        <v>3.9999999999999998E-7</v>
      </c>
      <c r="AT194" s="44">
        <v>3.9999999999999998E-7</v>
      </c>
      <c r="AU194"/>
      <c r="AV194" s="44">
        <v>3.9999999999999998E-7</v>
      </c>
      <c r="AW194"/>
      <c r="AX194"/>
      <c r="AY194" s="44">
        <v>3.9999999999999998E-7</v>
      </c>
    </row>
    <row r="195" spans="1:59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/>
      <c r="N195" s="44">
        <v>25</v>
      </c>
      <c r="P195" s="44">
        <v>25</v>
      </c>
      <c r="Q195" s="44"/>
      <c r="R195" s="44">
        <v>25</v>
      </c>
      <c r="S195" s="44">
        <v>25</v>
      </c>
      <c r="T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 s="44">
        <v>25</v>
      </c>
      <c r="AH195"/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 s="44">
        <v>25</v>
      </c>
      <c r="AO195" s="44">
        <v>25</v>
      </c>
      <c r="AP195"/>
      <c r="AQ195" s="44">
        <v>25</v>
      </c>
      <c r="AR195" s="44">
        <v>25</v>
      </c>
      <c r="AS195" s="44">
        <v>25</v>
      </c>
      <c r="AT195" s="44">
        <v>25</v>
      </c>
      <c r="AU195"/>
      <c r="AV195" s="44">
        <v>25</v>
      </c>
      <c r="AW195"/>
      <c r="AX195"/>
      <c r="AY195" s="44">
        <v>25</v>
      </c>
    </row>
    <row r="196" spans="1:59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/>
      <c r="N196" s="44">
        <v>0</v>
      </c>
      <c r="P196" s="44">
        <v>0</v>
      </c>
      <c r="Q196" s="44"/>
      <c r="R196" s="44">
        <v>0</v>
      </c>
      <c r="S196" s="44">
        <v>0</v>
      </c>
      <c r="T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 s="44">
        <v>0</v>
      </c>
      <c r="AH196"/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 s="44">
        <v>0</v>
      </c>
      <c r="AO196" s="44">
        <v>0</v>
      </c>
      <c r="AP196"/>
      <c r="AQ196" s="44">
        <v>0</v>
      </c>
      <c r="AR196" s="44">
        <v>0</v>
      </c>
      <c r="AS196" s="44">
        <v>0</v>
      </c>
      <c r="AT196" s="44">
        <v>0</v>
      </c>
      <c r="AU196"/>
      <c r="AV196" s="44">
        <v>0</v>
      </c>
      <c r="AW196"/>
      <c r="AX196"/>
      <c r="AY196" s="44">
        <v>0</v>
      </c>
    </row>
    <row r="197" spans="1:59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/>
      <c r="N197" s="44">
        <v>3.98</v>
      </c>
      <c r="P197" s="44">
        <v>3.98</v>
      </c>
      <c r="Q197" s="44"/>
      <c r="R197" s="44">
        <v>3.98</v>
      </c>
      <c r="S197" s="44">
        <v>3.98</v>
      </c>
      <c r="T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 s="44">
        <v>3.98</v>
      </c>
      <c r="AH197"/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 s="44">
        <v>3.98</v>
      </c>
      <c r="AO197" s="44">
        <v>3.98</v>
      </c>
      <c r="AP197"/>
      <c r="AQ197" s="44">
        <v>3.98</v>
      </c>
      <c r="AR197" s="44">
        <v>3.98</v>
      </c>
      <c r="AS197" s="44">
        <v>3.98</v>
      </c>
      <c r="AT197" s="44">
        <v>3.98</v>
      </c>
      <c r="AU197"/>
      <c r="AV197" s="44">
        <v>3.98</v>
      </c>
      <c r="AW197"/>
      <c r="AX197"/>
      <c r="AY197" s="44">
        <v>3.98</v>
      </c>
    </row>
    <row r="198" spans="1:59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/>
      <c r="N198" s="44">
        <v>1</v>
      </c>
      <c r="P198" s="44">
        <v>1</v>
      </c>
      <c r="Q198" s="44"/>
      <c r="R198" s="44">
        <v>1</v>
      </c>
      <c r="S198" s="44">
        <v>1</v>
      </c>
      <c r="T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 s="44">
        <v>1</v>
      </c>
      <c r="AH198"/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 s="44">
        <v>1</v>
      </c>
      <c r="AO198" s="44">
        <v>1</v>
      </c>
      <c r="AP198"/>
      <c r="AQ198" s="44">
        <v>1</v>
      </c>
      <c r="AR198" s="44">
        <v>1</v>
      </c>
      <c r="AS198" s="44">
        <v>1</v>
      </c>
      <c r="AT198" s="44">
        <v>1</v>
      </c>
      <c r="AU198"/>
      <c r="AV198" s="44">
        <v>1</v>
      </c>
      <c r="AW198"/>
      <c r="AX198"/>
      <c r="AY198" s="44">
        <v>1</v>
      </c>
    </row>
    <row r="199" spans="1:59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/>
      <c r="N199" s="44">
        <v>8.3333333333333331E-5</v>
      </c>
      <c r="P199" s="44">
        <v>8.3333333333333331E-5</v>
      </c>
      <c r="Q199" s="44"/>
      <c r="R199" s="44">
        <v>8.3333333333333331E-5</v>
      </c>
      <c r="S199" s="44">
        <v>8.3333333333333331E-5</v>
      </c>
      <c r="T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 s="44">
        <v>8.3333333333333331E-5</v>
      </c>
      <c r="AH199"/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 s="44">
        <v>8.3333333333333331E-5</v>
      </c>
      <c r="AP199"/>
      <c r="AQ199" s="44">
        <v>8.3333333333333331E-5</v>
      </c>
      <c r="AR199" s="44">
        <v>8.3333333333333331E-5</v>
      </c>
      <c r="AS199" s="44">
        <v>8.3333333333333331E-5</v>
      </c>
      <c r="AT199" s="44">
        <v>8.3333333333333331E-5</v>
      </c>
      <c r="AU199"/>
      <c r="AV199" s="44">
        <v>8.3333333333333331E-5</v>
      </c>
      <c r="AW199"/>
      <c r="AX199"/>
      <c r="AY199" s="44">
        <v>8.3333333333333331E-5</v>
      </c>
    </row>
    <row r="200" spans="1:59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/>
      <c r="N200" s="44">
        <v>1.9999999999999999E-7</v>
      </c>
      <c r="P200" s="44">
        <v>1.9999999999999999E-7</v>
      </c>
      <c r="Q200" s="44"/>
      <c r="R200" s="44">
        <v>1.9999999999999999E-7</v>
      </c>
      <c r="S200" s="44">
        <v>1.9999999999999999E-7</v>
      </c>
      <c r="T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 s="44">
        <v>1.9999999999999999E-7</v>
      </c>
      <c r="AH200"/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 s="44">
        <v>1.9999999999999999E-7</v>
      </c>
      <c r="AP200"/>
      <c r="AQ200" s="44">
        <v>1.9999999999999999E-7</v>
      </c>
      <c r="AR200" s="44">
        <v>1.9999999999999999E-7</v>
      </c>
      <c r="AS200" s="44">
        <v>1.9999999999999999E-7</v>
      </c>
      <c r="AT200" s="44">
        <v>1.9999999999999999E-7</v>
      </c>
      <c r="AU200"/>
      <c r="AV200" s="44">
        <v>1.9999999999999999E-7</v>
      </c>
      <c r="AW200"/>
      <c r="AX200"/>
      <c r="AY200" s="44">
        <v>1.9999999999999999E-7</v>
      </c>
    </row>
    <row r="201" spans="1:59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/>
      <c r="N201" s="44">
        <v>25</v>
      </c>
      <c r="P201" s="44">
        <v>25</v>
      </c>
      <c r="Q201" s="44"/>
      <c r="R201" s="44">
        <v>25</v>
      </c>
      <c r="S201" s="44">
        <v>25</v>
      </c>
      <c r="T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 s="44">
        <v>25</v>
      </c>
      <c r="AH201"/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 s="44">
        <v>25</v>
      </c>
      <c r="AO201" s="44">
        <v>25</v>
      </c>
      <c r="AP201"/>
      <c r="AQ201" s="44">
        <v>25</v>
      </c>
      <c r="AR201" s="44">
        <v>25</v>
      </c>
      <c r="AS201" s="44">
        <v>25</v>
      </c>
      <c r="AT201" s="44">
        <v>25</v>
      </c>
      <c r="AU201"/>
      <c r="AV201" s="44">
        <v>25</v>
      </c>
      <c r="AW201"/>
      <c r="AX201"/>
      <c r="AY201" s="44">
        <v>25</v>
      </c>
    </row>
    <row r="202" spans="1:59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/>
      <c r="N202" s="44">
        <v>0</v>
      </c>
      <c r="P202" s="44">
        <v>0</v>
      </c>
      <c r="Q202" s="44"/>
      <c r="R202" s="44">
        <v>0</v>
      </c>
      <c r="S202" s="44">
        <v>0</v>
      </c>
      <c r="T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 s="44">
        <v>0</v>
      </c>
      <c r="AH202"/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 s="44">
        <v>0</v>
      </c>
      <c r="AO202" s="44">
        <v>0</v>
      </c>
      <c r="AP202"/>
      <c r="AQ202" s="44">
        <v>0</v>
      </c>
      <c r="AR202" s="44">
        <v>0</v>
      </c>
      <c r="AS202" s="44">
        <v>0</v>
      </c>
      <c r="AT202" s="44">
        <v>0</v>
      </c>
      <c r="AU202"/>
      <c r="AV202" s="44">
        <v>0</v>
      </c>
      <c r="AW202"/>
      <c r="AX202"/>
      <c r="AY202" s="44">
        <v>0</v>
      </c>
    </row>
    <row r="203" spans="1:59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/>
      <c r="N203" s="44">
        <v>3.98</v>
      </c>
      <c r="P203" s="44">
        <v>3.98</v>
      </c>
      <c r="Q203" s="44"/>
      <c r="R203" s="44">
        <v>3.98</v>
      </c>
      <c r="S203" s="44">
        <v>3.98</v>
      </c>
      <c r="T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 s="44">
        <v>3.98</v>
      </c>
      <c r="AH203"/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 s="44">
        <v>3.98</v>
      </c>
      <c r="AO203" s="44">
        <v>3.98</v>
      </c>
      <c r="AP203"/>
      <c r="AQ203" s="44">
        <v>3.98</v>
      </c>
      <c r="AR203" s="44">
        <v>3.98</v>
      </c>
      <c r="AS203" s="44">
        <v>3.98</v>
      </c>
      <c r="AT203" s="44">
        <v>3.98</v>
      </c>
      <c r="AU203"/>
      <c r="AV203" s="44">
        <v>3.98</v>
      </c>
      <c r="AW203"/>
      <c r="AX203"/>
      <c r="AY203" s="44">
        <v>3.98</v>
      </c>
    </row>
    <row r="204" spans="1:59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/>
      <c r="N204" s="44">
        <v>1</v>
      </c>
      <c r="P204" s="44">
        <v>1</v>
      </c>
      <c r="Q204" s="44"/>
      <c r="R204" s="44">
        <v>1</v>
      </c>
      <c r="S204" s="44">
        <v>1</v>
      </c>
      <c r="T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 s="44">
        <v>1</v>
      </c>
      <c r="AH204"/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 s="44">
        <v>1</v>
      </c>
      <c r="AO204" s="44">
        <v>1</v>
      </c>
      <c r="AP204"/>
      <c r="AQ204" s="44">
        <v>1</v>
      </c>
      <c r="AR204" s="44">
        <v>1</v>
      </c>
      <c r="AS204" s="44">
        <v>1</v>
      </c>
      <c r="AT204" s="44">
        <v>1</v>
      </c>
      <c r="AU204"/>
      <c r="AV204" s="44">
        <v>1</v>
      </c>
      <c r="AW204"/>
      <c r="AX204"/>
      <c r="AY204" s="44">
        <v>1</v>
      </c>
    </row>
    <row r="205" spans="1:59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/>
      <c r="N205" s="44">
        <v>8.3333333333333331E-5</v>
      </c>
      <c r="P205" s="44">
        <v>8.3333333333333331E-5</v>
      </c>
      <c r="Q205" s="44"/>
      <c r="R205" s="44">
        <v>8.3333333333333331E-5</v>
      </c>
      <c r="S205" s="44">
        <v>8.3333333333333331E-5</v>
      </c>
      <c r="T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 s="44">
        <v>8.3333333333333331E-5</v>
      </c>
      <c r="AH205"/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 s="44">
        <v>8.3333333333333331E-5</v>
      </c>
      <c r="AP205"/>
      <c r="AQ205" s="44">
        <v>8.3333333333333331E-5</v>
      </c>
      <c r="AR205" s="44">
        <v>8.3333333333333331E-5</v>
      </c>
      <c r="AS205" s="44">
        <v>8.3333333333333331E-5</v>
      </c>
      <c r="AT205" s="44">
        <v>8.3333333333333331E-5</v>
      </c>
      <c r="AU205"/>
      <c r="AV205" s="44">
        <v>8.3333333333333331E-5</v>
      </c>
      <c r="AW205"/>
      <c r="AX205"/>
      <c r="AY205" s="44">
        <v>8.3333333333333331E-5</v>
      </c>
    </row>
    <row r="206" spans="1:59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/>
      <c r="N206" s="44" t="s">
        <v>89</v>
      </c>
      <c r="P206" s="44" t="s">
        <v>89</v>
      </c>
      <c r="Q206" s="44"/>
      <c r="R206" s="44" t="s">
        <v>89</v>
      </c>
      <c r="S206" s="44" t="s">
        <v>89</v>
      </c>
      <c r="T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 s="44" t="s">
        <v>89</v>
      </c>
      <c r="AH206"/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 s="44" t="s">
        <v>89</v>
      </c>
      <c r="AO206" s="44" t="s">
        <v>89</v>
      </c>
      <c r="AP206"/>
      <c r="AQ206" s="44" t="s">
        <v>89</v>
      </c>
      <c r="AR206" s="44" t="s">
        <v>89</v>
      </c>
      <c r="AS206" s="44" t="s">
        <v>89</v>
      </c>
      <c r="AT206" s="44" t="s">
        <v>89</v>
      </c>
      <c r="AU206"/>
      <c r="AV206" s="44" t="s">
        <v>89</v>
      </c>
      <c r="AW206"/>
      <c r="AX206"/>
      <c r="AY206" s="44" t="s">
        <v>89</v>
      </c>
    </row>
    <row r="207" spans="1:59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/>
      <c r="N207" s="44">
        <f>0.0000005*0.4285*10/2.028*4</f>
        <v>4.2258382642998024E-6</v>
      </c>
      <c r="P207" s="44">
        <f>0.0000005*0.4285*10/2.028*4</f>
        <v>4.2258382642998024E-6</v>
      </c>
      <c r="Q207" s="44"/>
      <c r="R207" s="44">
        <f t="shared" ref="R207:AY207" si="13">0.00002</f>
        <v>2.0000000000000002E-5</v>
      </c>
      <c r="S207" s="44">
        <f t="shared" si="13"/>
        <v>2.0000000000000002E-5</v>
      </c>
      <c r="T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 s="44">
        <f t="shared" si="13"/>
        <v>2.0000000000000002E-5</v>
      </c>
      <c r="AH207"/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 s="44">
        <f t="shared" si="13"/>
        <v>2.0000000000000002E-5</v>
      </c>
      <c r="AP207"/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 s="44">
        <f t="shared" si="13"/>
        <v>2.0000000000000002E-5</v>
      </c>
      <c r="AU207"/>
      <c r="AV207" s="44">
        <f t="shared" si="13"/>
        <v>2.0000000000000002E-5</v>
      </c>
      <c r="AW207"/>
      <c r="AX207"/>
      <c r="AY207" s="44">
        <f t="shared" si="13"/>
        <v>2.0000000000000002E-5</v>
      </c>
      <c r="AZ207" s="1"/>
      <c r="BA207" s="1"/>
      <c r="BB207" s="1"/>
      <c r="BC207" s="1"/>
      <c r="BD207" s="1"/>
      <c r="BE207" s="1"/>
      <c r="BF207" s="1"/>
      <c r="BG207" s="1"/>
    </row>
    <row r="208" spans="1:59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/>
      <c r="N208" s="44">
        <v>0.25</v>
      </c>
      <c r="P208" s="44">
        <v>0.25</v>
      </c>
      <c r="Q208" s="44"/>
      <c r="R208" s="44">
        <v>0.3</v>
      </c>
      <c r="S208" s="44">
        <v>0.3</v>
      </c>
      <c r="T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 s="44">
        <v>0.3</v>
      </c>
      <c r="AH208"/>
      <c r="AI208" s="44">
        <v>0.3</v>
      </c>
      <c r="AJ208" s="44">
        <v>0.3</v>
      </c>
      <c r="AK208" s="44">
        <v>0.3</v>
      </c>
      <c r="AL208" s="44">
        <v>0.3</v>
      </c>
      <c r="AM208" s="44">
        <v>0.15</v>
      </c>
      <c r="AN208" s="44">
        <v>0.15</v>
      </c>
      <c r="AO208" s="44">
        <v>0.15</v>
      </c>
      <c r="AP208"/>
      <c r="AQ208" s="44">
        <v>0.15</v>
      </c>
      <c r="AR208" s="44">
        <v>0.15</v>
      </c>
      <c r="AS208" s="44">
        <v>0.15</v>
      </c>
      <c r="AT208" s="44">
        <v>0.15</v>
      </c>
      <c r="AU208"/>
      <c r="AV208" s="44">
        <v>0.15</v>
      </c>
      <c r="AW208"/>
      <c r="AX208"/>
      <c r="AY208" s="44">
        <v>0.3</v>
      </c>
      <c r="AZ208" s="51"/>
      <c r="BA208" s="51"/>
      <c r="BB208" s="51"/>
      <c r="BC208" s="51"/>
      <c r="BD208" s="51"/>
      <c r="BE208" s="51"/>
      <c r="BF208" s="51"/>
      <c r="BG208" s="51"/>
    </row>
    <row r="209" spans="1:59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Y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/>
      <c r="N209" s="44">
        <f t="shared" si="14"/>
        <v>1.4285714285714286E-6</v>
      </c>
      <c r="P209" s="44">
        <f t="shared" si="14"/>
        <v>1.4285714285714286E-6</v>
      </c>
      <c r="Q209" s="44"/>
      <c r="R209" s="44">
        <f t="shared" si="14"/>
        <v>1.4285714285714286E-6</v>
      </c>
      <c r="S209" s="44">
        <v>2E-3</v>
      </c>
      <c r="T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 s="44">
        <f t="shared" si="14"/>
        <v>1.4285714285714286E-6</v>
      </c>
      <c r="AH209"/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 s="44">
        <f t="shared" si="14"/>
        <v>1.4285714285714286E-6</v>
      </c>
      <c r="AP209"/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 s="44">
        <f t="shared" si="14"/>
        <v>1.4285714285714286E-6</v>
      </c>
      <c r="AU209"/>
      <c r="AV209" s="44">
        <v>2E-3</v>
      </c>
      <c r="AW209"/>
      <c r="AX209"/>
      <c r="AY209" s="44">
        <f t="shared" si="14"/>
        <v>1.4285714285714286E-6</v>
      </c>
      <c r="AZ209" s="37"/>
      <c r="BA209" s="37"/>
      <c r="BB209" s="37"/>
      <c r="BC209" s="37"/>
      <c r="BD209" s="37"/>
      <c r="BE209" s="37"/>
      <c r="BF209" s="37"/>
      <c r="BG209" s="37"/>
    </row>
    <row r="210" spans="1:59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/>
      <c r="N210" s="44" t="s">
        <v>485</v>
      </c>
      <c r="P210" s="44" t="s">
        <v>485</v>
      </c>
      <c r="Q210" s="44"/>
      <c r="R210" s="44" t="s">
        <v>485</v>
      </c>
      <c r="S210" s="44">
        <v>0.1</v>
      </c>
      <c r="T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 s="44" t="s">
        <v>485</v>
      </c>
      <c r="AH210"/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 s="44" t="s">
        <v>485</v>
      </c>
      <c r="AO210" s="44" t="s">
        <v>485</v>
      </c>
      <c r="AP210"/>
      <c r="AQ210" s="44" t="s">
        <v>485</v>
      </c>
      <c r="AR210" s="44" t="s">
        <v>485</v>
      </c>
      <c r="AS210" s="44" t="s">
        <v>485</v>
      </c>
      <c r="AT210" s="44" t="s">
        <v>485</v>
      </c>
      <c r="AU210"/>
      <c r="AV210" s="44">
        <v>0.1</v>
      </c>
      <c r="AW210"/>
      <c r="AX210"/>
      <c r="AY210" s="44" t="s">
        <v>485</v>
      </c>
      <c r="AZ210" s="37"/>
      <c r="BA210" s="37"/>
      <c r="BB210" s="37"/>
      <c r="BC210" s="37"/>
      <c r="BD210" s="37"/>
      <c r="BE210" s="37"/>
      <c r="BF210" s="37"/>
      <c r="BG210" s="37"/>
    </row>
    <row r="211" spans="1:59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/>
      <c r="N211" s="44">
        <v>0</v>
      </c>
      <c r="P211" s="44">
        <v>0</v>
      </c>
      <c r="Q211" s="44"/>
      <c r="R211" s="44">
        <v>0</v>
      </c>
      <c r="S211" s="44">
        <v>0.04</v>
      </c>
      <c r="T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 s="44">
        <v>0</v>
      </c>
      <c r="AH211"/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 s="44">
        <v>0</v>
      </c>
      <c r="AO211" s="44">
        <v>0</v>
      </c>
      <c r="AP211"/>
      <c r="AQ211" s="44">
        <v>0</v>
      </c>
      <c r="AR211" s="44">
        <v>0</v>
      </c>
      <c r="AS211" s="44">
        <v>0</v>
      </c>
      <c r="AT211" s="44">
        <v>0</v>
      </c>
      <c r="AU211"/>
      <c r="AV211" s="44">
        <v>0.04</v>
      </c>
      <c r="AW211"/>
      <c r="AX211"/>
      <c r="AY211" s="44">
        <v>0</v>
      </c>
      <c r="AZ211" s="37"/>
      <c r="BA211" s="37"/>
      <c r="BB211" s="37"/>
      <c r="BC211" s="37"/>
      <c r="BD211" s="37"/>
      <c r="BE211" s="37"/>
      <c r="BF211" s="37"/>
      <c r="BG211" s="37"/>
    </row>
    <row r="212" spans="1:59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/>
      <c r="N212" s="44">
        <v>1E-3</v>
      </c>
      <c r="P212" s="44">
        <v>1E-3</v>
      </c>
      <c r="Q212" s="44"/>
      <c r="R212" s="44">
        <v>1E-3</v>
      </c>
      <c r="S212" s="44">
        <v>1E-3</v>
      </c>
      <c r="T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 s="44">
        <v>1E-3</v>
      </c>
      <c r="AH212"/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 s="44">
        <v>1E-3</v>
      </c>
      <c r="AO212" s="44">
        <v>1E-3</v>
      </c>
      <c r="AP212"/>
      <c r="AQ212" s="44">
        <v>1E-3</v>
      </c>
      <c r="AR212" s="44">
        <v>1E-3</v>
      </c>
      <c r="AS212" s="44">
        <v>1E-3</v>
      </c>
      <c r="AT212" s="44">
        <v>1E-3</v>
      </c>
      <c r="AU212"/>
      <c r="AV212" s="44">
        <v>1E-3</v>
      </c>
      <c r="AW212"/>
      <c r="AX212"/>
      <c r="AY212" s="44">
        <v>1E-3</v>
      </c>
      <c r="AZ212" s="37"/>
      <c r="BA212" s="37"/>
      <c r="BB212" s="37"/>
      <c r="BC212" s="37"/>
      <c r="BD212" s="37"/>
      <c r="BE212" s="37"/>
      <c r="BF212" s="37"/>
      <c r="BG212" s="37"/>
    </row>
    <row r="213" spans="1:59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Y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/>
      <c r="N213" s="44">
        <f>1250*0.000001/5</f>
        <v>2.5000000000000001E-4</v>
      </c>
      <c r="P213" s="44">
        <f t="shared" si="15"/>
        <v>2.5000000000000001E-4</v>
      </c>
      <c r="Q213" s="44"/>
      <c r="R213" s="44">
        <f t="shared" si="15"/>
        <v>2.5000000000000001E-4</v>
      </c>
      <c r="S213" s="44">
        <f t="shared" si="15"/>
        <v>2.5000000000000001E-4</v>
      </c>
      <c r="T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 s="44">
        <f t="shared" si="15"/>
        <v>2.5000000000000001E-4</v>
      </c>
      <c r="AH213"/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 s="44">
        <f t="shared" si="15"/>
        <v>2.5000000000000001E-4</v>
      </c>
      <c r="AP213"/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 s="44">
        <f t="shared" si="15"/>
        <v>2.5000000000000001E-4</v>
      </c>
      <c r="AU213"/>
      <c r="AV213" s="44">
        <f t="shared" si="15"/>
        <v>2.5000000000000001E-4</v>
      </c>
      <c r="AW213"/>
      <c r="AX213"/>
      <c r="AY213" s="44">
        <f t="shared" si="15"/>
        <v>2.5000000000000001E-4</v>
      </c>
      <c r="AZ213" s="51"/>
      <c r="BA213" s="51"/>
      <c r="BB213" s="51"/>
      <c r="BC213" s="51"/>
      <c r="BD213" s="51"/>
      <c r="BE213" s="51"/>
      <c r="BF213" s="51"/>
      <c r="BG213" s="51"/>
    </row>
    <row r="214" spans="1:59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/>
      <c r="N214" s="44">
        <v>2.0000000000000001E-4</v>
      </c>
      <c r="P214" s="44">
        <v>2.0000000000000001E-4</v>
      </c>
      <c r="Q214" s="44"/>
      <c r="R214" s="44">
        <v>2.0000000000000001E-4</v>
      </c>
      <c r="S214" s="44">
        <v>2.0000000000000001E-4</v>
      </c>
      <c r="T214" s="44">
        <v>2.0000000000000001E-4</v>
      </c>
      <c r="U214" s="1">
        <f>44.4365413894298/21.9053373</f>
        <v>2.0285714290019081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 s="44">
        <v>2.0000000000000001E-4</v>
      </c>
      <c r="AH214"/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 s="44">
        <v>2.0000000000000001E-4</v>
      </c>
      <c r="AP214"/>
      <c r="AQ214" s="44">
        <v>2.0000000000000001E-4</v>
      </c>
      <c r="AR214" s="44">
        <v>2.0000000000000001E-4</v>
      </c>
      <c r="AS214" s="44">
        <v>2.0000000000000001E-4</v>
      </c>
      <c r="AT214" s="44">
        <v>2.0000000000000001E-4</v>
      </c>
      <c r="AU214"/>
      <c r="AV214" s="44">
        <v>2.0000000000000001E-4</v>
      </c>
      <c r="AW214"/>
      <c r="AX214"/>
      <c r="AY214" s="44">
        <v>2.0000000000000001E-4</v>
      </c>
      <c r="AZ214" s="51"/>
      <c r="BA214" s="51"/>
      <c r="BB214" s="51"/>
      <c r="BC214" s="51"/>
      <c r="BD214" s="51"/>
      <c r="BE214" s="51"/>
      <c r="BF214" s="51"/>
      <c r="BG214" s="51"/>
    </row>
    <row r="215" spans="1:59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/>
      <c r="N215" s="44">
        <f>N163</f>
        <v>4.9999999999999999E-13</v>
      </c>
      <c r="O215" s="1" t="s">
        <v>606</v>
      </c>
      <c r="P215" s="44">
        <f>0.0000000000025/50</f>
        <v>4.9999999999999995E-14</v>
      </c>
      <c r="Q215" s="44"/>
      <c r="R215" s="44">
        <v>2.4999999999999999E-13</v>
      </c>
      <c r="S215" s="44">
        <v>2.4999999999999999E-13</v>
      </c>
      <c r="T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 s="44">
        <v>2.4999999999999999E-13</v>
      </c>
      <c r="AH215"/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 s="44">
        <v>2.4999999999999999E-13</v>
      </c>
      <c r="AP215"/>
      <c r="AQ215" s="44">
        <v>2.4999999999999999E-13</v>
      </c>
      <c r="AR215" s="44">
        <v>2.4999999999999999E-13</v>
      </c>
      <c r="AS215" s="44">
        <v>2.4999999999999999E-13</v>
      </c>
      <c r="AT215" s="44">
        <v>2.4999999999999999E-13</v>
      </c>
      <c r="AU215"/>
      <c r="AV215" s="44">
        <v>2.4999999999999999E-13</v>
      </c>
      <c r="AW215"/>
      <c r="AX215"/>
      <c r="AY215" s="44">
        <v>2.4999999999999999E-13</v>
      </c>
      <c r="AZ215" s="51"/>
      <c r="BA215" s="51"/>
      <c r="BB215" s="51"/>
      <c r="BC215" s="51"/>
      <c r="BD215" s="51"/>
      <c r="BE215" s="51"/>
      <c r="BF215" s="51"/>
      <c r="BG215" s="51"/>
    </row>
    <row r="216" spans="1:59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/>
      <c r="N216" s="44">
        <f>0.00000000005 *2</f>
        <v>1E-10</v>
      </c>
      <c r="P216" s="44">
        <f>0.00000000005*2 / 10 / 2</f>
        <v>5.0000000000000005E-12</v>
      </c>
      <c r="Q216" s="44"/>
      <c r="R216" s="44">
        <f t="shared" ref="R216:AV217" si="16">0.00000012*100</f>
        <v>1.1999999999999999E-5</v>
      </c>
      <c r="S216" s="44">
        <f t="shared" si="16"/>
        <v>1.1999999999999999E-5</v>
      </c>
      <c r="T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 s="44">
        <f t="shared" si="16"/>
        <v>1.1999999999999999E-5</v>
      </c>
      <c r="AH216"/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 s="44">
        <f t="shared" si="16"/>
        <v>1.1999999999999999E-5</v>
      </c>
      <c r="AP216"/>
      <c r="AQ216" s="44">
        <f t="shared" si="16"/>
        <v>1.1999999999999999E-5</v>
      </c>
      <c r="AR216" s="44">
        <f t="shared" si="16"/>
        <v>1.1999999999999999E-5</v>
      </c>
      <c r="AS216" s="44">
        <f t="shared" si="16"/>
        <v>1.1999999999999999E-5</v>
      </c>
      <c r="AT216" s="44">
        <f t="shared" si="16"/>
        <v>1.1999999999999999E-5</v>
      </c>
      <c r="AU216"/>
      <c r="AV216" s="44">
        <f t="shared" si="16"/>
        <v>1.1999999999999999E-5</v>
      </c>
      <c r="AW216"/>
      <c r="AX216"/>
      <c r="AY216" s="44">
        <f>0.00000012*100</f>
        <v>1.1999999999999999E-5</v>
      </c>
      <c r="AZ216" s="51"/>
      <c r="BA216" s="51"/>
      <c r="BB216" s="51"/>
      <c r="BC216" s="51"/>
      <c r="BD216" s="51"/>
      <c r="BE216" s="51"/>
      <c r="BF216" s="51"/>
      <c r="BG216" s="51"/>
    </row>
    <row r="217" spans="1:59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/>
      <c r="N217" s="44">
        <f>N216/10/4</f>
        <v>2.5000000000000003E-12</v>
      </c>
      <c r="P217" s="44">
        <f>0.00000000005*2 / 10 / 2</f>
        <v>5.0000000000000005E-12</v>
      </c>
      <c r="Q217" s="44"/>
      <c r="R217" s="44">
        <f t="shared" si="16"/>
        <v>1.1999999999999999E-5</v>
      </c>
      <c r="S217" s="44">
        <f t="shared" si="16"/>
        <v>1.1999999999999999E-5</v>
      </c>
      <c r="T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 s="44">
        <f t="shared" si="16"/>
        <v>1.1999999999999999E-5</v>
      </c>
      <c r="AH217"/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 s="44">
        <f t="shared" si="16"/>
        <v>1.1999999999999999E-5</v>
      </c>
      <c r="AP217"/>
      <c r="AQ217" s="44">
        <f t="shared" si="16"/>
        <v>1.1999999999999999E-5</v>
      </c>
      <c r="AR217" s="44">
        <f t="shared" si="16"/>
        <v>1.1999999999999999E-5</v>
      </c>
      <c r="AS217" s="44">
        <f t="shared" si="16"/>
        <v>1.1999999999999999E-5</v>
      </c>
      <c r="AT217" s="44">
        <f t="shared" si="16"/>
        <v>1.1999999999999999E-5</v>
      </c>
      <c r="AU217"/>
      <c r="AV217" s="44">
        <f t="shared" si="16"/>
        <v>1.1999999999999999E-5</v>
      </c>
      <c r="AW217"/>
      <c r="AX217"/>
      <c r="AY217" s="44">
        <f>0.00000012*100</f>
        <v>1.1999999999999999E-5</v>
      </c>
      <c r="AZ217" s="51"/>
      <c r="BA217" s="51"/>
      <c r="BB217" s="51"/>
      <c r="BC217" s="51"/>
      <c r="BD217" s="51"/>
      <c r="BE217" s="51"/>
      <c r="BF217" s="51"/>
      <c r="BG217" s="51"/>
    </row>
    <row r="218" spans="1:59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/>
      <c r="N218" s="44">
        <f>0.00000001</f>
        <v>1E-8</v>
      </c>
      <c r="P218" s="44">
        <f>0</f>
        <v>0</v>
      </c>
      <c r="Q218" s="44"/>
      <c r="R218" s="44"/>
      <c r="S218" s="44"/>
      <c r="T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/>
      <c r="AI218" s="44"/>
      <c r="AJ218" s="44"/>
      <c r="AK218" s="44"/>
      <c r="AL218" s="44"/>
      <c r="AM218" s="44"/>
      <c r="AN218" s="44"/>
      <c r="AO218" s="44"/>
      <c r="AP218"/>
      <c r="AQ218" s="44"/>
      <c r="AR218" s="44"/>
      <c r="AS218" s="44"/>
      <c r="AT218" s="44"/>
      <c r="AU218"/>
      <c r="AV218" s="44"/>
      <c r="AW218"/>
      <c r="AX218"/>
      <c r="AY218" s="44"/>
      <c r="AZ218" s="51"/>
      <c r="BA218" s="51"/>
      <c r="BB218" s="51"/>
      <c r="BC218" s="51"/>
      <c r="BD218" s="51"/>
      <c r="BE218" s="51"/>
      <c r="BF218" s="51"/>
      <c r="BG218" s="51"/>
    </row>
    <row r="219" spans="1:59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/>
      <c r="N219" s="44">
        <f>100</f>
        <v>100</v>
      </c>
      <c r="P219" s="44">
        <f>100</f>
        <v>100</v>
      </c>
      <c r="Q219" s="44"/>
      <c r="R219" s="44"/>
      <c r="S219" s="44"/>
      <c r="T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/>
      <c r="AI219" s="44"/>
      <c r="AJ219" s="44"/>
      <c r="AK219" s="44"/>
      <c r="AL219" s="44"/>
      <c r="AM219" s="44"/>
      <c r="AN219" s="44"/>
      <c r="AO219" s="44"/>
      <c r="AP219"/>
      <c r="AQ219" s="44"/>
      <c r="AR219" s="44"/>
      <c r="AS219" s="44"/>
      <c r="AT219" s="44"/>
      <c r="AU219"/>
      <c r="AV219" s="44"/>
      <c r="AW219"/>
      <c r="AX219"/>
      <c r="AY219" s="44"/>
      <c r="AZ219" s="51"/>
      <c r="BA219" s="51"/>
      <c r="BB219" s="51"/>
      <c r="BC219" s="51"/>
      <c r="BD219" s="51"/>
      <c r="BE219" s="51"/>
      <c r="BF219" s="51"/>
      <c r="BG219" s="51"/>
    </row>
    <row r="220" spans="1:59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/>
      <c r="N220" s="44">
        <f>0.000001 / 10000 / 4 / 10 /5  / 5</f>
        <v>1E-13</v>
      </c>
      <c r="O220" s="1" t="s">
        <v>607</v>
      </c>
      <c r="P220" s="44">
        <f>0.000001 / 10000 *2 * 3</f>
        <v>6E-10</v>
      </c>
      <c r="Q220" s="44"/>
      <c r="R220" s="44">
        <v>9.9999999999999995E-7</v>
      </c>
      <c r="S220" s="44">
        <v>9.9999999999999995E-7</v>
      </c>
      <c r="T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 s="44">
        <v>9.9999999999999995E-7</v>
      </c>
      <c r="AH220"/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 s="44">
        <v>9.9999999999999995E-7</v>
      </c>
      <c r="AP220"/>
      <c r="AQ220" s="44">
        <v>9.9999999999999995E-7</v>
      </c>
      <c r="AR220" s="44">
        <v>9.9999999999999995E-7</v>
      </c>
      <c r="AS220" s="44">
        <v>9.9999999999999995E-7</v>
      </c>
      <c r="AT220" s="44">
        <v>9.9999999999999995E-7</v>
      </c>
      <c r="AU220"/>
      <c r="AV220" s="44">
        <v>9.9999999999999995E-7</v>
      </c>
      <c r="AW220"/>
      <c r="AX220"/>
      <c r="AY220" s="44">
        <v>9.9999999999999995E-7</v>
      </c>
      <c r="AZ220" s="51"/>
      <c r="BA220" s="51"/>
      <c r="BB220" s="51"/>
      <c r="BC220" s="51"/>
      <c r="BD220" s="51"/>
      <c r="BE220" s="51"/>
      <c r="BF220" s="51"/>
      <c r="BG220" s="51"/>
    </row>
    <row r="221" spans="1:59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/>
      <c r="N221" s="44">
        <v>0</v>
      </c>
      <c r="P221" s="44">
        <f>0.000001 / 10000 / 4 / 10</f>
        <v>2.4999999999999998E-12</v>
      </c>
      <c r="Q221" s="44"/>
      <c r="R221" s="44">
        <v>9.9999999999999995E-7</v>
      </c>
      <c r="S221" s="44">
        <v>9.9999999999999995E-7</v>
      </c>
      <c r="T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 s="44">
        <v>9.9999999999999995E-7</v>
      </c>
      <c r="AH221"/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 s="44">
        <v>9.9999999999999995E-7</v>
      </c>
      <c r="AP221"/>
      <c r="AQ221" s="44">
        <v>9.9999999999999995E-7</v>
      </c>
      <c r="AR221" s="44">
        <v>9.9999999999999995E-7</v>
      </c>
      <c r="AS221" s="44">
        <v>9.9999999999999995E-7</v>
      </c>
      <c r="AT221" s="44">
        <v>9.9999999999999995E-7</v>
      </c>
      <c r="AU221"/>
      <c r="AV221" s="44">
        <v>9.9999999999999995E-7</v>
      </c>
      <c r="AW221"/>
      <c r="AX221"/>
      <c r="AY221" s="44">
        <v>9.9999999999999995E-7</v>
      </c>
      <c r="AZ221" s="51"/>
      <c r="BA221" s="51"/>
      <c r="BB221" s="51"/>
      <c r="BC221" s="51"/>
      <c r="BD221" s="51"/>
      <c r="BE221" s="51"/>
      <c r="BF221" s="51"/>
      <c r="BG221" s="51"/>
    </row>
    <row r="222" spans="1:59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/>
      <c r="N222" s="44">
        <f>0.00001 / 10 / 2 / 5 /5</f>
        <v>2.0000000000000004E-8</v>
      </c>
      <c r="P222" s="44">
        <f>0.00001 / 10/2/4</f>
        <v>1.2500000000000002E-7</v>
      </c>
      <c r="Q222" s="44"/>
      <c r="R222" s="44">
        <v>2E-8</v>
      </c>
      <c r="S222" s="44">
        <v>2E-8</v>
      </c>
      <c r="T222" s="44">
        <v>2E-8</v>
      </c>
      <c r="W222" s="44">
        <v>5.0000000000000002E-5</v>
      </c>
      <c r="X222" s="44">
        <v>5.0000000000000002E-5</v>
      </c>
      <c r="Y222" s="44">
        <v>5.0000000000000002E-5</v>
      </c>
      <c r="Z222" s="44">
        <v>5.0000000000000002E-5</v>
      </c>
      <c r="AA222" s="44">
        <v>2.0000000000000002E-5</v>
      </c>
      <c r="AB222" s="44">
        <v>1.0000000000000001E-5</v>
      </c>
      <c r="AC222" s="44">
        <v>5.0000000000000004E-6</v>
      </c>
      <c r="AD222" s="44">
        <v>1.9999999999999999E-6</v>
      </c>
      <c r="AE222" s="44">
        <v>9.9999999999999995E-7</v>
      </c>
      <c r="AF222" s="44">
        <v>4.9999999999999998E-7</v>
      </c>
      <c r="AG222" s="44">
        <v>1.9999999999999999E-7</v>
      </c>
      <c r="AH222"/>
      <c r="AI222" s="44">
        <v>2.0000000000000002E-5</v>
      </c>
      <c r="AJ222" s="44">
        <v>1.0000000000000001E-5</v>
      </c>
      <c r="AK222" s="44">
        <v>5.0000000000000004E-6</v>
      </c>
      <c r="AL222" s="44">
        <v>1.9999999999999999E-6</v>
      </c>
      <c r="AM222" s="44">
        <v>9.9999999999999995E-7</v>
      </c>
      <c r="AN222" s="44">
        <v>4.9999999999999998E-7</v>
      </c>
      <c r="AO222" s="44">
        <v>1.9999999999999999E-7</v>
      </c>
      <c r="AP222"/>
      <c r="AQ222" s="44">
        <v>2E-8</v>
      </c>
      <c r="AR222" s="44">
        <v>2E-8</v>
      </c>
      <c r="AS222" s="44">
        <v>2.0000000000000001E-9</v>
      </c>
      <c r="AT222" s="44">
        <v>2.0000000000000001E-9</v>
      </c>
      <c r="AU222"/>
      <c r="AV222" s="44">
        <v>9.9999999999999995E-7</v>
      </c>
      <c r="AW222"/>
      <c r="AX222"/>
      <c r="AY222" s="44">
        <v>5.0000000000000002E-5</v>
      </c>
      <c r="AZ222" s="51"/>
      <c r="BA222" s="51"/>
      <c r="BB222" s="51"/>
      <c r="BC222" s="51"/>
      <c r="BD222" s="51"/>
      <c r="BE222" s="51"/>
      <c r="BF222" s="51"/>
      <c r="BG222" s="51"/>
    </row>
    <row r="223" spans="1:59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/>
      <c r="N223" s="44">
        <f xml:space="preserve"> 0.001 / 10</f>
        <v>1E-4</v>
      </c>
      <c r="P223" s="44">
        <f xml:space="preserve"> 0.001 / 10</f>
        <v>1E-4</v>
      </c>
      <c r="Q223" s="44"/>
      <c r="R223" s="44"/>
      <c r="S223" s="44"/>
      <c r="T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/>
      <c r="AI223" s="44"/>
      <c r="AJ223" s="44"/>
      <c r="AK223" s="44"/>
      <c r="AL223" s="44"/>
      <c r="AM223" s="44"/>
      <c r="AN223" s="44"/>
      <c r="AO223" s="44"/>
      <c r="AP223"/>
      <c r="AQ223" s="44"/>
      <c r="AR223" s="44"/>
      <c r="AS223" s="44"/>
      <c r="AT223" s="44"/>
      <c r="AU223"/>
      <c r="AV223" s="44"/>
      <c r="AW223"/>
      <c r="AX223"/>
      <c r="AY223" s="44"/>
      <c r="AZ223" s="51"/>
      <c r="BA223" s="51"/>
      <c r="BB223" s="51"/>
      <c r="BC223" s="51"/>
      <c r="BD223" s="51"/>
      <c r="BE223" s="51"/>
      <c r="BF223" s="51"/>
      <c r="BG223" s="51"/>
    </row>
    <row r="224" spans="1:59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/>
      <c r="N224" s="44">
        <f>0.00001 /5 /2/4 * 4 * 0.6 * 10*2</f>
        <v>1.2000000000000002E-5</v>
      </c>
      <c r="P224" s="44">
        <f>0.00001 /5 /2/4</f>
        <v>2.5000000000000004E-7</v>
      </c>
      <c r="Q224" s="44"/>
      <c r="R224" s="44"/>
      <c r="S224" s="44"/>
      <c r="T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/>
      <c r="AI224" s="44"/>
      <c r="AJ224" s="44"/>
      <c r="AK224" s="44"/>
      <c r="AL224" s="44"/>
      <c r="AM224" s="44"/>
      <c r="AN224" s="44"/>
      <c r="AO224" s="44"/>
      <c r="AP224"/>
      <c r="AQ224" s="44"/>
      <c r="AR224" s="44"/>
      <c r="AS224" s="44"/>
      <c r="AT224" s="44"/>
      <c r="AU224"/>
      <c r="AV224" s="44"/>
      <c r="AW224"/>
      <c r="AX224"/>
      <c r="AY224" s="44"/>
      <c r="AZ224" s="51"/>
      <c r="BA224" s="51"/>
      <c r="BB224" s="51"/>
      <c r="BC224" s="51"/>
      <c r="BD224" s="51"/>
      <c r="BE224" s="51"/>
      <c r="BF224" s="51"/>
      <c r="BG224" s="51"/>
    </row>
    <row r="225" spans="1:74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/>
      <c r="N225" s="44">
        <f>0.0000001</f>
        <v>9.9999999999999995E-8</v>
      </c>
      <c r="P225" s="44">
        <f>0.0000001</f>
        <v>9.9999999999999995E-8</v>
      </c>
      <c r="Q225" s="44"/>
      <c r="R225" s="44">
        <v>5.0000000000000003E-10</v>
      </c>
      <c r="S225" s="44">
        <v>5.0000000000000003E-10</v>
      </c>
      <c r="T225" s="44">
        <v>9.9999999999999995E-8</v>
      </c>
      <c r="W225" s="44">
        <v>4.9999999999999998E-8</v>
      </c>
      <c r="X225" s="44">
        <v>2E-8</v>
      </c>
      <c r="Y225" s="44">
        <v>1E-8</v>
      </c>
      <c r="Z225" s="44">
        <v>1.0000000000000001E-9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 s="44">
        <v>1E-8</v>
      </c>
      <c r="AG225" s="44">
        <v>1E-8</v>
      </c>
      <c r="AH225"/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 s="44">
        <v>1.0000000000000001E-9</v>
      </c>
      <c r="AP225"/>
      <c r="AQ225" s="44">
        <v>1E-8</v>
      </c>
      <c r="AR225" s="44">
        <v>1.0000000000000001E-9</v>
      </c>
      <c r="AS225" s="44">
        <v>1E-8</v>
      </c>
      <c r="AT225" s="44">
        <v>1.0000000000000001E-9</v>
      </c>
      <c r="AU225"/>
      <c r="AV225" s="44">
        <v>1.0000000000000001E-9</v>
      </c>
      <c r="AW225"/>
      <c r="AX225"/>
      <c r="AY225" s="44">
        <v>9.9999999999999995E-8</v>
      </c>
    </row>
    <row r="226" spans="1:74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/>
      <c r="N226" s="44">
        <v>0.2</v>
      </c>
      <c r="O226" s="1" t="s">
        <v>600</v>
      </c>
      <c r="P226" s="44">
        <v>0.2</v>
      </c>
      <c r="Q226" s="44"/>
      <c r="R226" s="44">
        <v>0.2</v>
      </c>
      <c r="S226" s="44">
        <v>0.2</v>
      </c>
      <c r="T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 s="44">
        <v>0.2</v>
      </c>
      <c r="AH226"/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 s="44">
        <v>0.2</v>
      </c>
      <c r="AO226" s="44">
        <v>0.2</v>
      </c>
      <c r="AP226"/>
      <c r="AQ226" s="44">
        <v>0.2</v>
      </c>
      <c r="AR226" s="44">
        <v>0.2</v>
      </c>
      <c r="AS226" s="44">
        <v>0.2</v>
      </c>
      <c r="AT226" s="44">
        <v>0.2</v>
      </c>
      <c r="AU226"/>
      <c r="AV226" s="44">
        <v>0.2</v>
      </c>
      <c r="AW226"/>
      <c r="AX226"/>
      <c r="AY226" s="44">
        <v>0.2</v>
      </c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</row>
    <row r="227" spans="1:74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/>
      <c r="N227" s="44" t="s">
        <v>485</v>
      </c>
      <c r="P227" s="44" t="s">
        <v>485</v>
      </c>
      <c r="Q227" s="44"/>
      <c r="R227" s="44" t="s">
        <v>485</v>
      </c>
      <c r="S227" s="44" t="s">
        <v>485</v>
      </c>
      <c r="T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 s="44" t="s">
        <v>485</v>
      </c>
      <c r="AH227"/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 s="44" t="s">
        <v>485</v>
      </c>
      <c r="AO227" s="44" t="s">
        <v>485</v>
      </c>
      <c r="AP227"/>
      <c r="AQ227" s="44" t="s">
        <v>485</v>
      </c>
      <c r="AR227" s="44" t="s">
        <v>485</v>
      </c>
      <c r="AS227" s="44" t="s">
        <v>485</v>
      </c>
      <c r="AT227" s="44" t="s">
        <v>485</v>
      </c>
      <c r="AU227"/>
      <c r="AV227" s="44" t="s">
        <v>485</v>
      </c>
      <c r="AW227"/>
      <c r="AX227"/>
      <c r="AY227" s="44" t="s">
        <v>485</v>
      </c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</row>
    <row r="228" spans="1:74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Y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/>
      <c r="N228" s="44">
        <f t="shared" si="17"/>
        <v>0.2</v>
      </c>
      <c r="P228" s="44">
        <f t="shared" si="17"/>
        <v>0.2</v>
      </c>
      <c r="Q228" s="44"/>
      <c r="R228" s="44">
        <f t="shared" si="17"/>
        <v>0.2</v>
      </c>
      <c r="S228" s="44">
        <f t="shared" si="17"/>
        <v>0.2</v>
      </c>
      <c r="T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 s="44">
        <f t="shared" si="17"/>
        <v>0.2</v>
      </c>
      <c r="AH228"/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 s="44">
        <f t="shared" si="17"/>
        <v>0.2</v>
      </c>
      <c r="AP228"/>
      <c r="AQ228" s="44">
        <f t="shared" si="17"/>
        <v>0.2</v>
      </c>
      <c r="AR228" s="44">
        <f t="shared" si="17"/>
        <v>0.2</v>
      </c>
      <c r="AS228" s="44">
        <f t="shared" si="17"/>
        <v>0.2</v>
      </c>
      <c r="AT228" s="44">
        <f t="shared" si="17"/>
        <v>0.2</v>
      </c>
      <c r="AU228"/>
      <c r="AV228" s="44">
        <f t="shared" si="17"/>
        <v>0.2</v>
      </c>
      <c r="AW228"/>
      <c r="AX228"/>
      <c r="AY228" s="44">
        <f t="shared" si="17"/>
        <v>0.2</v>
      </c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</row>
    <row r="229" spans="1:74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/>
      <c r="N229" s="44">
        <v>1E-3</v>
      </c>
      <c r="P229" s="44">
        <v>1E-3</v>
      </c>
      <c r="Q229" s="44"/>
      <c r="R229" s="44">
        <v>1E-3</v>
      </c>
      <c r="S229" s="44">
        <v>1E-3</v>
      </c>
      <c r="T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 s="44">
        <v>1E-3</v>
      </c>
      <c r="AH229"/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 s="44">
        <v>1E-3</v>
      </c>
      <c r="AO229" s="44">
        <v>1E-3</v>
      </c>
      <c r="AP229"/>
      <c r="AQ229" s="44">
        <v>1E-3</v>
      </c>
      <c r="AR229" s="44">
        <v>1E-3</v>
      </c>
      <c r="AS229" s="44">
        <v>1E-3</v>
      </c>
      <c r="AT229" s="44">
        <v>1E-3</v>
      </c>
      <c r="AU229"/>
      <c r="AV229" s="44">
        <v>1E-3</v>
      </c>
      <c r="AW229"/>
      <c r="AX229"/>
      <c r="AY229" s="44">
        <v>1E-3</v>
      </c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</row>
    <row r="230" spans="1:74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/>
      <c r="N230" s="44">
        <f>0.00001 / 2 * 10 /2 / 3 / 3 / 3</f>
        <v>9.2592592592592594E-7</v>
      </c>
      <c r="P230" s="44">
        <f>0.00001 / 2</f>
        <v>5.0000000000000004E-6</v>
      </c>
      <c r="Q230" s="44"/>
      <c r="R230" s="44">
        <v>1.0000000000000001E-5</v>
      </c>
      <c r="S230" s="44">
        <v>1.0000000000000001E-5</v>
      </c>
      <c r="T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 s="44">
        <v>1.0000000000000001E-5</v>
      </c>
      <c r="AH230"/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 s="44">
        <v>1.0000000000000001E-5</v>
      </c>
      <c r="AP230"/>
      <c r="AQ230" s="44">
        <v>1.0000000000000001E-5</v>
      </c>
      <c r="AR230" s="44">
        <v>1.0000000000000001E-5</v>
      </c>
      <c r="AS230" s="44">
        <v>1.0000000000000001E-5</v>
      </c>
      <c r="AT230" s="44">
        <v>1.0000000000000001E-5</v>
      </c>
      <c r="AU230"/>
      <c r="AV230" s="44">
        <v>1.0000000000000001E-5</v>
      </c>
      <c r="AW230"/>
      <c r="AX230"/>
      <c r="AY230" s="44">
        <v>1.0000000000000001E-5</v>
      </c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52"/>
      <c r="BK230" s="1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  <c r="BV230" s="52"/>
    </row>
    <row r="231" spans="1:74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P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/>
      <c r="N231" s="44">
        <f>0.000000005 / 5 *10 / 2 / 3 / 2 / 2</f>
        <v>4.1666666666666668E-10</v>
      </c>
      <c r="P231" s="44">
        <f t="shared" si="18"/>
        <v>1.0000000000000001E-9</v>
      </c>
      <c r="Q231" s="44"/>
      <c r="R231" s="44"/>
      <c r="S231" s="44"/>
      <c r="T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/>
      <c r="AI231" s="44"/>
      <c r="AJ231" s="44"/>
      <c r="AK231" s="44"/>
      <c r="AL231" s="44"/>
      <c r="AM231" s="44"/>
      <c r="AN231" s="44"/>
      <c r="AO231" s="44"/>
      <c r="AP231"/>
      <c r="AQ231" s="44"/>
      <c r="AR231" s="44"/>
      <c r="AS231" s="44"/>
      <c r="AT231" s="44"/>
      <c r="AU231"/>
      <c r="AV231" s="44"/>
      <c r="AW231"/>
      <c r="AX231"/>
      <c r="AY231" s="44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52"/>
      <c r="BK231" s="1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  <c r="BV231" s="52"/>
    </row>
    <row r="232" spans="1:74" x14ac:dyDescent="0.25">
      <c r="A232" s="2" t="s">
        <v>540</v>
      </c>
      <c r="B232" s="3" t="s">
        <v>473</v>
      </c>
      <c r="C232" s="3" t="s">
        <v>580</v>
      </c>
      <c r="D232" s="3" t="s">
        <v>581</v>
      </c>
      <c r="E232" s="30" t="s">
        <v>537</v>
      </c>
      <c r="F232" s="30" t="s">
        <v>536</v>
      </c>
      <c r="G232" s="44">
        <f t="shared" ref="G232:AY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/>
      <c r="N232" s="44">
        <v>0</v>
      </c>
      <c r="P232" s="44">
        <v>0</v>
      </c>
      <c r="Q232" s="44"/>
      <c r="R232" s="44">
        <f t="shared" si="19"/>
        <v>2.8571428571428575E-7</v>
      </c>
      <c r="S232" s="44">
        <f t="shared" si="19"/>
        <v>2.8571428571428575E-7</v>
      </c>
      <c r="T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 s="44">
        <f t="shared" si="19"/>
        <v>2.8571428571428575E-7</v>
      </c>
      <c r="AH232"/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 s="44">
        <f t="shared" si="19"/>
        <v>2.8571428571428575E-7</v>
      </c>
      <c r="AP232"/>
      <c r="AQ232" s="44">
        <f t="shared" si="19"/>
        <v>2.8571428571428575E-7</v>
      </c>
      <c r="AR232" s="44">
        <f t="shared" si="19"/>
        <v>2.8571428571428575E-7</v>
      </c>
      <c r="AS232" s="44">
        <f t="shared" si="19"/>
        <v>2.8571428571428575E-7</v>
      </c>
      <c r="AT232" s="44">
        <f t="shared" si="19"/>
        <v>2.8571428571428575E-7</v>
      </c>
      <c r="AU232"/>
      <c r="AV232" s="44">
        <f t="shared" si="19"/>
        <v>2.8571428571428575E-7</v>
      </c>
      <c r="AW232"/>
      <c r="AX232"/>
      <c r="AY232" s="44">
        <f t="shared" si="19"/>
        <v>2.8571428571428575E-7</v>
      </c>
      <c r="AZ232" s="1"/>
      <c r="BA232" s="1"/>
      <c r="BB232" s="1"/>
      <c r="BC232" s="1"/>
      <c r="BD232" s="1"/>
      <c r="BE232" s="1"/>
      <c r="BF232" s="1"/>
      <c r="BG232" s="1"/>
    </row>
    <row r="233" spans="1:74" x14ac:dyDescent="0.25">
      <c r="A233" s="2" t="s">
        <v>541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AV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/>
      <c r="N233" s="44">
        <v>0</v>
      </c>
      <c r="P233" s="44">
        <v>0</v>
      </c>
      <c r="Q233" s="44"/>
      <c r="R233" s="44">
        <f t="shared" si="20"/>
        <v>2.8571428571428575E-8</v>
      </c>
      <c r="S233" s="44">
        <f t="shared" si="20"/>
        <v>2.8571428571428575E-8</v>
      </c>
      <c r="T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 s="44">
        <f t="shared" si="20"/>
        <v>2.8571428571428575E-8</v>
      </c>
      <c r="AH233"/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 s="44">
        <f t="shared" si="20"/>
        <v>2.8571428571428575E-8</v>
      </c>
      <c r="AP233"/>
      <c r="AQ233" s="44">
        <f t="shared" si="20"/>
        <v>2.8571428571428575E-8</v>
      </c>
      <c r="AR233" s="44">
        <f t="shared" si="20"/>
        <v>2.8571428571428575E-8</v>
      </c>
      <c r="AS233" s="44">
        <f t="shared" si="20"/>
        <v>2.8571428571428575E-8</v>
      </c>
      <c r="AT233" s="44">
        <f t="shared" si="20"/>
        <v>2.8571428571428575E-8</v>
      </c>
      <c r="AU233"/>
      <c r="AV233" s="44">
        <f t="shared" si="20"/>
        <v>2.8571428571428575E-8</v>
      </c>
      <c r="AW233"/>
      <c r="AX233"/>
      <c r="AY233" s="44">
        <f t="shared" si="19"/>
        <v>2.8571428571428575E-7</v>
      </c>
      <c r="AZ233" s="1"/>
      <c r="BA233" s="1"/>
      <c r="BB233" s="1"/>
      <c r="BC233" s="1"/>
      <c r="BD233" s="1"/>
      <c r="BE233" s="1"/>
      <c r="BF233" s="1"/>
      <c r="BG233" s="1"/>
    </row>
    <row r="234" spans="1:74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/>
      <c r="N234" s="44" t="s">
        <v>86</v>
      </c>
      <c r="P234" s="44" t="s">
        <v>86</v>
      </c>
      <c r="Q234" s="44"/>
      <c r="R234" s="44">
        <v>-1</v>
      </c>
      <c r="S234" s="44">
        <v>-1</v>
      </c>
      <c r="T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44">
        <v>-1</v>
      </c>
      <c r="AZ234" s="1"/>
      <c r="BA234" s="1"/>
      <c r="BB234" s="1"/>
      <c r="BC234" s="1"/>
      <c r="BD234" s="1"/>
      <c r="BE234" s="1"/>
      <c r="BF234" s="1"/>
      <c r="BG234" s="1"/>
    </row>
    <row r="235" spans="1:74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/>
      <c r="N235" s="44">
        <f>0.0000000000005* (6 * 12 / 0.44) * 0.0173 / 14 / 1.4 / 10 / 2</f>
        <v>3.6108534322820035E-15</v>
      </c>
      <c r="O235" s="1" t="s">
        <v>599</v>
      </c>
      <c r="P235" s="44">
        <f>P129* 6 * 12 / 0.44 * 0.015 / 14 / 1.4 /2/2/2</f>
        <v>5.8702458256029672E-17</v>
      </c>
      <c r="Q235" s="44"/>
      <c r="R235" s="44">
        <v>4.9999999999999999E-13</v>
      </c>
      <c r="S235" s="44">
        <v>4.9999999999999999E-13</v>
      </c>
      <c r="T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 s="44">
        <v>4.9999999999999999E-13</v>
      </c>
      <c r="AH235"/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 s="44">
        <v>4.9999999999999999E-13</v>
      </c>
      <c r="AP235"/>
      <c r="AQ235" s="44">
        <v>4.9999999999999999E-13</v>
      </c>
      <c r="AR235" s="44">
        <v>4.9999999999999999E-13</v>
      </c>
      <c r="AS235" s="44">
        <v>4.9999999999999999E-13</v>
      </c>
      <c r="AT235" s="44">
        <v>4.9999999999999999E-13</v>
      </c>
      <c r="AU235"/>
      <c r="AV235" s="44">
        <v>4.9999999999999999E-13</v>
      </c>
      <c r="AW235"/>
      <c r="AX235"/>
      <c r="AY235" s="44">
        <v>4.9999999999999999E-13</v>
      </c>
    </row>
    <row r="236" spans="1:74" x14ac:dyDescent="0.25">
      <c r="A236" s="21" t="s">
        <v>602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/>
      <c r="N236" s="44">
        <f>0.000001/3600/10/10</f>
        <v>2.7777777777777777E-12</v>
      </c>
      <c r="P236" s="44">
        <f>P130* 6 * 12 / 0.44 * 0.015 / 14 / 1.4 /2/2/2</f>
        <v>0.15653988868274582</v>
      </c>
      <c r="Q236" s="44"/>
      <c r="R236" s="44">
        <v>4.9999999999999999E-13</v>
      </c>
      <c r="S236" s="44">
        <v>4.9999999999999999E-13</v>
      </c>
      <c r="T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 s="44">
        <v>4.9999999999999999E-13</v>
      </c>
      <c r="AH236"/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 s="44">
        <v>4.9999999999999999E-13</v>
      </c>
      <c r="AP236"/>
      <c r="AQ236" s="44">
        <v>4.9999999999999999E-13</v>
      </c>
      <c r="AR236" s="44">
        <v>4.9999999999999999E-13</v>
      </c>
      <c r="AS236" s="44">
        <v>4.9999999999999999E-13</v>
      </c>
      <c r="AT236" s="44">
        <v>4.9999999999999999E-13</v>
      </c>
      <c r="AU236"/>
      <c r="AV236" s="44">
        <v>4.9999999999999999E-13</v>
      </c>
      <c r="AW236"/>
      <c r="AX236"/>
      <c r="AY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N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N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N207"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N208"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N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N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N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N221"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N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N223"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N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N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N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N234"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Q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:Q2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27:Q12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5:Q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7:Q20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08:Q20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3:Q21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5:Q2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6:Q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8:Q219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0:Q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2:Q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3:Q223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4:Q22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6:Q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0:Q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1:Q23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2:Q23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34:Q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25:T225 AY225 I225:N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0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1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12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Z2 AY2 G2 P2:T2 I2:N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:Z4 AY3:AY4 G3:G4 R3:T4 I3:N4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:Z5 AY5 G5 P5:T5 I5:N5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:Z6 AY6 G6 P6:T6 I6:N6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:Z7 AY7 G7 P7:T7 I7:N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:Z8 AY8 G8 P8:T8 I8:N8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:Z9 AY9 G9 P9:T9 I9:N9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:Z10 AY10 G10 P10:T10 I10:N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:Z11 AY11 G11 P11:T11 I11:N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:Z12 AY12 G12 P12:T12 I12:N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:Z13 AY13 G13 P13:T13 I13:N13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:Z14 AY14 G14 P14:T14 I14:N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:Z15 AY15 G15 P15:T15 I15:N15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:Z16 AY16 G16 P16:T16 I16:N16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:Z17 AY17 G17 P17:T17 I17:N17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:Z18 AY18 G18 P18:T18 I18:N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:Z19 AY19 G19 P19:T19 I19:N19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:Z20 AY20 G20 P20:T20 I20:N20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:Z21 AY21 G21 P21:T21 I21:N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:Z22 AY22 G22 P22:T22 I22:N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5:Z25 AY25 G25 P25:T25 I25:N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6:Z26 AY26 G26 P26:T26 I26:N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7:Z27 AY27 G27 P27:T27 I27:N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8:Z28 AY28 G28 P28:T28 I28:N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9:Z29 AY29 G29 P29:T29 I29:N29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0:Z30 AY30 G30 P30:T30 I30:N30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1:Z31 AY31 G31 P31:T31 I31:N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2:Z32 AY32 G32 P32:T32 I32:N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3:Z33 AY33 G33 P33:T33 I33:N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4:Z34 AY34 G34 P34:T34 I34:N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5:Z35 AY35 G35 P35:T35 I35:N35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6:Z36 AY36 G36 P36:T36 I36:N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7:Z37 AY37 G37 P37:T37 I37:N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8:Z38 AY38 G38 P38:T38 I38:N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39:Z39 AY39 G39 P39:T39 I39:N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0:Z40 AY40 G40 P40:T40 I40:N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1:Z41 AY41 G41 P41:T41 I41:N41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Z42 AY42 G42 P42:T42 I42:N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3:Z43 AY43 G43 P43:T43 I43:N43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4:Z44 AY44 G44 P44:T44 I44:N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5:Z45 AY45 G45 P45:T45 I45:N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6:Z46 AY46 G46 P46:T46 I46:N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7:Z47 AY47 G47 P47:T47 I47:N47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8:Z48 AY48 G48 P48:T48 I48:N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Z49 AY49 G49 P49:T49 I49:N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0:Z50 AY50 G50 P50:T50 I50:N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1:Z51 AY51 G51 P51:T51 I51:N51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2:Z52 AY52 G52 P52:T52 I52:N52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3:Z53 AY53 G53 P53:T53 I53:N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4:Z54 AY54 G54 P54:T54 I54:N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:Z55 AY55 G55 P55:T55 I55:N55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6:Z56 AY56 G56 P56:T56 I56:N56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7:Z57 AY57 G57 P57:T57 I57:N57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8:Z58 AY58 G58 P58:T58 I58:N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9:Z59 AY59 G59 P59:T59 I59:N59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0:Z60 AY60 G60 P60:T60 I60:N60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1:Z61 AY61 G61 P61:T61 I61:N61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2:Z62 AY62 G62 P62:T62 I62:N62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3:Z63 AY63 G63 P63:T63 I63:N63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4:Z64 AY64 G64 P64:T64 I64:N64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5:Z65 AY65 G65 P65:T65 I65:N65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6:Z66 AY66 G66 P66:T66 I66:N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7:Z67 AY67 G67 P67:T67 I67:N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8:Z68 AY68 G68 P68:T68 I68:N68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69:Z69 AY69 G69 P69:T69 I69:N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0:Z70 AY70 G70 P70:T70 I70:N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1:Z71 AY71 G71 P71:T71 I71:N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2:Z72 AY72 G72 P72:T72 I72:N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3:Z73 AY73 G73 P73:T73 I73:N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4:Z74 AY74 G74 P74:T74 I74:N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5:Z75 AY75 G75 P75:T75 I75:N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6:Z76 AY76 G76 P76:T76 I76:N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7:Z77 AY77 G77 P77:T77 I77:N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8:Z78 AY78 G78 P78:T78 I78:N78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79:Z79 AY79 G79 P79:T79 I79:N79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0:Z80 AY80 G80 P80:T80 I80:N80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1:Z81 AY81 G81 P81:T81 I81:N81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2:Z82 AY82 G82 P82:T82 I82:N82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3:Z83 AY83 G83 P83:T83 I83:N83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4:Z84 AY84 G84 P84:T84 I84:N84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5:Z85 AY85 G85 P85:T85 I85:N85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6:Z86 AY86 G86 P86:T86 I86:N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7:Z87 AY87 G87 P87:T87 I87:N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8:Z88 AY88 G88 P88:T88 I88:N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89:Z89 AY89 G89 P89:T89 I89:N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0:Z90 AY90 G90 P90:T90 I90:N90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1:Z91 AY91 G91 P91:T91 I91:N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2:Z92 AY92 G92 P92:T92 I92:N92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3:Z93 AY93 G93 P93:T93 I93:N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4:Z94 AY94 G94 P94:T94 I94:N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5:Z95 AY95 G95 P95:T95 I95:N95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6:Z96 AY96 G96 P96:T96 I96:N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7:Z97 AY97 G97 P97:T97 I97:N97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8:Z98 AY98 G98 P98:T98 I98:N98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99:Z99 AY99 G99 P99:T99 I99:N99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0:Z100 AY100 G100 P100:T100 I100:N100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1:Z101 AY101 G101 P101:T101 I101:N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2:Z102 AY102 G102 P102:T102 I102:N102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3:Z103 AY103 G103 P103:T103 I103:N103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4:Z104 AY104 G104 P104:T104 I104:N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5:Z105 AY105 G105 P105:T105 I105:N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6:Z106 AY106 G106 P106:T106 I106:N106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7:Z107 AY107 G107 P107:T107 I107:N107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8:Z108 AY108 G108 P108:T108 I108:N108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09:Z109 AY109 G109 P109:T109 I109:N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0:Z110 AY110 G110 P110:T110 I110:N110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1:Z111 AY111 G111 P111:T111 I111:N111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2:Z112 AY112 G112 P112:T112 I112:N112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3:Z113 AY113 G113 P113:T113 I113:N113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4:Z114 AY114 G114 P114:T114 I114:N114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5:Z115 AY115 G115 P115:T115 I115:N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6:Z116 AY116 G116 P116:T116 I116:N116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7:Z117 AY117 G117 P117:T117 I117:N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8:Z118 AY118 G118 P118:T118 I118:N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19:Z119 AY119 G119 P119:T119 I119:N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0:Z120 AY120 G120 P120:T120 I120:N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1:Z121 AY121 G121 P121:T121 I121:N121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2:Z122 AY122 G122 P122:T122 I122:N122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3:Z123 AY123 G123 P123:T123 I123:N123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4:Z124 AY124 G124 P124:T124 I124:N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5:Z125 AY125 G125 P125:T125 I125:N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6:Z126 AY126 G126 P126:T126 I126:N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7:Z127 AY127 G127 R127:T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28:Z129 AY128:AY129 G128:G129 P128:T129 I128:N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0:Z130 AY130 G130 P130:T130 I130:N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1:Z131 AY131 G131 P131:T131 I131:N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2:Z132 AY132 G132 P132:T132 I132:N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3:Z133 AY133 G133 P133:T133 I133:N133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4:Z134 AY134 G134 P134:T134 I134:N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5:Z135 AY135 G135 R135:T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6:Z136 AY136 G136 P136:T136 I136:N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7:Z137 AY137 G137 P137:T137 I137:N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8:Z138 AY138 G138 P138:T138 I138:N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39:Z139 AY139 G139 P139:T139 I139:N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0:Z140 AY140 G140 P140:T140 I140:N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1:Z141 AY141 G141 P141:T141 I141:N141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2:Z142 AY142 G142 P142:T142 I142:N142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3:Z143 AY143 G143 P143:T143 I143:N143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4:Z144 AY144 G144 P144:T144 I144:N144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5:Z145 AY145 G145 P145:T145 I145:N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6:Z146 AY146 G146 P146:T146 I146:N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7:Z147 AY147 G147 P147:T147 I147:N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8:Z148 AY148 G148 P148:T148 I148:N148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49:Z149 AY149 G149 P149:T149 I149:N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0:Z150 AY150 G150 P150:T150 I150:N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1:Z151 AY151 G151 P151:T151 I151:N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2:Z152 AY152 G152 P152:T152 I152:N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3:Z153 AY153 G153 P153:T153 I153:N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4:Z154 AY154 G154 P154:T154 I154:N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5:Z155 AY155 G155 P155:T155 I155:N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6:Z156 AY156 G156 P156:T156 I156:N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7:Z157 AY157 G157 P157:T157 I157:N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8:Z158 AY158 G158 P158:T158 I158:N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59:Z159 AY159 G159 P159:T159 I159:N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0:Z160 AY160 G160 P160:T160 I160:N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1:Z161 AY161 G161 P161:T161 I161:N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2:Z162 AY162 G162 P162:T162 I162:N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3:Z163 AY163 G163 P163:T163 I163:N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4:Z164 AY164 G164 P164:T164 I164:N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5:Z165 AY165 G165 P165:T165 I165:N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6:Z166 AY166 G166 P166:T166 I166:N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7:Z167 AY167 G167 P167:T167 I167:N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8:Z168 AY168 G168 P168:T168 I168:N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69:Z169 AY169 G169 P169:T169 I169:N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0:Z170 AY170 G170 P170:T170 I170:N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1:Z171 AY171 G171 P171:T171 I171:N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2:Z172 AY172 G172 P172:T172 I172:N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3:Z173 AY173 G173 P173:T173 I173:N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4:Z174 AY174 G174 P174:T174 I174:N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5:Z175 AY175 G175 P175:T175 I175:N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6:Z176 AY176 G176 P176:T176 I176:N176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7:Z177 AY177 G177 P177:T177 I177:N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8:Z178 AY178 G178 P178:T178 I178:N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79:Z179 AY179 G179 P179:T179 I179:N179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0:Z180 AY180 G180 P180:T180 I180:N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1:Z181 AY181 G181 P181:T181 I181:N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2:Z182 AY182 G182 P182:T182 I182:N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3:Z183 AY183 G183 P183:T183 I183:N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4:Z184 AY184 G184 P184:T184 I184:N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5:Z185 AY185 G185 P185:T185 I185:N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6:Z186 AY186 G186 P186:T186 I186:N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7:Z187 AY187 G187 P187:T187 I187:N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8:Z188 AY188 G188 P188:T188 I188:N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89:Z189 AY189 G189 P189:T189 I189:N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0:Z190 AY190 G190 P190:T190 I190:N190"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1:Z191 AY191 G191 P191:T191 I191:N191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2:Z192 AY192 G192 P192:T192 I192:N192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3:Z193 AY193 G193 P193:T193 I193:N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4:Z194 AY194 G194 P194:T194 I194:N194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5:Z195 AY195 G195 P195:T195 I195:N195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6:Z196 AY196 G196 P196:T196 I196:N196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7:Z197 AY197 G197 P197:T197 I197:N197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8:Z198 AY198 G198 P198:T198 I198:N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99:Z199 AY199 G199 P199:T199 I199:N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0:Z200 AY200 G200 P200:T200 I200:N200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1:Z201 AY201 G201 P201:T201 I201:N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2:Z202 AY202 G202 P202:T202 I202:N202"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3:Z203 AY203 G203 P203:T203 I203:N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4:Z204 AY204 G204 P204:T204 I204:N204"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5:Z205 AY205 G205 P205:T205 I205:N205"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6:Z206 AY206 G206 P206:T206 I206:N206"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:Z207 AY207 G207 R207:T207"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:Z208 AY208 G208 R208:T208"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:Z209 AY209 G209 P209:R209 I209:N209"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:Z210 AY210 G210 P210:R210 I210:N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1:Z211 AY211 G211 P211:R211 I211:N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2:Z212 AY212 G212 P212:R212 I212:N212"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3:Z213"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4:Z214 AY214 G214 R214:T214"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5:Z215 AY215 G215 R215:T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6:Z219 AY216:AY219 G216:G219 R216:T219"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0:Z221 AY220:AY221 G220:G221 R220:T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2:Z224 AY222:AY224 G222:G223 R222:T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5:Z225"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35:Z236 AY235:AY236 G235:G236 P235:T236 I235:N23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G2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G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G5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G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G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G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G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G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G11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G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G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G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G15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G16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G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G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G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G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G21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:AG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G25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G26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G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G28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G29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G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G31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G32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G33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G34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G35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G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G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G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G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G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G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G42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G43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G44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G45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G46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G47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G48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G49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G50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G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G52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G53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G54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G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G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G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G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G59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G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G61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G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G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G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G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G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G67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G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G69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G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G71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G72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G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G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G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G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G77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G78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G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G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G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G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G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G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G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G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G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G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G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G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G91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G92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G93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G94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G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G96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G97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G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G99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G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G101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G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G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G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G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G106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G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G108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G109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G110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G111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G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G113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G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G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G116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G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G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G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G120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G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G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G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G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G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G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G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G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G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G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G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G132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G133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G134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G135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G136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G137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G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G139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G140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G141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G142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G143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G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G145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G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G147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G148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G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G150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G151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G152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G153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G154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G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G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G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G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G159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G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G161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G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G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G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G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G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G167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G168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G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G170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G171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G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G173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G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G175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G176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G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G178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G179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G180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G181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G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G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G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G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G186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G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G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G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G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G191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G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G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G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G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G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G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G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G199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G200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G201"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G202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G203"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G204"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G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G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G207"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G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G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G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G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G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G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G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5:AG215"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6:AG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0:AG221"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2:AG224"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5:AG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5:AG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:AG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6:AG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32:AG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:AO2 AQ2:AT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:AO4 AQ3:AT4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:AO5 AQ5:AT5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:AO6 AQ6:AT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O7 AQ7:AT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O8 AQ8:AT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O9 AQ9:AT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O10 AQ10:AT10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O11 AQ11:AT11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O12 AQ12:AT12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O13 AQ13:AT13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O14 AQ14:AT14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O15 AQ15:AT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O16 AQ16:AT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:AO17 AQ17:AT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:AO18 AQ18:AT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:AO19 AQ19:AT19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:AO20 AQ20:AT20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:AO21 AQ21:AT21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 AQ22:AT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 AQ25:AT25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 AQ26:AT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7:AO27 AQ27:AT27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8:AO28 AQ28:AT28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9:AO29 AQ29:AT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0:AO30 AQ30:AT30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 AQ31:AT31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 AQ32:AT32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 AQ33:AT33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 AQ34:AT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 AQ35:AT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6:AO36 AQ36:AT36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7:AO37 AQ37:AT37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8:AO38 AQ38:AT38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9:AO39 AQ39:AT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O40 AQ40:AT40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O41 AQ41:AT41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O42 AQ42:AT42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O43 AQ43:AT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O44 AQ44:AT44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5:AO45 AQ45:AT45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6:AO46 AQ46:AT46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7:AO47 AQ47:AT47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8:AO48 AQ48:AT48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9:AO49 AQ49:AT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0:AO50 AQ50:AT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1:AO51 AQ51:AT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2:AO52 AQ52:AT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3:AO53 AQ53:AT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4:AO54 AQ54:AT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5:AO55 AQ55:AT55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6:AO56 AQ56:AT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7:AO57 AQ57:AT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8:AO58 AQ58:AT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59:AO59 AQ59:AT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0:AO60 AQ60:AT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1:AO61 AQ61:AT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2:AO62 AQ62:AT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3:AO63 AQ63:AT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4:AO64 AQ64:AT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5:AO65 AQ65:AT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6:AO66 AQ66:AT66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7:AO67 AQ67:AT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8:AO68 AQ68:AT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9:AO69 AQ69:AT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0:AO70 AQ70:AT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1:AO71 AQ71:AT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2:AO72 AQ72:AT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3:AO73 AQ73:AT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4:AO74 AQ74:AT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5:AO75 AQ75:AT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6:AO76 AQ76:AT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7:AO77 AQ77:AT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8:AO78 AQ78:AT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9:AO79 AQ79:AT79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0:AO80 AQ80:AT80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1:AO81 AQ81:AT81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2:AO82 AQ82:AT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3:AO83 AQ83:AT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4:AO84 AQ84:AT84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5:AO85 AQ85:AT85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6:AO86 AQ86:AT86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7:AO87 AQ87:AT87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8:AO88 AQ88:AT88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9:AO89 AQ89:AT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0:AO90 AQ90:AT90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1:AO91 AQ91:AT91"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2:AO92 AQ92:AT92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3:AO93 AQ93:AT93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4:AO94 AQ94:AT94"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5:AO95 AQ95:AT95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6:AO96 AQ96:AT96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7:AO97 AQ97:AT97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8:AO98 AQ98:AT98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9:AO99 AQ99:AT99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0:AO100 AQ100:AT100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1:AO101 AQ101:AT101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2:AO102 AQ102:AT102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3:AO103 AQ103:AT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4:AO104 AQ104:AT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5:AO105 AQ105:AT105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6:AO106 AQ106:AT106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7:AO107 AQ107:AT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8:AO108 AQ108:AT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9:AO109 AQ109:AT109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0:AO110 AQ110:AT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1:AO111 AQ111:AT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2:AO112 AQ112:AT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3:AO113 AQ113:AT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4:AO114 AQ114:AT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5:AO115 AQ115:AT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6:AO116 AQ116:AT116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7:AO117 AQ117:AT117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8:AO118 AQ118:AT118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9:AO119 AQ119:AT119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0:AO120 AQ120:AT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1:AO121 AQ121:AT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2:AO122 AQ122:AT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3:AO123 AQ123:AT123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4:AO124 AQ124:AT124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5:AO125 AQ125:AT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6:AO126 AQ126:AT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7:AO127 AQ127:AT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8:AO128 AQ128:AT1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9:AO129 AQ129:AT129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0:AO130 AQ130:AT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1:AO131 AQ131:AT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2:AO132 AQ132:AT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3:AO133 AQ133:AT133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4:AO134 AQ134:AT134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5:AO135 AQ135:AT135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6:AO136 AQ136:AT13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7:AO137 AQ137:AT13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8:AO138 AQ138:AT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9:AO139 AQ139:AT139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0:AO140 AQ140:AT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1:AO141 AQ141:AT141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2:AO142 AQ142:AT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3:AO143 AQ143:AT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4:AO144 AQ144:AT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5:AO145 AQ145:AT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6:AO146 AQ146:AT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7:AO147 AQ147:AT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8:AO148 AQ148:AT14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9:AO149 AQ149:AT149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0:AO150 AQ150:AT150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1:AO151 AQ151:AT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2:AO152 AQ152:AT152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3:AO153 AQ153:AT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4:AO154 AQ154:AT154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5:AO155 AQ155:AT155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6:AO156 AQ156:AT156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7:AO157 AQ157:AT157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8:AO158 AQ158:AT158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9:AO159 AQ159:AT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0:AO160 AQ160:AT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1:AO161 AQ161:AT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2:AO162 AQ162:AT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3:AO163 AQ163:AT163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4:AO164 AQ164:AT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5:AO165 AQ165:AT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6:AO166 AQ166:AT166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7:AO167 AQ167:AT167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8:AO168 AQ168:AT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9:AO169 AQ169:AT16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0:AO170 AQ170:AT170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1:AO171 AQ171:AT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2:AO172 AQ172:AT172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3:AO173 AQ173:AT173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4:AO174 AQ174:AT174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5:AO175 AQ175:AT17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6:AO176 AQ176:AT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7:AO177 AQ177:AT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8:AO178 AQ178:AT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79:AO179 AQ179:AT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0:AO180 AQ180:AT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1:AO181 AQ181:AT181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2:AO182 AQ182:AT182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3:AO183 AQ183:AT183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4:AO184 AQ184:AT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5:AO185 AQ185:AT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6:AO186 AQ186:AT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7:AO187 AQ187:AT187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8:AO188 AQ188:AT188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89:AO189 AQ189:AT18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0:AO190 AQ190:AT190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1:AO191 AQ191:AT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2:AO192 AQ192:AT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3:AO193 AQ193:AT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4:AO194 AQ194:AT194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5:AO195 AQ195:AT195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6:AO196 AQ196:AT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7:AO197 AQ197:AT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8:AO198 AQ198:AT198"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99:AO199 AQ199:AT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0:AO200 AQ200:AT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1:AO201 AQ201:AT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2:AO202 AQ202:AT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3:AO203 AQ203:AT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4:AO204 AQ204:AT204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5:AO205 AQ205:AT205"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6:AO206 AQ206:AT206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7:AO207 AQ207:AT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8:AO208 AQ208:AT208"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09:AO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0:AO210 AQ210:AT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1:AO211 AQ211:AT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2:AO212 AQ212:AT212"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3:AO213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4:AO214 AQ214:AT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5:AO215 AQ215:AT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16:AO219 AQ216:AT219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0:AO221 AQ220:AT221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O224 AQ222:AT224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:AO225"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5:AO236 AQ235:AT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:AO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6:AO231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32:AO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:AT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:AT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:AT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5:AT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6:AT231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32:AT233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:AV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:AV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6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7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9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0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1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4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5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2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59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0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1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2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3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4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5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6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7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8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0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0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6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7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89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0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1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4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5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6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0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1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4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6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7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8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09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0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1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2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5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6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7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8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19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0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2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5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28:AV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1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3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4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5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6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8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1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4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5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6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7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8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59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0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1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2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3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5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6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7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8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4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6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79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0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2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3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5"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6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7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89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1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199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1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2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1"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3"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4"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5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16:AV219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0:AV221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2:AV224"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5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26:AV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2:AV233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V235:AV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Y23:AY24 W23:Z24 G23:G24 R23:T24 I23:N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Y213 G213 R213:T213 I213:N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Y226:AY231 W226:Z231 G226:G230 R226:T231 I226:N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Y232:AY233 W232:Z233 G232:G234 R232:T234 W234:AY234 I234 I232:N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2025-10-23T18:30:07Z</dcterms:modified>
</cp:coreProperties>
</file>