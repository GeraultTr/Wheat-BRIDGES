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TIGERA~1\AppData\Local\Temp\scp41179\home\torisuten\package\Wheat-BRIDGES\simulations\scene\inputs\"/>
    </mc:Choice>
  </mc:AlternateContent>
  <xr:revisionPtr revIDLastSave="0" documentId="13_ncr:1_{62F800AE-3178-4AB1-A4CB-FDB546DB3D2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cenarios_as_columns" sheetId="2" r:id="rId1"/>
    <sheet name="Comparison_with_parameters.py" sheetId="4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28" i="2" l="1"/>
  <c r="K215" i="2"/>
  <c r="K220" i="2"/>
  <c r="K219" i="2"/>
  <c r="K214" i="2"/>
  <c r="K216" i="2"/>
  <c r="K234" i="2"/>
  <c r="K212" i="2"/>
  <c r="AV216" i="2"/>
  <c r="AS216" i="2"/>
  <c r="AQ216" i="2"/>
  <c r="AP216" i="2"/>
  <c r="AO216" i="2"/>
  <c r="AN216" i="2"/>
  <c r="AL216" i="2"/>
  <c r="AK216" i="2"/>
  <c r="AJ216" i="2"/>
  <c r="AI216" i="2"/>
  <c r="AH216" i="2"/>
  <c r="AG216" i="2"/>
  <c r="AF216" i="2"/>
  <c r="AD216" i="2"/>
  <c r="AC216" i="2"/>
  <c r="AB216" i="2"/>
  <c r="AA216" i="2"/>
  <c r="Z216" i="2"/>
  <c r="Y216" i="2"/>
  <c r="X216" i="2"/>
  <c r="W216" i="2"/>
  <c r="V216" i="2"/>
  <c r="U216" i="2"/>
  <c r="T216" i="2"/>
  <c r="Q216" i="2"/>
  <c r="P216" i="2"/>
  <c r="O216" i="2"/>
  <c r="M216" i="2"/>
  <c r="J216" i="2"/>
  <c r="K230" i="2"/>
  <c r="K229" i="2"/>
  <c r="K227" i="2"/>
  <c r="K224" i="2"/>
  <c r="K222" i="2"/>
  <c r="K218" i="2"/>
  <c r="K217" i="2"/>
  <c r="K208" i="2"/>
  <c r="K206" i="2"/>
  <c r="K125" i="2"/>
  <c r="K119" i="2"/>
  <c r="K115" i="2"/>
  <c r="K112" i="2"/>
  <c r="K109" i="2"/>
  <c r="K108" i="2"/>
  <c r="K107" i="2"/>
  <c r="K106" i="2"/>
  <c r="K105" i="2"/>
  <c r="K104" i="2"/>
  <c r="K103" i="2"/>
  <c r="K102" i="2"/>
  <c r="J234" i="2"/>
  <c r="M230" i="2"/>
  <c r="M229" i="2"/>
  <c r="M227" i="2"/>
  <c r="M224" i="2"/>
  <c r="M223" i="2"/>
  <c r="M222" i="2"/>
  <c r="M221" i="2"/>
  <c r="M220" i="2"/>
  <c r="M219" i="2"/>
  <c r="M218" i="2"/>
  <c r="M217" i="2"/>
  <c r="M215" i="2"/>
  <c r="M214" i="2"/>
  <c r="M212" i="2"/>
  <c r="M208" i="2"/>
  <c r="M206" i="2"/>
  <c r="M128" i="2"/>
  <c r="M234" i="2" s="1"/>
  <c r="M125" i="2"/>
  <c r="M119" i="2"/>
  <c r="M115" i="2"/>
  <c r="M112" i="2"/>
  <c r="M109" i="2"/>
  <c r="M108" i="2"/>
  <c r="M107" i="2"/>
  <c r="M106" i="2"/>
  <c r="M105" i="2"/>
  <c r="M104" i="2"/>
  <c r="M103" i="2"/>
  <c r="M102" i="2"/>
  <c r="J214" i="2"/>
  <c r="J128" i="2"/>
  <c r="J119" i="2"/>
  <c r="I119" i="2"/>
  <c r="J223" i="2"/>
  <c r="J221" i="2"/>
  <c r="J219" i="2"/>
  <c r="J206" i="2" l="1"/>
  <c r="J222" i="2" l="1"/>
  <c r="J220" i="2"/>
  <c r="I222" i="2"/>
  <c r="I214" i="2" l="1"/>
  <c r="I220" i="2" l="1"/>
  <c r="I219" i="2" l="1"/>
  <c r="J215" i="2"/>
  <c r="R213" i="2" l="1"/>
  <c r="J230" i="2"/>
  <c r="J229" i="2"/>
  <c r="J227" i="2"/>
  <c r="J224" i="2"/>
  <c r="J218" i="2"/>
  <c r="J217" i="2"/>
  <c r="J212" i="2"/>
  <c r="J208" i="2"/>
  <c r="J125" i="2"/>
  <c r="J115" i="2"/>
  <c r="J112" i="2"/>
  <c r="J109" i="2"/>
  <c r="J108" i="2"/>
  <c r="J107" i="2"/>
  <c r="J106" i="2"/>
  <c r="J105" i="2"/>
  <c r="J104" i="2"/>
  <c r="J103" i="2"/>
  <c r="J102" i="2"/>
  <c r="I223" i="2"/>
  <c r="I221" i="2"/>
  <c r="O232" i="2" l="1"/>
  <c r="O231" i="2"/>
  <c r="O227" i="2"/>
  <c r="O215" i="2"/>
  <c r="O212" i="2"/>
  <c r="O208" i="2"/>
  <c r="O206" i="2"/>
  <c r="O125" i="2"/>
  <c r="O115" i="2"/>
  <c r="O112" i="2"/>
  <c r="O109" i="2"/>
  <c r="O108" i="2"/>
  <c r="O107" i="2"/>
  <c r="O106" i="2"/>
  <c r="O105" i="2"/>
  <c r="O104" i="2"/>
  <c r="O103" i="2"/>
  <c r="O102" i="2"/>
  <c r="Q232" i="2"/>
  <c r="Q231" i="2"/>
  <c r="Q227" i="2"/>
  <c r="Q215" i="2"/>
  <c r="Q212" i="2"/>
  <c r="Q208" i="2"/>
  <c r="Q206" i="2"/>
  <c r="Q125" i="2"/>
  <c r="Q115" i="2"/>
  <c r="Q112" i="2"/>
  <c r="Q109" i="2"/>
  <c r="Q108" i="2"/>
  <c r="Q107" i="2"/>
  <c r="Q106" i="2"/>
  <c r="Q105" i="2"/>
  <c r="Q104" i="2"/>
  <c r="Q103" i="2"/>
  <c r="Q102" i="2"/>
  <c r="P232" i="2"/>
  <c r="P231" i="2"/>
  <c r="P227" i="2"/>
  <c r="P215" i="2"/>
  <c r="P212" i="2"/>
  <c r="P206" i="2"/>
  <c r="P125" i="2"/>
  <c r="P115" i="2"/>
  <c r="P112" i="2"/>
  <c r="P109" i="2"/>
  <c r="P108" i="2"/>
  <c r="P107" i="2"/>
  <c r="P106" i="2"/>
  <c r="P105" i="2"/>
  <c r="P104" i="2"/>
  <c r="P103" i="2"/>
  <c r="P102" i="2"/>
  <c r="AQ232" i="2"/>
  <c r="AP232" i="2"/>
  <c r="AQ231" i="2"/>
  <c r="AP231" i="2"/>
  <c r="AQ227" i="2"/>
  <c r="AP227" i="2"/>
  <c r="AQ215" i="2"/>
  <c r="AP215" i="2"/>
  <c r="AQ212" i="2"/>
  <c r="AP212" i="2"/>
  <c r="AQ208" i="2"/>
  <c r="AP208" i="2"/>
  <c r="AQ206" i="2"/>
  <c r="AP206" i="2"/>
  <c r="AQ125" i="2"/>
  <c r="AP125" i="2"/>
  <c r="AQ115" i="2"/>
  <c r="AP115" i="2"/>
  <c r="AQ112" i="2"/>
  <c r="AP112" i="2"/>
  <c r="AQ109" i="2"/>
  <c r="AP109" i="2"/>
  <c r="AQ108" i="2"/>
  <c r="AP108" i="2"/>
  <c r="AQ107" i="2"/>
  <c r="AP107" i="2"/>
  <c r="AQ106" i="2"/>
  <c r="AP106" i="2"/>
  <c r="AQ105" i="2"/>
  <c r="AP105" i="2"/>
  <c r="AQ104" i="2"/>
  <c r="AP104" i="2"/>
  <c r="AQ103" i="2"/>
  <c r="AP103" i="2"/>
  <c r="AQ102" i="2"/>
  <c r="AP102" i="2"/>
  <c r="AO232" i="2"/>
  <c r="AO231" i="2"/>
  <c r="AO227" i="2"/>
  <c r="AO215" i="2"/>
  <c r="AO212" i="2"/>
  <c r="AO208" i="2"/>
  <c r="AO206" i="2"/>
  <c r="AO125" i="2"/>
  <c r="AO115" i="2"/>
  <c r="AO112" i="2"/>
  <c r="AO109" i="2"/>
  <c r="AO108" i="2"/>
  <c r="AO107" i="2"/>
  <c r="AO106" i="2"/>
  <c r="AO105" i="2"/>
  <c r="AO104" i="2"/>
  <c r="AO103" i="2"/>
  <c r="AO102" i="2"/>
  <c r="AN232" i="2"/>
  <c r="AN231" i="2"/>
  <c r="AN227" i="2"/>
  <c r="AN215" i="2"/>
  <c r="AN212" i="2"/>
  <c r="AN208" i="2"/>
  <c r="AN206" i="2"/>
  <c r="AN125" i="2"/>
  <c r="AN115" i="2"/>
  <c r="AN112" i="2"/>
  <c r="AN109" i="2"/>
  <c r="AN108" i="2"/>
  <c r="AN107" i="2"/>
  <c r="AN106" i="2"/>
  <c r="AN105" i="2"/>
  <c r="AN104" i="2"/>
  <c r="AN103" i="2"/>
  <c r="AN102" i="2"/>
  <c r="AS232" i="2"/>
  <c r="AS231" i="2"/>
  <c r="AS227" i="2"/>
  <c r="AS215" i="2"/>
  <c r="AS212" i="2"/>
  <c r="AS206" i="2"/>
  <c r="AS125" i="2"/>
  <c r="AS115" i="2"/>
  <c r="AS112" i="2"/>
  <c r="AS109" i="2"/>
  <c r="AS108" i="2"/>
  <c r="AS107" i="2"/>
  <c r="AS106" i="2"/>
  <c r="AS105" i="2"/>
  <c r="AS104" i="2"/>
  <c r="AS103" i="2"/>
  <c r="AS102" i="2"/>
  <c r="AL232" i="2"/>
  <c r="AK232" i="2"/>
  <c r="AJ232" i="2"/>
  <c r="AI232" i="2"/>
  <c r="AH232" i="2"/>
  <c r="AG232" i="2"/>
  <c r="AF232" i="2"/>
  <c r="AL231" i="2"/>
  <c r="AK231" i="2"/>
  <c r="AJ231" i="2"/>
  <c r="AI231" i="2"/>
  <c r="AH231" i="2"/>
  <c r="AG231" i="2"/>
  <c r="AF231" i="2"/>
  <c r="AL227" i="2"/>
  <c r="AK227" i="2"/>
  <c r="AJ227" i="2"/>
  <c r="AI227" i="2"/>
  <c r="AH227" i="2"/>
  <c r="AG227" i="2"/>
  <c r="AF227" i="2"/>
  <c r="AL215" i="2"/>
  <c r="AK215" i="2"/>
  <c r="AJ215" i="2"/>
  <c r="AI215" i="2"/>
  <c r="AH215" i="2"/>
  <c r="AG215" i="2"/>
  <c r="AF215" i="2"/>
  <c r="AL212" i="2"/>
  <c r="AK212" i="2"/>
  <c r="AJ212" i="2"/>
  <c r="AI212" i="2"/>
  <c r="AH212" i="2"/>
  <c r="AG212" i="2"/>
  <c r="AF212" i="2"/>
  <c r="AL208" i="2"/>
  <c r="AK208" i="2"/>
  <c r="AJ208" i="2"/>
  <c r="AI208" i="2"/>
  <c r="AH208" i="2"/>
  <c r="AG208" i="2"/>
  <c r="AF208" i="2"/>
  <c r="AL206" i="2"/>
  <c r="AK206" i="2"/>
  <c r="AJ206" i="2"/>
  <c r="AI206" i="2"/>
  <c r="AH206" i="2"/>
  <c r="AG206" i="2"/>
  <c r="AF206" i="2"/>
  <c r="AL125" i="2"/>
  <c r="AK125" i="2"/>
  <c r="AJ125" i="2"/>
  <c r="AI125" i="2"/>
  <c r="AH125" i="2"/>
  <c r="AG125" i="2"/>
  <c r="AF125" i="2"/>
  <c r="AL115" i="2"/>
  <c r="AK115" i="2"/>
  <c r="AJ115" i="2"/>
  <c r="AI115" i="2"/>
  <c r="AH115" i="2"/>
  <c r="AG115" i="2"/>
  <c r="AF115" i="2"/>
  <c r="AL112" i="2"/>
  <c r="AK112" i="2"/>
  <c r="AJ112" i="2"/>
  <c r="AI112" i="2"/>
  <c r="AH112" i="2"/>
  <c r="AG112" i="2"/>
  <c r="AF112" i="2"/>
  <c r="AL109" i="2"/>
  <c r="AK109" i="2"/>
  <c r="AJ109" i="2"/>
  <c r="AI109" i="2"/>
  <c r="AH109" i="2"/>
  <c r="AG109" i="2"/>
  <c r="AF109" i="2"/>
  <c r="AL108" i="2"/>
  <c r="AK108" i="2"/>
  <c r="AJ108" i="2"/>
  <c r="AI108" i="2"/>
  <c r="AH108" i="2"/>
  <c r="AG108" i="2"/>
  <c r="AF108" i="2"/>
  <c r="AL107" i="2"/>
  <c r="AK107" i="2"/>
  <c r="AJ107" i="2"/>
  <c r="AI107" i="2"/>
  <c r="AH107" i="2"/>
  <c r="AG107" i="2"/>
  <c r="AF107" i="2"/>
  <c r="AL106" i="2"/>
  <c r="AK106" i="2"/>
  <c r="AJ106" i="2"/>
  <c r="AI106" i="2"/>
  <c r="AH106" i="2"/>
  <c r="AG106" i="2"/>
  <c r="AF106" i="2"/>
  <c r="AL105" i="2"/>
  <c r="AK105" i="2"/>
  <c r="AJ105" i="2"/>
  <c r="AI105" i="2"/>
  <c r="AH105" i="2"/>
  <c r="AG105" i="2"/>
  <c r="AF105" i="2"/>
  <c r="AL104" i="2"/>
  <c r="AK104" i="2"/>
  <c r="AJ104" i="2"/>
  <c r="AI104" i="2"/>
  <c r="AH104" i="2"/>
  <c r="AG104" i="2"/>
  <c r="AF104" i="2"/>
  <c r="AL103" i="2"/>
  <c r="AK103" i="2"/>
  <c r="AJ103" i="2"/>
  <c r="AI103" i="2"/>
  <c r="AH103" i="2"/>
  <c r="AG103" i="2"/>
  <c r="AF103" i="2"/>
  <c r="AL102" i="2"/>
  <c r="AK102" i="2"/>
  <c r="AJ102" i="2"/>
  <c r="AI102" i="2"/>
  <c r="AH102" i="2"/>
  <c r="AG102" i="2"/>
  <c r="AF102" i="2"/>
  <c r="AD232" i="2"/>
  <c r="AD231" i="2"/>
  <c r="AD227" i="2"/>
  <c r="AD215" i="2"/>
  <c r="AD212" i="2"/>
  <c r="AD208" i="2"/>
  <c r="AD206" i="2"/>
  <c r="AD125" i="2"/>
  <c r="AD115" i="2"/>
  <c r="AD112" i="2"/>
  <c r="AD109" i="2"/>
  <c r="AD108" i="2"/>
  <c r="AD107" i="2"/>
  <c r="AD106" i="2"/>
  <c r="AD105" i="2"/>
  <c r="AD104" i="2"/>
  <c r="AD103" i="2"/>
  <c r="AD102" i="2"/>
  <c r="AC232" i="2"/>
  <c r="AC231" i="2"/>
  <c r="AC227" i="2"/>
  <c r="AC215" i="2"/>
  <c r="AC212" i="2"/>
  <c r="AC208" i="2"/>
  <c r="AC206" i="2"/>
  <c r="AC125" i="2"/>
  <c r="AC115" i="2"/>
  <c r="AC112" i="2"/>
  <c r="AC109" i="2"/>
  <c r="AC108" i="2"/>
  <c r="AC107" i="2"/>
  <c r="AC106" i="2"/>
  <c r="AC105" i="2"/>
  <c r="AC104" i="2"/>
  <c r="AC103" i="2"/>
  <c r="AC102" i="2"/>
  <c r="AB232" i="2"/>
  <c r="AB231" i="2"/>
  <c r="AB227" i="2"/>
  <c r="AB215" i="2"/>
  <c r="AB212" i="2"/>
  <c r="AB208" i="2"/>
  <c r="AB206" i="2"/>
  <c r="AB125" i="2"/>
  <c r="AB115" i="2"/>
  <c r="AB112" i="2"/>
  <c r="AB109" i="2"/>
  <c r="AB108" i="2"/>
  <c r="AB107" i="2"/>
  <c r="AB106" i="2"/>
  <c r="AB105" i="2"/>
  <c r="AB104" i="2"/>
  <c r="AB103" i="2"/>
  <c r="AB102" i="2"/>
  <c r="AA232" i="2"/>
  <c r="AA231" i="2"/>
  <c r="AA227" i="2"/>
  <c r="AA215" i="2"/>
  <c r="AA212" i="2"/>
  <c r="AA208" i="2"/>
  <c r="AA206" i="2"/>
  <c r="AA125" i="2"/>
  <c r="AA115" i="2"/>
  <c r="AA112" i="2"/>
  <c r="AA109" i="2"/>
  <c r="AA108" i="2"/>
  <c r="AA107" i="2"/>
  <c r="AA106" i="2"/>
  <c r="AA105" i="2"/>
  <c r="AA104" i="2"/>
  <c r="AA103" i="2"/>
  <c r="AA102" i="2"/>
  <c r="Z232" i="2"/>
  <c r="Z231" i="2"/>
  <c r="Z227" i="2"/>
  <c r="Z215" i="2"/>
  <c r="Z212" i="2"/>
  <c r="Z208" i="2"/>
  <c r="Z206" i="2"/>
  <c r="Z125" i="2"/>
  <c r="Z115" i="2"/>
  <c r="Z112" i="2"/>
  <c r="Z109" i="2"/>
  <c r="Z108" i="2"/>
  <c r="Z107" i="2"/>
  <c r="Z106" i="2"/>
  <c r="Z105" i="2"/>
  <c r="Z104" i="2"/>
  <c r="Z103" i="2"/>
  <c r="Z102" i="2"/>
  <c r="Y232" i="2"/>
  <c r="Y231" i="2"/>
  <c r="Y227" i="2"/>
  <c r="Y215" i="2"/>
  <c r="Y212" i="2"/>
  <c r="Y208" i="2"/>
  <c r="Y206" i="2"/>
  <c r="Y125" i="2"/>
  <c r="Y115" i="2"/>
  <c r="Y112" i="2"/>
  <c r="Y109" i="2"/>
  <c r="Y108" i="2"/>
  <c r="Y107" i="2"/>
  <c r="Y106" i="2"/>
  <c r="Y105" i="2"/>
  <c r="Y104" i="2"/>
  <c r="Y103" i="2"/>
  <c r="Y102" i="2"/>
  <c r="X232" i="2"/>
  <c r="X231" i="2"/>
  <c r="X227" i="2"/>
  <c r="X215" i="2"/>
  <c r="X212" i="2"/>
  <c r="X208" i="2"/>
  <c r="X206" i="2"/>
  <c r="X125" i="2"/>
  <c r="X115" i="2"/>
  <c r="X112" i="2"/>
  <c r="X109" i="2"/>
  <c r="X108" i="2"/>
  <c r="X107" i="2"/>
  <c r="X106" i="2"/>
  <c r="X105" i="2"/>
  <c r="X104" i="2"/>
  <c r="X103" i="2"/>
  <c r="X102" i="2"/>
  <c r="W232" i="2"/>
  <c r="V232" i="2"/>
  <c r="U232" i="2"/>
  <c r="T232" i="2"/>
  <c r="G232" i="2"/>
  <c r="W231" i="2" l="1"/>
  <c r="W227" i="2"/>
  <c r="W215" i="2"/>
  <c r="W212" i="2"/>
  <c r="W208" i="2"/>
  <c r="W206" i="2"/>
  <c r="W125" i="2"/>
  <c r="W115" i="2"/>
  <c r="W112" i="2"/>
  <c r="W109" i="2"/>
  <c r="W108" i="2"/>
  <c r="W107" i="2"/>
  <c r="W106" i="2"/>
  <c r="W105" i="2"/>
  <c r="W104" i="2"/>
  <c r="W103" i="2"/>
  <c r="W102" i="2"/>
  <c r="V231" i="2"/>
  <c r="V227" i="2"/>
  <c r="V215" i="2"/>
  <c r="V212" i="2"/>
  <c r="V208" i="2"/>
  <c r="V206" i="2"/>
  <c r="V125" i="2"/>
  <c r="V115" i="2"/>
  <c r="V112" i="2"/>
  <c r="V109" i="2"/>
  <c r="V108" i="2"/>
  <c r="V107" i="2"/>
  <c r="V106" i="2"/>
  <c r="V105" i="2"/>
  <c r="V104" i="2"/>
  <c r="V103" i="2"/>
  <c r="V102" i="2"/>
  <c r="U231" i="2"/>
  <c r="U227" i="2"/>
  <c r="U215" i="2"/>
  <c r="U212" i="2"/>
  <c r="U208" i="2"/>
  <c r="U206" i="2"/>
  <c r="U125" i="2"/>
  <c r="U115" i="2"/>
  <c r="U112" i="2"/>
  <c r="U109" i="2"/>
  <c r="U108" i="2"/>
  <c r="U107" i="2"/>
  <c r="U106" i="2"/>
  <c r="U105" i="2"/>
  <c r="U104" i="2"/>
  <c r="U103" i="2"/>
  <c r="U102" i="2"/>
  <c r="T231" i="2"/>
  <c r="T227" i="2"/>
  <c r="T215" i="2"/>
  <c r="T212" i="2"/>
  <c r="T208" i="2"/>
  <c r="T206" i="2"/>
  <c r="T125" i="2"/>
  <c r="T115" i="2"/>
  <c r="T112" i="2"/>
  <c r="T109" i="2"/>
  <c r="T108" i="2"/>
  <c r="T107" i="2"/>
  <c r="T106" i="2"/>
  <c r="T105" i="2"/>
  <c r="T104" i="2"/>
  <c r="T103" i="2"/>
  <c r="T102" i="2"/>
  <c r="AV232" i="2"/>
  <c r="AV231" i="2"/>
  <c r="AV227" i="2"/>
  <c r="AV215" i="2"/>
  <c r="AV212" i="2"/>
  <c r="AV208" i="2"/>
  <c r="AV206" i="2"/>
  <c r="AV125" i="2"/>
  <c r="AV115" i="2"/>
  <c r="AV112" i="2"/>
  <c r="AV109" i="2"/>
  <c r="AV108" i="2"/>
  <c r="AV107" i="2"/>
  <c r="AV106" i="2"/>
  <c r="AV105" i="2"/>
  <c r="AV104" i="2"/>
  <c r="AV103" i="2"/>
  <c r="AV102" i="2"/>
  <c r="G206" i="2" l="1"/>
  <c r="G231" i="2"/>
  <c r="G208" i="2" l="1"/>
  <c r="G227" i="2"/>
  <c r="G125" i="2" l="1"/>
  <c r="G105" i="2" l="1"/>
  <c r="G104" i="2"/>
  <c r="G103" i="2"/>
  <c r="G102" i="2"/>
  <c r="G221" i="2"/>
  <c r="G212" i="2"/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</calcChain>
</file>

<file path=xl/sharedStrings.xml><?xml version="1.0" encoding="utf-8"?>
<sst xmlns="http://schemas.openxmlformats.org/spreadsheetml/2006/main" count="2824" uniqueCount="601">
  <si>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</si>
  <si>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</si>
  <si>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</si>
  <si>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</si>
  <si>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</si>
  <si>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</si>
  <si>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</si>
  <si>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</si>
  <si>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</si>
  <si>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</si>
  <si>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</si>
  <si>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</si>
  <si>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</si>
  <si>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</si>
  <si>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</si>
  <si>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</si>
  <si>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</si>
  <si>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</si>
  <si>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</si>
  <si>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</si>
  <si>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</si>
  <si>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</si>
  <si>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</si>
  <si>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</si>
  <si>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</si>
  <si>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</si>
  <si>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</si>
  <si>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</si>
  <si>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</si>
  <si>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</si>
  <si>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</si>
  <si>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</si>
  <si>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</si>
  <si>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</si>
  <si>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</si>
  <si>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</si>
  <si>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</si>
  <si>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</si>
  <si>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</si>
  <si>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</si>
  <si>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</si>
  <si>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</si>
  <si>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</si>
  <si>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</si>
  <si>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</si>
  <si>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</si>
  <si>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</si>
  <si>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</si>
  <si>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</si>
  <si>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</si>
  <si>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</si>
  <si>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</si>
  <si>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</si>
  <si>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</si>
  <si>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</si>
  <si>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</si>
  <si>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</si>
  <si>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</si>
  <si>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</si>
  <si>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</si>
  <si>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</si>
  <si>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</si>
  <si>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</si>
  <si>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</si>
  <si>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</si>
  <si>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</si>
  <si>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</si>
  <si>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</si>
  <si>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</si>
  <si>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</si>
  <si>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</si>
  <si>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</si>
  <si>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</si>
  <si>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</si>
  <si>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</si>
  <si>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</si>
  <si>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</si>
  <si>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</si>
  <si>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</si>
  <si>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</si>
  <si>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</si>
  <si>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</si>
  <si>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</si>
  <si>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</si>
  <si>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</si>
  <si>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</si>
  <si>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True</t>
  </si>
  <si>
    <t>False</t>
  </si>
  <si>
    <t>jet</t>
  </si>
  <si>
    <t>WHEAT</t>
  </si>
  <si>
    <t>n_seminal_roots</t>
  </si>
  <si>
    <t>Character / [no units]</t>
  </si>
  <si>
    <t>Type/ Unit</t>
  </si>
  <si>
    <t>Real number /days</t>
  </si>
  <si>
    <t>Boolean / [no units]</t>
  </si>
  <si>
    <t>Integer / [no units]</t>
  </si>
  <si>
    <t>Real number / mol of sucrose per second</t>
  </si>
  <si>
    <t>Real number / mol of C per mol of C</t>
  </si>
  <si>
    <t>Real number / meters</t>
  </si>
  <si>
    <t>Real number / [units of the selected property]</t>
  </si>
  <si>
    <t>Real number / [no units]</t>
  </si>
  <si>
    <t>Real number / [meters per meter per step]</t>
  </si>
  <si>
    <t>Real number / [meters per meter]</t>
  </si>
  <si>
    <t>Integer / [number of roots]</t>
  </si>
  <si>
    <t>Real number / number of roots per second</t>
  </si>
  <si>
    <t>Real number / meters of root per meter of radius per second-equivalent-to-T_ref_growth</t>
  </si>
  <si>
    <t>Real number / second-equivalent-to-T_ref_growth</t>
  </si>
  <si>
    <t>Real number / [square meters per square meters]</t>
  </si>
  <si>
    <t>Real number / second-equivalent-to-temperature-T_ref_growth x meter4 x gram-1</t>
  </si>
  <si>
    <t>Real number / degree Celsius</t>
  </si>
  <si>
    <t>Real number / meters per meter per second</t>
  </si>
  <si>
    <t>Real number / mol of respired CO2 per mol of C used for structural mass</t>
  </si>
  <si>
    <t>Explanation</t>
  </si>
  <si>
    <t>Time step used in the input file</t>
  </si>
  <si>
    <t>Total duration of the simulation</t>
  </si>
  <si>
    <t>Time step used in the simulation</t>
  </si>
  <si>
    <t>Constant input of sucrose to apply</t>
  </si>
  <si>
    <t>Constant soil temperature to apply</t>
  </si>
  <si>
    <t>Maximal order of roots that can emerge</t>
  </si>
  <si>
    <t>Fraction of the input of C provided as sucrose to the root system that is actually considered as "biomass" by ArchiSimple</t>
  </si>
  <si>
    <t>Minimal soil depth of the first soil layer</t>
  </si>
  <si>
    <t>Maximal soil depth of the last soil layer</t>
  </si>
  <si>
    <t>Thickness of each soil layer</t>
  </si>
  <si>
    <t>Time interval separating the automatic recording of simulation results</t>
  </si>
  <si>
    <t>Name of the variable to be displayed on the graph</t>
  </si>
  <si>
    <t>Minimum value of the displayed property on the scale</t>
  </si>
  <si>
    <t>Maximum value of the displayed property on the scale</t>
  </si>
  <si>
    <t>Name of the color range to apply to the scale of the graph</t>
  </si>
  <si>
    <t>Option to allow displaying root hairs (True/False)</t>
  </si>
  <si>
    <t>Option to introduce stochastic processes (True/False)</t>
  </si>
  <si>
    <t>Random seed to specify a repeatable random Option</t>
  </si>
  <si>
    <t>Option to set constant inputs and ignore input file (True/False)</t>
  </si>
  <si>
    <t>Option to allow nodule growth (True/False)</t>
  </si>
  <si>
    <t>Option to limit the emergence of roots of high orders (True/False)</t>
  </si>
  <si>
    <t>Option to allow radial growth (True/False)</t>
  </si>
  <si>
    <t>Option to allow recording the images from PlantGL over time (True/False)</t>
  </si>
  <si>
    <t>Option to allow computing the distribution of various variables per layers of soil (True/False)</t>
  </si>
  <si>
    <t>Option to allow the display of the root system in PlantGL (True/False)</t>
  </si>
  <si>
    <t>Option to set the scale of the graph as a logarithmic scale (True/False)</t>
  </si>
  <si>
    <t>Option to simulate with ArchiSimple only and ignore additional processes</t>
  </si>
  <si>
    <t>Option to allow rotating the camera around the root system (True/False)</t>
  </si>
  <si>
    <t>Total number of camera positions over its rotation around the root system</t>
  </si>
  <si>
    <t>x coordinate of the center of the graph relative to the growth start</t>
  </si>
  <si>
    <t>y coordinate of the center of the graph relative to the growth start</t>
  </si>
  <si>
    <t>z coordinate of the center of the graph relative to the growth start</t>
  </si>
  <si>
    <t>Initial z coordinate of the camera</t>
  </si>
  <si>
    <t>Initial distance of the camera</t>
  </si>
  <si>
    <t>Relative increase in distance of the camera for each new simulation step</t>
  </si>
  <si>
    <t>Length of the root segment of the initial root system at the beginning of the simulation</t>
  </si>
  <si>
    <t>Sucrose concentration of the root segment of the initial root system at the beginning of the simulation</t>
  </si>
  <si>
    <t>Hexose concentration of the root segment of the initial root system at the beginning of the simulation</t>
  </si>
  <si>
    <t>Diameter of the primary root</t>
  </si>
  <si>
    <t>Minimum diameter below which no root is allowed to emerge</t>
  </si>
  <si>
    <t>Total number of seminal roots</t>
  </si>
  <si>
    <t>Total number of adventitious roots</t>
  </si>
  <si>
    <t>Ratio between the mean diameter of adventitious roots and the diameter of the primary root</t>
  </si>
  <si>
    <t>Elongation rate of a given root relative to its diameter</t>
  </si>
  <si>
    <t>Inter primordia distance</t>
  </si>
  <si>
    <t>Time period below which a newly-formed root primordium cannot emerge</t>
  </si>
  <si>
    <t>Average ratio of the diameter of the daughter root to that of the mother root</t>
  </si>
  <si>
    <t>Relative variation of the daughter root diameter around its average value defined by the diameter of the mother root</t>
  </si>
  <si>
    <t>Proportionality coefficient between the section area of the segment and the sum of distal section areas, based on the pipe model</t>
  </si>
  <si>
    <t>Coefficient of life duration</t>
  </si>
  <si>
    <t>Root tissue density</t>
  </si>
  <si>
    <t>Carbon content of the dry structural mass</t>
  </si>
  <si>
    <t>Length of each root segment</t>
  </si>
  <si>
    <t>Coefficient of gravitropism (the higher it is, the faster the roots are growing downwards)</t>
  </si>
  <si>
    <t>Minimal concentration of hexose in the reserve pool</t>
  </si>
  <si>
    <t>Maximal concentration of hexose in the reserve pool</t>
  </si>
  <si>
    <t>Minimal concentration of hexose in the root below which no immobilization into the reserve pool can occur</t>
  </si>
  <si>
    <t>Relative ratio between the length of growing zone of the root (including meristem and elongation zone) and its radius</t>
  </si>
  <si>
    <t>Reference temperature for all root growth processes, which is supposed to correspond to the optimal temperature for maximizing potential growth in ArchiSimple</t>
  </si>
  <si>
    <t>Growth yield as defined by Thornley and Cannell (2000), which corresponds to the fraction of C used for biomass production as opposed to the fraction of C used for growth respiration</t>
  </si>
  <si>
    <t>Affinity constant (in terms of Michaelis-Menten formalism) for root elongation, corresponding to the concentration for which the rate is equal to half of the maximal rate</t>
  </si>
  <si>
    <t>Maximal rate of radial growth, expressed as the maximal relative increase of radius over time</t>
  </si>
  <si>
    <t>Affinity constant (in terms of Michaelis-Menten formalism) for radial growth, corresponding to the concentration for which the rate is equal to half of the maximal rate</t>
  </si>
  <si>
    <t>Proportionality coefficient between the total exchange surface of phloem tissues and the total external surface of the root</t>
  </si>
  <si>
    <t>Coefficient of "permeability" of phloem vessels</t>
  </si>
  <si>
    <t>Maximum unloading rate of sucrose through the surface of the phloem vessels</t>
  </si>
  <si>
    <t>Real number / mol of sucrose per square meter of phloem per second</t>
  </si>
  <si>
    <t>Exponential coefficient affecting the increase of loading with distance from the apex</t>
  </si>
  <si>
    <t>Affinity constant (in terms of Michaelis-Menten formalism) for phloem loading, corresponding to the concentration for which the rate is equal to half of the maximal rate</t>
  </si>
  <si>
    <t>Real number / [square meters per square meter]</t>
  </si>
  <si>
    <t>Maximal immobilization rate of hexose into the reserve pool</t>
  </si>
  <si>
    <t>Affinity constant (in terms of Michaelis-Menten formalism) for hexose immobilization, corresponding to the concentration for which the rate is equal to half of the maximal rate</t>
  </si>
  <si>
    <t>Affinity constant (in terms of Michaelis-Menten formalism) for hexose mobilization from reserve, corresponding to the concentration for which the rate is equal to half of the maximal rate</t>
  </si>
  <si>
    <t>Maximal mobilization rate of hexose from the reserve</t>
  </si>
  <si>
    <t>Maximal rate of maintenance respiration</t>
  </si>
  <si>
    <t>Affinity constant (in terms of Michaelis-Menten formalism) for maintenance respiration, corresponding to the concentration for which the rate is equal to half of the maximal rate</t>
  </si>
  <si>
    <t>Coefficient of permeability of root cortical and epidermal symplasm</t>
  </si>
  <si>
    <t>Exponential coefficient affecting the decrease of exudation with distance from the apex</t>
  </si>
  <si>
    <t>Maximal rate of hexose uptake from the soil-root interface</t>
  </si>
  <si>
    <t>Affinity constant (in terms of Michaelis-Menten formalism) for hexose uptake from the soil-root interface, corresponding to the concentration for which the rate is equal to half of the maximal rate</t>
  </si>
  <si>
    <t>Maximal rate of hexose consumption at the soil-root interface</t>
  </si>
  <si>
    <t>Affinity constant (in terms of Michaelis-Menten formalism) for hexose consumption at the soil-root interface, corresponding to the concentration for which the rate is equal to half of the maximal rate</t>
  </si>
  <si>
    <t>Real number / mol of sucrose per gram of root dry structural biomass</t>
  </si>
  <si>
    <t>Real number / gram of root dry structural mass per cubic meter</t>
  </si>
  <si>
    <t>Real number / mol of C per gram of root dry structural mass</t>
  </si>
  <si>
    <t>Real number / mol of hexose per gram of root dry structural mass</t>
  </si>
  <si>
    <t>Real number / gram of root dry structural biomass per square meter of phloem per second</t>
  </si>
  <si>
    <t>Real number / mol of hexose per gram of root dry structural mass per second</t>
  </si>
  <si>
    <t>Real number / gram of root dry structural biomass per square meter of symplasm per second</t>
  </si>
  <si>
    <t>Real number / [second per second]</t>
  </si>
  <si>
    <t>Plant genotype (not used in the simulation)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</si>
  <si>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</si>
  <si>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</si>
  <si>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</si>
  <si>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</si>
  <si>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</si>
  <si>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</si>
  <si>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</si>
  <si>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</si>
  <si>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</si>
  <si>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</si>
  <si>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</si>
  <si>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</si>
  <si>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</si>
  <si>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</si>
  <si>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</si>
  <si>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</si>
  <si>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</si>
  <si>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</si>
  <si>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</si>
  <si>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</si>
  <si>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</si>
  <si>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</si>
  <si>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</si>
  <si>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</si>
  <si>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</si>
  <si>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</si>
  <si>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</si>
  <si>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</si>
  <si>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</si>
  <si>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</si>
  <si>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</si>
  <si>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</si>
  <si>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</si>
  <si>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</si>
  <si>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</si>
  <si>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</si>
  <si>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</si>
  <si>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</si>
  <si>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</si>
  <si>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</si>
  <si>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</si>
  <si>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</si>
  <si>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</si>
  <si>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</si>
  <si>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</si>
  <si>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</si>
  <si>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</si>
  <si>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</si>
  <si>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</si>
  <si>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</si>
  <si>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</si>
  <si>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</si>
  <si>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</si>
  <si>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</si>
  <si>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</si>
  <si>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</si>
  <si>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</si>
  <si>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</si>
  <si>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</si>
  <si>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</si>
  <si>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</si>
  <si>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</si>
  <si>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</si>
  <si>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</si>
  <si>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</si>
  <si>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</si>
  <si>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</si>
  <si>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</si>
  <si>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</si>
  <si>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</si>
  <si>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</si>
  <si>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</si>
  <si>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</si>
  <si>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</si>
  <si>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</si>
  <si>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</si>
  <si>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</si>
  <si>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</si>
  <si>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</si>
  <si>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</si>
  <si>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Ratio between the mean diameter of seminal roots and the diameter of the primary root</t>
  </si>
  <si>
    <t>List from 'updated_parameters.csv'</t>
  </si>
  <si>
    <t>List from 'scenario_as_columns' sheet</t>
  </si>
  <si>
    <t>Missing parameters in 'scenario_as_columns' sheet</t>
  </si>
  <si>
    <t>Time period below which no primordium of adventitious roots can emerge</t>
  </si>
  <si>
    <t>Relative value of a growth process when reaching the soil temperature of T_ref_growth (1 by default)</t>
  </si>
  <si>
    <t>Mean radius of a root hair</t>
  </si>
  <si>
    <t>Maximal length of a root hair</t>
  </si>
  <si>
    <t>Maximal elongation rate of a root hair</t>
  </si>
  <si>
    <t>Life duration of a root hair</t>
  </si>
  <si>
    <t>Real number / number of hairs par meter of root per meter of root radius</t>
  </si>
  <si>
    <t>Coefficient of density of root hairs along a root</t>
  </si>
  <si>
    <t>Real number / seconds</t>
  </si>
  <si>
    <t>Real number / meters of hair per meter of root radius per second</t>
  </si>
  <si>
    <t>Reference temperature for setting the temperature-dependence of the maximal rate of maintenance respiration</t>
  </si>
  <si>
    <t>Coefficient A used for setting the temperature-dependence of the maximal rate of maintenance respiration</t>
  </si>
  <si>
    <t>Coefficient B used for setting the temperature-dependence of the maximal rate of maintenance respiration</t>
  </si>
  <si>
    <t>Real number / per degree Celsius</t>
  </si>
  <si>
    <t>Coefficient C used for setting the temperature-dependence of the maximal rate of maintenance respiration (0 / 1)</t>
  </si>
  <si>
    <t>Reference temperature for setting the temperature-dependence of hexose immobilization</t>
  </si>
  <si>
    <t>Coefficient A used for setting the temperature-dependence of hexose immobilization</t>
  </si>
  <si>
    <t>Coefficient B used for setting the temperature-dependence of hexose immobilization</t>
  </si>
  <si>
    <t>Coefficient C used for setting the temperature-dependence of hexose immobilization (0 / 1)</t>
  </si>
  <si>
    <t>Reference temperature for setting the temperature-dependence of hexose mobilization</t>
  </si>
  <si>
    <t>Coefficient A used for setting the temperature-dependence of hexose mobilization</t>
  </si>
  <si>
    <t>Coefficient B used for setting the temperature-dependence of hexose mobilization</t>
  </si>
  <si>
    <t>Coefficient C used for setting the temperature-dependence of hexose mobilization (0 / 1)</t>
  </si>
  <si>
    <t>Reference temperature for setting the temperature-dependence of phloem unloading</t>
  </si>
  <si>
    <t>Coefficient A used for setting the temperature-dependence of phloem unloading</t>
  </si>
  <si>
    <t>Coefficient B used for setting the temperature-dependence of phloem unloading</t>
  </si>
  <si>
    <t>Coefficient C used for setting the temperature-dependence of phloem unloading (0 / 1)</t>
  </si>
  <si>
    <t>Reference temperature for setting the temperature-dependence of phloem loading</t>
  </si>
  <si>
    <t>Coefficient A used for setting the temperature-dependence of phloem loading</t>
  </si>
  <si>
    <t>Coefficient B used for setting the temperature-dependence of phloem loading</t>
  </si>
  <si>
    <t>Coefficient C used for setting the temperature-dependence of phloem loading (0 / 1)</t>
  </si>
  <si>
    <t>Reference temperature for setting the temperature-dependence of exudation rate</t>
  </si>
  <si>
    <t>Coefficient A used for setting the temperature-dependence of exudation rate</t>
  </si>
  <si>
    <t>Coefficient B used for setting the temperature-dependence of exudation rate</t>
  </si>
  <si>
    <t>Coefficient C used for setting the temperature-dependence of exudation rate (0 / 1)</t>
  </si>
  <si>
    <t>Reference temperature for setting the temperature-dependence of the maximal rate of hexose uptake</t>
  </si>
  <si>
    <t>Coefficient A used for setting the temperature-dependence of the maximal rate of hexose uptake</t>
  </si>
  <si>
    <t>Coefficient B used for setting the temperature-dependence of the maximal rate of hexose uptake</t>
  </si>
  <si>
    <t>Coefficient C used for setting the temperature-dependence of the maximal rate of hexose uptake (0 / 1)</t>
  </si>
  <si>
    <t>Maximum rate of mucilage secretion</t>
  </si>
  <si>
    <t>Real number / mol of hexose per square meter per second</t>
  </si>
  <si>
    <t>Reference temperature for setting the temperature-dependence of the maximal rate of mucilage secretion</t>
  </si>
  <si>
    <t>Coefficient A used for setting the temperature-dependence of the maximal rate of mucilage secretion</t>
  </si>
  <si>
    <t>Coefficient B used for setting the temperature-dependence of the maximal rate of mucilage secretion</t>
  </si>
  <si>
    <t>Coefficient C used for setting the temperature-dependence of the maximal rate of mucilage secretion (0 / 1)</t>
  </si>
  <si>
    <t>Reference temperature for setting the temperature-dependence of the maximal rate of cells release</t>
  </si>
  <si>
    <t>Coefficient A used for setting the temperature-dependence of the maximal rate of cells release</t>
  </si>
  <si>
    <t>Coefficient B used for setting the temperature-dependence of the maximal rate of cells release</t>
  </si>
  <si>
    <t>Coefficient C used for setting the temperature-dependence of the maximal rate of cells release (0 / 1)</t>
  </si>
  <si>
    <t>Reference temperature for setting the temperature-dependence of the maximal rate of hexose degradation</t>
  </si>
  <si>
    <t>Coefficient A used for setting the temperature-dependence of the maximal rate of hexose degradation</t>
  </si>
  <si>
    <t>Coefficient B used for setting the temperature-dependence of the maximal rate of hexose degradation</t>
  </si>
  <si>
    <t>Coefficient C used for setting the temperature-dependence of the maximal rate of hexose degradation (0 / 1)</t>
  </si>
  <si>
    <t>Reference temperature for setting the temperature-dependence of the maximal rate of mucilage degradation</t>
  </si>
  <si>
    <t>Coefficient A used for setting the temperature-dependence of the maximal rate of mucilage degradation</t>
  </si>
  <si>
    <t>Coefficient B used for setting the temperature-dependence of the maximal rate of mucilage degradation</t>
  </si>
  <si>
    <t>Coefficient C used for setting the temperature-dependence of the maximal rate of mucilage degradation (0 / 1)</t>
  </si>
  <si>
    <t>Reference temperature for setting the temperature-dependence of the maximal rate of root cells degradation</t>
  </si>
  <si>
    <t>Coefficient A used for setting the temperature-dependence of the maximal rate of root cells degradation</t>
  </si>
  <si>
    <t>Coefficient B used for setting the temperature-dependence of the maximal rate of root cells degradation</t>
  </si>
  <si>
    <t>Coefficient C used for setting the temperature-dependence of the maximal rate of root cells degradation (0 / 1)</t>
  </si>
  <si>
    <t>Affinity constant (in terms of Michaelis-Menten formalism) for mucilage secretion, corresponding to the concentration for which the rate is equal to half of the maximal rate</t>
  </si>
  <si>
    <t>Exponential coefficient affecting the secretion of mucilage with the distance from the apex</t>
  </si>
  <si>
    <t>Maximum rate of root cells release</t>
  </si>
  <si>
    <t>Real number / mol of equivalent hexose per square meter per second</t>
  </si>
  <si>
    <t>Maximal concentration of root cells in soil, above which no release of cells is possible</t>
  </si>
  <si>
    <t>Real number / mol of equivalent-hexose per gram of root dry structural mass</t>
  </si>
  <si>
    <t>Maximal rate of mucilage degradation at the soil-root interface</t>
  </si>
  <si>
    <t>Maximal rate of root cells degradation at the soil-root interface</t>
  </si>
  <si>
    <t>Real number / mol of equivalent hexose per gram of root dry structural mass per second</t>
  </si>
  <si>
    <t>Affinity constant (in terms of Michaelis-Menten formalism) for mucilage degradation at the soil-root interface, corresponding to the concentration for which the rate is equal to half of the maximal rate</t>
  </si>
  <si>
    <t>Real number / mol of equivalent hexose per gram of root dry structural mass</t>
  </si>
  <si>
    <t>Affinity constant (in terms of Michaelis-Menten formalism) for cells degradation at the soil-root interface, corresponding to the concentration for which the rate is equal to half of the maximal rate</t>
  </si>
  <si>
    <t>Plant_genotype</t>
  </si>
  <si>
    <t>using_solver</t>
  </si>
  <si>
    <t>Option to use a solver for calculating the equilibrium C concentrations at each time step and for each root element</t>
  </si>
  <si>
    <t>printing_solver_outputs</t>
  </si>
  <si>
    <t>Option to print the outputs of the solver</t>
  </si>
  <si>
    <t>stelar_parenchyma_surfacic_fraction</t>
  </si>
  <si>
    <t>cortical_parenchyma_surfacic_fraction</t>
  </si>
  <si>
    <t>epidermal_parenchyma_surfacic_fraction</t>
  </si>
  <si>
    <t>Proportionality coefficient between the total exchange surface of stelar parenchyma and the total external surface of the root</t>
  </si>
  <si>
    <t>Proportionality coefficient between the total exchange surface of cortical parenchyma and the total external surface of the root</t>
  </si>
  <si>
    <t>Proportionality coefficient between the total exchange surface of epidermis and the total external surface of the root</t>
  </si>
  <si>
    <t>Option to record the properties of each node in an Excel file, for each time step</t>
  </si>
  <si>
    <t>Option to record the MTG in a pickle file, for each time step</t>
  </si>
  <si>
    <t>recording_MTG_properties</t>
  </si>
  <si>
    <t>recording_MTG_files</t>
  </si>
  <si>
    <t>printing_warnings</t>
  </si>
  <si>
    <t>Option to print all warnings</t>
  </si>
  <si>
    <t>Reference_value</t>
  </si>
  <si>
    <t>initial_apex_length</t>
  </si>
  <si>
    <t>Length of the apex of the initial root system at the beginning of the simulation</t>
  </si>
  <si>
    <t>Emission rate of seminal/adventitious roots over time</t>
  </si>
  <si>
    <t>total_exchange_surface_with_soil_solution</t>
  </si>
  <si>
    <t>meristem_limite_zone_factor</t>
  </si>
  <si>
    <t>Ratio between the length of the meristem zone and root radius</t>
  </si>
  <si>
    <t>relative_conductance_at_meristem</t>
  </si>
  <si>
    <t>Relative conductance of cell walls in the meristem zone</t>
  </si>
  <si>
    <t>start_thermal_time_for_endodermis_formation</t>
  </si>
  <si>
    <t>Thermal age of root cells at which the formation of endodermis starts</t>
  </si>
  <si>
    <t>end_thermal_time_for_endodermis_formation</t>
  </si>
  <si>
    <t>Thermal age of root cells at which the formation of endodermis ends</t>
  </si>
  <si>
    <t>start_thermal_time_for_exodermis_formation</t>
  </si>
  <si>
    <t>Thermal age of root cells at which the formation of exodermis starts</t>
  </si>
  <si>
    <t>end_thermal_time_for_exodermis_formation</t>
  </si>
  <si>
    <t>Thermal age of root cells at which the formation of exodermis ends</t>
  </si>
  <si>
    <t>max_thermal_time_since_endodermis_disruption</t>
  </si>
  <si>
    <t>Thermal time above which no endodermis disruption in the mother root is considered anymore once a lateral root has started to emerge</t>
  </si>
  <si>
    <t>max_thermal_time_since_exodermis_disruption</t>
  </si>
  <si>
    <t>Thermal time above which no exodermis disruption in the mother root is considered anymore once a lateral root has started to emerge</t>
  </si>
  <si>
    <t>Real number / meters per square meter</t>
  </si>
  <si>
    <t>GD_low</t>
  </si>
  <si>
    <t>GD_medium</t>
  </si>
  <si>
    <t>GD_high</t>
  </si>
  <si>
    <t>Growth duration for short-growing roots</t>
  </si>
  <si>
    <t>Growth duration for long-growing roots</t>
  </si>
  <si>
    <t>Growth duration for seminal and adventitious roots</t>
  </si>
  <si>
    <t>forcing_seminal_roots_events</t>
  </si>
  <si>
    <t>Option to force the regular apparition of seminal roots with ER parameter (True/False)</t>
  </si>
  <si>
    <t>forcing_adventitious_roots_events</t>
  </si>
  <si>
    <t>Option to force the regular apparition of adventitious roots with ER parameter (True/False)</t>
  </si>
  <si>
    <t>GD_prob_low</t>
  </si>
  <si>
    <t>GD_prob_medium</t>
  </si>
  <si>
    <t>GD_highest</t>
  </si>
  <si>
    <t>Coefficient of growth duration extension, by which the theoretical growth duration is multiplied for seminal and adventitious roots</t>
  </si>
  <si>
    <t>GD_by_frequency</t>
  </si>
  <si>
    <t>Growth duration for intermediate-growing roots</t>
  </si>
  <si>
    <t>Probability of getting the GD_low value</t>
  </si>
  <si>
    <t>Probability of getting the GD_low or the GD_medium value</t>
  </si>
  <si>
    <t>Real number / second-equivalent-to-temperature-T_ref_growth per square meter of diameter</t>
  </si>
  <si>
    <t>Coefficient of growth duration relative to the square of the root radius</t>
  </si>
  <si>
    <t>Option to force the growth duration to be defined according to a few possible values, depending on their respective probability</t>
  </si>
  <si>
    <t>endodermis_a</t>
  </si>
  <si>
    <t>Maximal relative resistance (%) of endodermis to apoplastic transport (100% = no apoplastic transport)</t>
  </si>
  <si>
    <t>endodermis_b</t>
  </si>
  <si>
    <t>Gompertz parameter b for endodermis - period since cells formation before the significant increase in relative resistance due to endodermis formation</t>
  </si>
  <si>
    <t>endodermis_c</t>
  </si>
  <si>
    <t>Gompertz parameter c for endodermis - slope of the significant increase in relative resistance due to endodermis formation</t>
  </si>
  <si>
    <t>exodermis_a</t>
  </si>
  <si>
    <t>Maximal relative resistance (%) of exodermis to apoplastic transport (100% = no apoplastic transport)</t>
  </si>
  <si>
    <t>exodermis_b</t>
  </si>
  <si>
    <t>Gompertz parameter b for exodermis - period since cells formation before the significant increase in relative resistance due to endodermis formation</t>
  </si>
  <si>
    <t>exodermis_c</t>
  </si>
  <si>
    <t>Gompertz parameter c for exodermis - slope of the significant increase in relative resistance due to endodermis formation</t>
  </si>
  <si>
    <t>Real number / %</t>
  </si>
  <si>
    <t>Real number / seconds-equivalent-to-T_ref_growth</t>
  </si>
  <si>
    <t>Real number / seconds-1 (equivalent-to-T_ref_growth)</t>
  </si>
  <si>
    <t>C_hexose_root</t>
  </si>
  <si>
    <t>PlantGL_window_width</t>
  </si>
  <si>
    <t>PlantGL_window_height</t>
  </si>
  <si>
    <t>Width of the window opened by PlantGL to display the graph (and eventually of the image that will be registered)</t>
  </si>
  <si>
    <t>Height of the window opened by PlantGL to display the graph (and eventually of the image that will be registered)</t>
  </si>
  <si>
    <t>reference_rate_of_hexose_consumption_by_growth</t>
  </si>
  <si>
    <t>Reference rate of hexose consumption for growth (used to proportionnally increase the permeability of phloem according to the actual rate of hexose consumption)</t>
  </si>
  <si>
    <t>Real number / mol of hexose per second</t>
  </si>
  <si>
    <t>max_unloading_rate</t>
  </si>
  <si>
    <t>Affinity constant (in terms of Michaelis-Menten formalism) for phloem unloading, corresponding to the concentration for which the rate is equal to half of the maximal rate</t>
  </si>
  <si>
    <t>Real number / mol of sucrose per gram of root dry structural mass</t>
  </si>
  <si>
    <t>Name of the root MTG file to be loaded (if the option above has been declared True)</t>
  </si>
  <si>
    <t>unloading_by_diffusion</t>
  </si>
  <si>
    <t>Option to select a diffusion process rather than a Michaelis-Menten to describe phloem unloading (True/False)</t>
  </si>
  <si>
    <t>starting_time_in_days</t>
  </si>
  <si>
    <t xml:space="preserve">Time in the input file at which the simulation will start </t>
  </si>
  <si>
    <t>C_hexose_min_for_elongation</t>
  </si>
  <si>
    <t>Treshold hexose concentration for elongation, below which no elongation occurs</t>
  </si>
  <si>
    <t>C_hexose_min_for_thickening</t>
  </si>
  <si>
    <t>Treshold hexose concentration for elongation, below which no thickening occurs</t>
  </si>
  <si>
    <t>mycorrhizal_fungus</t>
  </si>
  <si>
    <t>Option to allow interaction with mycorrhizal fungi (True/False)</t>
  </si>
  <si>
    <t>Option to artiticially rehomogenize the concentrations of sugars along the roots at the end of the time step (True/False)</t>
  </si>
  <si>
    <t>background_color</t>
  </si>
  <si>
    <t>RGB vector describing the color of the background of the MTG (from 0 to 255 for each value, 0=black and 255=white)</t>
  </si>
  <si>
    <t>3D vector / [no units]</t>
  </si>
  <si>
    <t>[94,76,64]</t>
  </si>
  <si>
    <t>homogenizing_root_sugar_concentrations</t>
  </si>
  <si>
    <t>homogenizing_soil_concentrations</t>
  </si>
  <si>
    <t>Option to artiticially rehomogenize the concentrations of rhizodeposits along the roots at the end of the time step (True/False)</t>
  </si>
  <si>
    <t>Real number /degree Celsius</t>
  </si>
  <si>
    <t>renewal_of_soil_solution</t>
  </si>
  <si>
    <t>Option to artificially renew the soil solution and set the rhizodeposits concentrations to 0, at regular interval of time</t>
  </si>
  <si>
    <t>interval_between_renewal_events</t>
  </si>
  <si>
    <t>Interval of time between two soil solution's renewal events</t>
  </si>
  <si>
    <t>Input</t>
  </si>
  <si>
    <t>Input_type</t>
  </si>
  <si>
    <t>parameter</t>
  </si>
  <si>
    <t>input_tables</t>
  </si>
  <si>
    <t>input_mtg</t>
  </si>
  <si>
    <t>meteo_Ljutovac2002.csv</t>
  </si>
  <si>
    <t>Input file containing soil temperature evolution over time for the soil model</t>
  </si>
  <si>
    <t>root_3_leaves.pckl</t>
  </si>
  <si>
    <t>soil_temperature</t>
  </si>
  <si>
    <t>°C</t>
  </si>
  <si>
    <t>root_mtg_file</t>
  </si>
  <si>
    <t>Dedicated_to</t>
  </si>
  <si>
    <t>root_bridges</t>
  </si>
  <si>
    <t>Organ_label</t>
  </si>
  <si>
    <t>None</t>
  </si>
  <si>
    <t>adim</t>
  </si>
  <si>
    <t>mol.m-3</t>
  </si>
  <si>
    <t>Mineral nitrogen concentration in a located patch in soil</t>
  </si>
  <si>
    <t>patch_depth_mineralN</t>
  </si>
  <si>
    <t>Depth of a nitrate patch in soil</t>
  </si>
  <si>
    <t>m</t>
  </si>
  <si>
    <t>patch_uniform_width_mineralN</t>
  </si>
  <si>
    <t>Width of the zone of the patch with uniform concentration of nitrate</t>
  </si>
  <si>
    <t>patch_transition_mineralN</t>
  </si>
  <si>
    <t>Variance of the normal law smooting the boundary transition of a nitrate patch with the background concentration</t>
  </si>
  <si>
    <t>Km_elongation_amino_acids</t>
  </si>
  <si>
    <t>Affinity constant for root elongation regarding amino_acids consumption</t>
  </si>
  <si>
    <t>mol.g-1 DW</t>
  </si>
  <si>
    <t>span_N_regulation</t>
  </si>
  <si>
    <t>Variation range of concentration during which Km changes occur</t>
  </si>
  <si>
    <t>mol.g-1</t>
  </si>
  <si>
    <t>diffusion_soil</t>
  </si>
  <si>
    <t>Diffusion paramenter for exchanges between cortex symplasm and soil solution</t>
  </si>
  <si>
    <t>g.s-1.m-2</t>
  </si>
  <si>
    <t>diffusion_phloem</t>
  </si>
  <si>
    <t>Diffusion paramenter for exchanges between phloem symplasm and cortex symplasm</t>
  </si>
  <si>
    <t>Diffusion paramenter for exchanges between xylem apoplasm and cortex symplasm</t>
  </si>
  <si>
    <t>g.s-1.m-3</t>
  </si>
  <si>
    <t>vmax_Nm_xylem</t>
  </si>
  <si>
    <t>Vmax parameter for mineral nitrogen xylem loading</t>
  </si>
  <si>
    <t>mol.s-1.m-2</t>
  </si>
  <si>
    <t>start_distance_for_endodermis_factor</t>
  </si>
  <si>
    <t>Ratio between the distance from tip where barriers formation starts/ends, and root radius</t>
  </si>
  <si>
    <t>end_distance_for_endodermis_factor</t>
  </si>
  <si>
    <t>start_distance_for_exodermis_factor</t>
  </si>
  <si>
    <t>end_distance_for_exodermis_factor</t>
  </si>
  <si>
    <t>SIGMA_SUCROSE</t>
  </si>
  <si>
    <t>cnwheat</t>
  </si>
  <si>
    <t xml:space="preserve">Conductance parameter </t>
  </si>
  <si>
    <t>g2.mol-1.m-2.s-1</t>
  </si>
  <si>
    <t>roots</t>
  </si>
  <si>
    <t>max_loading_rate</t>
  </si>
  <si>
    <t>water_moisture_patch</t>
  </si>
  <si>
    <t>water moisture in a located patch in soil</t>
  </si>
  <si>
    <t>patch_depth_water_moisture</t>
  </si>
  <si>
    <t>Depth of a water moisture patch in soil</t>
  </si>
  <si>
    <t>patch_uniform_width_water_moisture</t>
  </si>
  <si>
    <t>Width of the zone of the patch with uniform water moisture</t>
  </si>
  <si>
    <t>patch_transition_water_moisture</t>
  </si>
  <si>
    <t>Variance of the normal law smooting the boundary transition of a moisture patch with the background concentration</t>
  </si>
  <si>
    <t>smax_AA</t>
  </si>
  <si>
    <t>Maximal rate of amino acid synthesis in the root segment</t>
  </si>
  <si>
    <t>soil_moisture</t>
  </si>
  <si>
    <t>dissolved_mineral_N</t>
  </si>
  <si>
    <t>dissolved_mineral_N_patch</t>
  </si>
  <si>
    <t>g.g-1</t>
  </si>
  <si>
    <t>Intitialization soil nitrate content</t>
  </si>
  <si>
    <t>initialization soil water content</t>
  </si>
  <si>
    <t>m3.m-3</t>
  </si>
  <si>
    <t>DOC</t>
  </si>
  <si>
    <t>DON</t>
  </si>
  <si>
    <t>WB_S1</t>
  </si>
  <si>
    <t>WB_R2</t>
  </si>
  <si>
    <t>WB_R3</t>
  </si>
  <si>
    <t>WB_R4</t>
  </si>
  <si>
    <t>WB_R5</t>
  </si>
  <si>
    <t>WB_R6</t>
  </si>
  <si>
    <t>WB_R7</t>
  </si>
  <si>
    <t>WB_R8</t>
  </si>
  <si>
    <t>WB_R9</t>
  </si>
  <si>
    <t>WB_R10</t>
  </si>
  <si>
    <t>WB_R11</t>
  </si>
  <si>
    <t>WB_R12</t>
  </si>
  <si>
    <t>WB_R13</t>
  </si>
  <si>
    <t>WB_R14</t>
  </si>
  <si>
    <t>WB_R15</t>
  </si>
  <si>
    <t>WB_R16</t>
  </si>
  <si>
    <t>WB_R17</t>
  </si>
  <si>
    <t>WB_R18</t>
  </si>
  <si>
    <t>WB_R19</t>
  </si>
  <si>
    <t>mol.s-1.g-1</t>
  </si>
  <si>
    <t>WB_R17_patch</t>
  </si>
  <si>
    <t>WB_R21</t>
  </si>
  <si>
    <t>WB_R22</t>
  </si>
  <si>
    <t>WB_R23</t>
  </si>
  <si>
    <t>WB_R24</t>
  </si>
  <si>
    <t>Old simulations</t>
  </si>
  <si>
    <t>WB_lowS7_patch</t>
  </si>
  <si>
    <t>WB_lowS8</t>
  </si>
  <si>
    <t>WB_lowS7_O2</t>
  </si>
  <si>
    <t>Km_Nm_xylem</t>
  </si>
  <si>
    <t>Km parameter for mineral nitrogen xylem loading</t>
  </si>
  <si>
    <t>vmax_unloading_AA_phloem</t>
  </si>
  <si>
    <t>km_unloading_AA_phloem</t>
  </si>
  <si>
    <t>vmax_AA_xylem</t>
  </si>
  <si>
    <t>Vmax parameter for amino acids xylem loading</t>
  </si>
  <si>
    <t>Affinity parameter for amino acid loading into symplasm from phloem</t>
  </si>
  <si>
    <t>cmax_AA</t>
  </si>
  <si>
    <t>Maximal rate of amino acid catabolism in the root segment</t>
  </si>
  <si>
    <t>soil_model</t>
  </si>
  <si>
    <t>soil</t>
  </si>
  <si>
    <t>Before</t>
  </si>
  <si>
    <t>synchronize_adventitious_emergence</t>
  </si>
  <si>
    <t>Tells wether root system should listen to shoot for synchronization of nodal roots emergence</t>
  </si>
  <si>
    <t>mineral_N_fertilization_rate</t>
  </si>
  <si>
    <t>Input file containing fertilization rate evolution over time for the soil model</t>
  </si>
  <si>
    <t>gN.s-1</t>
  </si>
  <si>
    <t>reference_rate_of_AA_consumption_by_growth</t>
  </si>
  <si>
    <t>Reference rate of amino acids for growth (used to proportionnally increase the permeability of phloem according to the actual rate of amino_acid consumption)</t>
  </si>
  <si>
    <t>Real number / mol of amino acids per second</t>
  </si>
  <si>
    <t>diffusion_xylem_Nm_P</t>
  </si>
  <si>
    <t>diffusion_xylem_AA_P</t>
  </si>
  <si>
    <t>meteo_Ljutovac2002_soil.csv</t>
  </si>
  <si>
    <t>WB_ref</t>
  </si>
  <si>
    <t>/2</t>
  </si>
  <si>
    <t>WB_ref2</t>
  </si>
  <si>
    <t>WB_debug</t>
  </si>
  <si>
    <t>permeability_phloem_AA</t>
  </si>
  <si>
    <t>hex * conv</t>
  </si>
  <si>
    <t>Pmax/10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</si>
</sst>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61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18" fillId="34" borderId="10" xfId="0" applyFont="1" applyFill="1" applyBorder="1"/>
    <xf numFmtId="0" fontId="0" fillId="34" borderId="10" xfId="0" applyFill="1" applyBorder="1"/>
    <xf numFmtId="0" fontId="18" fillId="44" borderId="10" xfId="0" applyFont="1" applyFill="1" applyBorder="1"/>
    <xf numFmtId="0" fontId="0" fillId="44" borderId="10" xfId="0" applyFill="1" applyBorder="1"/>
    <xf numFmtId="0" fontId="18" fillId="33" borderId="10" xfId="0" applyFont="1" applyFill="1" applyBorder="1"/>
    <xf numFmtId="0" fontId="0" fillId="33" borderId="10" xfId="0" applyFill="1" applyBorder="1"/>
    <xf numFmtId="0" fontId="18" fillId="37" borderId="10" xfId="0" applyFont="1" applyFill="1" applyBorder="1"/>
    <xf numFmtId="0" fontId="0" fillId="37" borderId="10" xfId="0" applyFill="1" applyBorder="1"/>
    <xf numFmtId="0" fontId="18" fillId="36" borderId="10" xfId="0" applyFont="1" applyFill="1" applyBorder="1"/>
    <xf numFmtId="0" fontId="0" fillId="36" borderId="10" xfId="0" applyFill="1" applyBorder="1"/>
    <xf numFmtId="0" fontId="18" fillId="38" borderId="10" xfId="0" applyFont="1" applyFill="1" applyBorder="1"/>
    <xf numFmtId="0" fontId="0" fillId="38" borderId="10" xfId="0" applyFill="1" applyBorder="1"/>
    <xf numFmtId="0" fontId="18" fillId="41" borderId="10" xfId="0" applyFont="1" applyFill="1" applyBorder="1"/>
    <xf numFmtId="0" fontId="0" fillId="41" borderId="10" xfId="0" applyFill="1" applyBorder="1"/>
    <xf numFmtId="0" fontId="18" fillId="42" borderId="10" xfId="0" applyFont="1" applyFill="1" applyBorder="1"/>
    <xf numFmtId="0" fontId="0" fillId="42" borderId="10" xfId="0" applyFill="1" applyBorder="1"/>
    <xf numFmtId="0" fontId="18" fillId="45" borderId="10" xfId="0" applyFont="1" applyFill="1" applyBorder="1"/>
    <xf numFmtId="0" fontId="0" fillId="45" borderId="10" xfId="0" applyFill="1" applyBorder="1"/>
    <xf numFmtId="0" fontId="18" fillId="39" borderId="10" xfId="0" applyFont="1" applyFill="1" applyBorder="1"/>
    <xf numFmtId="0" fontId="0" fillId="39" borderId="10" xfId="0" applyFill="1" applyBorder="1"/>
    <xf numFmtId="0" fontId="18" fillId="43" borderId="10" xfId="0" applyFont="1" applyFill="1" applyBorder="1"/>
    <xf numFmtId="0" fontId="0" fillId="43" borderId="10" xfId="0" applyFill="1" applyBorder="1"/>
    <xf numFmtId="0" fontId="18" fillId="35" borderId="10" xfId="0" applyFont="1" applyFill="1" applyBorder="1"/>
    <xf numFmtId="0" fontId="0" fillId="35" borderId="10" xfId="0" applyFill="1" applyBorder="1"/>
    <xf numFmtId="0" fontId="18" fillId="47" borderId="10" xfId="0" applyFont="1" applyFill="1" applyBorder="1"/>
    <xf numFmtId="0" fontId="0" fillId="47" borderId="10" xfId="0" applyFill="1" applyBorder="1"/>
    <xf numFmtId="0" fontId="18" fillId="46" borderId="10" xfId="0" applyFont="1" applyFill="1" applyBorder="1"/>
    <xf numFmtId="0" fontId="0" fillId="46" borderId="10" xfId="0" applyFill="1" applyBorder="1"/>
    <xf numFmtId="0" fontId="18" fillId="48" borderId="10" xfId="0" applyFont="1" applyFill="1" applyBorder="1"/>
    <xf numFmtId="0" fontId="0" fillId="48" borderId="10" xfId="0" applyFill="1" applyBorder="1"/>
    <xf numFmtId="0" fontId="18" fillId="49" borderId="10" xfId="0" applyFont="1" applyFill="1" applyBorder="1"/>
    <xf numFmtId="0" fontId="0" fillId="49" borderId="10" xfId="0" applyFill="1" applyBorder="1"/>
    <xf numFmtId="0" fontId="16" fillId="0" borderId="10" xfId="0" applyFont="1" applyBorder="1" applyAlignment="1">
      <alignment horizontal="left"/>
    </xf>
    <xf numFmtId="0" fontId="16" fillId="0" borderId="10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18" fillId="50" borderId="10" xfId="0" applyFont="1" applyFill="1" applyBorder="1"/>
    <xf numFmtId="0" fontId="0" fillId="50" borderId="10" xfId="0" applyFill="1" applyBorder="1"/>
    <xf numFmtId="11" fontId="18" fillId="39" borderId="10" xfId="0" applyNumberFormat="1" applyFont="1" applyFill="1" applyBorder="1"/>
    <xf numFmtId="11" fontId="0" fillId="39" borderId="10" xfId="0" applyNumberFormat="1" applyFill="1" applyBorder="1"/>
    <xf numFmtId="0" fontId="18" fillId="52" borderId="10" xfId="0" applyFont="1" applyFill="1" applyBorder="1"/>
    <xf numFmtId="0" fontId="0" fillId="52" borderId="10" xfId="0" applyFill="1" applyBorder="1"/>
    <xf numFmtId="11" fontId="16" fillId="51" borderId="10" xfId="0" applyNumberFormat="1" applyFont="1" applyFill="1" applyBorder="1" applyAlignment="1">
      <alignment horizontal="left" vertical="center"/>
    </xf>
    <xf numFmtId="11" fontId="16" fillId="50" borderId="10" xfId="0" applyNumberFormat="1" applyFont="1" applyFill="1" applyBorder="1" applyAlignment="1">
      <alignment horizontal="left" vertical="center"/>
    </xf>
    <xf numFmtId="0" fontId="0" fillId="46" borderId="11" xfId="0" applyFill="1" applyBorder="1"/>
    <xf numFmtId="0" fontId="18" fillId="40" borderId="12" xfId="0" applyFont="1" applyFill="1" applyBorder="1"/>
    <xf numFmtId="0" fontId="18" fillId="34" borderId="12" xfId="0" applyFont="1" applyFill="1" applyBorder="1"/>
    <xf numFmtId="0" fontId="0" fillId="40" borderId="12" xfId="0" applyFill="1" applyBorder="1"/>
    <xf numFmtId="0" fontId="0" fillId="0" borderId="10" xfId="0" applyBorder="1"/>
    <xf numFmtId="11" fontId="16" fillId="0" borderId="0" xfId="0" applyNumberFormat="1" applyFont="1"/>
    <xf numFmtId="11" fontId="0" fillId="0" borderId="0" xfId="0" applyNumberFormat="1" applyAlignment="1">
      <alignment horizontal="left"/>
    </xf>
    <xf numFmtId="0" fontId="16" fillId="53" borderId="10" xfId="0" applyFont="1" applyFill="1" applyBorder="1"/>
    <xf numFmtId="0" fontId="16" fillId="0" borderId="0" xfId="0" applyFont="1" applyAlignment="1">
      <alignment horizontal="left" vertical="center" wrapText="1"/>
    </xf>
    <xf numFmtId="11" fontId="16" fillId="0" borderId="10" xfId="0" applyNumberFormat="1" applyFont="1" applyBorder="1" applyAlignment="1">
      <alignment horizontal="left" vertical="center"/>
    </xf>
    <xf numFmtId="11" fontId="16" fillId="0" borderId="10" xfId="0" applyNumberFormat="1" applyFont="1" applyBorder="1"/>
    <xf numFmtId="11" fontId="0" fillId="0" borderId="10" xfId="0" applyNumberFormat="1" applyBorder="1" applyAlignment="1">
      <alignment horizontal="left"/>
    </xf>
    <xf numFmtId="11" fontId="16" fillId="51" borderId="0" xfId="0" applyNumberFormat="1" applyFont="1" applyFill="1" applyAlignment="1">
      <alignment horizontal="left" vertical="center"/>
    </xf>
    <xf numFmtId="11" fontId="16" fillId="50" borderId="0" xfId="0" applyNumberFormat="1" applyFont="1" applyFill="1" applyAlignment="1">
      <alignment horizontal="left" vertical="center"/>
    </xf>
    <xf numFmtId="11" fontId="16" fillId="0" borderId="0" xfId="0" applyNumberFormat="1" applyFont="1" applyAlignment="1">
      <alignment horizontal="left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234"/>
  <sheetViews>
    <sheetView tabSelected="1" zoomScale="79" zoomScaleNormal="100" workbookViewId="0">
      <pane xSplit="6" ySplit="1" topLeftCell="G111" activePane="bottomRight" state="frozen"/>
      <selection pane="topRight" activeCell="G1" sqref="G1"/>
      <selection pane="bottomLeft" activeCell="A2" sqref="A2"/>
      <selection pane="bottomRight" activeCell="L131" sqref="L131"/>
    </sheetView>
  </sheetViews>
  <sheetFormatPr defaultColWidth="11.42578125" defaultRowHeight="15" x14ac:dyDescent="0.25"/>
  <cols>
    <col min="1" max="1" width="32.7109375" style="1" customWidth="1"/>
    <col min="2" max="2" width="13.7109375" style="1" customWidth="1"/>
    <col min="3" max="3" width="16.140625" style="1" customWidth="1"/>
    <col min="4" max="4" width="12.85546875" style="1" customWidth="1"/>
    <col min="5" max="5" width="13.85546875" customWidth="1"/>
    <col min="6" max="6" width="22.7109375" customWidth="1"/>
    <col min="7" max="7" width="16.140625" style="37" customWidth="1"/>
    <col min="8" max="48" width="21.5703125" style="1" customWidth="1"/>
  </cols>
  <sheetData>
    <row r="1" spans="1:48" s="1" customFormat="1" x14ac:dyDescent="0.25">
      <c r="A1" s="2" t="s">
        <v>471</v>
      </c>
      <c r="B1" s="2" t="s">
        <v>472</v>
      </c>
      <c r="C1" s="2" t="s">
        <v>482</v>
      </c>
      <c r="D1" s="2" t="s">
        <v>484</v>
      </c>
      <c r="E1" s="2" t="s">
        <v>112</v>
      </c>
      <c r="F1" s="2" t="s">
        <v>92</v>
      </c>
      <c r="G1" s="35" t="s">
        <v>378</v>
      </c>
      <c r="I1" s="54" t="s">
        <v>582</v>
      </c>
      <c r="J1" s="54" t="s">
        <v>594</v>
      </c>
      <c r="K1" s="54" t="s">
        <v>597</v>
      </c>
      <c r="M1" s="54" t="s">
        <v>596</v>
      </c>
      <c r="N1" s="54"/>
      <c r="O1" s="54" t="s">
        <v>570</v>
      </c>
      <c r="P1" s="54" t="s">
        <v>568</v>
      </c>
      <c r="Q1" s="54" t="s">
        <v>569</v>
      </c>
      <c r="S1" s="1" t="s">
        <v>567</v>
      </c>
      <c r="T1" s="36" t="s">
        <v>543</v>
      </c>
      <c r="U1" s="36" t="s">
        <v>544</v>
      </c>
      <c r="V1" s="36" t="s">
        <v>545</v>
      </c>
      <c r="W1" s="36" t="s">
        <v>546</v>
      </c>
      <c r="X1" s="36" t="s">
        <v>547</v>
      </c>
      <c r="Y1" s="36" t="s">
        <v>548</v>
      </c>
      <c r="Z1" s="36" t="s">
        <v>549</v>
      </c>
      <c r="AA1" s="36" t="s">
        <v>550</v>
      </c>
      <c r="AB1" s="36" t="s">
        <v>551</v>
      </c>
      <c r="AC1" s="36" t="s">
        <v>552</v>
      </c>
      <c r="AD1" s="36" t="s">
        <v>553</v>
      </c>
      <c r="AE1"/>
      <c r="AF1" s="36" t="s">
        <v>554</v>
      </c>
      <c r="AG1" s="36" t="s">
        <v>555</v>
      </c>
      <c r="AH1" s="36" t="s">
        <v>556</v>
      </c>
      <c r="AI1" s="36" t="s">
        <v>557</v>
      </c>
      <c r="AJ1" s="36" t="s">
        <v>558</v>
      </c>
      <c r="AK1" s="36" t="s">
        <v>559</v>
      </c>
      <c r="AL1" s="36" t="s">
        <v>560</v>
      </c>
      <c r="AM1"/>
      <c r="AN1" s="36" t="s">
        <v>563</v>
      </c>
      <c r="AO1" s="36" t="s">
        <v>564</v>
      </c>
      <c r="AP1" s="36" t="s">
        <v>565</v>
      </c>
      <c r="AQ1" s="36" t="s">
        <v>566</v>
      </c>
      <c r="AR1"/>
      <c r="AS1" s="36" t="s">
        <v>562</v>
      </c>
      <c r="AT1"/>
      <c r="AU1"/>
      <c r="AV1" s="36" t="s">
        <v>542</v>
      </c>
    </row>
    <row r="2" spans="1:48" s="1" customFormat="1" x14ac:dyDescent="0.25">
      <c r="A2" s="42" t="s">
        <v>481</v>
      </c>
      <c r="B2" s="3" t="s">
        <v>475</v>
      </c>
      <c r="C2" s="3" t="s">
        <v>483</v>
      </c>
      <c r="D2" s="3" t="s">
        <v>521</v>
      </c>
      <c r="E2" s="43" t="s">
        <v>447</v>
      </c>
      <c r="F2" s="43" t="s">
        <v>91</v>
      </c>
      <c r="G2" s="44" t="s">
        <v>478</v>
      </c>
      <c r="I2" s="58"/>
      <c r="J2" s="44" t="s">
        <v>478</v>
      </c>
      <c r="K2" s="44" t="s">
        <v>478</v>
      </c>
      <c r="M2" s="44" t="s">
        <v>478</v>
      </c>
      <c r="N2" s="44"/>
      <c r="O2" s="44" t="s">
        <v>478</v>
      </c>
      <c r="P2" s="44" t="s">
        <v>478</v>
      </c>
      <c r="Q2" s="44" t="s">
        <v>478</v>
      </c>
      <c r="T2" s="44" t="s">
        <v>478</v>
      </c>
      <c r="U2" s="44" t="s">
        <v>478</v>
      </c>
      <c r="V2" s="44" t="s">
        <v>478</v>
      </c>
      <c r="W2" s="44" t="s">
        <v>478</v>
      </c>
      <c r="X2" s="44" t="s">
        <v>478</v>
      </c>
      <c r="Y2" s="44" t="s">
        <v>478</v>
      </c>
      <c r="Z2" s="44" t="s">
        <v>478</v>
      </c>
      <c r="AA2" s="44" t="s">
        <v>478</v>
      </c>
      <c r="AB2" s="44" t="s">
        <v>478</v>
      </c>
      <c r="AC2" s="44" t="s">
        <v>478</v>
      </c>
      <c r="AD2" s="44" t="s">
        <v>478</v>
      </c>
      <c r="AE2"/>
      <c r="AF2" s="44" t="s">
        <v>478</v>
      </c>
      <c r="AG2" s="44" t="s">
        <v>478</v>
      </c>
      <c r="AH2" s="44" t="s">
        <v>478</v>
      </c>
      <c r="AI2" s="44" t="s">
        <v>478</v>
      </c>
      <c r="AJ2" s="44" t="s">
        <v>478</v>
      </c>
      <c r="AK2" s="44" t="s">
        <v>478</v>
      </c>
      <c r="AL2" s="44" t="s">
        <v>478</v>
      </c>
      <c r="AM2"/>
      <c r="AN2" s="44" t="s">
        <v>478</v>
      </c>
      <c r="AO2" s="44" t="s">
        <v>478</v>
      </c>
      <c r="AP2" s="44" t="s">
        <v>478</v>
      </c>
      <c r="AQ2" s="44" t="s">
        <v>478</v>
      </c>
      <c r="AR2"/>
      <c r="AS2" s="44" t="s">
        <v>478</v>
      </c>
      <c r="AT2"/>
      <c r="AU2"/>
      <c r="AV2" s="44" t="s">
        <v>478</v>
      </c>
    </row>
    <row r="3" spans="1:48" s="1" customFormat="1" x14ac:dyDescent="0.25">
      <c r="A3" s="42" t="s">
        <v>479</v>
      </c>
      <c r="B3" s="3" t="s">
        <v>474</v>
      </c>
      <c r="C3" s="3" t="s">
        <v>483</v>
      </c>
      <c r="D3" s="3" t="s">
        <v>521</v>
      </c>
      <c r="E3" s="46" t="s">
        <v>477</v>
      </c>
      <c r="F3" s="46" t="s">
        <v>480</v>
      </c>
      <c r="G3" s="44" t="s">
        <v>476</v>
      </c>
      <c r="I3" s="58"/>
      <c r="J3" s="44" t="s">
        <v>593</v>
      </c>
      <c r="K3" s="44" t="s">
        <v>593</v>
      </c>
      <c r="M3" s="44" t="s">
        <v>476</v>
      </c>
      <c r="N3" s="44"/>
      <c r="O3" s="44" t="s">
        <v>476</v>
      </c>
      <c r="P3" s="44" t="s">
        <v>476</v>
      </c>
      <c r="Q3" s="44" t="s">
        <v>476</v>
      </c>
      <c r="T3" s="44" t="s">
        <v>476</v>
      </c>
      <c r="U3" s="44" t="s">
        <v>476</v>
      </c>
      <c r="V3" s="44" t="s">
        <v>476</v>
      </c>
      <c r="W3" s="44" t="s">
        <v>476</v>
      </c>
      <c r="X3" s="44" t="s">
        <v>476</v>
      </c>
      <c r="Y3" s="44" t="s">
        <v>476</v>
      </c>
      <c r="Z3" s="44" t="s">
        <v>476</v>
      </c>
      <c r="AA3" s="44" t="s">
        <v>476</v>
      </c>
      <c r="AB3" s="44" t="s">
        <v>476</v>
      </c>
      <c r="AC3" s="44" t="s">
        <v>476</v>
      </c>
      <c r="AD3" s="44" t="s">
        <v>476</v>
      </c>
      <c r="AE3"/>
      <c r="AF3" s="44" t="s">
        <v>476</v>
      </c>
      <c r="AG3" s="44" t="s">
        <v>476</v>
      </c>
      <c r="AH3" s="44" t="s">
        <v>476</v>
      </c>
      <c r="AI3" s="44" t="s">
        <v>476</v>
      </c>
      <c r="AJ3" s="44" t="s">
        <v>476</v>
      </c>
      <c r="AK3" s="44" t="s">
        <v>476</v>
      </c>
      <c r="AL3" s="44" t="s">
        <v>476</v>
      </c>
      <c r="AM3"/>
      <c r="AN3" s="44" t="s">
        <v>476</v>
      </c>
      <c r="AO3" s="44" t="s">
        <v>476</v>
      </c>
      <c r="AP3" s="44" t="s">
        <v>476</v>
      </c>
      <c r="AQ3" s="44" t="s">
        <v>476</v>
      </c>
      <c r="AR3"/>
      <c r="AS3" s="44" t="s">
        <v>476</v>
      </c>
      <c r="AT3"/>
      <c r="AU3"/>
      <c r="AV3" s="44" t="s">
        <v>476</v>
      </c>
    </row>
    <row r="4" spans="1:48" s="1" customFormat="1" x14ac:dyDescent="0.25">
      <c r="A4" s="42" t="s">
        <v>585</v>
      </c>
      <c r="B4" s="3" t="s">
        <v>474</v>
      </c>
      <c r="C4" s="3" t="s">
        <v>483</v>
      </c>
      <c r="D4" s="3" t="s">
        <v>521</v>
      </c>
      <c r="E4" s="46" t="s">
        <v>586</v>
      </c>
      <c r="F4" s="46" t="s">
        <v>587</v>
      </c>
      <c r="G4" s="44" t="s">
        <v>476</v>
      </c>
      <c r="I4" s="58"/>
      <c r="J4" s="44" t="s">
        <v>476</v>
      </c>
      <c r="K4" s="44" t="s">
        <v>476</v>
      </c>
      <c r="M4" s="44" t="s">
        <v>476</v>
      </c>
      <c r="N4" s="44"/>
      <c r="O4" s="44" t="s">
        <v>476</v>
      </c>
      <c r="P4" s="44" t="s">
        <v>476</v>
      </c>
      <c r="Q4" s="44" t="s">
        <v>476</v>
      </c>
      <c r="T4" s="44" t="s">
        <v>476</v>
      </c>
      <c r="U4" s="44" t="s">
        <v>476</v>
      </c>
      <c r="V4" s="44" t="s">
        <v>476</v>
      </c>
      <c r="W4" s="44" t="s">
        <v>476</v>
      </c>
      <c r="X4" s="44" t="s">
        <v>476</v>
      </c>
      <c r="Y4" s="44" t="s">
        <v>476</v>
      </c>
      <c r="Z4" s="44" t="s">
        <v>476</v>
      </c>
      <c r="AA4" s="44" t="s">
        <v>476</v>
      </c>
      <c r="AB4" s="44" t="s">
        <v>476</v>
      </c>
      <c r="AC4" s="44" t="s">
        <v>476</v>
      </c>
      <c r="AD4" s="44" t="s">
        <v>476</v>
      </c>
      <c r="AE4"/>
      <c r="AF4" s="44" t="s">
        <v>476</v>
      </c>
      <c r="AG4" s="44" t="s">
        <v>476</v>
      </c>
      <c r="AH4" s="44" t="s">
        <v>476</v>
      </c>
      <c r="AI4" s="44" t="s">
        <v>476</v>
      </c>
      <c r="AJ4" s="44" t="s">
        <v>476</v>
      </c>
      <c r="AK4" s="44" t="s">
        <v>476</v>
      </c>
      <c r="AL4" s="44" t="s">
        <v>476</v>
      </c>
      <c r="AM4"/>
      <c r="AN4" s="44" t="s">
        <v>476</v>
      </c>
      <c r="AO4" s="44" t="s">
        <v>476</v>
      </c>
      <c r="AP4" s="44" t="s">
        <v>476</v>
      </c>
      <c r="AQ4" s="44" t="s">
        <v>476</v>
      </c>
      <c r="AR4"/>
      <c r="AS4" s="44" t="s">
        <v>476</v>
      </c>
      <c r="AT4"/>
      <c r="AU4"/>
      <c r="AV4" s="44" t="s">
        <v>476</v>
      </c>
    </row>
    <row r="5" spans="1:48" x14ac:dyDescent="0.25">
      <c r="A5" s="3" t="s">
        <v>2</v>
      </c>
      <c r="B5" s="3" t="s">
        <v>473</v>
      </c>
      <c r="C5" s="3" t="s">
        <v>483</v>
      </c>
      <c r="D5" s="3" t="s">
        <v>521</v>
      </c>
      <c r="E5" s="4" t="s">
        <v>129</v>
      </c>
      <c r="F5" s="4" t="s">
        <v>94</v>
      </c>
      <c r="G5" s="44" t="s">
        <v>86</v>
      </c>
      <c r="I5" s="58"/>
      <c r="J5" s="44" t="s">
        <v>86</v>
      </c>
      <c r="K5" s="44" t="s">
        <v>86</v>
      </c>
      <c r="M5" s="44" t="s">
        <v>86</v>
      </c>
      <c r="N5" s="44"/>
      <c r="O5" s="44" t="s">
        <v>86</v>
      </c>
      <c r="P5" s="44" t="s">
        <v>86</v>
      </c>
      <c r="Q5" s="44" t="s">
        <v>86</v>
      </c>
      <c r="T5" s="44" t="s">
        <v>86</v>
      </c>
      <c r="U5" s="44" t="s">
        <v>86</v>
      </c>
      <c r="V5" s="44" t="s">
        <v>86</v>
      </c>
      <c r="W5" s="44" t="s">
        <v>86</v>
      </c>
      <c r="X5" s="44" t="s">
        <v>86</v>
      </c>
      <c r="Y5" s="44" t="s">
        <v>86</v>
      </c>
      <c r="Z5" s="44" t="s">
        <v>86</v>
      </c>
      <c r="AA5" s="44" t="s">
        <v>86</v>
      </c>
      <c r="AB5" s="44" t="s">
        <v>86</v>
      </c>
      <c r="AC5" s="44" t="s">
        <v>86</v>
      </c>
      <c r="AD5" s="44" t="s">
        <v>86</v>
      </c>
      <c r="AE5"/>
      <c r="AF5" s="44" t="s">
        <v>86</v>
      </c>
      <c r="AG5" s="44" t="s">
        <v>86</v>
      </c>
      <c r="AH5" s="44" t="s">
        <v>86</v>
      </c>
      <c r="AI5" s="44" t="s">
        <v>86</v>
      </c>
      <c r="AJ5" s="44" t="s">
        <v>86</v>
      </c>
      <c r="AK5" s="44" t="s">
        <v>86</v>
      </c>
      <c r="AL5" s="44" t="s">
        <v>86</v>
      </c>
      <c r="AM5"/>
      <c r="AN5" s="44" t="s">
        <v>86</v>
      </c>
      <c r="AO5" s="44" t="s">
        <v>86</v>
      </c>
      <c r="AP5" s="44" t="s">
        <v>86</v>
      </c>
      <c r="AQ5" s="44" t="s">
        <v>86</v>
      </c>
      <c r="AR5"/>
      <c r="AS5" s="44" t="s">
        <v>86</v>
      </c>
      <c r="AT5"/>
      <c r="AU5"/>
      <c r="AV5" s="44" t="s">
        <v>86</v>
      </c>
    </row>
    <row r="6" spans="1:48" x14ac:dyDescent="0.25">
      <c r="A6" s="3" t="s">
        <v>3</v>
      </c>
      <c r="B6" s="3" t="s">
        <v>473</v>
      </c>
      <c r="C6" s="3" t="s">
        <v>483</v>
      </c>
      <c r="D6" s="3" t="s">
        <v>521</v>
      </c>
      <c r="E6" s="4" t="s">
        <v>130</v>
      </c>
      <c r="F6" s="4" t="s">
        <v>95</v>
      </c>
      <c r="G6" s="44">
        <v>1</v>
      </c>
      <c r="I6" s="58"/>
      <c r="J6" s="44">
        <v>1</v>
      </c>
      <c r="K6" s="44">
        <v>1</v>
      </c>
      <c r="M6" s="44">
        <v>1</v>
      </c>
      <c r="N6" s="44"/>
      <c r="O6" s="44">
        <v>1</v>
      </c>
      <c r="P6" s="44">
        <v>1</v>
      </c>
      <c r="Q6" s="44">
        <v>1</v>
      </c>
      <c r="T6" s="44">
        <v>1</v>
      </c>
      <c r="U6" s="44">
        <v>1</v>
      </c>
      <c r="V6" s="44">
        <v>1</v>
      </c>
      <c r="W6" s="44">
        <v>1</v>
      </c>
      <c r="X6" s="44">
        <v>1</v>
      </c>
      <c r="Y6" s="44">
        <v>1</v>
      </c>
      <c r="Z6" s="44">
        <v>1</v>
      </c>
      <c r="AA6" s="44">
        <v>1</v>
      </c>
      <c r="AB6" s="44">
        <v>1</v>
      </c>
      <c r="AC6" s="44">
        <v>1</v>
      </c>
      <c r="AD6" s="44">
        <v>1</v>
      </c>
      <c r="AE6"/>
      <c r="AF6" s="44">
        <v>1</v>
      </c>
      <c r="AG6" s="44">
        <v>1</v>
      </c>
      <c r="AH6" s="44">
        <v>1</v>
      </c>
      <c r="AI6" s="44">
        <v>1</v>
      </c>
      <c r="AJ6" s="44">
        <v>1</v>
      </c>
      <c r="AK6" s="44">
        <v>1</v>
      </c>
      <c r="AL6" s="44">
        <v>1</v>
      </c>
      <c r="AM6"/>
      <c r="AN6" s="44">
        <v>1</v>
      </c>
      <c r="AO6" s="44">
        <v>1</v>
      </c>
      <c r="AP6" s="44">
        <v>1</v>
      </c>
      <c r="AQ6" s="44">
        <v>1</v>
      </c>
      <c r="AR6"/>
      <c r="AS6" s="44">
        <v>1</v>
      </c>
      <c r="AT6"/>
      <c r="AU6"/>
      <c r="AV6" s="44">
        <v>1</v>
      </c>
    </row>
    <row r="7" spans="1:48" x14ac:dyDescent="0.25">
      <c r="A7" s="5" t="s">
        <v>4</v>
      </c>
      <c r="B7" s="3" t="s">
        <v>473</v>
      </c>
      <c r="C7" s="3" t="s">
        <v>483</v>
      </c>
      <c r="D7" s="3" t="s">
        <v>521</v>
      </c>
      <c r="E7" s="6" t="s">
        <v>114</v>
      </c>
      <c r="F7" s="6" t="s">
        <v>93</v>
      </c>
      <c r="G7" s="44">
        <v>60</v>
      </c>
      <c r="I7" s="58"/>
      <c r="J7" s="44">
        <v>180</v>
      </c>
      <c r="K7" s="44">
        <v>180</v>
      </c>
      <c r="M7" s="44">
        <v>180</v>
      </c>
      <c r="N7" s="44"/>
      <c r="O7" s="44">
        <v>180</v>
      </c>
      <c r="P7" s="44">
        <v>180</v>
      </c>
      <c r="Q7" s="44">
        <v>180</v>
      </c>
      <c r="T7" s="44">
        <v>180</v>
      </c>
      <c r="U7" s="44">
        <v>180</v>
      </c>
      <c r="V7" s="44">
        <v>180</v>
      </c>
      <c r="W7" s="44">
        <v>180</v>
      </c>
      <c r="X7" s="44">
        <v>180</v>
      </c>
      <c r="Y7" s="44">
        <v>180</v>
      </c>
      <c r="Z7" s="44">
        <v>180</v>
      </c>
      <c r="AA7" s="44">
        <v>180</v>
      </c>
      <c r="AB7" s="44">
        <v>180</v>
      </c>
      <c r="AC7" s="44">
        <v>180</v>
      </c>
      <c r="AD7" s="44">
        <v>180</v>
      </c>
      <c r="AE7"/>
      <c r="AF7" s="44">
        <v>180</v>
      </c>
      <c r="AG7" s="44">
        <v>180</v>
      </c>
      <c r="AH7" s="44">
        <v>180</v>
      </c>
      <c r="AI7" s="44">
        <v>180</v>
      </c>
      <c r="AJ7" s="44">
        <v>180</v>
      </c>
      <c r="AK7" s="44">
        <v>180</v>
      </c>
      <c r="AL7" s="44">
        <v>180</v>
      </c>
      <c r="AM7"/>
      <c r="AN7" s="44">
        <v>180</v>
      </c>
      <c r="AO7" s="44">
        <v>180</v>
      </c>
      <c r="AP7" s="44">
        <v>180</v>
      </c>
      <c r="AQ7" s="44">
        <v>180</v>
      </c>
      <c r="AR7"/>
      <c r="AS7" s="44">
        <v>180</v>
      </c>
      <c r="AT7"/>
      <c r="AU7"/>
      <c r="AV7" s="44">
        <v>180</v>
      </c>
    </row>
    <row r="8" spans="1:48" x14ac:dyDescent="0.25">
      <c r="A8" s="5" t="s">
        <v>5</v>
      </c>
      <c r="B8" s="3" t="s">
        <v>473</v>
      </c>
      <c r="C8" s="3" t="s">
        <v>483</v>
      </c>
      <c r="D8" s="3" t="s">
        <v>521</v>
      </c>
      <c r="E8" s="6" t="s">
        <v>115</v>
      </c>
      <c r="F8" s="6" t="s">
        <v>93</v>
      </c>
      <c r="G8" s="44">
        <v>4.1666666999999998E-2</v>
      </c>
      <c r="I8" s="58"/>
      <c r="J8" s="44">
        <v>4.1666666999999998E-2</v>
      </c>
      <c r="K8" s="44">
        <v>4.1666666999999998E-2</v>
      </c>
      <c r="M8" s="44">
        <v>4.1666666999999998E-2</v>
      </c>
      <c r="N8" s="44"/>
      <c r="O8" s="44">
        <v>4.1666666999999998E-2</v>
      </c>
      <c r="P8" s="44">
        <v>4.1666666999999998E-2</v>
      </c>
      <c r="Q8" s="44">
        <v>4.1666666999999998E-2</v>
      </c>
      <c r="T8" s="44">
        <v>4.1666666999999998E-2</v>
      </c>
      <c r="U8" s="44">
        <v>4.1666666999999998E-2</v>
      </c>
      <c r="V8" s="44">
        <v>4.1666666999999998E-2</v>
      </c>
      <c r="W8" s="44">
        <v>4.1666666999999998E-2</v>
      </c>
      <c r="X8" s="44">
        <v>4.1666666999999998E-2</v>
      </c>
      <c r="Y8" s="44">
        <v>4.1666666999999998E-2</v>
      </c>
      <c r="Z8" s="44">
        <v>4.1666666999999998E-2</v>
      </c>
      <c r="AA8" s="44">
        <v>4.1666666999999998E-2</v>
      </c>
      <c r="AB8" s="44">
        <v>4.1666666999999998E-2</v>
      </c>
      <c r="AC8" s="44">
        <v>4.1666666999999998E-2</v>
      </c>
      <c r="AD8" s="44">
        <v>4.1666666999999998E-2</v>
      </c>
      <c r="AE8"/>
      <c r="AF8" s="44">
        <v>4.1666666999999998E-2</v>
      </c>
      <c r="AG8" s="44">
        <v>4.1666666999999998E-2</v>
      </c>
      <c r="AH8" s="44">
        <v>4.1666666999999998E-2</v>
      </c>
      <c r="AI8" s="44">
        <v>4.1666666999999998E-2</v>
      </c>
      <c r="AJ8" s="44">
        <v>4.1666666999999998E-2</v>
      </c>
      <c r="AK8" s="44">
        <v>4.1666666999999998E-2</v>
      </c>
      <c r="AL8" s="44">
        <v>4.1666666999999998E-2</v>
      </c>
      <c r="AM8"/>
      <c r="AN8" s="44">
        <v>4.1666666999999998E-2</v>
      </c>
      <c r="AO8" s="44">
        <v>4.1666666999999998E-2</v>
      </c>
      <c r="AP8" s="44">
        <v>4.1666666999999998E-2</v>
      </c>
      <c r="AQ8" s="44">
        <v>4.1666666999999998E-2</v>
      </c>
      <c r="AR8"/>
      <c r="AS8" s="44">
        <v>4.1666666999999998E-2</v>
      </c>
      <c r="AT8"/>
      <c r="AU8"/>
      <c r="AV8" s="44">
        <v>4.1666666999999998E-2</v>
      </c>
    </row>
    <row r="9" spans="1:48" x14ac:dyDescent="0.25">
      <c r="A9" s="5" t="s">
        <v>20</v>
      </c>
      <c r="B9" s="3" t="s">
        <v>473</v>
      </c>
      <c r="C9" s="3" t="s">
        <v>483</v>
      </c>
      <c r="D9" s="3" t="s">
        <v>521</v>
      </c>
      <c r="E9" s="6" t="s">
        <v>123</v>
      </c>
      <c r="F9" s="6" t="s">
        <v>93</v>
      </c>
      <c r="G9" s="44">
        <v>5</v>
      </c>
      <c r="I9" s="58"/>
      <c r="J9" s="44">
        <v>4.1666666999999998E-2</v>
      </c>
      <c r="K9" s="44">
        <v>4.1666666999999998E-2</v>
      </c>
      <c r="M9" s="44">
        <v>4.1666666999999998E-2</v>
      </c>
      <c r="N9" s="44"/>
      <c r="O9" s="44">
        <v>4.1666666999999998E-2</v>
      </c>
      <c r="P9" s="44">
        <v>4.1666666999999998E-2</v>
      </c>
      <c r="Q9" s="44">
        <v>4.1666666999999998E-2</v>
      </c>
      <c r="T9" s="44">
        <v>4.1666666999999998E-2</v>
      </c>
      <c r="U9" s="44">
        <v>4.1666666999999998E-2</v>
      </c>
      <c r="V9" s="44">
        <v>4.1666666999999998E-2</v>
      </c>
      <c r="W9" s="44">
        <v>4.1666666999999998E-2</v>
      </c>
      <c r="X9" s="44">
        <v>4.1666666999999998E-2</v>
      </c>
      <c r="Y9" s="44">
        <v>4.1666666999999998E-2</v>
      </c>
      <c r="Z9" s="44">
        <v>4.1666666999999998E-2</v>
      </c>
      <c r="AA9" s="44">
        <v>4.1666666999999998E-2</v>
      </c>
      <c r="AB9" s="44">
        <v>4.1666666999999998E-2</v>
      </c>
      <c r="AC9" s="44">
        <v>4.1666666999999998E-2</v>
      </c>
      <c r="AD9" s="44">
        <v>4.1666666999999998E-2</v>
      </c>
      <c r="AE9"/>
      <c r="AF9" s="44">
        <v>4.1666666999999998E-2</v>
      </c>
      <c r="AG9" s="44">
        <v>4.1666666999999998E-2</v>
      </c>
      <c r="AH9" s="44">
        <v>4.1666666999999998E-2</v>
      </c>
      <c r="AI9" s="44">
        <v>4.1666666999999998E-2</v>
      </c>
      <c r="AJ9" s="44">
        <v>4.1666666999999998E-2</v>
      </c>
      <c r="AK9" s="44">
        <v>4.1666666999999998E-2</v>
      </c>
      <c r="AL9" s="44">
        <v>4.1666666999999998E-2</v>
      </c>
      <c r="AM9"/>
      <c r="AN9" s="44">
        <v>4.1666666999999998E-2</v>
      </c>
      <c r="AO9" s="44">
        <v>4.1666666999999998E-2</v>
      </c>
      <c r="AP9" s="44">
        <v>4.1666666999999998E-2</v>
      </c>
      <c r="AQ9" s="44">
        <v>4.1666666999999998E-2</v>
      </c>
      <c r="AR9"/>
      <c r="AS9" s="44">
        <v>4.1666666999999998E-2</v>
      </c>
      <c r="AT9"/>
      <c r="AU9"/>
      <c r="AV9" s="44">
        <v>4.1666666999999998E-2</v>
      </c>
    </row>
    <row r="10" spans="1:48" x14ac:dyDescent="0.25">
      <c r="A10" s="7" t="s">
        <v>1</v>
      </c>
      <c r="B10" s="3" t="s">
        <v>473</v>
      </c>
      <c r="C10" s="3" t="s">
        <v>483</v>
      </c>
      <c r="D10" s="3" t="s">
        <v>521</v>
      </c>
      <c r="E10" s="8" t="s">
        <v>113</v>
      </c>
      <c r="F10" s="8" t="s">
        <v>93</v>
      </c>
      <c r="G10" s="44">
        <v>1</v>
      </c>
      <c r="I10" s="58"/>
      <c r="J10" s="44">
        <v>1</v>
      </c>
      <c r="K10" s="44">
        <v>1</v>
      </c>
      <c r="M10" s="44">
        <v>1</v>
      </c>
      <c r="N10" s="44"/>
      <c r="O10" s="44">
        <v>1</v>
      </c>
      <c r="P10" s="44">
        <v>1</v>
      </c>
      <c r="Q10" s="44">
        <v>1</v>
      </c>
      <c r="T10" s="44">
        <v>1</v>
      </c>
      <c r="U10" s="44">
        <v>1</v>
      </c>
      <c r="V10" s="44">
        <v>1</v>
      </c>
      <c r="W10" s="44">
        <v>1</v>
      </c>
      <c r="X10" s="44">
        <v>1</v>
      </c>
      <c r="Y10" s="44">
        <v>1</v>
      </c>
      <c r="Z10" s="44">
        <v>1</v>
      </c>
      <c r="AA10" s="44">
        <v>1</v>
      </c>
      <c r="AB10" s="44">
        <v>1</v>
      </c>
      <c r="AC10" s="44">
        <v>1</v>
      </c>
      <c r="AD10" s="44">
        <v>1</v>
      </c>
      <c r="AE10"/>
      <c r="AF10" s="44">
        <v>1</v>
      </c>
      <c r="AG10" s="44">
        <v>1</v>
      </c>
      <c r="AH10" s="44">
        <v>1</v>
      </c>
      <c r="AI10" s="44">
        <v>1</v>
      </c>
      <c r="AJ10" s="44">
        <v>1</v>
      </c>
      <c r="AK10" s="44">
        <v>1</v>
      </c>
      <c r="AL10" s="44">
        <v>1</v>
      </c>
      <c r="AM10"/>
      <c r="AN10" s="44">
        <v>1</v>
      </c>
      <c r="AO10" s="44">
        <v>1</v>
      </c>
      <c r="AP10" s="44">
        <v>1</v>
      </c>
      <c r="AQ10" s="44">
        <v>1</v>
      </c>
      <c r="AR10"/>
      <c r="AS10" s="44">
        <v>1</v>
      </c>
      <c r="AT10"/>
      <c r="AU10"/>
      <c r="AV10" s="44">
        <v>1</v>
      </c>
    </row>
    <row r="11" spans="1:48" x14ac:dyDescent="0.25">
      <c r="A11" s="7" t="s">
        <v>450</v>
      </c>
      <c r="B11" s="3" t="s">
        <v>473</v>
      </c>
      <c r="C11" s="3" t="s">
        <v>483</v>
      </c>
      <c r="D11" s="3" t="s">
        <v>521</v>
      </c>
      <c r="E11" s="8" t="s">
        <v>451</v>
      </c>
      <c r="F11" s="8" t="s">
        <v>93</v>
      </c>
      <c r="G11" s="44">
        <v>0</v>
      </c>
      <c r="I11" s="58"/>
      <c r="J11" s="44">
        <v>0</v>
      </c>
      <c r="K11" s="44">
        <v>0</v>
      </c>
      <c r="M11" s="44">
        <v>0</v>
      </c>
      <c r="N11" s="44"/>
      <c r="O11" s="44">
        <v>0</v>
      </c>
      <c r="P11" s="44">
        <v>0</v>
      </c>
      <c r="Q11" s="44">
        <v>0</v>
      </c>
      <c r="T11" s="44">
        <v>0</v>
      </c>
      <c r="U11" s="44">
        <v>0</v>
      </c>
      <c r="V11" s="44">
        <v>0</v>
      </c>
      <c r="W11" s="44">
        <v>0</v>
      </c>
      <c r="X11" s="44">
        <v>0</v>
      </c>
      <c r="Y11" s="44">
        <v>0</v>
      </c>
      <c r="Z11" s="44">
        <v>0</v>
      </c>
      <c r="AA11" s="44">
        <v>0</v>
      </c>
      <c r="AB11" s="44">
        <v>0</v>
      </c>
      <c r="AC11" s="44">
        <v>0</v>
      </c>
      <c r="AD11" s="44">
        <v>0</v>
      </c>
      <c r="AE11"/>
      <c r="AF11" s="44">
        <v>0</v>
      </c>
      <c r="AG11" s="44">
        <v>0</v>
      </c>
      <c r="AH11" s="44">
        <v>0</v>
      </c>
      <c r="AI11" s="44">
        <v>0</v>
      </c>
      <c r="AJ11" s="44">
        <v>0</v>
      </c>
      <c r="AK11" s="44">
        <v>0</v>
      </c>
      <c r="AL11" s="44">
        <v>0</v>
      </c>
      <c r="AM11"/>
      <c r="AN11" s="44">
        <v>0</v>
      </c>
      <c r="AO11" s="44">
        <v>0</v>
      </c>
      <c r="AP11" s="44">
        <v>0</v>
      </c>
      <c r="AQ11" s="44">
        <v>0</v>
      </c>
      <c r="AR11"/>
      <c r="AS11" s="44">
        <v>0</v>
      </c>
      <c r="AT11"/>
      <c r="AU11"/>
      <c r="AV11" s="44">
        <v>0</v>
      </c>
    </row>
    <row r="12" spans="1:48" x14ac:dyDescent="0.25">
      <c r="A12" s="7" t="s">
        <v>6</v>
      </c>
      <c r="B12" s="3" t="s">
        <v>473</v>
      </c>
      <c r="C12" s="3" t="s">
        <v>483</v>
      </c>
      <c r="D12" s="3" t="s">
        <v>521</v>
      </c>
      <c r="E12" s="8" t="s">
        <v>131</v>
      </c>
      <c r="F12" s="8" t="s">
        <v>94</v>
      </c>
      <c r="G12" s="44" t="s">
        <v>87</v>
      </c>
      <c r="I12" s="58"/>
      <c r="J12" s="44" t="s">
        <v>87</v>
      </c>
      <c r="K12" s="44" t="s">
        <v>87</v>
      </c>
      <c r="M12" s="44" t="s">
        <v>87</v>
      </c>
      <c r="N12" s="44"/>
      <c r="O12" s="44" t="s">
        <v>87</v>
      </c>
      <c r="P12" s="44" t="s">
        <v>87</v>
      </c>
      <c r="Q12" s="44" t="s">
        <v>87</v>
      </c>
      <c r="T12" s="44" t="s">
        <v>87</v>
      </c>
      <c r="U12" s="44" t="s">
        <v>87</v>
      </c>
      <c r="V12" s="44" t="s">
        <v>87</v>
      </c>
      <c r="W12" s="44" t="s">
        <v>87</v>
      </c>
      <c r="X12" s="44" t="s">
        <v>87</v>
      </c>
      <c r="Y12" s="44" t="s">
        <v>87</v>
      </c>
      <c r="Z12" s="44" t="s">
        <v>87</v>
      </c>
      <c r="AA12" s="44" t="s">
        <v>87</v>
      </c>
      <c r="AB12" s="44" t="s">
        <v>87</v>
      </c>
      <c r="AC12" s="44" t="s">
        <v>87</v>
      </c>
      <c r="AD12" s="44" t="s">
        <v>87</v>
      </c>
      <c r="AE12"/>
      <c r="AF12" s="44" t="s">
        <v>87</v>
      </c>
      <c r="AG12" s="44" t="s">
        <v>87</v>
      </c>
      <c r="AH12" s="44" t="s">
        <v>87</v>
      </c>
      <c r="AI12" s="44" t="s">
        <v>87</v>
      </c>
      <c r="AJ12" s="44" t="s">
        <v>87</v>
      </c>
      <c r="AK12" s="44" t="s">
        <v>87</v>
      </c>
      <c r="AL12" s="44" t="s">
        <v>87</v>
      </c>
      <c r="AM12"/>
      <c r="AN12" s="44" t="s">
        <v>87</v>
      </c>
      <c r="AO12" s="44" t="s">
        <v>87</v>
      </c>
      <c r="AP12" s="44" t="s">
        <v>87</v>
      </c>
      <c r="AQ12" s="44" t="s">
        <v>87</v>
      </c>
      <c r="AR12"/>
      <c r="AS12" s="44" t="s">
        <v>87</v>
      </c>
      <c r="AT12"/>
      <c r="AU12"/>
      <c r="AV12" s="44" t="s">
        <v>87</v>
      </c>
    </row>
    <row r="13" spans="1:48" x14ac:dyDescent="0.25">
      <c r="A13" s="7" t="s">
        <v>7</v>
      </c>
      <c r="B13" s="3" t="s">
        <v>473</v>
      </c>
      <c r="C13" s="3" t="s">
        <v>483</v>
      </c>
      <c r="D13" s="3" t="s">
        <v>521</v>
      </c>
      <c r="E13" s="8" t="s">
        <v>116</v>
      </c>
      <c r="F13" s="8" t="s">
        <v>96</v>
      </c>
      <c r="G13" s="44">
        <v>5.0000000000000001E-9</v>
      </c>
      <c r="I13" s="58"/>
      <c r="J13" s="44">
        <v>5.0000000000000001E-9</v>
      </c>
      <c r="K13" s="44">
        <v>5.0000000000000001E-9</v>
      </c>
      <c r="M13" s="44">
        <v>5.0000000000000001E-9</v>
      </c>
      <c r="N13" s="44"/>
      <c r="O13" s="44">
        <v>5.0000000000000001E-9</v>
      </c>
      <c r="P13" s="44">
        <v>5.0000000000000001E-9</v>
      </c>
      <c r="Q13" s="44">
        <v>5.0000000000000001E-9</v>
      </c>
      <c r="T13" s="44">
        <v>5.0000000000000001E-9</v>
      </c>
      <c r="U13" s="44">
        <v>5.0000000000000001E-9</v>
      </c>
      <c r="V13" s="44">
        <v>5.0000000000000001E-9</v>
      </c>
      <c r="W13" s="44">
        <v>5.0000000000000001E-9</v>
      </c>
      <c r="X13" s="44">
        <v>5.0000000000000001E-9</v>
      </c>
      <c r="Y13" s="44">
        <v>5.0000000000000001E-9</v>
      </c>
      <c r="Z13" s="44">
        <v>5.0000000000000001E-9</v>
      </c>
      <c r="AA13" s="44">
        <v>5.0000000000000001E-9</v>
      </c>
      <c r="AB13" s="44">
        <v>5.0000000000000001E-9</v>
      </c>
      <c r="AC13" s="44">
        <v>5.0000000000000001E-9</v>
      </c>
      <c r="AD13" s="44">
        <v>5.0000000000000001E-9</v>
      </c>
      <c r="AE13"/>
      <c r="AF13" s="44">
        <v>5.0000000000000001E-9</v>
      </c>
      <c r="AG13" s="44">
        <v>5.0000000000000001E-9</v>
      </c>
      <c r="AH13" s="44">
        <v>5.0000000000000001E-9</v>
      </c>
      <c r="AI13" s="44">
        <v>5.0000000000000001E-9</v>
      </c>
      <c r="AJ13" s="44">
        <v>5.0000000000000001E-9</v>
      </c>
      <c r="AK13" s="44">
        <v>5.0000000000000001E-9</v>
      </c>
      <c r="AL13" s="44">
        <v>5.0000000000000001E-9</v>
      </c>
      <c r="AM13"/>
      <c r="AN13" s="44">
        <v>5.0000000000000001E-9</v>
      </c>
      <c r="AO13" s="44">
        <v>5.0000000000000001E-9</v>
      </c>
      <c r="AP13" s="44">
        <v>5.0000000000000001E-9</v>
      </c>
      <c r="AQ13" s="44">
        <v>5.0000000000000001E-9</v>
      </c>
      <c r="AR13"/>
      <c r="AS13" s="44">
        <v>5.0000000000000001E-9</v>
      </c>
      <c r="AT13"/>
      <c r="AU13"/>
      <c r="AV13" s="44">
        <v>5.0000000000000001E-9</v>
      </c>
    </row>
    <row r="14" spans="1:48" x14ac:dyDescent="0.25">
      <c r="A14" s="7" t="s">
        <v>8</v>
      </c>
      <c r="B14" s="3" t="s">
        <v>473</v>
      </c>
      <c r="C14" s="3" t="s">
        <v>483</v>
      </c>
      <c r="D14" s="3" t="s">
        <v>521</v>
      </c>
      <c r="E14" s="8" t="s">
        <v>117</v>
      </c>
      <c r="F14" s="8" t="s">
        <v>466</v>
      </c>
      <c r="G14" s="44">
        <v>10</v>
      </c>
      <c r="I14" s="58"/>
      <c r="J14" s="44">
        <v>10</v>
      </c>
      <c r="K14" s="44">
        <v>10</v>
      </c>
      <c r="M14" s="44">
        <v>10</v>
      </c>
      <c r="N14" s="44"/>
      <c r="O14" s="44">
        <v>10</v>
      </c>
      <c r="P14" s="44">
        <v>10</v>
      </c>
      <c r="Q14" s="44">
        <v>10</v>
      </c>
      <c r="T14" s="44">
        <v>10</v>
      </c>
      <c r="U14" s="44">
        <v>10</v>
      </c>
      <c r="V14" s="44">
        <v>10</v>
      </c>
      <c r="W14" s="44">
        <v>10</v>
      </c>
      <c r="X14" s="44">
        <v>10</v>
      </c>
      <c r="Y14" s="44">
        <v>10</v>
      </c>
      <c r="Z14" s="44">
        <v>10</v>
      </c>
      <c r="AA14" s="44">
        <v>10</v>
      </c>
      <c r="AB14" s="44">
        <v>10</v>
      </c>
      <c r="AC14" s="44">
        <v>10</v>
      </c>
      <c r="AD14" s="44">
        <v>10</v>
      </c>
      <c r="AE14"/>
      <c r="AF14" s="44">
        <v>10</v>
      </c>
      <c r="AG14" s="44">
        <v>10</v>
      </c>
      <c r="AH14" s="44">
        <v>10</v>
      </c>
      <c r="AI14" s="44">
        <v>10</v>
      </c>
      <c r="AJ14" s="44">
        <v>10</v>
      </c>
      <c r="AK14" s="44">
        <v>10</v>
      </c>
      <c r="AL14" s="44">
        <v>10</v>
      </c>
      <c r="AM14"/>
      <c r="AN14" s="44">
        <v>10</v>
      </c>
      <c r="AO14" s="44">
        <v>10</v>
      </c>
      <c r="AP14" s="44">
        <v>10</v>
      </c>
      <c r="AQ14" s="44">
        <v>10</v>
      </c>
      <c r="AR14"/>
      <c r="AS14" s="44">
        <v>10</v>
      </c>
      <c r="AT14"/>
      <c r="AU14"/>
      <c r="AV14" s="44">
        <v>10</v>
      </c>
    </row>
    <row r="15" spans="1:48" x14ac:dyDescent="0.25">
      <c r="A15" s="7" t="s">
        <v>463</v>
      </c>
      <c r="B15" s="3" t="s">
        <v>473</v>
      </c>
      <c r="C15" s="3" t="s">
        <v>483</v>
      </c>
      <c r="D15" s="3" t="s">
        <v>521</v>
      </c>
      <c r="E15" s="8" t="s">
        <v>458</v>
      </c>
      <c r="F15" s="8" t="s">
        <v>94</v>
      </c>
      <c r="G15" s="44" t="s">
        <v>87</v>
      </c>
      <c r="I15" s="58"/>
      <c r="J15" s="44" t="s">
        <v>87</v>
      </c>
      <c r="K15" s="44" t="s">
        <v>87</v>
      </c>
      <c r="M15" s="44" t="s">
        <v>87</v>
      </c>
      <c r="N15" s="44"/>
      <c r="O15" s="44" t="s">
        <v>87</v>
      </c>
      <c r="P15" s="44" t="s">
        <v>87</v>
      </c>
      <c r="Q15" s="44" t="s">
        <v>87</v>
      </c>
      <c r="T15" s="44" t="s">
        <v>87</v>
      </c>
      <c r="U15" s="44" t="s">
        <v>87</v>
      </c>
      <c r="V15" s="44" t="s">
        <v>87</v>
      </c>
      <c r="W15" s="44" t="s">
        <v>87</v>
      </c>
      <c r="X15" s="44" t="s">
        <v>87</v>
      </c>
      <c r="Y15" s="44" t="s">
        <v>87</v>
      </c>
      <c r="Z15" s="44" t="s">
        <v>87</v>
      </c>
      <c r="AA15" s="44" t="s">
        <v>87</v>
      </c>
      <c r="AB15" s="44" t="s">
        <v>87</v>
      </c>
      <c r="AC15" s="44" t="s">
        <v>87</v>
      </c>
      <c r="AD15" s="44" t="s">
        <v>87</v>
      </c>
      <c r="AE15"/>
      <c r="AF15" s="44" t="s">
        <v>87</v>
      </c>
      <c r="AG15" s="44" t="s">
        <v>87</v>
      </c>
      <c r="AH15" s="44" t="s">
        <v>87</v>
      </c>
      <c r="AI15" s="44" t="s">
        <v>87</v>
      </c>
      <c r="AJ15" s="44" t="s">
        <v>87</v>
      </c>
      <c r="AK15" s="44" t="s">
        <v>87</v>
      </c>
      <c r="AL15" s="44" t="s">
        <v>87</v>
      </c>
      <c r="AM15"/>
      <c r="AN15" s="44" t="s">
        <v>87</v>
      </c>
      <c r="AO15" s="44" t="s">
        <v>87</v>
      </c>
      <c r="AP15" s="44" t="s">
        <v>87</v>
      </c>
      <c r="AQ15" s="44" t="s">
        <v>87</v>
      </c>
      <c r="AR15"/>
      <c r="AS15" s="44" t="s">
        <v>87</v>
      </c>
      <c r="AT15"/>
      <c r="AU15"/>
      <c r="AV15" s="44" t="s">
        <v>87</v>
      </c>
    </row>
    <row r="16" spans="1:48" x14ac:dyDescent="0.25">
      <c r="A16" s="7" t="s">
        <v>464</v>
      </c>
      <c r="B16" s="3" t="s">
        <v>473</v>
      </c>
      <c r="C16" s="3" t="s">
        <v>483</v>
      </c>
      <c r="D16" s="3" t="s">
        <v>521</v>
      </c>
      <c r="E16" s="8" t="s">
        <v>465</v>
      </c>
      <c r="F16" s="8" t="s">
        <v>94</v>
      </c>
      <c r="G16" s="44" t="s">
        <v>87</v>
      </c>
      <c r="I16" s="58"/>
      <c r="J16" s="44" t="s">
        <v>87</v>
      </c>
      <c r="K16" s="44" t="s">
        <v>87</v>
      </c>
      <c r="M16" s="44" t="s">
        <v>87</v>
      </c>
      <c r="N16" s="44"/>
      <c r="O16" s="44" t="s">
        <v>87</v>
      </c>
      <c r="P16" s="44" t="s">
        <v>87</v>
      </c>
      <c r="Q16" s="44" t="s">
        <v>87</v>
      </c>
      <c r="T16" s="44" t="s">
        <v>87</v>
      </c>
      <c r="U16" s="44" t="s">
        <v>87</v>
      </c>
      <c r="V16" s="44" t="s">
        <v>87</v>
      </c>
      <c r="W16" s="44" t="s">
        <v>87</v>
      </c>
      <c r="X16" s="44" t="s">
        <v>87</v>
      </c>
      <c r="Y16" s="44" t="s">
        <v>87</v>
      </c>
      <c r="Z16" s="44" t="s">
        <v>87</v>
      </c>
      <c r="AA16" s="44" t="s">
        <v>87</v>
      </c>
      <c r="AB16" s="44" t="s">
        <v>87</v>
      </c>
      <c r="AC16" s="44" t="s">
        <v>87</v>
      </c>
      <c r="AD16" s="44" t="s">
        <v>87</v>
      </c>
      <c r="AE16"/>
      <c r="AF16" s="44" t="s">
        <v>87</v>
      </c>
      <c r="AG16" s="44" t="s">
        <v>87</v>
      </c>
      <c r="AH16" s="44" t="s">
        <v>87</v>
      </c>
      <c r="AI16" s="44" t="s">
        <v>87</v>
      </c>
      <c r="AJ16" s="44" t="s">
        <v>87</v>
      </c>
      <c r="AK16" s="44" t="s">
        <v>87</v>
      </c>
      <c r="AL16" s="44" t="s">
        <v>87</v>
      </c>
      <c r="AM16"/>
      <c r="AN16" s="44" t="s">
        <v>87</v>
      </c>
      <c r="AO16" s="44" t="s">
        <v>87</v>
      </c>
      <c r="AP16" s="44" t="s">
        <v>87</v>
      </c>
      <c r="AQ16" s="44" t="s">
        <v>87</v>
      </c>
      <c r="AR16"/>
      <c r="AS16" s="44" t="s">
        <v>87</v>
      </c>
      <c r="AT16"/>
      <c r="AU16"/>
      <c r="AV16" s="44" t="s">
        <v>87</v>
      </c>
    </row>
    <row r="17" spans="1:48" x14ac:dyDescent="0.25">
      <c r="A17" s="7" t="s">
        <v>467</v>
      </c>
      <c r="B17" s="3" t="s">
        <v>473</v>
      </c>
      <c r="C17" s="3" t="s">
        <v>483</v>
      </c>
      <c r="D17" s="3" t="s">
        <v>521</v>
      </c>
      <c r="E17" s="8" t="s">
        <v>468</v>
      </c>
      <c r="F17" s="8" t="s">
        <v>94</v>
      </c>
      <c r="G17" s="44" t="s">
        <v>87</v>
      </c>
      <c r="I17" s="58"/>
      <c r="J17" s="44" t="s">
        <v>87</v>
      </c>
      <c r="K17" s="44" t="s">
        <v>87</v>
      </c>
      <c r="M17" s="44" t="s">
        <v>87</v>
      </c>
      <c r="N17" s="44"/>
      <c r="O17" s="44" t="s">
        <v>87</v>
      </c>
      <c r="P17" s="44" t="s">
        <v>87</v>
      </c>
      <c r="Q17" s="44" t="s">
        <v>87</v>
      </c>
      <c r="T17" s="44" t="s">
        <v>87</v>
      </c>
      <c r="U17" s="44" t="s">
        <v>87</v>
      </c>
      <c r="V17" s="44" t="s">
        <v>87</v>
      </c>
      <c r="W17" s="44" t="s">
        <v>87</v>
      </c>
      <c r="X17" s="44" t="s">
        <v>87</v>
      </c>
      <c r="Y17" s="44" t="s">
        <v>87</v>
      </c>
      <c r="Z17" s="44" t="s">
        <v>87</v>
      </c>
      <c r="AA17" s="44" t="s">
        <v>87</v>
      </c>
      <c r="AB17" s="44" t="s">
        <v>87</v>
      </c>
      <c r="AC17" s="44" t="s">
        <v>87</v>
      </c>
      <c r="AD17" s="44" t="s">
        <v>87</v>
      </c>
      <c r="AE17"/>
      <c r="AF17" s="44" t="s">
        <v>87</v>
      </c>
      <c r="AG17" s="44" t="s">
        <v>87</v>
      </c>
      <c r="AH17" s="44" t="s">
        <v>87</v>
      </c>
      <c r="AI17" s="44" t="s">
        <v>87</v>
      </c>
      <c r="AJ17" s="44" t="s">
        <v>87</v>
      </c>
      <c r="AK17" s="44" t="s">
        <v>87</v>
      </c>
      <c r="AL17" s="44" t="s">
        <v>87</v>
      </c>
      <c r="AM17"/>
      <c r="AN17" s="44" t="s">
        <v>87</v>
      </c>
      <c r="AO17" s="44" t="s">
        <v>87</v>
      </c>
      <c r="AP17" s="44" t="s">
        <v>87</v>
      </c>
      <c r="AQ17" s="44" t="s">
        <v>87</v>
      </c>
      <c r="AR17"/>
      <c r="AS17" s="44" t="s">
        <v>87</v>
      </c>
      <c r="AT17"/>
      <c r="AU17"/>
      <c r="AV17" s="44" t="s">
        <v>87</v>
      </c>
    </row>
    <row r="18" spans="1:48" x14ac:dyDescent="0.25">
      <c r="A18" s="7" t="s">
        <v>469</v>
      </c>
      <c r="B18" s="3" t="s">
        <v>473</v>
      </c>
      <c r="C18" s="3" t="s">
        <v>483</v>
      </c>
      <c r="D18" s="3" t="s">
        <v>521</v>
      </c>
      <c r="E18" s="8" t="s">
        <v>470</v>
      </c>
      <c r="F18" s="8" t="s">
        <v>296</v>
      </c>
      <c r="G18" s="44">
        <v>86400</v>
      </c>
      <c r="I18" s="58"/>
      <c r="J18" s="44">
        <v>86400</v>
      </c>
      <c r="K18" s="44">
        <v>86400</v>
      </c>
      <c r="M18" s="44">
        <v>86400</v>
      </c>
      <c r="N18" s="44"/>
      <c r="O18" s="44">
        <v>86400</v>
      </c>
      <c r="P18" s="44">
        <v>86400</v>
      </c>
      <c r="Q18" s="44">
        <v>86400</v>
      </c>
      <c r="T18" s="44">
        <v>86400</v>
      </c>
      <c r="U18" s="44">
        <v>86400</v>
      </c>
      <c r="V18" s="44">
        <v>86400</v>
      </c>
      <c r="W18" s="44">
        <v>86400</v>
      </c>
      <c r="X18" s="44">
        <v>86400</v>
      </c>
      <c r="Y18" s="44">
        <v>86400</v>
      </c>
      <c r="Z18" s="44">
        <v>86400</v>
      </c>
      <c r="AA18" s="44">
        <v>86400</v>
      </c>
      <c r="AB18" s="44">
        <v>86400</v>
      </c>
      <c r="AC18" s="44">
        <v>86400</v>
      </c>
      <c r="AD18" s="44">
        <v>86400</v>
      </c>
      <c r="AE18"/>
      <c r="AF18" s="44">
        <v>86400</v>
      </c>
      <c r="AG18" s="44">
        <v>86400</v>
      </c>
      <c r="AH18" s="44">
        <v>86400</v>
      </c>
      <c r="AI18" s="44">
        <v>86400</v>
      </c>
      <c r="AJ18" s="44">
        <v>86400</v>
      </c>
      <c r="AK18" s="44">
        <v>86400</v>
      </c>
      <c r="AL18" s="44">
        <v>86400</v>
      </c>
      <c r="AM18"/>
      <c r="AN18" s="44">
        <v>86400</v>
      </c>
      <c r="AO18" s="44">
        <v>86400</v>
      </c>
      <c r="AP18" s="44">
        <v>86400</v>
      </c>
      <c r="AQ18" s="44">
        <v>86400</v>
      </c>
      <c r="AR18"/>
      <c r="AS18" s="44">
        <v>86400</v>
      </c>
      <c r="AT18"/>
      <c r="AU18"/>
      <c r="AV18" s="44">
        <v>86400</v>
      </c>
    </row>
    <row r="19" spans="1:48" x14ac:dyDescent="0.25">
      <c r="A19" s="9" t="s">
        <v>10</v>
      </c>
      <c r="B19" s="3" t="s">
        <v>473</v>
      </c>
      <c r="C19" s="3" t="s">
        <v>483</v>
      </c>
      <c r="D19" s="3" t="s">
        <v>521</v>
      </c>
      <c r="E19" s="10" t="s">
        <v>133</v>
      </c>
      <c r="F19" s="10" t="s">
        <v>94</v>
      </c>
      <c r="G19" s="44" t="s">
        <v>87</v>
      </c>
      <c r="I19" s="58"/>
      <c r="J19" s="44" t="s">
        <v>86</v>
      </c>
      <c r="K19" s="44" t="s">
        <v>86</v>
      </c>
      <c r="M19" s="44" t="s">
        <v>86</v>
      </c>
      <c r="N19" s="44"/>
      <c r="O19" s="44" t="s">
        <v>86</v>
      </c>
      <c r="P19" s="44" t="s">
        <v>86</v>
      </c>
      <c r="Q19" s="44" t="s">
        <v>86</v>
      </c>
      <c r="T19" s="44" t="s">
        <v>86</v>
      </c>
      <c r="U19" s="44" t="s">
        <v>86</v>
      </c>
      <c r="V19" s="44" t="s">
        <v>86</v>
      </c>
      <c r="W19" s="44" t="s">
        <v>86</v>
      </c>
      <c r="X19" s="44" t="s">
        <v>86</v>
      </c>
      <c r="Y19" s="44" t="s">
        <v>86</v>
      </c>
      <c r="Z19" s="44" t="s">
        <v>86</v>
      </c>
      <c r="AA19" s="44" t="s">
        <v>86</v>
      </c>
      <c r="AB19" s="44" t="s">
        <v>86</v>
      </c>
      <c r="AC19" s="44" t="s">
        <v>86</v>
      </c>
      <c r="AD19" s="44" t="s">
        <v>86</v>
      </c>
      <c r="AE19"/>
      <c r="AF19" s="44" t="s">
        <v>86</v>
      </c>
      <c r="AG19" s="44" t="s">
        <v>86</v>
      </c>
      <c r="AH19" s="44" t="s">
        <v>86</v>
      </c>
      <c r="AI19" s="44" t="s">
        <v>86</v>
      </c>
      <c r="AJ19" s="44" t="s">
        <v>86</v>
      </c>
      <c r="AK19" s="44" t="s">
        <v>86</v>
      </c>
      <c r="AL19" s="44" t="s">
        <v>86</v>
      </c>
      <c r="AM19"/>
      <c r="AN19" s="44" t="s">
        <v>86</v>
      </c>
      <c r="AO19" s="44" t="s">
        <v>86</v>
      </c>
      <c r="AP19" s="44" t="s">
        <v>86</v>
      </c>
      <c r="AQ19" s="44" t="s">
        <v>86</v>
      </c>
      <c r="AR19"/>
      <c r="AS19" s="44" t="s">
        <v>86</v>
      </c>
      <c r="AT19"/>
      <c r="AU19"/>
      <c r="AV19" s="44" t="s">
        <v>86</v>
      </c>
    </row>
    <row r="20" spans="1:48" x14ac:dyDescent="0.25">
      <c r="A20" s="9" t="s">
        <v>11</v>
      </c>
      <c r="B20" s="3" t="s">
        <v>473</v>
      </c>
      <c r="C20" s="3" t="s">
        <v>483</v>
      </c>
      <c r="D20" s="3" t="s">
        <v>521</v>
      </c>
      <c r="E20" s="10" t="s">
        <v>118</v>
      </c>
      <c r="F20" s="10" t="s">
        <v>95</v>
      </c>
      <c r="G20" s="44">
        <v>3</v>
      </c>
      <c r="I20" s="58"/>
      <c r="J20" s="44">
        <v>3</v>
      </c>
      <c r="K20" s="44">
        <v>3</v>
      </c>
      <c r="M20" s="44">
        <v>3</v>
      </c>
      <c r="N20" s="44"/>
      <c r="O20" s="44">
        <v>3</v>
      </c>
      <c r="P20" s="44">
        <v>3</v>
      </c>
      <c r="Q20" s="44">
        <v>3</v>
      </c>
      <c r="T20" s="44">
        <v>3</v>
      </c>
      <c r="U20" s="44">
        <v>3</v>
      </c>
      <c r="V20" s="44">
        <v>3</v>
      </c>
      <c r="W20" s="44">
        <v>3</v>
      </c>
      <c r="X20" s="44">
        <v>3</v>
      </c>
      <c r="Y20" s="44">
        <v>3</v>
      </c>
      <c r="Z20" s="44">
        <v>3</v>
      </c>
      <c r="AA20" s="44">
        <v>3</v>
      </c>
      <c r="AB20" s="44">
        <v>3</v>
      </c>
      <c r="AC20" s="44">
        <v>3</v>
      </c>
      <c r="AD20" s="44">
        <v>3</v>
      </c>
      <c r="AE20"/>
      <c r="AF20" s="44">
        <v>3</v>
      </c>
      <c r="AG20" s="44">
        <v>3</v>
      </c>
      <c r="AH20" s="44">
        <v>3</v>
      </c>
      <c r="AI20" s="44">
        <v>3</v>
      </c>
      <c r="AJ20" s="44">
        <v>3</v>
      </c>
      <c r="AK20" s="44">
        <v>3</v>
      </c>
      <c r="AL20" s="44">
        <v>3</v>
      </c>
      <c r="AM20"/>
      <c r="AN20" s="44">
        <v>3</v>
      </c>
      <c r="AO20" s="44">
        <v>3</v>
      </c>
      <c r="AP20" s="44">
        <v>3</v>
      </c>
      <c r="AQ20" s="44">
        <v>3</v>
      </c>
      <c r="AR20"/>
      <c r="AS20" s="44">
        <v>3</v>
      </c>
      <c r="AT20"/>
      <c r="AU20"/>
      <c r="AV20" s="44">
        <v>3</v>
      </c>
    </row>
    <row r="21" spans="1:48" x14ac:dyDescent="0.25">
      <c r="A21" s="9" t="s">
        <v>362</v>
      </c>
      <c r="B21" s="3" t="s">
        <v>473</v>
      </c>
      <c r="C21" s="3" t="s">
        <v>483</v>
      </c>
      <c r="D21" s="3" t="s">
        <v>521</v>
      </c>
      <c r="E21" s="10" t="s">
        <v>363</v>
      </c>
      <c r="F21" s="10" t="s">
        <v>94</v>
      </c>
      <c r="G21" s="44" t="s">
        <v>87</v>
      </c>
      <c r="I21" s="58"/>
      <c r="J21" s="44" t="s">
        <v>87</v>
      </c>
      <c r="K21" s="44" t="s">
        <v>87</v>
      </c>
      <c r="M21" s="44" t="s">
        <v>87</v>
      </c>
      <c r="N21" s="44"/>
      <c r="O21" s="44" t="s">
        <v>87</v>
      </c>
      <c r="P21" s="44" t="s">
        <v>87</v>
      </c>
      <c r="Q21" s="44" t="s">
        <v>87</v>
      </c>
      <c r="T21" s="44" t="s">
        <v>87</v>
      </c>
      <c r="U21" s="44" t="s">
        <v>87</v>
      </c>
      <c r="V21" s="44" t="s">
        <v>87</v>
      </c>
      <c r="W21" s="44" t="s">
        <v>87</v>
      </c>
      <c r="X21" s="44" t="s">
        <v>87</v>
      </c>
      <c r="Y21" s="44" t="s">
        <v>87</v>
      </c>
      <c r="Z21" s="44" t="s">
        <v>87</v>
      </c>
      <c r="AA21" s="44" t="s">
        <v>87</v>
      </c>
      <c r="AB21" s="44" t="s">
        <v>87</v>
      </c>
      <c r="AC21" s="44" t="s">
        <v>87</v>
      </c>
      <c r="AD21" s="44" t="s">
        <v>87</v>
      </c>
      <c r="AE21"/>
      <c r="AF21" s="44" t="s">
        <v>87</v>
      </c>
      <c r="AG21" s="44" t="s">
        <v>87</v>
      </c>
      <c r="AH21" s="44" t="s">
        <v>87</v>
      </c>
      <c r="AI21" s="44" t="s">
        <v>87</v>
      </c>
      <c r="AJ21" s="44" t="s">
        <v>87</v>
      </c>
      <c r="AK21" s="44" t="s">
        <v>87</v>
      </c>
      <c r="AL21" s="44" t="s">
        <v>87</v>
      </c>
      <c r="AM21"/>
      <c r="AN21" s="44" t="s">
        <v>87</v>
      </c>
      <c r="AO21" s="44" t="s">
        <v>87</v>
      </c>
      <c r="AP21" s="44" t="s">
        <v>87</v>
      </c>
      <c r="AQ21" s="44" t="s">
        <v>87</v>
      </c>
      <c r="AR21"/>
      <c r="AS21" s="44" t="s">
        <v>87</v>
      </c>
      <c r="AT21"/>
      <c r="AU21"/>
      <c r="AV21" s="44" t="s">
        <v>87</v>
      </c>
    </row>
    <row r="22" spans="1:48" x14ac:dyDescent="0.25">
      <c r="A22" s="9" t="s">
        <v>364</v>
      </c>
      <c r="B22" s="3" t="s">
        <v>473</v>
      </c>
      <c r="C22" s="3" t="s">
        <v>483</v>
      </c>
      <c r="D22" s="3" t="s">
        <v>521</v>
      </c>
      <c r="E22" s="10" t="s">
        <v>365</v>
      </c>
      <c r="F22" s="10" t="s">
        <v>94</v>
      </c>
      <c r="G22" s="44" t="s">
        <v>87</v>
      </c>
      <c r="I22" s="58"/>
      <c r="J22" s="44" t="s">
        <v>87</v>
      </c>
      <c r="K22" s="44" t="s">
        <v>87</v>
      </c>
      <c r="M22" s="44" t="s">
        <v>87</v>
      </c>
      <c r="N22" s="44"/>
      <c r="O22" s="44" t="s">
        <v>87</v>
      </c>
      <c r="P22" s="44" t="s">
        <v>87</v>
      </c>
      <c r="Q22" s="44" t="s">
        <v>87</v>
      </c>
      <c r="T22" s="44" t="s">
        <v>87</v>
      </c>
      <c r="U22" s="44" t="s">
        <v>87</v>
      </c>
      <c r="V22" s="44" t="s">
        <v>87</v>
      </c>
      <c r="W22" s="44" t="s">
        <v>87</v>
      </c>
      <c r="X22" s="44" t="s">
        <v>87</v>
      </c>
      <c r="Y22" s="44" t="s">
        <v>87</v>
      </c>
      <c r="Z22" s="44" t="s">
        <v>87</v>
      </c>
      <c r="AA22" s="44" t="s">
        <v>87</v>
      </c>
      <c r="AB22" s="44" t="s">
        <v>87</v>
      </c>
      <c r="AC22" s="44" t="s">
        <v>87</v>
      </c>
      <c r="AD22" s="44" t="s">
        <v>87</v>
      </c>
      <c r="AE22"/>
      <c r="AF22" s="44" t="s">
        <v>87</v>
      </c>
      <c r="AG22" s="44" t="s">
        <v>87</v>
      </c>
      <c r="AH22" s="44" t="s">
        <v>87</v>
      </c>
      <c r="AI22" s="44" t="s">
        <v>87</v>
      </c>
      <c r="AJ22" s="44" t="s">
        <v>87</v>
      </c>
      <c r="AK22" s="44" t="s">
        <v>87</v>
      </c>
      <c r="AL22" s="44" t="s">
        <v>87</v>
      </c>
      <c r="AM22"/>
      <c r="AN22" s="44" t="s">
        <v>87</v>
      </c>
      <c r="AO22" s="44" t="s">
        <v>87</v>
      </c>
      <c r="AP22" s="44" t="s">
        <v>87</v>
      </c>
      <c r="AQ22" s="44" t="s">
        <v>87</v>
      </c>
      <c r="AR22"/>
      <c r="AS22" s="44" t="s">
        <v>87</v>
      </c>
      <c r="AT22"/>
      <c r="AU22"/>
      <c r="AV22" s="44" t="s">
        <v>87</v>
      </c>
    </row>
    <row r="23" spans="1:48" x14ac:dyDescent="0.25">
      <c r="A23" s="9" t="s">
        <v>376</v>
      </c>
      <c r="B23" s="3" t="s">
        <v>473</v>
      </c>
      <c r="C23" s="3" t="s">
        <v>483</v>
      </c>
      <c r="D23" s="3" t="s">
        <v>521</v>
      </c>
      <c r="E23" s="10" t="s">
        <v>377</v>
      </c>
      <c r="F23" s="10" t="s">
        <v>94</v>
      </c>
      <c r="G23" s="44" t="s">
        <v>87</v>
      </c>
      <c r="I23" s="58"/>
      <c r="J23" s="44" t="s">
        <v>87</v>
      </c>
      <c r="K23" s="44" t="s">
        <v>87</v>
      </c>
      <c r="M23" s="44" t="s">
        <v>87</v>
      </c>
      <c r="N23" s="44"/>
      <c r="O23" s="44" t="s">
        <v>87</v>
      </c>
      <c r="P23" s="44" t="s">
        <v>87</v>
      </c>
      <c r="Q23" s="44" t="s">
        <v>87</v>
      </c>
      <c r="T23" s="44" t="s">
        <v>87</v>
      </c>
      <c r="U23" s="44" t="s">
        <v>87</v>
      </c>
      <c r="V23" s="44" t="s">
        <v>87</v>
      </c>
      <c r="W23" s="44" t="s">
        <v>87</v>
      </c>
      <c r="X23" s="44" t="s">
        <v>87</v>
      </c>
      <c r="Y23" s="44" t="s">
        <v>87</v>
      </c>
      <c r="Z23" s="44" t="s">
        <v>87</v>
      </c>
      <c r="AA23" s="44" t="s">
        <v>87</v>
      </c>
      <c r="AB23" s="44" t="s">
        <v>87</v>
      </c>
      <c r="AC23" s="44" t="s">
        <v>87</v>
      </c>
      <c r="AD23" s="44" t="s">
        <v>87</v>
      </c>
      <c r="AE23"/>
      <c r="AF23" s="44" t="s">
        <v>87</v>
      </c>
      <c r="AG23" s="44" t="s">
        <v>87</v>
      </c>
      <c r="AH23" s="44" t="s">
        <v>87</v>
      </c>
      <c r="AI23" s="44" t="s">
        <v>87</v>
      </c>
      <c r="AJ23" s="44" t="s">
        <v>87</v>
      </c>
      <c r="AK23" s="44" t="s">
        <v>87</v>
      </c>
      <c r="AL23" s="44" t="s">
        <v>87</v>
      </c>
      <c r="AM23"/>
      <c r="AN23" s="44" t="s">
        <v>87</v>
      </c>
      <c r="AO23" s="44" t="s">
        <v>87</v>
      </c>
      <c r="AP23" s="44" t="s">
        <v>87</v>
      </c>
      <c r="AQ23" s="44" t="s">
        <v>87</v>
      </c>
      <c r="AR23"/>
      <c r="AS23" s="44" t="s">
        <v>87</v>
      </c>
      <c r="AT23"/>
      <c r="AU23"/>
      <c r="AV23" s="44" t="s">
        <v>87</v>
      </c>
    </row>
    <row r="24" spans="1:48" x14ac:dyDescent="0.25">
      <c r="A24" s="9" t="s">
        <v>375</v>
      </c>
      <c r="B24" s="3" t="s">
        <v>473</v>
      </c>
      <c r="C24" s="3" t="s">
        <v>483</v>
      </c>
      <c r="D24" s="3" t="s">
        <v>521</v>
      </c>
      <c r="E24" s="10" t="s">
        <v>373</v>
      </c>
      <c r="F24" s="10" t="s">
        <v>94</v>
      </c>
      <c r="G24" s="44" t="s">
        <v>87</v>
      </c>
      <c r="I24" s="58"/>
      <c r="J24" s="44" t="s">
        <v>87</v>
      </c>
      <c r="K24" s="44" t="s">
        <v>87</v>
      </c>
      <c r="M24" s="44" t="s">
        <v>87</v>
      </c>
      <c r="N24" s="44"/>
      <c r="O24" s="44" t="s">
        <v>87</v>
      </c>
      <c r="P24" s="44" t="s">
        <v>87</v>
      </c>
      <c r="Q24" s="44" t="s">
        <v>87</v>
      </c>
      <c r="T24" s="44" t="s">
        <v>87</v>
      </c>
      <c r="U24" s="44" t="s">
        <v>87</v>
      </c>
      <c r="V24" s="44" t="s">
        <v>87</v>
      </c>
      <c r="W24" s="44" t="s">
        <v>87</v>
      </c>
      <c r="X24" s="44" t="s">
        <v>87</v>
      </c>
      <c r="Y24" s="44" t="s">
        <v>87</v>
      </c>
      <c r="Z24" s="44" t="s">
        <v>87</v>
      </c>
      <c r="AA24" s="44" t="s">
        <v>87</v>
      </c>
      <c r="AB24" s="44" t="s">
        <v>87</v>
      </c>
      <c r="AC24" s="44" t="s">
        <v>87</v>
      </c>
      <c r="AD24" s="44" t="s">
        <v>87</v>
      </c>
      <c r="AE24"/>
      <c r="AF24" s="44" t="s">
        <v>87</v>
      </c>
      <c r="AG24" s="44" t="s">
        <v>87</v>
      </c>
      <c r="AH24" s="44" t="s">
        <v>87</v>
      </c>
      <c r="AI24" s="44" t="s">
        <v>87</v>
      </c>
      <c r="AJ24" s="44" t="s">
        <v>87</v>
      </c>
      <c r="AK24" s="44" t="s">
        <v>87</v>
      </c>
      <c r="AL24" s="44" t="s">
        <v>87</v>
      </c>
      <c r="AM24"/>
      <c r="AN24" s="44" t="s">
        <v>87</v>
      </c>
      <c r="AO24" s="44" t="s">
        <v>87</v>
      </c>
      <c r="AP24" s="44" t="s">
        <v>87</v>
      </c>
      <c r="AQ24" s="44" t="s">
        <v>87</v>
      </c>
      <c r="AR24"/>
      <c r="AS24" s="44" t="s">
        <v>87</v>
      </c>
      <c r="AT24"/>
      <c r="AU24"/>
      <c r="AV24" s="44" t="s">
        <v>87</v>
      </c>
    </row>
    <row r="25" spans="1:48" x14ac:dyDescent="0.25">
      <c r="A25" s="9" t="s">
        <v>374</v>
      </c>
      <c r="B25" s="3" t="s">
        <v>473</v>
      </c>
      <c r="C25" s="3" t="s">
        <v>483</v>
      </c>
      <c r="D25" s="3" t="s">
        <v>521</v>
      </c>
      <c r="E25" s="10" t="s">
        <v>372</v>
      </c>
      <c r="F25" s="10" t="s">
        <v>94</v>
      </c>
      <c r="G25" s="44" t="s">
        <v>87</v>
      </c>
      <c r="I25" s="58"/>
      <c r="J25" s="44" t="s">
        <v>87</v>
      </c>
      <c r="K25" s="44" t="s">
        <v>87</v>
      </c>
      <c r="M25" s="44" t="s">
        <v>87</v>
      </c>
      <c r="N25" s="44"/>
      <c r="O25" s="44" t="s">
        <v>87</v>
      </c>
      <c r="P25" s="44" t="s">
        <v>87</v>
      </c>
      <c r="Q25" s="44" t="s">
        <v>87</v>
      </c>
      <c r="T25" s="44" t="s">
        <v>87</v>
      </c>
      <c r="U25" s="44" t="s">
        <v>87</v>
      </c>
      <c r="V25" s="44" t="s">
        <v>87</v>
      </c>
      <c r="W25" s="44" t="s">
        <v>87</v>
      </c>
      <c r="X25" s="44" t="s">
        <v>87</v>
      </c>
      <c r="Y25" s="44" t="s">
        <v>87</v>
      </c>
      <c r="Z25" s="44" t="s">
        <v>87</v>
      </c>
      <c r="AA25" s="44" t="s">
        <v>87</v>
      </c>
      <c r="AB25" s="44" t="s">
        <v>87</v>
      </c>
      <c r="AC25" s="44" t="s">
        <v>87</v>
      </c>
      <c r="AD25" s="44" t="s">
        <v>87</v>
      </c>
      <c r="AE25"/>
      <c r="AF25" s="44" t="s">
        <v>87</v>
      </c>
      <c r="AG25" s="44" t="s">
        <v>87</v>
      </c>
      <c r="AH25" s="44" t="s">
        <v>87</v>
      </c>
      <c r="AI25" s="44" t="s">
        <v>87</v>
      </c>
      <c r="AJ25" s="44" t="s">
        <v>87</v>
      </c>
      <c r="AK25" s="44" t="s">
        <v>87</v>
      </c>
      <c r="AL25" s="44" t="s">
        <v>87</v>
      </c>
      <c r="AM25"/>
      <c r="AN25" s="44" t="s">
        <v>87</v>
      </c>
      <c r="AO25" s="44" t="s">
        <v>87</v>
      </c>
      <c r="AP25" s="44" t="s">
        <v>87</v>
      </c>
      <c r="AQ25" s="44" t="s">
        <v>87</v>
      </c>
      <c r="AR25"/>
      <c r="AS25" s="44" t="s">
        <v>87</v>
      </c>
      <c r="AT25"/>
      <c r="AU25"/>
      <c r="AV25" s="44" t="s">
        <v>87</v>
      </c>
    </row>
    <row r="26" spans="1:48" x14ac:dyDescent="0.25">
      <c r="A26" s="9" t="s">
        <v>12</v>
      </c>
      <c r="B26" s="3" t="s">
        <v>473</v>
      </c>
      <c r="C26" s="3" t="s">
        <v>483</v>
      </c>
      <c r="D26" s="3" t="s">
        <v>521</v>
      </c>
      <c r="E26" s="10" t="s">
        <v>139</v>
      </c>
      <c r="F26" s="10" t="s">
        <v>94</v>
      </c>
      <c r="G26" s="44" t="s">
        <v>87</v>
      </c>
      <c r="I26" s="58"/>
      <c r="J26" s="44" t="s">
        <v>87</v>
      </c>
      <c r="K26" s="44" t="s">
        <v>87</v>
      </c>
      <c r="M26" s="44" t="s">
        <v>87</v>
      </c>
      <c r="N26" s="44"/>
      <c r="O26" s="44" t="s">
        <v>87</v>
      </c>
      <c r="P26" s="44" t="s">
        <v>87</v>
      </c>
      <c r="Q26" s="44" t="s">
        <v>87</v>
      </c>
      <c r="T26" s="44" t="s">
        <v>87</v>
      </c>
      <c r="U26" s="44" t="s">
        <v>87</v>
      </c>
      <c r="V26" s="44" t="s">
        <v>87</v>
      </c>
      <c r="W26" s="44" t="s">
        <v>87</v>
      </c>
      <c r="X26" s="44" t="s">
        <v>87</v>
      </c>
      <c r="Y26" s="44" t="s">
        <v>87</v>
      </c>
      <c r="Z26" s="44" t="s">
        <v>87</v>
      </c>
      <c r="AA26" s="44" t="s">
        <v>87</v>
      </c>
      <c r="AB26" s="44" t="s">
        <v>87</v>
      </c>
      <c r="AC26" s="44" t="s">
        <v>87</v>
      </c>
      <c r="AD26" s="44" t="s">
        <v>87</v>
      </c>
      <c r="AE26"/>
      <c r="AF26" s="44" t="s">
        <v>87</v>
      </c>
      <c r="AG26" s="44" t="s">
        <v>87</v>
      </c>
      <c r="AH26" s="44" t="s">
        <v>87</v>
      </c>
      <c r="AI26" s="44" t="s">
        <v>87</v>
      </c>
      <c r="AJ26" s="44" t="s">
        <v>87</v>
      </c>
      <c r="AK26" s="44" t="s">
        <v>87</v>
      </c>
      <c r="AL26" s="44" t="s">
        <v>87</v>
      </c>
      <c r="AM26"/>
      <c r="AN26" s="44" t="s">
        <v>87</v>
      </c>
      <c r="AO26" s="44" t="s">
        <v>87</v>
      </c>
      <c r="AP26" s="44" t="s">
        <v>87</v>
      </c>
      <c r="AQ26" s="44" t="s">
        <v>87</v>
      </c>
      <c r="AR26"/>
      <c r="AS26" s="44" t="s">
        <v>87</v>
      </c>
      <c r="AT26"/>
      <c r="AU26"/>
      <c r="AV26" s="44" t="s">
        <v>87</v>
      </c>
    </row>
    <row r="27" spans="1:48" x14ac:dyDescent="0.25">
      <c r="A27" s="9" t="s">
        <v>13</v>
      </c>
      <c r="B27" s="3" t="s">
        <v>473</v>
      </c>
      <c r="C27" s="3" t="s">
        <v>483</v>
      </c>
      <c r="D27" s="3" t="s">
        <v>521</v>
      </c>
      <c r="E27" s="10" t="s">
        <v>119</v>
      </c>
      <c r="F27" s="10" t="s">
        <v>97</v>
      </c>
      <c r="G27" s="44">
        <v>0.33</v>
      </c>
      <c r="I27" s="58"/>
      <c r="J27" s="44">
        <v>0.33</v>
      </c>
      <c r="K27" s="44">
        <v>0.33</v>
      </c>
      <c r="M27" s="44">
        <v>0.33</v>
      </c>
      <c r="N27" s="44"/>
      <c r="O27" s="44">
        <v>0.33</v>
      </c>
      <c r="P27" s="44">
        <v>0.33</v>
      </c>
      <c r="Q27" s="44">
        <v>0.33</v>
      </c>
      <c r="T27" s="44">
        <v>0.33</v>
      </c>
      <c r="U27" s="44">
        <v>0.33</v>
      </c>
      <c r="V27" s="44">
        <v>0.33</v>
      </c>
      <c r="W27" s="44">
        <v>0.33</v>
      </c>
      <c r="X27" s="44">
        <v>0.33</v>
      </c>
      <c r="Y27" s="44">
        <v>0.33</v>
      </c>
      <c r="Z27" s="44">
        <v>0.33</v>
      </c>
      <c r="AA27" s="44">
        <v>0.33</v>
      </c>
      <c r="AB27" s="44">
        <v>0.33</v>
      </c>
      <c r="AC27" s="44">
        <v>0.33</v>
      </c>
      <c r="AD27" s="44">
        <v>0.33</v>
      </c>
      <c r="AE27"/>
      <c r="AF27" s="44">
        <v>0.33</v>
      </c>
      <c r="AG27" s="44">
        <v>0.33</v>
      </c>
      <c r="AH27" s="44">
        <v>0.33</v>
      </c>
      <c r="AI27" s="44">
        <v>0.33</v>
      </c>
      <c r="AJ27" s="44">
        <v>0.33</v>
      </c>
      <c r="AK27" s="44">
        <v>0.33</v>
      </c>
      <c r="AL27" s="44">
        <v>0.33</v>
      </c>
      <c r="AM27"/>
      <c r="AN27" s="44">
        <v>0.33</v>
      </c>
      <c r="AO27" s="44">
        <v>0.33</v>
      </c>
      <c r="AP27" s="44">
        <v>0.33</v>
      </c>
      <c r="AQ27" s="44">
        <v>0.33</v>
      </c>
      <c r="AR27"/>
      <c r="AS27" s="44">
        <v>0.33</v>
      </c>
      <c r="AT27"/>
      <c r="AU27"/>
      <c r="AV27" s="44">
        <v>0.33</v>
      </c>
    </row>
    <row r="28" spans="1:48" x14ac:dyDescent="0.25">
      <c r="A28" s="9" t="s">
        <v>14</v>
      </c>
      <c r="B28" s="3" t="s">
        <v>473</v>
      </c>
      <c r="C28" s="3" t="s">
        <v>483</v>
      </c>
      <c r="D28" s="3" t="s">
        <v>521</v>
      </c>
      <c r="E28" s="10" t="s">
        <v>134</v>
      </c>
      <c r="F28" s="10" t="s">
        <v>94</v>
      </c>
      <c r="G28" s="44" t="s">
        <v>87</v>
      </c>
      <c r="I28" s="58"/>
      <c r="J28" s="44" t="s">
        <v>87</v>
      </c>
      <c r="K28" s="44" t="s">
        <v>87</v>
      </c>
      <c r="M28" s="44" t="s">
        <v>87</v>
      </c>
      <c r="N28" s="44"/>
      <c r="O28" s="44" t="s">
        <v>87</v>
      </c>
      <c r="P28" s="44" t="s">
        <v>87</v>
      </c>
      <c r="Q28" s="44" t="s">
        <v>87</v>
      </c>
      <c r="T28" s="44" t="s">
        <v>87</v>
      </c>
      <c r="U28" s="44" t="s">
        <v>87</v>
      </c>
      <c r="V28" s="44" t="s">
        <v>87</v>
      </c>
      <c r="W28" s="44" t="s">
        <v>87</v>
      </c>
      <c r="X28" s="44" t="s">
        <v>87</v>
      </c>
      <c r="Y28" s="44" t="s">
        <v>87</v>
      </c>
      <c r="Z28" s="44" t="s">
        <v>87</v>
      </c>
      <c r="AA28" s="44" t="s">
        <v>87</v>
      </c>
      <c r="AB28" s="44" t="s">
        <v>87</v>
      </c>
      <c r="AC28" s="44" t="s">
        <v>87</v>
      </c>
      <c r="AD28" s="44" t="s">
        <v>87</v>
      </c>
      <c r="AE28"/>
      <c r="AF28" s="44" t="s">
        <v>87</v>
      </c>
      <c r="AG28" s="44" t="s">
        <v>87</v>
      </c>
      <c r="AH28" s="44" t="s">
        <v>87</v>
      </c>
      <c r="AI28" s="44" t="s">
        <v>87</v>
      </c>
      <c r="AJ28" s="44" t="s">
        <v>87</v>
      </c>
      <c r="AK28" s="44" t="s">
        <v>87</v>
      </c>
      <c r="AL28" s="44" t="s">
        <v>87</v>
      </c>
      <c r="AM28"/>
      <c r="AN28" s="44" t="s">
        <v>87</v>
      </c>
      <c r="AO28" s="44" t="s">
        <v>87</v>
      </c>
      <c r="AP28" s="44" t="s">
        <v>87</v>
      </c>
      <c r="AQ28" s="44" t="s">
        <v>87</v>
      </c>
      <c r="AR28"/>
      <c r="AS28" s="44" t="s">
        <v>87</v>
      </c>
      <c r="AT28"/>
      <c r="AU28"/>
      <c r="AV28" s="44" t="s">
        <v>87</v>
      </c>
    </row>
    <row r="29" spans="1:48" x14ac:dyDescent="0.25">
      <c r="A29" s="9" t="s">
        <v>9</v>
      </c>
      <c r="B29" s="3" t="s">
        <v>473</v>
      </c>
      <c r="C29" s="3" t="s">
        <v>483</v>
      </c>
      <c r="D29" s="3" t="s">
        <v>521</v>
      </c>
      <c r="E29" s="10" t="s">
        <v>132</v>
      </c>
      <c r="F29" s="10" t="s">
        <v>94</v>
      </c>
      <c r="G29" s="44" t="s">
        <v>87</v>
      </c>
      <c r="I29" s="58"/>
      <c r="J29" s="44" t="s">
        <v>87</v>
      </c>
      <c r="K29" s="44" t="s">
        <v>87</v>
      </c>
      <c r="M29" s="44" t="s">
        <v>87</v>
      </c>
      <c r="N29" s="44"/>
      <c r="O29" s="44" t="s">
        <v>87</v>
      </c>
      <c r="P29" s="44" t="s">
        <v>87</v>
      </c>
      <c r="Q29" s="44" t="s">
        <v>87</v>
      </c>
      <c r="T29" s="44" t="s">
        <v>87</v>
      </c>
      <c r="U29" s="44" t="s">
        <v>87</v>
      </c>
      <c r="V29" s="44" t="s">
        <v>87</v>
      </c>
      <c r="W29" s="44" t="s">
        <v>87</v>
      </c>
      <c r="X29" s="44" t="s">
        <v>87</v>
      </c>
      <c r="Y29" s="44" t="s">
        <v>87</v>
      </c>
      <c r="Z29" s="44" t="s">
        <v>87</v>
      </c>
      <c r="AA29" s="44" t="s">
        <v>87</v>
      </c>
      <c r="AB29" s="44" t="s">
        <v>87</v>
      </c>
      <c r="AC29" s="44" t="s">
        <v>87</v>
      </c>
      <c r="AD29" s="44" t="s">
        <v>87</v>
      </c>
      <c r="AE29"/>
      <c r="AF29" s="44" t="s">
        <v>87</v>
      </c>
      <c r="AG29" s="44" t="s">
        <v>87</v>
      </c>
      <c r="AH29" s="44" t="s">
        <v>87</v>
      </c>
      <c r="AI29" s="44" t="s">
        <v>87</v>
      </c>
      <c r="AJ29" s="44" t="s">
        <v>87</v>
      </c>
      <c r="AK29" s="44" t="s">
        <v>87</v>
      </c>
      <c r="AL29" s="44" t="s">
        <v>87</v>
      </c>
      <c r="AM29"/>
      <c r="AN29" s="44" t="s">
        <v>87</v>
      </c>
      <c r="AO29" s="44" t="s">
        <v>87</v>
      </c>
      <c r="AP29" s="44" t="s">
        <v>87</v>
      </c>
      <c r="AQ29" s="44" t="s">
        <v>87</v>
      </c>
      <c r="AR29"/>
      <c r="AS29" s="44" t="s">
        <v>87</v>
      </c>
      <c r="AT29"/>
      <c r="AU29"/>
      <c r="AV29" s="44" t="s">
        <v>87</v>
      </c>
    </row>
    <row r="30" spans="1:48" x14ac:dyDescent="0.25">
      <c r="A30" s="9" t="s">
        <v>456</v>
      </c>
      <c r="B30" s="3" t="s">
        <v>473</v>
      </c>
      <c r="C30" s="3" t="s">
        <v>483</v>
      </c>
      <c r="D30" s="3" t="s">
        <v>521</v>
      </c>
      <c r="E30" s="10" t="s">
        <v>457</v>
      </c>
      <c r="F30" s="10" t="s">
        <v>94</v>
      </c>
      <c r="G30" s="44" t="s">
        <v>87</v>
      </c>
      <c r="I30" s="58"/>
      <c r="J30" s="44" t="s">
        <v>87</v>
      </c>
      <c r="K30" s="44" t="s">
        <v>87</v>
      </c>
      <c r="M30" s="44" t="s">
        <v>87</v>
      </c>
      <c r="N30" s="44"/>
      <c r="O30" s="44" t="s">
        <v>87</v>
      </c>
      <c r="P30" s="44" t="s">
        <v>87</v>
      </c>
      <c r="Q30" s="44" t="s">
        <v>87</v>
      </c>
      <c r="T30" s="44" t="s">
        <v>87</v>
      </c>
      <c r="U30" s="44" t="s">
        <v>87</v>
      </c>
      <c r="V30" s="44" t="s">
        <v>87</v>
      </c>
      <c r="W30" s="44" t="s">
        <v>87</v>
      </c>
      <c r="X30" s="44" t="s">
        <v>87</v>
      </c>
      <c r="Y30" s="44" t="s">
        <v>87</v>
      </c>
      <c r="Z30" s="44" t="s">
        <v>87</v>
      </c>
      <c r="AA30" s="44" t="s">
        <v>87</v>
      </c>
      <c r="AB30" s="44" t="s">
        <v>87</v>
      </c>
      <c r="AC30" s="44" t="s">
        <v>87</v>
      </c>
      <c r="AD30" s="44" t="s">
        <v>87</v>
      </c>
      <c r="AE30"/>
      <c r="AF30" s="44" t="s">
        <v>87</v>
      </c>
      <c r="AG30" s="44" t="s">
        <v>87</v>
      </c>
      <c r="AH30" s="44" t="s">
        <v>87</v>
      </c>
      <c r="AI30" s="44" t="s">
        <v>87</v>
      </c>
      <c r="AJ30" s="44" t="s">
        <v>87</v>
      </c>
      <c r="AK30" s="44" t="s">
        <v>87</v>
      </c>
      <c r="AL30" s="44" t="s">
        <v>87</v>
      </c>
      <c r="AM30"/>
      <c r="AN30" s="44" t="s">
        <v>87</v>
      </c>
      <c r="AO30" s="44" t="s">
        <v>87</v>
      </c>
      <c r="AP30" s="44" t="s">
        <v>87</v>
      </c>
      <c r="AQ30" s="44" t="s">
        <v>87</v>
      </c>
      <c r="AR30"/>
      <c r="AS30" s="44" t="s">
        <v>87</v>
      </c>
      <c r="AT30"/>
      <c r="AU30"/>
      <c r="AV30" s="44" t="s">
        <v>87</v>
      </c>
    </row>
    <row r="31" spans="1:48" x14ac:dyDescent="0.25">
      <c r="A31" s="13" t="s">
        <v>21</v>
      </c>
      <c r="B31" s="3" t="s">
        <v>473</v>
      </c>
      <c r="C31" s="3" t="s">
        <v>483</v>
      </c>
      <c r="D31" s="3" t="s">
        <v>521</v>
      </c>
      <c r="E31" s="14" t="s">
        <v>137</v>
      </c>
      <c r="F31" s="14" t="s">
        <v>94</v>
      </c>
      <c r="G31" s="44" t="s">
        <v>86</v>
      </c>
      <c r="I31" s="58"/>
      <c r="J31" s="44" t="s">
        <v>86</v>
      </c>
      <c r="K31" s="44" t="s">
        <v>86</v>
      </c>
      <c r="M31" s="44" t="s">
        <v>86</v>
      </c>
      <c r="N31" s="44"/>
      <c r="O31" s="44" t="s">
        <v>86</v>
      </c>
      <c r="P31" s="44" t="s">
        <v>86</v>
      </c>
      <c r="Q31" s="44" t="s">
        <v>86</v>
      </c>
      <c r="T31" s="44" t="s">
        <v>86</v>
      </c>
      <c r="U31" s="44" t="s">
        <v>86</v>
      </c>
      <c r="V31" s="44" t="s">
        <v>86</v>
      </c>
      <c r="W31" s="44" t="s">
        <v>86</v>
      </c>
      <c r="X31" s="44" t="s">
        <v>86</v>
      </c>
      <c r="Y31" s="44" t="s">
        <v>86</v>
      </c>
      <c r="Z31" s="44" t="s">
        <v>86</v>
      </c>
      <c r="AA31" s="44" t="s">
        <v>86</v>
      </c>
      <c r="AB31" s="44" t="s">
        <v>86</v>
      </c>
      <c r="AC31" s="44" t="s">
        <v>86</v>
      </c>
      <c r="AD31" s="44" t="s">
        <v>86</v>
      </c>
      <c r="AE31"/>
      <c r="AF31" s="44" t="s">
        <v>86</v>
      </c>
      <c r="AG31" s="44" t="s">
        <v>86</v>
      </c>
      <c r="AH31" s="44" t="s">
        <v>86</v>
      </c>
      <c r="AI31" s="44" t="s">
        <v>86</v>
      </c>
      <c r="AJ31" s="44" t="s">
        <v>86</v>
      </c>
      <c r="AK31" s="44" t="s">
        <v>86</v>
      </c>
      <c r="AL31" s="44" t="s">
        <v>86</v>
      </c>
      <c r="AM31"/>
      <c r="AN31" s="44" t="s">
        <v>86</v>
      </c>
      <c r="AO31" s="44" t="s">
        <v>86</v>
      </c>
      <c r="AP31" s="44" t="s">
        <v>86</v>
      </c>
      <c r="AQ31" s="44" t="s">
        <v>86</v>
      </c>
      <c r="AR31"/>
      <c r="AS31" s="44" t="s">
        <v>86</v>
      </c>
      <c r="AT31"/>
      <c r="AU31"/>
      <c r="AV31" s="44" t="s">
        <v>86</v>
      </c>
    </row>
    <row r="32" spans="1:48" x14ac:dyDescent="0.25">
      <c r="A32" s="13" t="s">
        <v>22</v>
      </c>
      <c r="B32" s="3" t="s">
        <v>473</v>
      </c>
      <c r="C32" s="3" t="s">
        <v>483</v>
      </c>
      <c r="D32" s="3" t="s">
        <v>521</v>
      </c>
      <c r="E32" s="14" t="s">
        <v>124</v>
      </c>
      <c r="F32" s="14" t="s">
        <v>91</v>
      </c>
      <c r="G32" s="44" t="s">
        <v>382</v>
      </c>
      <c r="I32" s="59"/>
      <c r="J32" s="45" t="s">
        <v>436</v>
      </c>
      <c r="K32" s="45" t="s">
        <v>436</v>
      </c>
      <c r="M32" s="45" t="s">
        <v>436</v>
      </c>
      <c r="N32" s="45"/>
      <c r="O32" s="45" t="s">
        <v>436</v>
      </c>
      <c r="P32" s="45" t="s">
        <v>436</v>
      </c>
      <c r="Q32" s="45" t="s">
        <v>436</v>
      </c>
      <c r="T32" s="45" t="s">
        <v>436</v>
      </c>
      <c r="U32" s="45" t="s">
        <v>436</v>
      </c>
      <c r="V32" s="45" t="s">
        <v>436</v>
      </c>
      <c r="W32" s="45" t="s">
        <v>436</v>
      </c>
      <c r="X32" s="45" t="s">
        <v>436</v>
      </c>
      <c r="Y32" s="45" t="s">
        <v>436</v>
      </c>
      <c r="Z32" s="45" t="s">
        <v>436</v>
      </c>
      <c r="AA32" s="45" t="s">
        <v>436</v>
      </c>
      <c r="AB32" s="45" t="s">
        <v>436</v>
      </c>
      <c r="AC32" s="45" t="s">
        <v>436</v>
      </c>
      <c r="AD32" s="45" t="s">
        <v>436</v>
      </c>
      <c r="AE32"/>
      <c r="AF32" s="45" t="s">
        <v>436</v>
      </c>
      <c r="AG32" s="45" t="s">
        <v>436</v>
      </c>
      <c r="AH32" s="45" t="s">
        <v>436</v>
      </c>
      <c r="AI32" s="45" t="s">
        <v>436</v>
      </c>
      <c r="AJ32" s="45" t="s">
        <v>436</v>
      </c>
      <c r="AK32" s="45" t="s">
        <v>436</v>
      </c>
      <c r="AL32" s="45" t="s">
        <v>436</v>
      </c>
      <c r="AM32"/>
      <c r="AN32" s="45" t="s">
        <v>436</v>
      </c>
      <c r="AO32" s="45" t="s">
        <v>436</v>
      </c>
      <c r="AP32" s="45" t="s">
        <v>436</v>
      </c>
      <c r="AQ32" s="45" t="s">
        <v>436</v>
      </c>
      <c r="AR32"/>
      <c r="AS32" s="45" t="s">
        <v>436</v>
      </c>
      <c r="AT32"/>
      <c r="AU32"/>
      <c r="AV32" s="45" t="s">
        <v>436</v>
      </c>
    </row>
    <row r="33" spans="1:48" x14ac:dyDescent="0.25">
      <c r="A33" s="13" t="s">
        <v>23</v>
      </c>
      <c r="B33" s="3" t="s">
        <v>473</v>
      </c>
      <c r="C33" s="3" t="s">
        <v>483</v>
      </c>
      <c r="D33" s="3" t="s">
        <v>521</v>
      </c>
      <c r="E33" s="14" t="s">
        <v>125</v>
      </c>
      <c r="F33" s="14" t="s">
        <v>99</v>
      </c>
      <c r="G33" s="44">
        <v>9.9999999999999995E-7</v>
      </c>
      <c r="I33" s="58"/>
      <c r="J33" s="44">
        <v>9.9999999999999995E-7</v>
      </c>
      <c r="K33" s="44">
        <v>9.9999999999999995E-7</v>
      </c>
      <c r="M33" s="44">
        <v>9.9999999999999995E-7</v>
      </c>
      <c r="N33" s="44"/>
      <c r="O33" s="44">
        <v>9.9999999999999995E-7</v>
      </c>
      <c r="P33" s="44">
        <v>9.9999999999999995E-7</v>
      </c>
      <c r="Q33" s="44">
        <v>9.9999999999999995E-7</v>
      </c>
      <c r="T33" s="44">
        <v>9.9999999999999995E-7</v>
      </c>
      <c r="U33" s="44">
        <v>9.9999999999999995E-7</v>
      </c>
      <c r="V33" s="44">
        <v>9.9999999999999995E-7</v>
      </c>
      <c r="W33" s="44">
        <v>9.9999999999999995E-7</v>
      </c>
      <c r="X33" s="44">
        <v>9.9999999999999995E-7</v>
      </c>
      <c r="Y33" s="44">
        <v>9.9999999999999995E-7</v>
      </c>
      <c r="Z33" s="44">
        <v>9.9999999999999995E-7</v>
      </c>
      <c r="AA33" s="44">
        <v>9.9999999999999995E-7</v>
      </c>
      <c r="AB33" s="44">
        <v>9.9999999999999995E-7</v>
      </c>
      <c r="AC33" s="44">
        <v>9.9999999999999995E-7</v>
      </c>
      <c r="AD33" s="44">
        <v>9.9999999999999995E-7</v>
      </c>
      <c r="AE33"/>
      <c r="AF33" s="44">
        <v>9.9999999999999995E-7</v>
      </c>
      <c r="AG33" s="44">
        <v>9.9999999999999995E-7</v>
      </c>
      <c r="AH33" s="44">
        <v>9.9999999999999995E-7</v>
      </c>
      <c r="AI33" s="44">
        <v>9.9999999999999995E-7</v>
      </c>
      <c r="AJ33" s="44">
        <v>9.9999999999999995E-7</v>
      </c>
      <c r="AK33" s="44">
        <v>9.9999999999999995E-7</v>
      </c>
      <c r="AL33" s="44">
        <v>9.9999999999999995E-7</v>
      </c>
      <c r="AM33"/>
      <c r="AN33" s="44">
        <v>9.9999999999999995E-7</v>
      </c>
      <c r="AO33" s="44">
        <v>9.9999999999999995E-7</v>
      </c>
      <c r="AP33" s="44">
        <v>9.9999999999999995E-7</v>
      </c>
      <c r="AQ33" s="44">
        <v>9.9999999999999995E-7</v>
      </c>
      <c r="AR33"/>
      <c r="AS33" s="44">
        <v>9.9999999999999995E-7</v>
      </c>
      <c r="AT33"/>
      <c r="AU33"/>
      <c r="AV33" s="44">
        <v>9.9999999999999995E-7</v>
      </c>
    </row>
    <row r="34" spans="1:48" x14ac:dyDescent="0.25">
      <c r="A34" s="13" t="s">
        <v>24</v>
      </c>
      <c r="B34" s="3" t="s">
        <v>473</v>
      </c>
      <c r="C34" s="3" t="s">
        <v>483</v>
      </c>
      <c r="D34" s="3" t="s">
        <v>521</v>
      </c>
      <c r="E34" s="14" t="s">
        <v>126</v>
      </c>
      <c r="F34" s="14" t="s">
        <v>99</v>
      </c>
      <c r="G34" s="44">
        <v>2.0000000000000001E-4</v>
      </c>
      <c r="I34" s="58"/>
      <c r="J34" s="44">
        <v>1E-3</v>
      </c>
      <c r="K34" s="44">
        <v>1E-3</v>
      </c>
      <c r="M34" s="44">
        <v>1E-3</v>
      </c>
      <c r="N34" s="44"/>
      <c r="O34" s="44">
        <v>1E-3</v>
      </c>
      <c r="P34" s="44">
        <v>1E-3</v>
      </c>
      <c r="Q34" s="44">
        <v>1E-3</v>
      </c>
      <c r="T34" s="44">
        <v>1E-3</v>
      </c>
      <c r="U34" s="44">
        <v>1E-3</v>
      </c>
      <c r="V34" s="44">
        <v>1E-3</v>
      </c>
      <c r="W34" s="44">
        <v>1E-3</v>
      </c>
      <c r="X34" s="44">
        <v>1E-3</v>
      </c>
      <c r="Y34" s="44">
        <v>1E-3</v>
      </c>
      <c r="Z34" s="44">
        <v>1E-3</v>
      </c>
      <c r="AA34" s="44">
        <v>1E-3</v>
      </c>
      <c r="AB34" s="44">
        <v>1E-3</v>
      </c>
      <c r="AC34" s="44">
        <v>1E-3</v>
      </c>
      <c r="AD34" s="44">
        <v>1E-3</v>
      </c>
      <c r="AE34"/>
      <c r="AF34" s="44">
        <v>1E-3</v>
      </c>
      <c r="AG34" s="44">
        <v>1E-3</v>
      </c>
      <c r="AH34" s="44">
        <v>1E-3</v>
      </c>
      <c r="AI34" s="44">
        <v>1E-3</v>
      </c>
      <c r="AJ34" s="44">
        <v>1E-3</v>
      </c>
      <c r="AK34" s="44">
        <v>1E-3</v>
      </c>
      <c r="AL34" s="44">
        <v>1E-3</v>
      </c>
      <c r="AM34"/>
      <c r="AN34" s="44">
        <v>1E-3</v>
      </c>
      <c r="AO34" s="44">
        <v>1E-3</v>
      </c>
      <c r="AP34" s="44">
        <v>1E-3</v>
      </c>
      <c r="AQ34" s="44">
        <v>1E-3</v>
      </c>
      <c r="AR34"/>
      <c r="AS34" s="44">
        <v>1E-3</v>
      </c>
      <c r="AT34"/>
      <c r="AU34"/>
      <c r="AV34" s="44">
        <v>1E-3</v>
      </c>
    </row>
    <row r="35" spans="1:48" x14ac:dyDescent="0.25">
      <c r="A35" s="13" t="s">
        <v>25</v>
      </c>
      <c r="B35" s="3" t="s">
        <v>473</v>
      </c>
      <c r="C35" s="3" t="s">
        <v>483</v>
      </c>
      <c r="D35" s="3" t="s">
        <v>521</v>
      </c>
      <c r="E35" s="14" t="s">
        <v>138</v>
      </c>
      <c r="F35" s="14" t="s">
        <v>94</v>
      </c>
      <c r="G35" s="44" t="s">
        <v>86</v>
      </c>
      <c r="I35" s="58"/>
      <c r="J35" s="44" t="s">
        <v>86</v>
      </c>
      <c r="K35" s="44" t="s">
        <v>86</v>
      </c>
      <c r="M35" s="44" t="s">
        <v>86</v>
      </c>
      <c r="N35" s="44"/>
      <c r="O35" s="44" t="s">
        <v>86</v>
      </c>
      <c r="P35" s="44" t="s">
        <v>86</v>
      </c>
      <c r="Q35" s="44" t="s">
        <v>86</v>
      </c>
      <c r="T35" s="44" t="s">
        <v>86</v>
      </c>
      <c r="U35" s="44" t="s">
        <v>86</v>
      </c>
      <c r="V35" s="44" t="s">
        <v>86</v>
      </c>
      <c r="W35" s="44" t="s">
        <v>86</v>
      </c>
      <c r="X35" s="44" t="s">
        <v>86</v>
      </c>
      <c r="Y35" s="44" t="s">
        <v>86</v>
      </c>
      <c r="Z35" s="44" t="s">
        <v>86</v>
      </c>
      <c r="AA35" s="44" t="s">
        <v>86</v>
      </c>
      <c r="AB35" s="44" t="s">
        <v>86</v>
      </c>
      <c r="AC35" s="44" t="s">
        <v>86</v>
      </c>
      <c r="AD35" s="44" t="s">
        <v>86</v>
      </c>
      <c r="AE35"/>
      <c r="AF35" s="44" t="s">
        <v>86</v>
      </c>
      <c r="AG35" s="44" t="s">
        <v>86</v>
      </c>
      <c r="AH35" s="44" t="s">
        <v>86</v>
      </c>
      <c r="AI35" s="44" t="s">
        <v>86</v>
      </c>
      <c r="AJ35" s="44" t="s">
        <v>86</v>
      </c>
      <c r="AK35" s="44" t="s">
        <v>86</v>
      </c>
      <c r="AL35" s="44" t="s">
        <v>86</v>
      </c>
      <c r="AM35"/>
      <c r="AN35" s="44" t="s">
        <v>86</v>
      </c>
      <c r="AO35" s="44" t="s">
        <v>86</v>
      </c>
      <c r="AP35" s="44" t="s">
        <v>86</v>
      </c>
      <c r="AQ35" s="44" t="s">
        <v>86</v>
      </c>
      <c r="AR35"/>
      <c r="AS35" s="44" t="s">
        <v>86</v>
      </c>
      <c r="AT35"/>
      <c r="AU35"/>
      <c r="AV35" s="44" t="s">
        <v>86</v>
      </c>
    </row>
    <row r="36" spans="1:48" x14ac:dyDescent="0.25">
      <c r="A36" s="13" t="s">
        <v>26</v>
      </c>
      <c r="B36" s="3" t="s">
        <v>473</v>
      </c>
      <c r="C36" s="3" t="s">
        <v>483</v>
      </c>
      <c r="D36" s="3" t="s">
        <v>521</v>
      </c>
      <c r="E36" s="14" t="s">
        <v>127</v>
      </c>
      <c r="F36" s="14" t="s">
        <v>91</v>
      </c>
      <c r="G36" s="44" t="s">
        <v>88</v>
      </c>
      <c r="I36" s="58"/>
      <c r="J36" s="44" t="s">
        <v>88</v>
      </c>
      <c r="K36" s="44" t="s">
        <v>88</v>
      </c>
      <c r="M36" s="44" t="s">
        <v>88</v>
      </c>
      <c r="N36" s="44"/>
      <c r="O36" s="44" t="s">
        <v>88</v>
      </c>
      <c r="P36" s="44" t="s">
        <v>88</v>
      </c>
      <c r="Q36" s="44" t="s">
        <v>88</v>
      </c>
      <c r="T36" s="44" t="s">
        <v>88</v>
      </c>
      <c r="U36" s="44" t="s">
        <v>88</v>
      </c>
      <c r="V36" s="44" t="s">
        <v>88</v>
      </c>
      <c r="W36" s="44" t="s">
        <v>88</v>
      </c>
      <c r="X36" s="44" t="s">
        <v>88</v>
      </c>
      <c r="Y36" s="44" t="s">
        <v>88</v>
      </c>
      <c r="Z36" s="44" t="s">
        <v>88</v>
      </c>
      <c r="AA36" s="44" t="s">
        <v>88</v>
      </c>
      <c r="AB36" s="44" t="s">
        <v>88</v>
      </c>
      <c r="AC36" s="44" t="s">
        <v>88</v>
      </c>
      <c r="AD36" s="44" t="s">
        <v>88</v>
      </c>
      <c r="AE36"/>
      <c r="AF36" s="44" t="s">
        <v>88</v>
      </c>
      <c r="AG36" s="44" t="s">
        <v>88</v>
      </c>
      <c r="AH36" s="44" t="s">
        <v>88</v>
      </c>
      <c r="AI36" s="44" t="s">
        <v>88</v>
      </c>
      <c r="AJ36" s="44" t="s">
        <v>88</v>
      </c>
      <c r="AK36" s="44" t="s">
        <v>88</v>
      </c>
      <c r="AL36" s="44" t="s">
        <v>88</v>
      </c>
      <c r="AM36"/>
      <c r="AN36" s="44" t="s">
        <v>88</v>
      </c>
      <c r="AO36" s="44" t="s">
        <v>88</v>
      </c>
      <c r="AP36" s="44" t="s">
        <v>88</v>
      </c>
      <c r="AQ36" s="44" t="s">
        <v>88</v>
      </c>
      <c r="AR36"/>
      <c r="AS36" s="44" t="s">
        <v>88</v>
      </c>
      <c r="AT36"/>
      <c r="AU36"/>
      <c r="AV36" s="44" t="s">
        <v>88</v>
      </c>
    </row>
    <row r="37" spans="1:48" x14ac:dyDescent="0.25">
      <c r="A37" s="13" t="s">
        <v>27</v>
      </c>
      <c r="B37" s="3" t="s">
        <v>473</v>
      </c>
      <c r="C37" s="3" t="s">
        <v>483</v>
      </c>
      <c r="D37" s="3" t="s">
        <v>521</v>
      </c>
      <c r="E37" s="14" t="s">
        <v>128</v>
      </c>
      <c r="F37" s="14" t="s">
        <v>94</v>
      </c>
      <c r="G37" s="44" t="s">
        <v>86</v>
      </c>
      <c r="I37" s="58"/>
      <c r="J37" s="44" t="s">
        <v>86</v>
      </c>
      <c r="K37" s="44" t="s">
        <v>86</v>
      </c>
      <c r="M37" s="44" t="s">
        <v>86</v>
      </c>
      <c r="N37" s="44"/>
      <c r="O37" s="44" t="s">
        <v>86</v>
      </c>
      <c r="P37" s="44" t="s">
        <v>86</v>
      </c>
      <c r="Q37" s="44" t="s">
        <v>86</v>
      </c>
      <c r="T37" s="44" t="s">
        <v>86</v>
      </c>
      <c r="U37" s="44" t="s">
        <v>86</v>
      </c>
      <c r="V37" s="44" t="s">
        <v>86</v>
      </c>
      <c r="W37" s="44" t="s">
        <v>86</v>
      </c>
      <c r="X37" s="44" t="s">
        <v>86</v>
      </c>
      <c r="Y37" s="44" t="s">
        <v>86</v>
      </c>
      <c r="Z37" s="44" t="s">
        <v>86</v>
      </c>
      <c r="AA37" s="44" t="s">
        <v>86</v>
      </c>
      <c r="AB37" s="44" t="s">
        <v>86</v>
      </c>
      <c r="AC37" s="44" t="s">
        <v>86</v>
      </c>
      <c r="AD37" s="44" t="s">
        <v>86</v>
      </c>
      <c r="AE37"/>
      <c r="AF37" s="44" t="s">
        <v>86</v>
      </c>
      <c r="AG37" s="44" t="s">
        <v>86</v>
      </c>
      <c r="AH37" s="44" t="s">
        <v>86</v>
      </c>
      <c r="AI37" s="44" t="s">
        <v>86</v>
      </c>
      <c r="AJ37" s="44" t="s">
        <v>86</v>
      </c>
      <c r="AK37" s="44" t="s">
        <v>86</v>
      </c>
      <c r="AL37" s="44" t="s">
        <v>86</v>
      </c>
      <c r="AM37"/>
      <c r="AN37" s="44" t="s">
        <v>86</v>
      </c>
      <c r="AO37" s="44" t="s">
        <v>86</v>
      </c>
      <c r="AP37" s="44" t="s">
        <v>86</v>
      </c>
      <c r="AQ37" s="44" t="s">
        <v>86</v>
      </c>
      <c r="AR37"/>
      <c r="AS37" s="44" t="s">
        <v>86</v>
      </c>
      <c r="AT37"/>
      <c r="AU37"/>
      <c r="AV37" s="44" t="s">
        <v>86</v>
      </c>
    </row>
    <row r="38" spans="1:48" x14ac:dyDescent="0.25">
      <c r="A38" s="13" t="s">
        <v>28</v>
      </c>
      <c r="B38" s="3" t="s">
        <v>473</v>
      </c>
      <c r="C38" s="3" t="s">
        <v>483</v>
      </c>
      <c r="D38" s="3" t="s">
        <v>521</v>
      </c>
      <c r="E38" s="14" t="s">
        <v>140</v>
      </c>
      <c r="F38" s="14" t="s">
        <v>94</v>
      </c>
      <c r="G38" s="44" t="s">
        <v>87</v>
      </c>
      <c r="I38" s="58"/>
      <c r="J38" s="44" t="s">
        <v>87</v>
      </c>
      <c r="K38" s="44" t="s">
        <v>87</v>
      </c>
      <c r="M38" s="44" t="s">
        <v>87</v>
      </c>
      <c r="N38" s="44"/>
      <c r="O38" s="44" t="s">
        <v>87</v>
      </c>
      <c r="P38" s="44" t="s">
        <v>87</v>
      </c>
      <c r="Q38" s="44" t="s">
        <v>87</v>
      </c>
      <c r="T38" s="44" t="s">
        <v>87</v>
      </c>
      <c r="U38" s="44" t="s">
        <v>87</v>
      </c>
      <c r="V38" s="44" t="s">
        <v>87</v>
      </c>
      <c r="W38" s="44" t="s">
        <v>87</v>
      </c>
      <c r="X38" s="44" t="s">
        <v>87</v>
      </c>
      <c r="Y38" s="44" t="s">
        <v>87</v>
      </c>
      <c r="Z38" s="44" t="s">
        <v>87</v>
      </c>
      <c r="AA38" s="44" t="s">
        <v>87</v>
      </c>
      <c r="AB38" s="44" t="s">
        <v>87</v>
      </c>
      <c r="AC38" s="44" t="s">
        <v>87</v>
      </c>
      <c r="AD38" s="44" t="s">
        <v>87</v>
      </c>
      <c r="AE38"/>
      <c r="AF38" s="44" t="s">
        <v>87</v>
      </c>
      <c r="AG38" s="44" t="s">
        <v>87</v>
      </c>
      <c r="AH38" s="44" t="s">
        <v>87</v>
      </c>
      <c r="AI38" s="44" t="s">
        <v>87</v>
      </c>
      <c r="AJ38" s="44" t="s">
        <v>87</v>
      </c>
      <c r="AK38" s="44" t="s">
        <v>87</v>
      </c>
      <c r="AL38" s="44" t="s">
        <v>87</v>
      </c>
      <c r="AM38"/>
      <c r="AN38" s="44" t="s">
        <v>87</v>
      </c>
      <c r="AO38" s="44" t="s">
        <v>87</v>
      </c>
      <c r="AP38" s="44" t="s">
        <v>87</v>
      </c>
      <c r="AQ38" s="44" t="s">
        <v>87</v>
      </c>
      <c r="AR38"/>
      <c r="AS38" s="44" t="s">
        <v>87</v>
      </c>
      <c r="AT38"/>
      <c r="AU38"/>
      <c r="AV38" s="44" t="s">
        <v>87</v>
      </c>
    </row>
    <row r="39" spans="1:48" x14ac:dyDescent="0.25">
      <c r="A39" s="13" t="s">
        <v>29</v>
      </c>
      <c r="B39" s="3" t="s">
        <v>473</v>
      </c>
      <c r="C39" s="3" t="s">
        <v>483</v>
      </c>
      <c r="D39" s="3" t="s">
        <v>521</v>
      </c>
      <c r="E39" s="14" t="s">
        <v>141</v>
      </c>
      <c r="F39" s="14" t="s">
        <v>95</v>
      </c>
      <c r="G39" s="44">
        <v>120</v>
      </c>
      <c r="I39" s="58"/>
      <c r="J39" s="44">
        <v>120</v>
      </c>
      <c r="K39" s="44">
        <v>120</v>
      </c>
      <c r="M39" s="44">
        <v>120</v>
      </c>
      <c r="N39" s="44"/>
      <c r="O39" s="44">
        <v>120</v>
      </c>
      <c r="P39" s="44">
        <v>120</v>
      </c>
      <c r="Q39" s="44">
        <v>120</v>
      </c>
      <c r="T39" s="44">
        <v>120</v>
      </c>
      <c r="U39" s="44">
        <v>120</v>
      </c>
      <c r="V39" s="44">
        <v>120</v>
      </c>
      <c r="W39" s="44">
        <v>120</v>
      </c>
      <c r="X39" s="44">
        <v>120</v>
      </c>
      <c r="Y39" s="44">
        <v>120</v>
      </c>
      <c r="Z39" s="44">
        <v>120</v>
      </c>
      <c r="AA39" s="44">
        <v>120</v>
      </c>
      <c r="AB39" s="44">
        <v>120</v>
      </c>
      <c r="AC39" s="44">
        <v>120</v>
      </c>
      <c r="AD39" s="44">
        <v>120</v>
      </c>
      <c r="AE39"/>
      <c r="AF39" s="44">
        <v>120</v>
      </c>
      <c r="AG39" s="44">
        <v>120</v>
      </c>
      <c r="AH39" s="44">
        <v>120</v>
      </c>
      <c r="AI39" s="44">
        <v>120</v>
      </c>
      <c r="AJ39" s="44">
        <v>120</v>
      </c>
      <c r="AK39" s="44">
        <v>120</v>
      </c>
      <c r="AL39" s="44">
        <v>120</v>
      </c>
      <c r="AM39"/>
      <c r="AN39" s="44">
        <v>120</v>
      </c>
      <c r="AO39" s="44">
        <v>120</v>
      </c>
      <c r="AP39" s="44">
        <v>120</v>
      </c>
      <c r="AQ39" s="44">
        <v>120</v>
      </c>
      <c r="AR39"/>
      <c r="AS39" s="44">
        <v>120</v>
      </c>
      <c r="AT39"/>
      <c r="AU39"/>
      <c r="AV39" s="44">
        <v>120</v>
      </c>
    </row>
    <row r="40" spans="1:48" x14ac:dyDescent="0.25">
      <c r="A40" s="13" t="s">
        <v>30</v>
      </c>
      <c r="B40" s="3" t="s">
        <v>473</v>
      </c>
      <c r="C40" s="3" t="s">
        <v>483</v>
      </c>
      <c r="D40" s="3" t="s">
        <v>521</v>
      </c>
      <c r="E40" s="14" t="s">
        <v>142</v>
      </c>
      <c r="F40" s="14" t="s">
        <v>98</v>
      </c>
      <c r="G40" s="44">
        <v>0</v>
      </c>
      <c r="I40" s="58"/>
      <c r="J40" s="44">
        <v>0</v>
      </c>
      <c r="K40" s="44">
        <v>0</v>
      </c>
      <c r="M40" s="44">
        <v>0</v>
      </c>
      <c r="N40" s="44"/>
      <c r="O40" s="44">
        <v>0</v>
      </c>
      <c r="P40" s="44">
        <v>0</v>
      </c>
      <c r="Q40" s="44">
        <v>0</v>
      </c>
      <c r="T40" s="44">
        <v>0</v>
      </c>
      <c r="U40" s="44">
        <v>0</v>
      </c>
      <c r="V40" s="44">
        <v>0</v>
      </c>
      <c r="W40" s="44">
        <v>0</v>
      </c>
      <c r="X40" s="44">
        <v>0</v>
      </c>
      <c r="Y40" s="44">
        <v>0</v>
      </c>
      <c r="Z40" s="44">
        <v>0</v>
      </c>
      <c r="AA40" s="44">
        <v>0</v>
      </c>
      <c r="AB40" s="44">
        <v>0</v>
      </c>
      <c r="AC40" s="44">
        <v>0</v>
      </c>
      <c r="AD40" s="44">
        <v>0</v>
      </c>
      <c r="AE40"/>
      <c r="AF40" s="44">
        <v>0</v>
      </c>
      <c r="AG40" s="44">
        <v>0</v>
      </c>
      <c r="AH40" s="44">
        <v>0</v>
      </c>
      <c r="AI40" s="44">
        <v>0</v>
      </c>
      <c r="AJ40" s="44">
        <v>0</v>
      </c>
      <c r="AK40" s="44">
        <v>0</v>
      </c>
      <c r="AL40" s="44">
        <v>0</v>
      </c>
      <c r="AM40"/>
      <c r="AN40" s="44">
        <v>0</v>
      </c>
      <c r="AO40" s="44">
        <v>0</v>
      </c>
      <c r="AP40" s="44">
        <v>0</v>
      </c>
      <c r="AQ40" s="44">
        <v>0</v>
      </c>
      <c r="AR40"/>
      <c r="AS40" s="44">
        <v>0</v>
      </c>
      <c r="AT40"/>
      <c r="AU40"/>
      <c r="AV40" s="44">
        <v>0</v>
      </c>
    </row>
    <row r="41" spans="1:48" x14ac:dyDescent="0.25">
      <c r="A41" s="13" t="s">
        <v>31</v>
      </c>
      <c r="B41" s="3" t="s">
        <v>473</v>
      </c>
      <c r="C41" s="3" t="s">
        <v>483</v>
      </c>
      <c r="D41" s="3" t="s">
        <v>521</v>
      </c>
      <c r="E41" s="14" t="s">
        <v>143</v>
      </c>
      <c r="F41" s="14" t="s">
        <v>98</v>
      </c>
      <c r="G41" s="44">
        <v>0</v>
      </c>
      <c r="I41" s="58"/>
      <c r="J41" s="44">
        <v>0</v>
      </c>
      <c r="K41" s="44">
        <v>0</v>
      </c>
      <c r="M41" s="44">
        <v>0</v>
      </c>
      <c r="N41" s="44"/>
      <c r="O41" s="44">
        <v>0</v>
      </c>
      <c r="P41" s="44">
        <v>0</v>
      </c>
      <c r="Q41" s="44">
        <v>0</v>
      </c>
      <c r="T41" s="44">
        <v>0</v>
      </c>
      <c r="U41" s="44">
        <v>0</v>
      </c>
      <c r="V41" s="44">
        <v>0</v>
      </c>
      <c r="W41" s="44">
        <v>0</v>
      </c>
      <c r="X41" s="44">
        <v>0</v>
      </c>
      <c r="Y41" s="44">
        <v>0</v>
      </c>
      <c r="Z41" s="44">
        <v>0</v>
      </c>
      <c r="AA41" s="44">
        <v>0</v>
      </c>
      <c r="AB41" s="44">
        <v>0</v>
      </c>
      <c r="AC41" s="44">
        <v>0</v>
      </c>
      <c r="AD41" s="44">
        <v>0</v>
      </c>
      <c r="AE41"/>
      <c r="AF41" s="44">
        <v>0</v>
      </c>
      <c r="AG41" s="44">
        <v>0</v>
      </c>
      <c r="AH41" s="44">
        <v>0</v>
      </c>
      <c r="AI41" s="44">
        <v>0</v>
      </c>
      <c r="AJ41" s="44">
        <v>0</v>
      </c>
      <c r="AK41" s="44">
        <v>0</v>
      </c>
      <c r="AL41" s="44">
        <v>0</v>
      </c>
      <c r="AM41"/>
      <c r="AN41" s="44">
        <v>0</v>
      </c>
      <c r="AO41" s="44">
        <v>0</v>
      </c>
      <c r="AP41" s="44">
        <v>0</v>
      </c>
      <c r="AQ41" s="44">
        <v>0</v>
      </c>
      <c r="AR41"/>
      <c r="AS41" s="44">
        <v>0</v>
      </c>
      <c r="AT41"/>
      <c r="AU41"/>
      <c r="AV41" s="44">
        <v>0</v>
      </c>
    </row>
    <row r="42" spans="1:48" x14ac:dyDescent="0.25">
      <c r="A42" s="13" t="s">
        <v>32</v>
      </c>
      <c r="B42" s="3" t="s">
        <v>473</v>
      </c>
      <c r="C42" s="3" t="s">
        <v>483</v>
      </c>
      <c r="D42" s="3" t="s">
        <v>521</v>
      </c>
      <c r="E42" s="14" t="s">
        <v>144</v>
      </c>
      <c r="F42" s="14" t="s">
        <v>98</v>
      </c>
      <c r="G42" s="44">
        <v>-0.1</v>
      </c>
      <c r="I42" s="58"/>
      <c r="J42" s="44">
        <v>-0.1</v>
      </c>
      <c r="K42" s="44">
        <v>-0.1</v>
      </c>
      <c r="M42" s="44">
        <v>-0.1</v>
      </c>
      <c r="N42" s="44"/>
      <c r="O42" s="44">
        <v>-0.1</v>
      </c>
      <c r="P42" s="44">
        <v>-0.1</v>
      </c>
      <c r="Q42" s="44">
        <v>-0.1</v>
      </c>
      <c r="T42" s="44">
        <v>-0.1</v>
      </c>
      <c r="U42" s="44">
        <v>-0.1</v>
      </c>
      <c r="V42" s="44">
        <v>-0.1</v>
      </c>
      <c r="W42" s="44">
        <v>-0.1</v>
      </c>
      <c r="X42" s="44">
        <v>-0.1</v>
      </c>
      <c r="Y42" s="44">
        <v>-0.1</v>
      </c>
      <c r="Z42" s="44">
        <v>-0.1</v>
      </c>
      <c r="AA42" s="44">
        <v>-0.1</v>
      </c>
      <c r="AB42" s="44">
        <v>-0.1</v>
      </c>
      <c r="AC42" s="44">
        <v>-0.1</v>
      </c>
      <c r="AD42" s="44">
        <v>-0.1</v>
      </c>
      <c r="AE42"/>
      <c r="AF42" s="44">
        <v>-0.1</v>
      </c>
      <c r="AG42" s="44">
        <v>-0.1</v>
      </c>
      <c r="AH42" s="44">
        <v>-0.1</v>
      </c>
      <c r="AI42" s="44">
        <v>-0.1</v>
      </c>
      <c r="AJ42" s="44">
        <v>-0.1</v>
      </c>
      <c r="AK42" s="44">
        <v>-0.1</v>
      </c>
      <c r="AL42" s="44">
        <v>-0.1</v>
      </c>
      <c r="AM42"/>
      <c r="AN42" s="44">
        <v>-0.1</v>
      </c>
      <c r="AO42" s="44">
        <v>-0.1</v>
      </c>
      <c r="AP42" s="44">
        <v>-0.1</v>
      </c>
      <c r="AQ42" s="44">
        <v>-0.1</v>
      </c>
      <c r="AR42"/>
      <c r="AS42" s="44">
        <v>-0.1</v>
      </c>
      <c r="AT42"/>
      <c r="AU42"/>
      <c r="AV42" s="44">
        <v>-0.1</v>
      </c>
    </row>
    <row r="43" spans="1:48" x14ac:dyDescent="0.25">
      <c r="A43" s="13" t="s">
        <v>33</v>
      </c>
      <c r="B43" s="3" t="s">
        <v>473</v>
      </c>
      <c r="C43" s="3" t="s">
        <v>483</v>
      </c>
      <c r="D43" s="3" t="s">
        <v>521</v>
      </c>
      <c r="E43" s="14" t="s">
        <v>145</v>
      </c>
      <c r="F43" s="14" t="s">
        <v>98</v>
      </c>
      <c r="G43" s="44">
        <v>-0.2</v>
      </c>
      <c r="I43" s="58"/>
      <c r="J43" s="44">
        <v>-0.2</v>
      </c>
      <c r="K43" s="44">
        <v>-0.2</v>
      </c>
      <c r="M43" s="44">
        <v>-0.2</v>
      </c>
      <c r="N43" s="44"/>
      <c r="O43" s="44">
        <v>-0.2</v>
      </c>
      <c r="P43" s="44">
        <v>-0.2</v>
      </c>
      <c r="Q43" s="44">
        <v>-0.2</v>
      </c>
      <c r="T43" s="44">
        <v>-0.2</v>
      </c>
      <c r="U43" s="44">
        <v>-0.2</v>
      </c>
      <c r="V43" s="44">
        <v>-0.2</v>
      </c>
      <c r="W43" s="44">
        <v>-0.2</v>
      </c>
      <c r="X43" s="44">
        <v>-0.2</v>
      </c>
      <c r="Y43" s="44">
        <v>-0.2</v>
      </c>
      <c r="Z43" s="44">
        <v>-0.2</v>
      </c>
      <c r="AA43" s="44">
        <v>-0.2</v>
      </c>
      <c r="AB43" s="44">
        <v>-0.2</v>
      </c>
      <c r="AC43" s="44">
        <v>-0.2</v>
      </c>
      <c r="AD43" s="44">
        <v>-0.2</v>
      </c>
      <c r="AE43"/>
      <c r="AF43" s="44">
        <v>-0.2</v>
      </c>
      <c r="AG43" s="44">
        <v>-0.2</v>
      </c>
      <c r="AH43" s="44">
        <v>-0.2</v>
      </c>
      <c r="AI43" s="44">
        <v>-0.2</v>
      </c>
      <c r="AJ43" s="44">
        <v>-0.2</v>
      </c>
      <c r="AK43" s="44">
        <v>-0.2</v>
      </c>
      <c r="AL43" s="44">
        <v>-0.2</v>
      </c>
      <c r="AM43"/>
      <c r="AN43" s="44">
        <v>-0.2</v>
      </c>
      <c r="AO43" s="44">
        <v>-0.2</v>
      </c>
      <c r="AP43" s="44">
        <v>-0.2</v>
      </c>
      <c r="AQ43" s="44">
        <v>-0.2</v>
      </c>
      <c r="AR43"/>
      <c r="AS43" s="44">
        <v>-0.2</v>
      </c>
      <c r="AT43"/>
      <c r="AU43"/>
      <c r="AV43" s="44">
        <v>-0.2</v>
      </c>
    </row>
    <row r="44" spans="1:48" x14ac:dyDescent="0.25">
      <c r="A44" s="13" t="s">
        <v>34</v>
      </c>
      <c r="B44" s="3" t="s">
        <v>473</v>
      </c>
      <c r="C44" s="3" t="s">
        <v>483</v>
      </c>
      <c r="D44" s="3" t="s">
        <v>521</v>
      </c>
      <c r="E44" s="14" t="s">
        <v>146</v>
      </c>
      <c r="F44" s="14" t="s">
        <v>98</v>
      </c>
      <c r="G44" s="44">
        <v>0.4</v>
      </c>
      <c r="I44" s="58"/>
      <c r="J44" s="44">
        <v>0.4</v>
      </c>
      <c r="K44" s="44">
        <v>0.4</v>
      </c>
      <c r="M44" s="44">
        <v>0.4</v>
      </c>
      <c r="N44" s="44"/>
      <c r="O44" s="44">
        <v>0.4</v>
      </c>
      <c r="P44" s="44">
        <v>0.4</v>
      </c>
      <c r="Q44" s="44">
        <v>0.4</v>
      </c>
      <c r="T44" s="44">
        <v>0.4</v>
      </c>
      <c r="U44" s="44">
        <v>0.4</v>
      </c>
      <c r="V44" s="44">
        <v>0.4</v>
      </c>
      <c r="W44" s="44">
        <v>0.4</v>
      </c>
      <c r="X44" s="44">
        <v>0.4</v>
      </c>
      <c r="Y44" s="44">
        <v>0.4</v>
      </c>
      <c r="Z44" s="44">
        <v>0.4</v>
      </c>
      <c r="AA44" s="44">
        <v>0.4</v>
      </c>
      <c r="AB44" s="44">
        <v>0.4</v>
      </c>
      <c r="AC44" s="44">
        <v>0.4</v>
      </c>
      <c r="AD44" s="44">
        <v>0.4</v>
      </c>
      <c r="AE44"/>
      <c r="AF44" s="44">
        <v>0.4</v>
      </c>
      <c r="AG44" s="44">
        <v>0.4</v>
      </c>
      <c r="AH44" s="44">
        <v>0.4</v>
      </c>
      <c r="AI44" s="44">
        <v>0.4</v>
      </c>
      <c r="AJ44" s="44">
        <v>0.4</v>
      </c>
      <c r="AK44" s="44">
        <v>0.4</v>
      </c>
      <c r="AL44" s="44">
        <v>0.4</v>
      </c>
      <c r="AM44"/>
      <c r="AN44" s="44">
        <v>0.4</v>
      </c>
      <c r="AO44" s="44">
        <v>0.4</v>
      </c>
      <c r="AP44" s="44">
        <v>0.4</v>
      </c>
      <c r="AQ44" s="44">
        <v>0.4</v>
      </c>
      <c r="AR44"/>
      <c r="AS44" s="44">
        <v>0.4</v>
      </c>
      <c r="AT44"/>
      <c r="AU44"/>
      <c r="AV44" s="44">
        <v>0.4</v>
      </c>
    </row>
    <row r="45" spans="1:48" x14ac:dyDescent="0.25">
      <c r="A45" s="13" t="s">
        <v>35</v>
      </c>
      <c r="B45" s="3" t="s">
        <v>473</v>
      </c>
      <c r="C45" s="3" t="s">
        <v>483</v>
      </c>
      <c r="D45" s="3" t="s">
        <v>521</v>
      </c>
      <c r="E45" s="14" t="s">
        <v>147</v>
      </c>
      <c r="F45" s="14" t="s">
        <v>101</v>
      </c>
      <c r="G45" s="44">
        <v>0</v>
      </c>
      <c r="I45" s="58"/>
      <c r="J45" s="44">
        <v>0</v>
      </c>
      <c r="K45" s="44">
        <v>0</v>
      </c>
      <c r="M45" s="44">
        <v>0</v>
      </c>
      <c r="N45" s="44"/>
      <c r="O45" s="44">
        <v>0</v>
      </c>
      <c r="P45" s="44">
        <v>0</v>
      </c>
      <c r="Q45" s="44">
        <v>0</v>
      </c>
      <c r="T45" s="44">
        <v>0</v>
      </c>
      <c r="U45" s="44">
        <v>0</v>
      </c>
      <c r="V45" s="44">
        <v>0</v>
      </c>
      <c r="W45" s="44">
        <v>0</v>
      </c>
      <c r="X45" s="44">
        <v>0</v>
      </c>
      <c r="Y45" s="44">
        <v>0</v>
      </c>
      <c r="Z45" s="44">
        <v>0</v>
      </c>
      <c r="AA45" s="44">
        <v>0</v>
      </c>
      <c r="AB45" s="44">
        <v>0</v>
      </c>
      <c r="AC45" s="44">
        <v>0</v>
      </c>
      <c r="AD45" s="44">
        <v>0</v>
      </c>
      <c r="AE45"/>
      <c r="AF45" s="44">
        <v>0</v>
      </c>
      <c r="AG45" s="44">
        <v>0</v>
      </c>
      <c r="AH45" s="44">
        <v>0</v>
      </c>
      <c r="AI45" s="44">
        <v>0</v>
      </c>
      <c r="AJ45" s="44">
        <v>0</v>
      </c>
      <c r="AK45" s="44">
        <v>0</v>
      </c>
      <c r="AL45" s="44">
        <v>0</v>
      </c>
      <c r="AM45"/>
      <c r="AN45" s="44">
        <v>0</v>
      </c>
      <c r="AO45" s="44">
        <v>0</v>
      </c>
      <c r="AP45" s="44">
        <v>0</v>
      </c>
      <c r="AQ45" s="44">
        <v>0</v>
      </c>
      <c r="AR45"/>
      <c r="AS45" s="44">
        <v>0</v>
      </c>
      <c r="AT45"/>
      <c r="AU45"/>
      <c r="AV45" s="44">
        <v>0</v>
      </c>
    </row>
    <row r="46" spans="1:48" x14ac:dyDescent="0.25">
      <c r="A46" s="13" t="s">
        <v>437</v>
      </c>
      <c r="B46" s="3" t="s">
        <v>473</v>
      </c>
      <c r="C46" s="3" t="s">
        <v>483</v>
      </c>
      <c r="D46" s="3" t="s">
        <v>521</v>
      </c>
      <c r="E46" s="14" t="s">
        <v>439</v>
      </c>
      <c r="F46" s="14" t="s">
        <v>95</v>
      </c>
      <c r="G46" s="44">
        <v>1200</v>
      </c>
      <c r="I46" s="58"/>
      <c r="J46" s="44">
        <v>1200</v>
      </c>
      <c r="K46" s="44">
        <v>1200</v>
      </c>
      <c r="M46" s="44">
        <v>1200</v>
      </c>
      <c r="N46" s="44"/>
      <c r="O46" s="44">
        <v>1200</v>
      </c>
      <c r="P46" s="44">
        <v>1200</v>
      </c>
      <c r="Q46" s="44">
        <v>1200</v>
      </c>
      <c r="T46" s="44">
        <v>1200</v>
      </c>
      <c r="U46" s="44">
        <v>1200</v>
      </c>
      <c r="V46" s="44">
        <v>1200</v>
      </c>
      <c r="W46" s="44">
        <v>1200</v>
      </c>
      <c r="X46" s="44">
        <v>1200</v>
      </c>
      <c r="Y46" s="44">
        <v>1200</v>
      </c>
      <c r="Z46" s="44">
        <v>1200</v>
      </c>
      <c r="AA46" s="44">
        <v>1200</v>
      </c>
      <c r="AB46" s="44">
        <v>1200</v>
      </c>
      <c r="AC46" s="44">
        <v>1200</v>
      </c>
      <c r="AD46" s="44">
        <v>1200</v>
      </c>
      <c r="AE46"/>
      <c r="AF46" s="44">
        <v>1200</v>
      </c>
      <c r="AG46" s="44">
        <v>1200</v>
      </c>
      <c r="AH46" s="44">
        <v>1200</v>
      </c>
      <c r="AI46" s="44">
        <v>1200</v>
      </c>
      <c r="AJ46" s="44">
        <v>1200</v>
      </c>
      <c r="AK46" s="44">
        <v>1200</v>
      </c>
      <c r="AL46" s="44">
        <v>1200</v>
      </c>
      <c r="AM46"/>
      <c r="AN46" s="44">
        <v>1200</v>
      </c>
      <c r="AO46" s="44">
        <v>1200</v>
      </c>
      <c r="AP46" s="44">
        <v>1200</v>
      </c>
      <c r="AQ46" s="44">
        <v>1200</v>
      </c>
      <c r="AR46"/>
      <c r="AS46" s="44">
        <v>1200</v>
      </c>
      <c r="AT46"/>
      <c r="AU46"/>
      <c r="AV46" s="44">
        <v>1200</v>
      </c>
    </row>
    <row r="47" spans="1:48" x14ac:dyDescent="0.25">
      <c r="A47" s="13" t="s">
        <v>438</v>
      </c>
      <c r="B47" s="3" t="s">
        <v>473</v>
      </c>
      <c r="C47" s="3" t="s">
        <v>483</v>
      </c>
      <c r="D47" s="3" t="s">
        <v>521</v>
      </c>
      <c r="E47" s="14" t="s">
        <v>440</v>
      </c>
      <c r="F47" s="14" t="s">
        <v>95</v>
      </c>
      <c r="G47" s="44">
        <v>1200</v>
      </c>
      <c r="I47" s="58"/>
      <c r="J47" s="44">
        <v>1200</v>
      </c>
      <c r="K47" s="44">
        <v>1200</v>
      </c>
      <c r="M47" s="44">
        <v>1200</v>
      </c>
      <c r="N47" s="44"/>
      <c r="O47" s="44">
        <v>1200</v>
      </c>
      <c r="P47" s="44">
        <v>1200</v>
      </c>
      <c r="Q47" s="44">
        <v>1200</v>
      </c>
      <c r="T47" s="44">
        <v>1200</v>
      </c>
      <c r="U47" s="44">
        <v>1200</v>
      </c>
      <c r="V47" s="44">
        <v>1200</v>
      </c>
      <c r="W47" s="44">
        <v>1200</v>
      </c>
      <c r="X47" s="44">
        <v>1200</v>
      </c>
      <c r="Y47" s="44">
        <v>1200</v>
      </c>
      <c r="Z47" s="44">
        <v>1200</v>
      </c>
      <c r="AA47" s="44">
        <v>1200</v>
      </c>
      <c r="AB47" s="44">
        <v>1200</v>
      </c>
      <c r="AC47" s="44">
        <v>1200</v>
      </c>
      <c r="AD47" s="44">
        <v>1200</v>
      </c>
      <c r="AE47"/>
      <c r="AF47" s="44">
        <v>1200</v>
      </c>
      <c r="AG47" s="44">
        <v>1200</v>
      </c>
      <c r="AH47" s="44">
        <v>1200</v>
      </c>
      <c r="AI47" s="44">
        <v>1200</v>
      </c>
      <c r="AJ47" s="44">
        <v>1200</v>
      </c>
      <c r="AK47" s="44">
        <v>1200</v>
      </c>
      <c r="AL47" s="44">
        <v>1200</v>
      </c>
      <c r="AM47"/>
      <c r="AN47" s="44">
        <v>1200</v>
      </c>
      <c r="AO47" s="44">
        <v>1200</v>
      </c>
      <c r="AP47" s="44">
        <v>1200</v>
      </c>
      <c r="AQ47" s="44">
        <v>1200</v>
      </c>
      <c r="AR47"/>
      <c r="AS47" s="44">
        <v>1200</v>
      </c>
      <c r="AT47"/>
      <c r="AU47"/>
      <c r="AV47" s="44">
        <v>1200</v>
      </c>
    </row>
    <row r="48" spans="1:48" x14ac:dyDescent="0.25">
      <c r="A48" s="13" t="s">
        <v>459</v>
      </c>
      <c r="B48" s="3" t="s">
        <v>473</v>
      </c>
      <c r="C48" s="3" t="s">
        <v>483</v>
      </c>
      <c r="D48" s="3" t="s">
        <v>521</v>
      </c>
      <c r="E48" s="14" t="s">
        <v>460</v>
      </c>
      <c r="F48" s="14" t="s">
        <v>461</v>
      </c>
      <c r="G48" s="44" t="s">
        <v>462</v>
      </c>
      <c r="I48" s="58"/>
      <c r="J48" s="44" t="s">
        <v>462</v>
      </c>
      <c r="K48" s="44" t="s">
        <v>462</v>
      </c>
      <c r="M48" s="44" t="s">
        <v>462</v>
      </c>
      <c r="N48" s="44"/>
      <c r="O48" s="44" t="s">
        <v>462</v>
      </c>
      <c r="P48" s="44" t="s">
        <v>462</v>
      </c>
      <c r="Q48" s="44" t="s">
        <v>462</v>
      </c>
      <c r="T48" s="44" t="s">
        <v>462</v>
      </c>
      <c r="U48" s="44" t="s">
        <v>462</v>
      </c>
      <c r="V48" s="44" t="s">
        <v>462</v>
      </c>
      <c r="W48" s="44" t="s">
        <v>462</v>
      </c>
      <c r="X48" s="44" t="s">
        <v>462</v>
      </c>
      <c r="Y48" s="44" t="s">
        <v>462</v>
      </c>
      <c r="Z48" s="44" t="s">
        <v>462</v>
      </c>
      <c r="AA48" s="44" t="s">
        <v>462</v>
      </c>
      <c r="AB48" s="44" t="s">
        <v>462</v>
      </c>
      <c r="AC48" s="44" t="s">
        <v>462</v>
      </c>
      <c r="AD48" s="44" t="s">
        <v>462</v>
      </c>
      <c r="AE48"/>
      <c r="AF48" s="44" t="s">
        <v>462</v>
      </c>
      <c r="AG48" s="44" t="s">
        <v>462</v>
      </c>
      <c r="AH48" s="44" t="s">
        <v>462</v>
      </c>
      <c r="AI48" s="44" t="s">
        <v>462</v>
      </c>
      <c r="AJ48" s="44" t="s">
        <v>462</v>
      </c>
      <c r="AK48" s="44" t="s">
        <v>462</v>
      </c>
      <c r="AL48" s="44" t="s">
        <v>462</v>
      </c>
      <c r="AM48"/>
      <c r="AN48" s="44" t="s">
        <v>462</v>
      </c>
      <c r="AO48" s="44" t="s">
        <v>462</v>
      </c>
      <c r="AP48" s="44" t="s">
        <v>462</v>
      </c>
      <c r="AQ48" s="44" t="s">
        <v>462</v>
      </c>
      <c r="AR48"/>
      <c r="AS48" s="44" t="s">
        <v>462</v>
      </c>
      <c r="AT48"/>
      <c r="AU48"/>
      <c r="AV48" s="44" t="s">
        <v>462</v>
      </c>
    </row>
    <row r="49" spans="1:48" x14ac:dyDescent="0.25">
      <c r="A49" s="13" t="s">
        <v>15</v>
      </c>
      <c r="B49" s="3" t="s">
        <v>473</v>
      </c>
      <c r="C49" s="3" t="s">
        <v>483</v>
      </c>
      <c r="D49" s="3" t="s">
        <v>521</v>
      </c>
      <c r="E49" s="14" t="s">
        <v>135</v>
      </c>
      <c r="F49" s="14" t="s">
        <v>94</v>
      </c>
      <c r="G49" s="44" t="s">
        <v>86</v>
      </c>
      <c r="I49" s="58"/>
      <c r="J49" s="44" t="s">
        <v>86</v>
      </c>
      <c r="K49" s="44" t="s">
        <v>86</v>
      </c>
      <c r="M49" s="44" t="s">
        <v>86</v>
      </c>
      <c r="N49" s="44"/>
      <c r="O49" s="44" t="s">
        <v>86</v>
      </c>
      <c r="P49" s="44" t="s">
        <v>86</v>
      </c>
      <c r="Q49" s="44" t="s">
        <v>86</v>
      </c>
      <c r="T49" s="44" t="s">
        <v>86</v>
      </c>
      <c r="U49" s="44" t="s">
        <v>86</v>
      </c>
      <c r="V49" s="44" t="s">
        <v>86</v>
      </c>
      <c r="W49" s="44" t="s">
        <v>86</v>
      </c>
      <c r="X49" s="44" t="s">
        <v>86</v>
      </c>
      <c r="Y49" s="44" t="s">
        <v>86</v>
      </c>
      <c r="Z49" s="44" t="s">
        <v>86</v>
      </c>
      <c r="AA49" s="44" t="s">
        <v>86</v>
      </c>
      <c r="AB49" s="44" t="s">
        <v>86</v>
      </c>
      <c r="AC49" s="44" t="s">
        <v>86</v>
      </c>
      <c r="AD49" s="44" t="s">
        <v>86</v>
      </c>
      <c r="AE49"/>
      <c r="AF49" s="44" t="s">
        <v>86</v>
      </c>
      <c r="AG49" s="44" t="s">
        <v>86</v>
      </c>
      <c r="AH49" s="44" t="s">
        <v>86</v>
      </c>
      <c r="AI49" s="44" t="s">
        <v>86</v>
      </c>
      <c r="AJ49" s="44" t="s">
        <v>86</v>
      </c>
      <c r="AK49" s="44" t="s">
        <v>86</v>
      </c>
      <c r="AL49" s="44" t="s">
        <v>86</v>
      </c>
      <c r="AM49"/>
      <c r="AN49" s="44" t="s">
        <v>86</v>
      </c>
      <c r="AO49" s="44" t="s">
        <v>86</v>
      </c>
      <c r="AP49" s="44" t="s">
        <v>86</v>
      </c>
      <c r="AQ49" s="44" t="s">
        <v>86</v>
      </c>
      <c r="AR49"/>
      <c r="AS49" s="44" t="s">
        <v>86</v>
      </c>
      <c r="AT49"/>
      <c r="AU49"/>
      <c r="AV49" s="44" t="s">
        <v>86</v>
      </c>
    </row>
    <row r="50" spans="1:48" x14ac:dyDescent="0.25">
      <c r="A50" s="11" t="s">
        <v>16</v>
      </c>
      <c r="B50" s="3" t="s">
        <v>473</v>
      </c>
      <c r="C50" s="3" t="s">
        <v>483</v>
      </c>
      <c r="D50" s="3" t="s">
        <v>521</v>
      </c>
      <c r="E50" s="12" t="s">
        <v>136</v>
      </c>
      <c r="F50" s="12" t="s">
        <v>94</v>
      </c>
      <c r="G50" s="44" t="s">
        <v>86</v>
      </c>
      <c r="I50" s="58"/>
      <c r="J50" s="44" t="s">
        <v>86</v>
      </c>
      <c r="K50" s="44" t="s">
        <v>86</v>
      </c>
      <c r="M50" s="44" t="s">
        <v>86</v>
      </c>
      <c r="N50" s="44"/>
      <c r="O50" s="44" t="s">
        <v>86</v>
      </c>
      <c r="P50" s="44" t="s">
        <v>86</v>
      </c>
      <c r="Q50" s="44" t="s">
        <v>86</v>
      </c>
      <c r="T50" s="44" t="s">
        <v>86</v>
      </c>
      <c r="U50" s="44" t="s">
        <v>86</v>
      </c>
      <c r="V50" s="44" t="s">
        <v>86</v>
      </c>
      <c r="W50" s="44" t="s">
        <v>86</v>
      </c>
      <c r="X50" s="44" t="s">
        <v>86</v>
      </c>
      <c r="Y50" s="44" t="s">
        <v>86</v>
      </c>
      <c r="Z50" s="44" t="s">
        <v>86</v>
      </c>
      <c r="AA50" s="44" t="s">
        <v>86</v>
      </c>
      <c r="AB50" s="44" t="s">
        <v>86</v>
      </c>
      <c r="AC50" s="44" t="s">
        <v>86</v>
      </c>
      <c r="AD50" s="44" t="s">
        <v>86</v>
      </c>
      <c r="AE50"/>
      <c r="AF50" s="44" t="s">
        <v>86</v>
      </c>
      <c r="AG50" s="44" t="s">
        <v>86</v>
      </c>
      <c r="AH50" s="44" t="s">
        <v>86</v>
      </c>
      <c r="AI50" s="44" t="s">
        <v>86</v>
      </c>
      <c r="AJ50" s="44" t="s">
        <v>86</v>
      </c>
      <c r="AK50" s="44" t="s">
        <v>86</v>
      </c>
      <c r="AL50" s="44" t="s">
        <v>86</v>
      </c>
      <c r="AM50"/>
      <c r="AN50" s="44" t="s">
        <v>86</v>
      </c>
      <c r="AO50" s="44" t="s">
        <v>86</v>
      </c>
      <c r="AP50" s="44" t="s">
        <v>86</v>
      </c>
      <c r="AQ50" s="44" t="s">
        <v>86</v>
      </c>
      <c r="AR50"/>
      <c r="AS50" s="44" t="s">
        <v>86</v>
      </c>
      <c r="AT50"/>
      <c r="AU50"/>
      <c r="AV50" s="44" t="s">
        <v>86</v>
      </c>
    </row>
    <row r="51" spans="1:48" x14ac:dyDescent="0.25">
      <c r="A51" s="11" t="s">
        <v>17</v>
      </c>
      <c r="B51" s="3" t="s">
        <v>473</v>
      </c>
      <c r="C51" s="3" t="s">
        <v>483</v>
      </c>
      <c r="D51" s="3" t="s">
        <v>521</v>
      </c>
      <c r="E51" s="12" t="s">
        <v>120</v>
      </c>
      <c r="F51" s="12" t="s">
        <v>98</v>
      </c>
      <c r="G51" s="44">
        <v>0</v>
      </c>
      <c r="I51" s="58"/>
      <c r="J51" s="44">
        <v>0</v>
      </c>
      <c r="K51" s="44">
        <v>0</v>
      </c>
      <c r="M51" s="44">
        <v>0</v>
      </c>
      <c r="N51" s="44"/>
      <c r="O51" s="44">
        <v>0</v>
      </c>
      <c r="P51" s="44">
        <v>0</v>
      </c>
      <c r="Q51" s="44">
        <v>0</v>
      </c>
      <c r="T51" s="44">
        <v>0</v>
      </c>
      <c r="U51" s="44">
        <v>0</v>
      </c>
      <c r="V51" s="44">
        <v>0</v>
      </c>
      <c r="W51" s="44">
        <v>0</v>
      </c>
      <c r="X51" s="44">
        <v>0</v>
      </c>
      <c r="Y51" s="44">
        <v>0</v>
      </c>
      <c r="Z51" s="44">
        <v>0</v>
      </c>
      <c r="AA51" s="44">
        <v>0</v>
      </c>
      <c r="AB51" s="44">
        <v>0</v>
      </c>
      <c r="AC51" s="44">
        <v>0</v>
      </c>
      <c r="AD51" s="44">
        <v>0</v>
      </c>
      <c r="AE51"/>
      <c r="AF51" s="44">
        <v>0</v>
      </c>
      <c r="AG51" s="44">
        <v>0</v>
      </c>
      <c r="AH51" s="44">
        <v>0</v>
      </c>
      <c r="AI51" s="44">
        <v>0</v>
      </c>
      <c r="AJ51" s="44">
        <v>0</v>
      </c>
      <c r="AK51" s="44">
        <v>0</v>
      </c>
      <c r="AL51" s="44">
        <v>0</v>
      </c>
      <c r="AM51"/>
      <c r="AN51" s="44">
        <v>0</v>
      </c>
      <c r="AO51" s="44">
        <v>0</v>
      </c>
      <c r="AP51" s="44">
        <v>0</v>
      </c>
      <c r="AQ51" s="44">
        <v>0</v>
      </c>
      <c r="AR51"/>
      <c r="AS51" s="44">
        <v>0</v>
      </c>
      <c r="AT51"/>
      <c r="AU51"/>
      <c r="AV51" s="44">
        <v>0</v>
      </c>
    </row>
    <row r="52" spans="1:48" x14ac:dyDescent="0.25">
      <c r="A52" s="11" t="s">
        <v>18</v>
      </c>
      <c r="B52" s="3" t="s">
        <v>473</v>
      </c>
      <c r="C52" s="3" t="s">
        <v>483</v>
      </c>
      <c r="D52" s="3" t="s">
        <v>521</v>
      </c>
      <c r="E52" s="12" t="s">
        <v>121</v>
      </c>
      <c r="F52" s="12" t="s">
        <v>98</v>
      </c>
      <c r="G52" s="44">
        <v>0.5</v>
      </c>
      <c r="I52" s="58"/>
      <c r="J52" s="44">
        <v>0.5</v>
      </c>
      <c r="K52" s="44">
        <v>0.5</v>
      </c>
      <c r="M52" s="44">
        <v>0.5</v>
      </c>
      <c r="N52" s="44"/>
      <c r="O52" s="44">
        <v>0.5</v>
      </c>
      <c r="P52" s="44">
        <v>0.5</v>
      </c>
      <c r="Q52" s="44">
        <v>0.5</v>
      </c>
      <c r="T52" s="44">
        <v>0.5</v>
      </c>
      <c r="U52" s="44">
        <v>0.5</v>
      </c>
      <c r="V52" s="44">
        <v>0.5</v>
      </c>
      <c r="W52" s="44">
        <v>0.5</v>
      </c>
      <c r="X52" s="44">
        <v>0.5</v>
      </c>
      <c r="Y52" s="44">
        <v>0.5</v>
      </c>
      <c r="Z52" s="44">
        <v>0.5</v>
      </c>
      <c r="AA52" s="44">
        <v>0.5</v>
      </c>
      <c r="AB52" s="44">
        <v>0.5</v>
      </c>
      <c r="AC52" s="44">
        <v>0.5</v>
      </c>
      <c r="AD52" s="44">
        <v>0.5</v>
      </c>
      <c r="AE52"/>
      <c r="AF52" s="44">
        <v>0.5</v>
      </c>
      <c r="AG52" s="44">
        <v>0.5</v>
      </c>
      <c r="AH52" s="44">
        <v>0.5</v>
      </c>
      <c r="AI52" s="44">
        <v>0.5</v>
      </c>
      <c r="AJ52" s="44">
        <v>0.5</v>
      </c>
      <c r="AK52" s="44">
        <v>0.5</v>
      </c>
      <c r="AL52" s="44">
        <v>0.5</v>
      </c>
      <c r="AM52"/>
      <c r="AN52" s="44">
        <v>0.5</v>
      </c>
      <c r="AO52" s="44">
        <v>0.5</v>
      </c>
      <c r="AP52" s="44">
        <v>0.5</v>
      </c>
      <c r="AQ52" s="44">
        <v>0.5</v>
      </c>
      <c r="AR52"/>
      <c r="AS52" s="44">
        <v>0.5</v>
      </c>
      <c r="AT52"/>
      <c r="AU52"/>
      <c r="AV52" s="44">
        <v>0.5</v>
      </c>
    </row>
    <row r="53" spans="1:48" x14ac:dyDescent="0.25">
      <c r="A53" s="11" t="s">
        <v>19</v>
      </c>
      <c r="B53" s="3" t="s">
        <v>473</v>
      </c>
      <c r="C53" s="3" t="s">
        <v>483</v>
      </c>
      <c r="D53" s="3" t="s">
        <v>521</v>
      </c>
      <c r="E53" s="12" t="s">
        <v>122</v>
      </c>
      <c r="F53" s="12" t="s">
        <v>98</v>
      </c>
      <c r="G53" s="44">
        <v>0.05</v>
      </c>
      <c r="I53" s="58"/>
      <c r="J53" s="44">
        <v>0.05</v>
      </c>
      <c r="K53" s="44">
        <v>0.05</v>
      </c>
      <c r="M53" s="44">
        <v>0.05</v>
      </c>
      <c r="N53" s="44"/>
      <c r="O53" s="44">
        <v>0.05</v>
      </c>
      <c r="P53" s="44">
        <v>0.05</v>
      </c>
      <c r="Q53" s="44">
        <v>0.05</v>
      </c>
      <c r="T53" s="44">
        <v>0.05</v>
      </c>
      <c r="U53" s="44">
        <v>0.05</v>
      </c>
      <c r="V53" s="44">
        <v>0.05</v>
      </c>
      <c r="W53" s="44">
        <v>0.05</v>
      </c>
      <c r="X53" s="44">
        <v>0.05</v>
      </c>
      <c r="Y53" s="44">
        <v>0.05</v>
      </c>
      <c r="Z53" s="44">
        <v>0.05</v>
      </c>
      <c r="AA53" s="44">
        <v>0.05</v>
      </c>
      <c r="AB53" s="44">
        <v>0.05</v>
      </c>
      <c r="AC53" s="44">
        <v>0.05</v>
      </c>
      <c r="AD53" s="44">
        <v>0.05</v>
      </c>
      <c r="AE53"/>
      <c r="AF53" s="44">
        <v>0.05</v>
      </c>
      <c r="AG53" s="44">
        <v>0.05</v>
      </c>
      <c r="AH53" s="44">
        <v>0.05</v>
      </c>
      <c r="AI53" s="44">
        <v>0.05</v>
      </c>
      <c r="AJ53" s="44">
        <v>0.05</v>
      </c>
      <c r="AK53" s="44">
        <v>0.05</v>
      </c>
      <c r="AL53" s="44">
        <v>0.05</v>
      </c>
      <c r="AM53"/>
      <c r="AN53" s="44">
        <v>0.05</v>
      </c>
      <c r="AO53" s="44">
        <v>0.05</v>
      </c>
      <c r="AP53" s="44">
        <v>0.05</v>
      </c>
      <c r="AQ53" s="44">
        <v>0.05</v>
      </c>
      <c r="AR53"/>
      <c r="AS53" s="44">
        <v>0.05</v>
      </c>
      <c r="AT53"/>
      <c r="AU53"/>
      <c r="AV53" s="44">
        <v>0.05</v>
      </c>
    </row>
    <row r="54" spans="1:48" x14ac:dyDescent="0.25">
      <c r="A54" s="15" t="s">
        <v>36</v>
      </c>
      <c r="B54" s="3" t="s">
        <v>473</v>
      </c>
      <c r="C54" s="3" t="s">
        <v>483</v>
      </c>
      <c r="D54" s="3" t="s">
        <v>521</v>
      </c>
      <c r="E54" s="16" t="s">
        <v>148</v>
      </c>
      <c r="F54" s="16" t="s">
        <v>98</v>
      </c>
      <c r="G54" s="44">
        <v>1E-3</v>
      </c>
      <c r="I54" s="58"/>
      <c r="J54" s="44">
        <v>1E-3</v>
      </c>
      <c r="K54" s="44">
        <v>1E-3</v>
      </c>
      <c r="M54" s="44">
        <v>1E-3</v>
      </c>
      <c r="N54" s="44"/>
      <c r="O54" s="44">
        <v>1E-3</v>
      </c>
      <c r="P54" s="44">
        <v>1E-3</v>
      </c>
      <c r="Q54" s="44">
        <v>1E-3</v>
      </c>
      <c r="T54" s="44">
        <v>1E-3</v>
      </c>
      <c r="U54" s="44">
        <v>1E-3</v>
      </c>
      <c r="V54" s="44">
        <v>1E-3</v>
      </c>
      <c r="W54" s="44">
        <v>1E-3</v>
      </c>
      <c r="X54" s="44">
        <v>1E-3</v>
      </c>
      <c r="Y54" s="44">
        <v>1E-3</v>
      </c>
      <c r="Z54" s="44">
        <v>1E-3</v>
      </c>
      <c r="AA54" s="44">
        <v>1E-3</v>
      </c>
      <c r="AB54" s="44">
        <v>1E-3</v>
      </c>
      <c r="AC54" s="44">
        <v>1E-3</v>
      </c>
      <c r="AD54" s="44">
        <v>1E-3</v>
      </c>
      <c r="AE54"/>
      <c r="AF54" s="44">
        <v>1E-3</v>
      </c>
      <c r="AG54" s="44">
        <v>1E-3</v>
      </c>
      <c r="AH54" s="44">
        <v>1E-3</v>
      </c>
      <c r="AI54" s="44">
        <v>1E-3</v>
      </c>
      <c r="AJ54" s="44">
        <v>1E-3</v>
      </c>
      <c r="AK54" s="44">
        <v>1E-3</v>
      </c>
      <c r="AL54" s="44">
        <v>1E-3</v>
      </c>
      <c r="AM54"/>
      <c r="AN54" s="44">
        <v>1E-3</v>
      </c>
      <c r="AO54" s="44">
        <v>1E-3</v>
      </c>
      <c r="AP54" s="44">
        <v>1E-3</v>
      </c>
      <c r="AQ54" s="44">
        <v>1E-3</v>
      </c>
      <c r="AR54"/>
      <c r="AS54" s="44">
        <v>1E-3</v>
      </c>
      <c r="AT54"/>
      <c r="AU54"/>
      <c r="AV54" s="44">
        <v>1E-3</v>
      </c>
    </row>
    <row r="55" spans="1:48" x14ac:dyDescent="0.25">
      <c r="A55" s="15" t="s">
        <v>379</v>
      </c>
      <c r="B55" s="3" t="s">
        <v>473</v>
      </c>
      <c r="C55" s="3" t="s">
        <v>483</v>
      </c>
      <c r="D55" s="3" t="s">
        <v>521</v>
      </c>
      <c r="E55" s="16" t="s">
        <v>380</v>
      </c>
      <c r="F55" s="16" t="s">
        <v>98</v>
      </c>
      <c r="G55" s="44">
        <v>0</v>
      </c>
      <c r="I55" s="58"/>
      <c r="J55" s="44">
        <v>0</v>
      </c>
      <c r="K55" s="44">
        <v>0</v>
      </c>
      <c r="M55" s="44">
        <v>0</v>
      </c>
      <c r="N55" s="44"/>
      <c r="O55" s="44">
        <v>0</v>
      </c>
      <c r="P55" s="44">
        <v>0</v>
      </c>
      <c r="Q55" s="44">
        <v>0</v>
      </c>
      <c r="T55" s="44">
        <v>0</v>
      </c>
      <c r="U55" s="44">
        <v>0</v>
      </c>
      <c r="V55" s="44">
        <v>0</v>
      </c>
      <c r="W55" s="44">
        <v>0</v>
      </c>
      <c r="X55" s="44">
        <v>0</v>
      </c>
      <c r="Y55" s="44">
        <v>0</v>
      </c>
      <c r="Z55" s="44">
        <v>0</v>
      </c>
      <c r="AA55" s="44">
        <v>0</v>
      </c>
      <c r="AB55" s="44">
        <v>0</v>
      </c>
      <c r="AC55" s="44">
        <v>0</v>
      </c>
      <c r="AD55" s="44">
        <v>0</v>
      </c>
      <c r="AE55"/>
      <c r="AF55" s="44">
        <v>0</v>
      </c>
      <c r="AG55" s="44">
        <v>0</v>
      </c>
      <c r="AH55" s="44">
        <v>0</v>
      </c>
      <c r="AI55" s="44">
        <v>0</v>
      </c>
      <c r="AJ55" s="44">
        <v>0</v>
      </c>
      <c r="AK55" s="44">
        <v>0</v>
      </c>
      <c r="AL55" s="44">
        <v>0</v>
      </c>
      <c r="AM55"/>
      <c r="AN55" s="44">
        <v>0</v>
      </c>
      <c r="AO55" s="44">
        <v>0</v>
      </c>
      <c r="AP55" s="44">
        <v>0</v>
      </c>
      <c r="AQ55" s="44">
        <v>0</v>
      </c>
      <c r="AR55"/>
      <c r="AS55" s="44">
        <v>0</v>
      </c>
      <c r="AT55"/>
      <c r="AU55"/>
      <c r="AV55" s="44">
        <v>0</v>
      </c>
    </row>
    <row r="56" spans="1:48" x14ac:dyDescent="0.25">
      <c r="A56" s="15" t="s">
        <v>37</v>
      </c>
      <c r="B56" s="3" t="s">
        <v>473</v>
      </c>
      <c r="C56" s="3" t="s">
        <v>483</v>
      </c>
      <c r="D56" s="3" t="s">
        <v>521</v>
      </c>
      <c r="E56" s="16" t="s">
        <v>149</v>
      </c>
      <c r="F56" s="16" t="s">
        <v>195</v>
      </c>
      <c r="G56" s="44">
        <v>1E-4</v>
      </c>
      <c r="I56" s="58"/>
      <c r="J56" s="44">
        <v>1E-4</v>
      </c>
      <c r="K56" s="44">
        <v>1E-4</v>
      </c>
      <c r="M56" s="44">
        <v>1E-4</v>
      </c>
      <c r="N56" s="44"/>
      <c r="O56" s="44">
        <v>1E-4</v>
      </c>
      <c r="P56" s="44">
        <v>1E-4</v>
      </c>
      <c r="Q56" s="44">
        <v>1E-4</v>
      </c>
      <c r="T56" s="44">
        <v>1E-4</v>
      </c>
      <c r="U56" s="44">
        <v>1E-4</v>
      </c>
      <c r="V56" s="44">
        <v>1E-4</v>
      </c>
      <c r="W56" s="44">
        <v>1E-4</v>
      </c>
      <c r="X56" s="44">
        <v>1E-4</v>
      </c>
      <c r="Y56" s="44">
        <v>1E-4</v>
      </c>
      <c r="Z56" s="44">
        <v>1E-4</v>
      </c>
      <c r="AA56" s="44">
        <v>1E-4</v>
      </c>
      <c r="AB56" s="44">
        <v>1E-4</v>
      </c>
      <c r="AC56" s="44">
        <v>1E-4</v>
      </c>
      <c r="AD56" s="44">
        <v>1E-4</v>
      </c>
      <c r="AE56"/>
      <c r="AF56" s="44">
        <v>1E-4</v>
      </c>
      <c r="AG56" s="44">
        <v>1E-4</v>
      </c>
      <c r="AH56" s="44">
        <v>1E-4</v>
      </c>
      <c r="AI56" s="44">
        <v>1E-4</v>
      </c>
      <c r="AJ56" s="44">
        <v>1E-4</v>
      </c>
      <c r="AK56" s="44">
        <v>1E-4</v>
      </c>
      <c r="AL56" s="44">
        <v>1E-4</v>
      </c>
      <c r="AM56"/>
      <c r="AN56" s="44">
        <v>1E-4</v>
      </c>
      <c r="AO56" s="44">
        <v>1E-4</v>
      </c>
      <c r="AP56" s="44">
        <v>1E-4</v>
      </c>
      <c r="AQ56" s="44">
        <v>1E-4</v>
      </c>
      <c r="AR56"/>
      <c r="AS56" s="44">
        <v>1E-4</v>
      </c>
      <c r="AT56"/>
      <c r="AU56"/>
      <c r="AV56" s="44">
        <v>1E-4</v>
      </c>
    </row>
    <row r="57" spans="1:48" x14ac:dyDescent="0.25">
      <c r="A57" s="15" t="s">
        <v>38</v>
      </c>
      <c r="B57" s="3" t="s">
        <v>473</v>
      </c>
      <c r="C57" s="3" t="s">
        <v>483</v>
      </c>
      <c r="D57" s="3" t="s">
        <v>521</v>
      </c>
      <c r="E57" s="16" t="s">
        <v>150</v>
      </c>
      <c r="F57" s="16" t="s">
        <v>195</v>
      </c>
      <c r="G57" s="44">
        <v>1E-4</v>
      </c>
      <c r="I57" s="58"/>
      <c r="J57" s="44">
        <v>1E-4</v>
      </c>
      <c r="K57" s="44">
        <v>1E-4</v>
      </c>
      <c r="M57" s="44">
        <v>1E-4</v>
      </c>
      <c r="N57" s="44"/>
      <c r="O57" s="44">
        <v>1E-4</v>
      </c>
      <c r="P57" s="44">
        <v>1E-4</v>
      </c>
      <c r="Q57" s="44">
        <v>1E-4</v>
      </c>
      <c r="T57" s="44">
        <v>1E-4</v>
      </c>
      <c r="U57" s="44">
        <v>1E-4</v>
      </c>
      <c r="V57" s="44">
        <v>1E-4</v>
      </c>
      <c r="W57" s="44">
        <v>1E-4</v>
      </c>
      <c r="X57" s="44">
        <v>1E-4</v>
      </c>
      <c r="Y57" s="44">
        <v>1E-4</v>
      </c>
      <c r="Z57" s="44">
        <v>1E-4</v>
      </c>
      <c r="AA57" s="44">
        <v>1E-4</v>
      </c>
      <c r="AB57" s="44">
        <v>1E-4</v>
      </c>
      <c r="AC57" s="44">
        <v>1E-4</v>
      </c>
      <c r="AD57" s="44">
        <v>1E-4</v>
      </c>
      <c r="AE57"/>
      <c r="AF57" s="44">
        <v>1E-4</v>
      </c>
      <c r="AG57" s="44">
        <v>1E-4</v>
      </c>
      <c r="AH57" s="44">
        <v>1E-4</v>
      </c>
      <c r="AI57" s="44">
        <v>1E-4</v>
      </c>
      <c r="AJ57" s="44">
        <v>1E-4</v>
      </c>
      <c r="AK57" s="44">
        <v>1E-4</v>
      </c>
      <c r="AL57" s="44">
        <v>1E-4</v>
      </c>
      <c r="AM57"/>
      <c r="AN57" s="44">
        <v>1E-4</v>
      </c>
      <c r="AO57" s="44">
        <v>1E-4</v>
      </c>
      <c r="AP57" s="44">
        <v>1E-4</v>
      </c>
      <c r="AQ57" s="44">
        <v>1E-4</v>
      </c>
      <c r="AR57"/>
      <c r="AS57" s="44">
        <v>1E-4</v>
      </c>
      <c r="AT57"/>
      <c r="AU57"/>
      <c r="AV57" s="44">
        <v>1E-4</v>
      </c>
    </row>
    <row r="58" spans="1:48" x14ac:dyDescent="0.25">
      <c r="A58" s="17" t="s">
        <v>39</v>
      </c>
      <c r="B58" s="3" t="s">
        <v>473</v>
      </c>
      <c r="C58" s="3" t="s">
        <v>483</v>
      </c>
      <c r="D58" s="3" t="s">
        <v>521</v>
      </c>
      <c r="E58" s="18" t="s">
        <v>151</v>
      </c>
      <c r="F58" s="18" t="s">
        <v>98</v>
      </c>
      <c r="G58" s="44">
        <v>6.9999999999999999E-4</v>
      </c>
      <c r="I58" s="58"/>
      <c r="J58" s="44">
        <v>6.9999999999999999E-4</v>
      </c>
      <c r="K58" s="44">
        <v>6.9999999999999999E-4</v>
      </c>
      <c r="M58" s="44">
        <v>6.9999999999999999E-4</v>
      </c>
      <c r="N58" s="44"/>
      <c r="O58" s="44">
        <v>6.9999999999999999E-4</v>
      </c>
      <c r="P58" s="44">
        <v>6.9999999999999999E-4</v>
      </c>
      <c r="Q58" s="44">
        <v>6.9999999999999999E-4</v>
      </c>
      <c r="T58" s="44">
        <v>6.9999999999999999E-4</v>
      </c>
      <c r="U58" s="44">
        <v>6.9999999999999999E-4</v>
      </c>
      <c r="V58" s="44">
        <v>6.9999999999999999E-4</v>
      </c>
      <c r="W58" s="44">
        <v>6.9999999999999999E-4</v>
      </c>
      <c r="X58" s="44">
        <v>6.9999999999999999E-4</v>
      </c>
      <c r="Y58" s="44">
        <v>6.9999999999999999E-4</v>
      </c>
      <c r="Z58" s="44">
        <v>6.9999999999999999E-4</v>
      </c>
      <c r="AA58" s="44">
        <v>6.9999999999999999E-4</v>
      </c>
      <c r="AB58" s="44">
        <v>6.9999999999999999E-4</v>
      </c>
      <c r="AC58" s="44">
        <v>6.9999999999999999E-4</v>
      </c>
      <c r="AD58" s="44">
        <v>6.9999999999999999E-4</v>
      </c>
      <c r="AE58"/>
      <c r="AF58" s="44">
        <v>6.9999999999999999E-4</v>
      </c>
      <c r="AG58" s="44">
        <v>6.9999999999999999E-4</v>
      </c>
      <c r="AH58" s="44">
        <v>6.9999999999999999E-4</v>
      </c>
      <c r="AI58" s="44">
        <v>6.9999999999999999E-4</v>
      </c>
      <c r="AJ58" s="44">
        <v>6.9999999999999999E-4</v>
      </c>
      <c r="AK58" s="44">
        <v>6.9999999999999999E-4</v>
      </c>
      <c r="AL58" s="44">
        <v>6.9999999999999999E-4</v>
      </c>
      <c r="AM58"/>
      <c r="AN58" s="44">
        <v>6.9999999999999999E-4</v>
      </c>
      <c r="AO58" s="44">
        <v>6.9999999999999999E-4</v>
      </c>
      <c r="AP58" s="44">
        <v>6.9999999999999999E-4</v>
      </c>
      <c r="AQ58" s="44">
        <v>6.9999999999999999E-4</v>
      </c>
      <c r="AR58"/>
      <c r="AS58" s="44">
        <v>6.9999999999999999E-4</v>
      </c>
      <c r="AT58"/>
      <c r="AU58"/>
      <c r="AV58" s="44">
        <v>6.9999999999999999E-4</v>
      </c>
    </row>
    <row r="59" spans="1:48" x14ac:dyDescent="0.25">
      <c r="A59" s="17" t="s">
        <v>40</v>
      </c>
      <c r="B59" s="3" t="s">
        <v>473</v>
      </c>
      <c r="C59" s="3" t="s">
        <v>483</v>
      </c>
      <c r="D59" s="3" t="s">
        <v>521</v>
      </c>
      <c r="E59" s="18" t="s">
        <v>152</v>
      </c>
      <c r="F59" s="18" t="s">
        <v>98</v>
      </c>
      <c r="G59" s="44">
        <v>1.22E-4</v>
      </c>
      <c r="I59" s="58"/>
      <c r="J59" s="44">
        <v>1.22E-4</v>
      </c>
      <c r="K59" s="44">
        <v>1.22E-4</v>
      </c>
      <c r="M59" s="44">
        <v>1.22E-4</v>
      </c>
      <c r="N59" s="44"/>
      <c r="O59" s="44">
        <v>1.22E-4</v>
      </c>
      <c r="P59" s="44">
        <v>1.22E-4</v>
      </c>
      <c r="Q59" s="44">
        <v>1.22E-4</v>
      </c>
      <c r="T59" s="44">
        <v>1.22E-4</v>
      </c>
      <c r="U59" s="44">
        <v>1.22E-4</v>
      </c>
      <c r="V59" s="44">
        <v>1.22E-4</v>
      </c>
      <c r="W59" s="44">
        <v>1.22E-4</v>
      </c>
      <c r="X59" s="44">
        <v>1.22E-4</v>
      </c>
      <c r="Y59" s="44">
        <v>1.22E-4</v>
      </c>
      <c r="Z59" s="44">
        <v>1.22E-4</v>
      </c>
      <c r="AA59" s="44">
        <v>1.22E-4</v>
      </c>
      <c r="AB59" s="44">
        <v>1.22E-4</v>
      </c>
      <c r="AC59" s="44">
        <v>1.22E-4</v>
      </c>
      <c r="AD59" s="44">
        <v>1.22E-4</v>
      </c>
      <c r="AE59"/>
      <c r="AF59" s="44">
        <v>1.22E-4</v>
      </c>
      <c r="AG59" s="44">
        <v>1.22E-4</v>
      </c>
      <c r="AH59" s="44">
        <v>1.22E-4</v>
      </c>
      <c r="AI59" s="44">
        <v>1.22E-4</v>
      </c>
      <c r="AJ59" s="44">
        <v>1.22E-4</v>
      </c>
      <c r="AK59" s="44">
        <v>1.22E-4</v>
      </c>
      <c r="AL59" s="44">
        <v>1.22E-4</v>
      </c>
      <c r="AM59"/>
      <c r="AN59" s="44">
        <v>1.22E-4</v>
      </c>
      <c r="AO59" s="44">
        <v>1.22E-4</v>
      </c>
      <c r="AP59" s="44">
        <v>1.22E-4</v>
      </c>
      <c r="AQ59" s="44">
        <v>1.22E-4</v>
      </c>
      <c r="AR59"/>
      <c r="AS59" s="44">
        <v>1.22E-4</v>
      </c>
      <c r="AT59"/>
      <c r="AU59"/>
      <c r="AV59" s="44">
        <v>1.22E-4</v>
      </c>
    </row>
    <row r="60" spans="1:48" x14ac:dyDescent="0.25">
      <c r="A60" s="17" t="s">
        <v>206</v>
      </c>
      <c r="B60" s="3" t="s">
        <v>473</v>
      </c>
      <c r="C60" s="3" t="s">
        <v>483</v>
      </c>
      <c r="D60" s="3" t="s">
        <v>521</v>
      </c>
      <c r="E60" s="18" t="s">
        <v>284</v>
      </c>
      <c r="F60" s="18" t="s">
        <v>98</v>
      </c>
      <c r="G60" s="44">
        <v>1</v>
      </c>
      <c r="I60" s="58"/>
      <c r="J60" s="44">
        <v>1</v>
      </c>
      <c r="K60" s="44">
        <v>1</v>
      </c>
      <c r="M60" s="44">
        <v>1</v>
      </c>
      <c r="N60" s="44"/>
      <c r="O60" s="44">
        <v>1</v>
      </c>
      <c r="P60" s="44">
        <v>1</v>
      </c>
      <c r="Q60" s="44">
        <v>1</v>
      </c>
      <c r="T60" s="44">
        <v>1</v>
      </c>
      <c r="U60" s="44">
        <v>1</v>
      </c>
      <c r="V60" s="44">
        <v>1</v>
      </c>
      <c r="W60" s="44">
        <v>1</v>
      </c>
      <c r="X60" s="44">
        <v>1</v>
      </c>
      <c r="Y60" s="44">
        <v>1</v>
      </c>
      <c r="Z60" s="44">
        <v>1</v>
      </c>
      <c r="AA60" s="44">
        <v>1</v>
      </c>
      <c r="AB60" s="44">
        <v>1</v>
      </c>
      <c r="AC60" s="44">
        <v>1</v>
      </c>
      <c r="AD60" s="44">
        <v>1</v>
      </c>
      <c r="AE60"/>
      <c r="AF60" s="44">
        <v>1</v>
      </c>
      <c r="AG60" s="44">
        <v>1</v>
      </c>
      <c r="AH60" s="44">
        <v>1</v>
      </c>
      <c r="AI60" s="44">
        <v>1</v>
      </c>
      <c r="AJ60" s="44">
        <v>1</v>
      </c>
      <c r="AK60" s="44">
        <v>1</v>
      </c>
      <c r="AL60" s="44">
        <v>1</v>
      </c>
      <c r="AM60"/>
      <c r="AN60" s="44">
        <v>1</v>
      </c>
      <c r="AO60" s="44">
        <v>1</v>
      </c>
      <c r="AP60" s="44">
        <v>1</v>
      </c>
      <c r="AQ60" s="44">
        <v>1</v>
      </c>
      <c r="AR60"/>
      <c r="AS60" s="44">
        <v>1</v>
      </c>
      <c r="AT60"/>
      <c r="AU60"/>
      <c r="AV60" s="44">
        <v>1</v>
      </c>
    </row>
    <row r="61" spans="1:48" x14ac:dyDescent="0.25">
      <c r="A61" s="17" t="s">
        <v>41</v>
      </c>
      <c r="B61" s="3" t="s">
        <v>473</v>
      </c>
      <c r="C61" s="3" t="s">
        <v>483</v>
      </c>
      <c r="D61" s="3" t="s">
        <v>521</v>
      </c>
      <c r="E61" s="18" t="s">
        <v>155</v>
      </c>
      <c r="F61" s="18" t="s">
        <v>102</v>
      </c>
      <c r="G61" s="44">
        <v>0.95</v>
      </c>
      <c r="I61" s="58"/>
      <c r="J61" s="44">
        <v>0.95</v>
      </c>
      <c r="K61" s="44">
        <v>0.95</v>
      </c>
      <c r="M61" s="44">
        <v>0.95</v>
      </c>
      <c r="N61" s="44"/>
      <c r="O61" s="44">
        <v>0.95</v>
      </c>
      <c r="P61" s="44">
        <v>0.95</v>
      </c>
      <c r="Q61" s="44">
        <v>0.95</v>
      </c>
      <c r="T61" s="44">
        <v>0.95</v>
      </c>
      <c r="U61" s="44">
        <v>0.95</v>
      </c>
      <c r="V61" s="44">
        <v>0.95</v>
      </c>
      <c r="W61" s="44">
        <v>0.95</v>
      </c>
      <c r="X61" s="44">
        <v>0.95</v>
      </c>
      <c r="Y61" s="44">
        <v>0.95</v>
      </c>
      <c r="Z61" s="44">
        <v>0.95</v>
      </c>
      <c r="AA61" s="44">
        <v>0.95</v>
      </c>
      <c r="AB61" s="44">
        <v>0.95</v>
      </c>
      <c r="AC61" s="44">
        <v>0.95</v>
      </c>
      <c r="AD61" s="44">
        <v>0.95</v>
      </c>
      <c r="AE61"/>
      <c r="AF61" s="44">
        <v>0.95</v>
      </c>
      <c r="AG61" s="44">
        <v>0.95</v>
      </c>
      <c r="AH61" s="44">
        <v>0.95</v>
      </c>
      <c r="AI61" s="44">
        <v>0.95</v>
      </c>
      <c r="AJ61" s="44">
        <v>0.95</v>
      </c>
      <c r="AK61" s="44">
        <v>0.95</v>
      </c>
      <c r="AL61" s="44">
        <v>0.95</v>
      </c>
      <c r="AM61"/>
      <c r="AN61" s="44">
        <v>0.95</v>
      </c>
      <c r="AO61" s="44">
        <v>0.95</v>
      </c>
      <c r="AP61" s="44">
        <v>0.95</v>
      </c>
      <c r="AQ61" s="44">
        <v>0.95</v>
      </c>
      <c r="AR61"/>
      <c r="AS61" s="44">
        <v>0.95</v>
      </c>
      <c r="AT61"/>
      <c r="AU61"/>
      <c r="AV61" s="44">
        <v>0.95</v>
      </c>
    </row>
    <row r="62" spans="1:48" x14ac:dyDescent="0.25">
      <c r="A62" s="17" t="s">
        <v>406</v>
      </c>
      <c r="B62" s="3" t="s">
        <v>473</v>
      </c>
      <c r="C62" s="3" t="s">
        <v>483</v>
      </c>
      <c r="D62" s="3" t="s">
        <v>521</v>
      </c>
      <c r="E62" s="18" t="s">
        <v>407</v>
      </c>
      <c r="F62" s="18" t="s">
        <v>94</v>
      </c>
      <c r="G62" s="44" t="s">
        <v>87</v>
      </c>
      <c r="I62" s="58"/>
      <c r="J62" s="44" t="s">
        <v>87</v>
      </c>
      <c r="K62" s="44" t="s">
        <v>87</v>
      </c>
      <c r="M62" s="44" t="s">
        <v>87</v>
      </c>
      <c r="N62" s="44"/>
      <c r="O62" s="44" t="s">
        <v>87</v>
      </c>
      <c r="P62" s="44" t="s">
        <v>87</v>
      </c>
      <c r="Q62" s="44" t="s">
        <v>87</v>
      </c>
      <c r="T62" s="44" t="s">
        <v>87</v>
      </c>
      <c r="U62" s="44" t="s">
        <v>87</v>
      </c>
      <c r="V62" s="44" t="s">
        <v>87</v>
      </c>
      <c r="W62" s="44" t="s">
        <v>87</v>
      </c>
      <c r="X62" s="44" t="s">
        <v>87</v>
      </c>
      <c r="Y62" s="44" t="s">
        <v>87</v>
      </c>
      <c r="Z62" s="44" t="s">
        <v>87</v>
      </c>
      <c r="AA62" s="44" t="s">
        <v>87</v>
      </c>
      <c r="AB62" s="44" t="s">
        <v>87</v>
      </c>
      <c r="AC62" s="44" t="s">
        <v>87</v>
      </c>
      <c r="AD62" s="44" t="s">
        <v>87</v>
      </c>
      <c r="AE62"/>
      <c r="AF62" s="44" t="s">
        <v>87</v>
      </c>
      <c r="AG62" s="44" t="s">
        <v>87</v>
      </c>
      <c r="AH62" s="44" t="s">
        <v>87</v>
      </c>
      <c r="AI62" s="44" t="s">
        <v>87</v>
      </c>
      <c r="AJ62" s="44" t="s">
        <v>87</v>
      </c>
      <c r="AK62" s="44" t="s">
        <v>87</v>
      </c>
      <c r="AL62" s="44" t="s">
        <v>87</v>
      </c>
      <c r="AM62"/>
      <c r="AN62" s="44" t="s">
        <v>87</v>
      </c>
      <c r="AO62" s="44" t="s">
        <v>87</v>
      </c>
      <c r="AP62" s="44" t="s">
        <v>87</v>
      </c>
      <c r="AQ62" s="44" t="s">
        <v>87</v>
      </c>
      <c r="AR62"/>
      <c r="AS62" s="44" t="s">
        <v>87</v>
      </c>
      <c r="AT62"/>
      <c r="AU62"/>
      <c r="AV62" s="44" t="s">
        <v>87</v>
      </c>
    </row>
    <row r="63" spans="1:48" x14ac:dyDescent="0.25">
      <c r="A63" s="17" t="s">
        <v>90</v>
      </c>
      <c r="B63" s="3" t="s">
        <v>473</v>
      </c>
      <c r="C63" s="3" t="s">
        <v>483</v>
      </c>
      <c r="D63" s="3" t="s">
        <v>521</v>
      </c>
      <c r="E63" s="18" t="s">
        <v>153</v>
      </c>
      <c r="F63" s="18" t="s">
        <v>103</v>
      </c>
      <c r="G63" s="44">
        <v>5</v>
      </c>
      <c r="I63" s="58"/>
      <c r="J63" s="44">
        <v>5</v>
      </c>
      <c r="K63" s="44">
        <v>5</v>
      </c>
      <c r="M63" s="44">
        <v>5</v>
      </c>
      <c r="N63" s="44"/>
      <c r="O63" s="44">
        <v>5</v>
      </c>
      <c r="P63" s="44">
        <v>5</v>
      </c>
      <c r="Q63" s="44">
        <v>5</v>
      </c>
      <c r="T63" s="44">
        <v>5</v>
      </c>
      <c r="U63" s="44">
        <v>5</v>
      </c>
      <c r="V63" s="44">
        <v>5</v>
      </c>
      <c r="W63" s="44">
        <v>5</v>
      </c>
      <c r="X63" s="44">
        <v>5</v>
      </c>
      <c r="Y63" s="44">
        <v>5</v>
      </c>
      <c r="Z63" s="44">
        <v>5</v>
      </c>
      <c r="AA63" s="44">
        <v>5</v>
      </c>
      <c r="AB63" s="44">
        <v>5</v>
      </c>
      <c r="AC63" s="44">
        <v>5</v>
      </c>
      <c r="AD63" s="44">
        <v>5</v>
      </c>
      <c r="AE63"/>
      <c r="AF63" s="44">
        <v>5</v>
      </c>
      <c r="AG63" s="44">
        <v>5</v>
      </c>
      <c r="AH63" s="44">
        <v>5</v>
      </c>
      <c r="AI63" s="44">
        <v>5</v>
      </c>
      <c r="AJ63" s="44">
        <v>5</v>
      </c>
      <c r="AK63" s="44">
        <v>5</v>
      </c>
      <c r="AL63" s="44">
        <v>5</v>
      </c>
      <c r="AM63"/>
      <c r="AN63" s="44">
        <v>5</v>
      </c>
      <c r="AO63" s="44">
        <v>5</v>
      </c>
      <c r="AP63" s="44">
        <v>5</v>
      </c>
      <c r="AQ63" s="44">
        <v>5</v>
      </c>
      <c r="AR63"/>
      <c r="AS63" s="44">
        <v>5</v>
      </c>
      <c r="AT63"/>
      <c r="AU63"/>
      <c r="AV63" s="44">
        <v>5</v>
      </c>
    </row>
    <row r="64" spans="1:48" x14ac:dyDescent="0.25">
      <c r="A64" s="17" t="s">
        <v>408</v>
      </c>
      <c r="B64" s="3" t="s">
        <v>473</v>
      </c>
      <c r="C64" s="3" t="s">
        <v>483</v>
      </c>
      <c r="D64" s="3" t="s">
        <v>521</v>
      </c>
      <c r="E64" s="18" t="s">
        <v>409</v>
      </c>
      <c r="F64" s="18" t="s">
        <v>94</v>
      </c>
      <c r="G64" s="44" t="s">
        <v>87</v>
      </c>
      <c r="I64" s="58"/>
      <c r="J64" s="44" t="s">
        <v>87</v>
      </c>
      <c r="K64" s="44" t="s">
        <v>87</v>
      </c>
      <c r="M64" s="44" t="s">
        <v>87</v>
      </c>
      <c r="N64" s="44"/>
      <c r="O64" s="44" t="s">
        <v>87</v>
      </c>
      <c r="P64" s="44" t="s">
        <v>87</v>
      </c>
      <c r="Q64" s="44" t="s">
        <v>87</v>
      </c>
      <c r="T64" s="44" t="s">
        <v>87</v>
      </c>
      <c r="U64" s="44" t="s">
        <v>87</v>
      </c>
      <c r="V64" s="44" t="s">
        <v>87</v>
      </c>
      <c r="W64" s="44" t="s">
        <v>87</v>
      </c>
      <c r="X64" s="44" t="s">
        <v>87</v>
      </c>
      <c r="Y64" s="44" t="s">
        <v>87</v>
      </c>
      <c r="Z64" s="44" t="s">
        <v>87</v>
      </c>
      <c r="AA64" s="44" t="s">
        <v>87</v>
      </c>
      <c r="AB64" s="44" t="s">
        <v>87</v>
      </c>
      <c r="AC64" s="44" t="s">
        <v>87</v>
      </c>
      <c r="AD64" s="44" t="s">
        <v>87</v>
      </c>
      <c r="AE64"/>
      <c r="AF64" s="44" t="s">
        <v>87</v>
      </c>
      <c r="AG64" s="44" t="s">
        <v>87</v>
      </c>
      <c r="AH64" s="44" t="s">
        <v>87</v>
      </c>
      <c r="AI64" s="44" t="s">
        <v>87</v>
      </c>
      <c r="AJ64" s="44" t="s">
        <v>87</v>
      </c>
      <c r="AK64" s="44" t="s">
        <v>87</v>
      </c>
      <c r="AL64" s="44" t="s">
        <v>87</v>
      </c>
      <c r="AM64"/>
      <c r="AN64" s="44" t="s">
        <v>87</v>
      </c>
      <c r="AO64" s="44" t="s">
        <v>87</v>
      </c>
      <c r="AP64" s="44" t="s">
        <v>87</v>
      </c>
      <c r="AQ64" s="44" t="s">
        <v>87</v>
      </c>
      <c r="AR64"/>
      <c r="AS64" s="44" t="s">
        <v>87</v>
      </c>
      <c r="AT64"/>
      <c r="AU64"/>
      <c r="AV64" s="44" t="s">
        <v>87</v>
      </c>
    </row>
    <row r="65" spans="1:48" x14ac:dyDescent="0.25">
      <c r="A65" s="17" t="s">
        <v>42</v>
      </c>
      <c r="B65" s="3" t="s">
        <v>473</v>
      </c>
      <c r="C65" s="3" t="s">
        <v>483</v>
      </c>
      <c r="D65" s="3" t="s">
        <v>521</v>
      </c>
      <c r="E65" s="18" t="s">
        <v>154</v>
      </c>
      <c r="F65" s="18" t="s">
        <v>103</v>
      </c>
      <c r="G65" s="44">
        <v>50</v>
      </c>
      <c r="I65" s="58"/>
      <c r="J65" s="44">
        <v>50</v>
      </c>
      <c r="K65" s="44">
        <v>50</v>
      </c>
      <c r="M65" s="44">
        <v>50</v>
      </c>
      <c r="N65" s="44"/>
      <c r="O65" s="44">
        <v>50</v>
      </c>
      <c r="P65" s="44">
        <v>50</v>
      </c>
      <c r="Q65" s="44">
        <v>50</v>
      </c>
      <c r="T65" s="44">
        <v>50</v>
      </c>
      <c r="U65" s="44">
        <v>50</v>
      </c>
      <c r="V65" s="44">
        <v>50</v>
      </c>
      <c r="W65" s="44">
        <v>50</v>
      </c>
      <c r="X65" s="44">
        <v>50</v>
      </c>
      <c r="Y65" s="44">
        <v>50</v>
      </c>
      <c r="Z65" s="44">
        <v>50</v>
      </c>
      <c r="AA65" s="44">
        <v>50</v>
      </c>
      <c r="AB65" s="44">
        <v>50</v>
      </c>
      <c r="AC65" s="44">
        <v>50</v>
      </c>
      <c r="AD65" s="44">
        <v>50</v>
      </c>
      <c r="AE65"/>
      <c r="AF65" s="44">
        <v>50</v>
      </c>
      <c r="AG65" s="44">
        <v>50</v>
      </c>
      <c r="AH65" s="44">
        <v>50</v>
      </c>
      <c r="AI65" s="44">
        <v>50</v>
      </c>
      <c r="AJ65" s="44">
        <v>50</v>
      </c>
      <c r="AK65" s="44">
        <v>50</v>
      </c>
      <c r="AL65" s="44">
        <v>50</v>
      </c>
      <c r="AM65"/>
      <c r="AN65" s="44">
        <v>50</v>
      </c>
      <c r="AO65" s="44">
        <v>50</v>
      </c>
      <c r="AP65" s="44">
        <v>50</v>
      </c>
      <c r="AQ65" s="44">
        <v>50</v>
      </c>
      <c r="AR65"/>
      <c r="AS65" s="44">
        <v>50</v>
      </c>
      <c r="AT65"/>
      <c r="AU65"/>
      <c r="AV65" s="44">
        <v>50</v>
      </c>
    </row>
    <row r="66" spans="1:48" x14ac:dyDescent="0.25">
      <c r="A66" s="17" t="s">
        <v>207</v>
      </c>
      <c r="B66" s="3" t="s">
        <v>473</v>
      </c>
      <c r="C66" s="3" t="s">
        <v>483</v>
      </c>
      <c r="D66" s="3" t="s">
        <v>521</v>
      </c>
      <c r="E66" s="18" t="s">
        <v>288</v>
      </c>
      <c r="F66" s="18" t="s">
        <v>106</v>
      </c>
      <c r="G66" s="44">
        <v>1453890.8941884842</v>
      </c>
      <c r="I66" s="58"/>
      <c r="J66" s="44">
        <v>1453890.8941884842</v>
      </c>
      <c r="K66" s="44">
        <v>1453890.8941884842</v>
      </c>
      <c r="M66" s="44">
        <v>1453890.8941884842</v>
      </c>
      <c r="N66" s="44"/>
      <c r="O66" s="44">
        <v>1453890.8941884842</v>
      </c>
      <c r="P66" s="44">
        <v>1453890.8941884842</v>
      </c>
      <c r="Q66" s="44">
        <v>1453890.8941884842</v>
      </c>
      <c r="T66" s="44">
        <v>1453890.8941884842</v>
      </c>
      <c r="U66" s="44">
        <v>1453890.8941884842</v>
      </c>
      <c r="V66" s="44">
        <v>1453890.8941884842</v>
      </c>
      <c r="W66" s="44">
        <v>1453890.8941884842</v>
      </c>
      <c r="X66" s="44">
        <v>1453890.8941884842</v>
      </c>
      <c r="Y66" s="44">
        <v>1453890.8941884842</v>
      </c>
      <c r="Z66" s="44">
        <v>1453890.8941884842</v>
      </c>
      <c r="AA66" s="44">
        <v>1453890.8941884842</v>
      </c>
      <c r="AB66" s="44">
        <v>1453890.8941884842</v>
      </c>
      <c r="AC66" s="44">
        <v>1453890.8941884842</v>
      </c>
      <c r="AD66" s="44">
        <v>1453890.8941884842</v>
      </c>
      <c r="AE66"/>
      <c r="AF66" s="44">
        <v>1453890.8941884842</v>
      </c>
      <c r="AG66" s="44">
        <v>1453890.8941884842</v>
      </c>
      <c r="AH66" s="44">
        <v>1453890.8941884842</v>
      </c>
      <c r="AI66" s="44">
        <v>1453890.8941884842</v>
      </c>
      <c r="AJ66" s="44">
        <v>1453890.8941884842</v>
      </c>
      <c r="AK66" s="44">
        <v>1453890.8941884842</v>
      </c>
      <c r="AL66" s="44">
        <v>1453890.8941884842</v>
      </c>
      <c r="AM66"/>
      <c r="AN66" s="44">
        <v>1453890.8941884842</v>
      </c>
      <c r="AO66" s="44">
        <v>1453890.8941884842</v>
      </c>
      <c r="AP66" s="44">
        <v>1453890.8941884842</v>
      </c>
      <c r="AQ66" s="44">
        <v>1453890.8941884842</v>
      </c>
      <c r="AR66"/>
      <c r="AS66" s="44">
        <v>1453890.8941884842</v>
      </c>
      <c r="AT66"/>
      <c r="AU66"/>
      <c r="AV66" s="44">
        <v>1453890.8941884842</v>
      </c>
    </row>
    <row r="67" spans="1:48" x14ac:dyDescent="0.25">
      <c r="A67" s="17" t="s">
        <v>43</v>
      </c>
      <c r="B67" s="3" t="s">
        <v>473</v>
      </c>
      <c r="C67" s="3" t="s">
        <v>483</v>
      </c>
      <c r="D67" s="3" t="s">
        <v>521</v>
      </c>
      <c r="E67" s="18" t="s">
        <v>381</v>
      </c>
      <c r="F67" s="18" t="s">
        <v>104</v>
      </c>
      <c r="G67" s="44">
        <v>1.3888888888888888E-5</v>
      </c>
      <c r="I67" s="58"/>
      <c r="J67" s="44">
        <v>1.3888888888888888E-5</v>
      </c>
      <c r="K67" s="44">
        <v>1.3888888888888888E-5</v>
      </c>
      <c r="M67" s="44">
        <v>1.3888888888888888E-5</v>
      </c>
      <c r="N67" s="44"/>
      <c r="O67" s="44">
        <v>1.3888888888888888E-5</v>
      </c>
      <c r="P67" s="44">
        <v>1.3888888888888888E-5</v>
      </c>
      <c r="Q67" s="44">
        <v>1.3888888888888888E-5</v>
      </c>
      <c r="T67" s="44">
        <v>1.3888888888888888E-5</v>
      </c>
      <c r="U67" s="44">
        <v>1.3888888888888888E-5</v>
      </c>
      <c r="V67" s="44">
        <v>1.3888888888888888E-5</v>
      </c>
      <c r="W67" s="44">
        <v>1.3888888888888888E-5</v>
      </c>
      <c r="X67" s="44">
        <v>1.3888888888888888E-5</v>
      </c>
      <c r="Y67" s="44">
        <v>1.3888888888888888E-5</v>
      </c>
      <c r="Z67" s="44">
        <v>1.3888888888888888E-5</v>
      </c>
      <c r="AA67" s="44">
        <v>1.3888888888888888E-5</v>
      </c>
      <c r="AB67" s="44">
        <v>1.3888888888888888E-5</v>
      </c>
      <c r="AC67" s="44">
        <v>1.3888888888888888E-5</v>
      </c>
      <c r="AD67" s="44">
        <v>1.3888888888888888E-5</v>
      </c>
      <c r="AE67"/>
      <c r="AF67" s="44">
        <v>1.3888888888888888E-5</v>
      </c>
      <c r="AG67" s="44">
        <v>1.3888888888888888E-5</v>
      </c>
      <c r="AH67" s="44">
        <v>1.3888888888888888E-5</v>
      </c>
      <c r="AI67" s="44">
        <v>1.3888888888888888E-5</v>
      </c>
      <c r="AJ67" s="44">
        <v>1.3888888888888888E-5</v>
      </c>
      <c r="AK67" s="44">
        <v>1.3888888888888888E-5</v>
      </c>
      <c r="AL67" s="44">
        <v>1.3888888888888888E-5</v>
      </c>
      <c r="AM67"/>
      <c r="AN67" s="44">
        <v>1.3888888888888888E-5</v>
      </c>
      <c r="AO67" s="44">
        <v>1.3888888888888888E-5</v>
      </c>
      <c r="AP67" s="44">
        <v>1.3888888888888888E-5</v>
      </c>
      <c r="AQ67" s="44">
        <v>1.3888888888888888E-5</v>
      </c>
      <c r="AR67"/>
      <c r="AS67" s="44">
        <v>1.3888888888888888E-5</v>
      </c>
      <c r="AT67"/>
      <c r="AU67"/>
      <c r="AV67" s="44">
        <v>1.3888888888888888E-5</v>
      </c>
    </row>
    <row r="68" spans="1:48" x14ac:dyDescent="0.25">
      <c r="A68" s="17" t="s">
        <v>44</v>
      </c>
      <c r="B68" s="3" t="s">
        <v>473</v>
      </c>
      <c r="C68" s="3" t="s">
        <v>483</v>
      </c>
      <c r="D68" s="3" t="s">
        <v>521</v>
      </c>
      <c r="E68" s="18" t="s">
        <v>156</v>
      </c>
      <c r="F68" s="18" t="s">
        <v>105</v>
      </c>
      <c r="G68" s="44">
        <v>4.5763888888888888E-4</v>
      </c>
      <c r="I68" s="58"/>
      <c r="J68" s="44">
        <v>6.5011574074074071E-4</v>
      </c>
      <c r="K68" s="44">
        <v>6.5011574074074071E-4</v>
      </c>
      <c r="M68" s="44">
        <v>6.5011574074074071E-4</v>
      </c>
      <c r="N68" s="44"/>
      <c r="O68" s="44">
        <v>6.5011574074074071E-4</v>
      </c>
      <c r="P68" s="44">
        <v>6.5011574074074071E-4</v>
      </c>
      <c r="Q68" s="44">
        <v>6.5011574074074071E-4</v>
      </c>
      <c r="T68" s="44">
        <v>6.5011574074074071E-4</v>
      </c>
      <c r="U68" s="44">
        <v>6.5011574074074071E-4</v>
      </c>
      <c r="V68" s="44">
        <v>6.5011574074074071E-4</v>
      </c>
      <c r="W68" s="44">
        <v>6.5011574074074071E-4</v>
      </c>
      <c r="X68" s="44">
        <v>6.5011574074074071E-4</v>
      </c>
      <c r="Y68" s="44">
        <v>6.5011574074074071E-4</v>
      </c>
      <c r="Z68" s="44">
        <v>6.5011574074074071E-4</v>
      </c>
      <c r="AA68" s="44">
        <v>6.5011574074074071E-4</v>
      </c>
      <c r="AB68" s="44">
        <v>6.5011574074074071E-4</v>
      </c>
      <c r="AC68" s="44">
        <v>6.5011574074074071E-4</v>
      </c>
      <c r="AD68" s="44">
        <v>6.5011574074074071E-4</v>
      </c>
      <c r="AE68"/>
      <c r="AF68" s="44">
        <v>6.5011574074074071E-4</v>
      </c>
      <c r="AG68" s="44">
        <v>6.5011574074074071E-4</v>
      </c>
      <c r="AH68" s="44">
        <v>6.5011574074074071E-4</v>
      </c>
      <c r="AI68" s="44">
        <v>6.5011574074074071E-4</v>
      </c>
      <c r="AJ68" s="44">
        <v>6.5011574074074071E-4</v>
      </c>
      <c r="AK68" s="44">
        <v>6.5011574074074071E-4</v>
      </c>
      <c r="AL68" s="44">
        <v>6.5011574074074071E-4</v>
      </c>
      <c r="AM68"/>
      <c r="AN68" s="44">
        <v>6.5011574074074071E-4</v>
      </c>
      <c r="AO68" s="44">
        <v>6.5011574074074071E-4</v>
      </c>
      <c r="AP68" s="44">
        <v>6.5011574074074071E-4</v>
      </c>
      <c r="AQ68" s="44">
        <v>6.5011574074074071E-4</v>
      </c>
      <c r="AR68"/>
      <c r="AS68" s="44">
        <v>6.5011574074074071E-4</v>
      </c>
      <c r="AT68"/>
      <c r="AU68"/>
      <c r="AV68" s="44">
        <v>6.5011574074074071E-4</v>
      </c>
    </row>
    <row r="69" spans="1:48" x14ac:dyDescent="0.25">
      <c r="A69" s="17" t="s">
        <v>45</v>
      </c>
      <c r="B69" s="3" t="s">
        <v>473</v>
      </c>
      <c r="C69" s="3" t="s">
        <v>483</v>
      </c>
      <c r="D69" s="3" t="s">
        <v>521</v>
      </c>
      <c r="E69" s="18" t="s">
        <v>157</v>
      </c>
      <c r="F69" s="18" t="s">
        <v>98</v>
      </c>
      <c r="G69" s="44">
        <v>3.63E-3</v>
      </c>
      <c r="I69" s="58"/>
      <c r="J69" s="44">
        <v>4.7400000000000003E-3</v>
      </c>
      <c r="K69" s="44">
        <v>4.7400000000000003E-3</v>
      </c>
      <c r="M69" s="44">
        <v>4.7400000000000003E-3</v>
      </c>
      <c r="N69" s="44"/>
      <c r="O69" s="44">
        <v>4.7400000000000003E-3</v>
      </c>
      <c r="P69" s="44">
        <v>4.7400000000000003E-3</v>
      </c>
      <c r="Q69" s="44">
        <v>4.7400000000000003E-3</v>
      </c>
      <c r="T69" s="44">
        <v>4.7400000000000003E-3</v>
      </c>
      <c r="U69" s="44">
        <v>4.7400000000000003E-3</v>
      </c>
      <c r="V69" s="44">
        <v>4.7400000000000003E-3</v>
      </c>
      <c r="W69" s="44">
        <v>4.7400000000000003E-3</v>
      </c>
      <c r="X69" s="44">
        <v>4.7400000000000003E-3</v>
      </c>
      <c r="Y69" s="44">
        <v>4.7400000000000003E-3</v>
      </c>
      <c r="Z69" s="44">
        <v>4.7400000000000003E-3</v>
      </c>
      <c r="AA69" s="44">
        <v>4.7400000000000003E-3</v>
      </c>
      <c r="AB69" s="44">
        <v>4.7400000000000003E-3</v>
      </c>
      <c r="AC69" s="44">
        <v>4.7400000000000003E-3</v>
      </c>
      <c r="AD69" s="44">
        <v>4.7400000000000003E-3</v>
      </c>
      <c r="AE69"/>
      <c r="AF69" s="44">
        <v>4.7400000000000003E-3</v>
      </c>
      <c r="AG69" s="44">
        <v>4.7400000000000003E-3</v>
      </c>
      <c r="AH69" s="44">
        <v>4.7400000000000003E-3</v>
      </c>
      <c r="AI69" s="44">
        <v>4.7400000000000003E-3</v>
      </c>
      <c r="AJ69" s="44">
        <v>4.7400000000000003E-3</v>
      </c>
      <c r="AK69" s="44">
        <v>4.7400000000000003E-3</v>
      </c>
      <c r="AL69" s="44">
        <v>4.7400000000000003E-3</v>
      </c>
      <c r="AM69"/>
      <c r="AN69" s="44">
        <v>4.7400000000000003E-3</v>
      </c>
      <c r="AO69" s="44">
        <v>4.7400000000000003E-3</v>
      </c>
      <c r="AP69" s="44">
        <v>4.7400000000000003E-3</v>
      </c>
      <c r="AQ69" s="44">
        <v>4.7400000000000003E-3</v>
      </c>
      <c r="AR69"/>
      <c r="AS69" s="44">
        <v>4.7400000000000003E-3</v>
      </c>
      <c r="AT69"/>
      <c r="AU69"/>
      <c r="AV69" s="44">
        <v>4.7400000000000003E-3</v>
      </c>
    </row>
    <row r="70" spans="1:48" x14ac:dyDescent="0.25">
      <c r="A70" s="17" t="s">
        <v>46</v>
      </c>
      <c r="B70" s="3" t="s">
        <v>473</v>
      </c>
      <c r="C70" s="3" t="s">
        <v>483</v>
      </c>
      <c r="D70" s="3" t="s">
        <v>521</v>
      </c>
      <c r="E70" s="18" t="s">
        <v>158</v>
      </c>
      <c r="F70" s="18" t="s">
        <v>106</v>
      </c>
      <c r="G70" s="44">
        <v>491356.80000000005</v>
      </c>
      <c r="I70" s="58"/>
      <c r="J70" s="44">
        <v>282528</v>
      </c>
      <c r="K70" s="44">
        <v>282528</v>
      </c>
      <c r="M70" s="44">
        <v>282528</v>
      </c>
      <c r="N70" s="44"/>
      <c r="O70" s="44">
        <v>282528</v>
      </c>
      <c r="P70" s="44">
        <v>282528</v>
      </c>
      <c r="Q70" s="44">
        <v>282528</v>
      </c>
      <c r="T70" s="44">
        <v>282528</v>
      </c>
      <c r="U70" s="44">
        <v>282528</v>
      </c>
      <c r="V70" s="44">
        <v>282528</v>
      </c>
      <c r="W70" s="44">
        <v>282528</v>
      </c>
      <c r="X70" s="44">
        <v>282528</v>
      </c>
      <c r="Y70" s="44">
        <v>282528</v>
      </c>
      <c r="Z70" s="44">
        <v>282528</v>
      </c>
      <c r="AA70" s="44">
        <v>282528</v>
      </c>
      <c r="AB70" s="44">
        <v>282528</v>
      </c>
      <c r="AC70" s="44">
        <v>282528</v>
      </c>
      <c r="AD70" s="44">
        <v>282528</v>
      </c>
      <c r="AE70"/>
      <c r="AF70" s="44">
        <v>282528</v>
      </c>
      <c r="AG70" s="44">
        <v>282528</v>
      </c>
      <c r="AH70" s="44">
        <v>282528</v>
      </c>
      <c r="AI70" s="44">
        <v>282528</v>
      </c>
      <c r="AJ70" s="44">
        <v>282528</v>
      </c>
      <c r="AK70" s="44">
        <v>282528</v>
      </c>
      <c r="AL70" s="44">
        <v>282528</v>
      </c>
      <c r="AM70"/>
      <c r="AN70" s="44">
        <v>282528</v>
      </c>
      <c r="AO70" s="44">
        <v>282528</v>
      </c>
      <c r="AP70" s="44">
        <v>282528</v>
      </c>
      <c r="AQ70" s="44">
        <v>282528</v>
      </c>
      <c r="AR70"/>
      <c r="AS70" s="44">
        <v>282528</v>
      </c>
      <c r="AT70"/>
      <c r="AU70"/>
      <c r="AV70" s="44">
        <v>282528</v>
      </c>
    </row>
    <row r="71" spans="1:48" x14ac:dyDescent="0.25">
      <c r="A71" s="17" t="s">
        <v>47</v>
      </c>
      <c r="B71" s="3" t="s">
        <v>473</v>
      </c>
      <c r="C71" s="3" t="s">
        <v>483</v>
      </c>
      <c r="D71" s="3" t="s">
        <v>521</v>
      </c>
      <c r="E71" s="18" t="s">
        <v>159</v>
      </c>
      <c r="F71" s="18" t="s">
        <v>102</v>
      </c>
      <c r="G71" s="44">
        <v>0.57999999999999996</v>
      </c>
      <c r="I71" s="58"/>
      <c r="J71" s="44">
        <v>0.56999999999999995</v>
      </c>
      <c r="K71" s="44">
        <v>0.56999999999999995</v>
      </c>
      <c r="M71" s="44">
        <v>0.56999999999999995</v>
      </c>
      <c r="N71" s="44"/>
      <c r="O71" s="44">
        <v>0.56999999999999995</v>
      </c>
      <c r="P71" s="44">
        <v>0.56999999999999995</v>
      </c>
      <c r="Q71" s="44">
        <v>0.56999999999999995</v>
      </c>
      <c r="T71" s="44">
        <v>0.56999999999999995</v>
      </c>
      <c r="U71" s="44">
        <v>0.56999999999999995</v>
      </c>
      <c r="V71" s="44">
        <v>0.56999999999999995</v>
      </c>
      <c r="W71" s="44">
        <v>0.56999999999999995</v>
      </c>
      <c r="X71" s="44">
        <v>0.56999999999999995</v>
      </c>
      <c r="Y71" s="44">
        <v>0.56999999999999995</v>
      </c>
      <c r="Z71" s="44">
        <v>0.56999999999999995</v>
      </c>
      <c r="AA71" s="44">
        <v>0.56999999999999995</v>
      </c>
      <c r="AB71" s="44">
        <v>0.56999999999999995</v>
      </c>
      <c r="AC71" s="44">
        <v>0.56999999999999995</v>
      </c>
      <c r="AD71" s="44">
        <v>0.56999999999999995</v>
      </c>
      <c r="AE71"/>
      <c r="AF71" s="44">
        <v>0.56999999999999995</v>
      </c>
      <c r="AG71" s="44">
        <v>0.56999999999999995</v>
      </c>
      <c r="AH71" s="44">
        <v>0.56999999999999995</v>
      </c>
      <c r="AI71" s="44">
        <v>0.56999999999999995</v>
      </c>
      <c r="AJ71" s="44">
        <v>0.56999999999999995</v>
      </c>
      <c r="AK71" s="44">
        <v>0.56999999999999995</v>
      </c>
      <c r="AL71" s="44">
        <v>0.56999999999999995</v>
      </c>
      <c r="AM71"/>
      <c r="AN71" s="44">
        <v>0.56999999999999995</v>
      </c>
      <c r="AO71" s="44">
        <v>0.56999999999999995</v>
      </c>
      <c r="AP71" s="44">
        <v>0.56999999999999995</v>
      </c>
      <c r="AQ71" s="44">
        <v>0.56999999999999995</v>
      </c>
      <c r="AR71"/>
      <c r="AS71" s="44">
        <v>0.56999999999999995</v>
      </c>
      <c r="AT71"/>
      <c r="AU71"/>
      <c r="AV71" s="44">
        <v>0.56999999999999995</v>
      </c>
    </row>
    <row r="72" spans="1:48" x14ac:dyDescent="0.25">
      <c r="A72" s="17" t="s">
        <v>48</v>
      </c>
      <c r="B72" s="3" t="s">
        <v>473</v>
      </c>
      <c r="C72" s="3" t="s">
        <v>483</v>
      </c>
      <c r="D72" s="3" t="s">
        <v>521</v>
      </c>
      <c r="E72" s="18" t="s">
        <v>160</v>
      </c>
      <c r="F72" s="18" t="s">
        <v>100</v>
      </c>
      <c r="G72" s="44">
        <v>0.25862068965517243</v>
      </c>
      <c r="I72" s="58"/>
      <c r="J72" s="44">
        <v>0.16</v>
      </c>
      <c r="K72" s="44">
        <v>0.16</v>
      </c>
      <c r="M72" s="44">
        <v>0.16</v>
      </c>
      <c r="N72" s="44"/>
      <c r="O72" s="44">
        <v>0.16</v>
      </c>
      <c r="P72" s="44">
        <v>0.16</v>
      </c>
      <c r="Q72" s="44">
        <v>0.16</v>
      </c>
      <c r="T72" s="44">
        <v>0.16</v>
      </c>
      <c r="U72" s="44">
        <v>0.16</v>
      </c>
      <c r="V72" s="44">
        <v>0.16</v>
      </c>
      <c r="W72" s="44">
        <v>0.16</v>
      </c>
      <c r="X72" s="44">
        <v>0.16</v>
      </c>
      <c r="Y72" s="44">
        <v>0.16</v>
      </c>
      <c r="Z72" s="44">
        <v>0.16</v>
      </c>
      <c r="AA72" s="44">
        <v>0.16</v>
      </c>
      <c r="AB72" s="44">
        <v>0.16</v>
      </c>
      <c r="AC72" s="44">
        <v>0.16</v>
      </c>
      <c r="AD72" s="44">
        <v>0.16</v>
      </c>
      <c r="AE72"/>
      <c r="AF72" s="44">
        <v>0.16</v>
      </c>
      <c r="AG72" s="44">
        <v>0.16</v>
      </c>
      <c r="AH72" s="44">
        <v>0.16</v>
      </c>
      <c r="AI72" s="44">
        <v>0.16</v>
      </c>
      <c r="AJ72" s="44">
        <v>0.16</v>
      </c>
      <c r="AK72" s="44">
        <v>0.16</v>
      </c>
      <c r="AL72" s="44">
        <v>0.16</v>
      </c>
      <c r="AM72"/>
      <c r="AN72" s="44">
        <v>0.16</v>
      </c>
      <c r="AO72" s="44">
        <v>0.16</v>
      </c>
      <c r="AP72" s="44">
        <v>0.16</v>
      </c>
      <c r="AQ72" s="44">
        <v>0.16</v>
      </c>
      <c r="AR72"/>
      <c r="AS72" s="44">
        <v>0.16</v>
      </c>
      <c r="AT72"/>
      <c r="AU72"/>
      <c r="AV72" s="44">
        <v>0.16</v>
      </c>
    </row>
    <row r="73" spans="1:48" x14ac:dyDescent="0.25">
      <c r="A73" s="17" t="s">
        <v>49</v>
      </c>
      <c r="B73" s="3" t="s">
        <v>473</v>
      </c>
      <c r="C73" s="3" t="s">
        <v>483</v>
      </c>
      <c r="D73" s="3" t="s">
        <v>521</v>
      </c>
      <c r="E73" s="18" t="s">
        <v>161</v>
      </c>
      <c r="F73" s="18" t="s">
        <v>107</v>
      </c>
      <c r="G73" s="44">
        <v>0</v>
      </c>
      <c r="I73" s="58"/>
      <c r="J73" s="44">
        <v>0</v>
      </c>
      <c r="K73" s="44">
        <v>0</v>
      </c>
      <c r="M73" s="44">
        <v>0</v>
      </c>
      <c r="N73" s="44"/>
      <c r="O73" s="44">
        <v>0</v>
      </c>
      <c r="P73" s="44">
        <v>0</v>
      </c>
      <c r="Q73" s="44">
        <v>0</v>
      </c>
      <c r="T73" s="44">
        <v>0</v>
      </c>
      <c r="U73" s="44">
        <v>0</v>
      </c>
      <c r="V73" s="44">
        <v>0</v>
      </c>
      <c r="W73" s="44">
        <v>0</v>
      </c>
      <c r="X73" s="44">
        <v>0</v>
      </c>
      <c r="Y73" s="44">
        <v>0</v>
      </c>
      <c r="Z73" s="44">
        <v>0</v>
      </c>
      <c r="AA73" s="44">
        <v>0</v>
      </c>
      <c r="AB73" s="44">
        <v>0</v>
      </c>
      <c r="AC73" s="44">
        <v>0</v>
      </c>
      <c r="AD73" s="44">
        <v>0</v>
      </c>
      <c r="AE73"/>
      <c r="AF73" s="44">
        <v>0</v>
      </c>
      <c r="AG73" s="44">
        <v>0</v>
      </c>
      <c r="AH73" s="44">
        <v>0</v>
      </c>
      <c r="AI73" s="44">
        <v>0</v>
      </c>
      <c r="AJ73" s="44">
        <v>0</v>
      </c>
      <c r="AK73" s="44">
        <v>0</v>
      </c>
      <c r="AL73" s="44">
        <v>0</v>
      </c>
      <c r="AM73"/>
      <c r="AN73" s="44">
        <v>0</v>
      </c>
      <c r="AO73" s="44">
        <v>0</v>
      </c>
      <c r="AP73" s="44">
        <v>0</v>
      </c>
      <c r="AQ73" s="44">
        <v>0</v>
      </c>
      <c r="AR73"/>
      <c r="AS73" s="44">
        <v>0</v>
      </c>
      <c r="AT73"/>
      <c r="AU73"/>
      <c r="AV73" s="44">
        <v>0</v>
      </c>
    </row>
    <row r="74" spans="1:48" x14ac:dyDescent="0.25">
      <c r="A74" s="33" t="s">
        <v>50</v>
      </c>
      <c r="B74" s="3" t="s">
        <v>473</v>
      </c>
      <c r="C74" s="3" t="s">
        <v>483</v>
      </c>
      <c r="D74" s="3" t="s">
        <v>521</v>
      </c>
      <c r="E74" s="34" t="s">
        <v>419</v>
      </c>
      <c r="F74" s="34" t="s">
        <v>418</v>
      </c>
      <c r="G74" s="44">
        <v>745476480000</v>
      </c>
      <c r="I74" s="58"/>
      <c r="J74" s="44">
        <v>745476480000</v>
      </c>
      <c r="K74" s="44">
        <v>745476480000</v>
      </c>
      <c r="M74" s="44">
        <v>745476480000</v>
      </c>
      <c r="N74" s="44"/>
      <c r="O74" s="44">
        <v>745476480000</v>
      </c>
      <c r="P74" s="44">
        <v>745476480000</v>
      </c>
      <c r="Q74" s="44">
        <v>745476480000</v>
      </c>
      <c r="T74" s="44">
        <v>745476480000</v>
      </c>
      <c r="U74" s="44">
        <v>745476480000</v>
      </c>
      <c r="V74" s="44">
        <v>745476480000</v>
      </c>
      <c r="W74" s="44">
        <v>745476480000</v>
      </c>
      <c r="X74" s="44">
        <v>745476480000</v>
      </c>
      <c r="Y74" s="44">
        <v>745476480000</v>
      </c>
      <c r="Z74" s="44">
        <v>745476480000</v>
      </c>
      <c r="AA74" s="44">
        <v>745476480000</v>
      </c>
      <c r="AB74" s="44">
        <v>745476480000</v>
      </c>
      <c r="AC74" s="44">
        <v>745476480000</v>
      </c>
      <c r="AD74" s="44">
        <v>745476480000</v>
      </c>
      <c r="AE74"/>
      <c r="AF74" s="44">
        <v>745476480000</v>
      </c>
      <c r="AG74" s="44">
        <v>745476480000</v>
      </c>
      <c r="AH74" s="44">
        <v>745476480000</v>
      </c>
      <c r="AI74" s="44">
        <v>745476480000</v>
      </c>
      <c r="AJ74" s="44">
        <v>745476480000</v>
      </c>
      <c r="AK74" s="44">
        <v>745476480000</v>
      </c>
      <c r="AL74" s="44">
        <v>745476480000</v>
      </c>
      <c r="AM74"/>
      <c r="AN74" s="44">
        <v>745476480000</v>
      </c>
      <c r="AO74" s="44">
        <v>745476480000</v>
      </c>
      <c r="AP74" s="44">
        <v>745476480000</v>
      </c>
      <c r="AQ74" s="44">
        <v>745476480000</v>
      </c>
      <c r="AR74"/>
      <c r="AS74" s="44">
        <v>745476480000</v>
      </c>
      <c r="AT74"/>
      <c r="AU74"/>
      <c r="AV74" s="44">
        <v>745476480000</v>
      </c>
    </row>
    <row r="75" spans="1:48" x14ac:dyDescent="0.25">
      <c r="A75" s="33" t="s">
        <v>204</v>
      </c>
      <c r="B75" s="3" t="s">
        <v>473</v>
      </c>
      <c r="C75" s="3" t="s">
        <v>483</v>
      </c>
      <c r="D75" s="3" t="s">
        <v>521</v>
      </c>
      <c r="E75" s="34" t="s">
        <v>413</v>
      </c>
      <c r="F75" s="34" t="s">
        <v>202</v>
      </c>
      <c r="G75" s="44">
        <v>100</v>
      </c>
      <c r="I75" s="58"/>
      <c r="J75" s="44">
        <v>100</v>
      </c>
      <c r="K75" s="44">
        <v>100</v>
      </c>
      <c r="M75" s="44">
        <v>100</v>
      </c>
      <c r="N75" s="44"/>
      <c r="O75" s="44">
        <v>100</v>
      </c>
      <c r="P75" s="44">
        <v>100</v>
      </c>
      <c r="Q75" s="44">
        <v>100</v>
      </c>
      <c r="T75" s="44">
        <v>100</v>
      </c>
      <c r="U75" s="44">
        <v>100</v>
      </c>
      <c r="V75" s="44">
        <v>100</v>
      </c>
      <c r="W75" s="44">
        <v>100</v>
      </c>
      <c r="X75" s="44">
        <v>100</v>
      </c>
      <c r="Y75" s="44">
        <v>100</v>
      </c>
      <c r="Z75" s="44">
        <v>100</v>
      </c>
      <c r="AA75" s="44">
        <v>100</v>
      </c>
      <c r="AB75" s="44">
        <v>100</v>
      </c>
      <c r="AC75" s="44">
        <v>100</v>
      </c>
      <c r="AD75" s="44">
        <v>100</v>
      </c>
      <c r="AE75"/>
      <c r="AF75" s="44">
        <v>100</v>
      </c>
      <c r="AG75" s="44">
        <v>100</v>
      </c>
      <c r="AH75" s="44">
        <v>100</v>
      </c>
      <c r="AI75" s="44">
        <v>100</v>
      </c>
      <c r="AJ75" s="44">
        <v>100</v>
      </c>
      <c r="AK75" s="44">
        <v>100</v>
      </c>
      <c r="AL75" s="44">
        <v>100</v>
      </c>
      <c r="AM75"/>
      <c r="AN75" s="44">
        <v>100</v>
      </c>
      <c r="AO75" s="44">
        <v>100</v>
      </c>
      <c r="AP75" s="44">
        <v>100</v>
      </c>
      <c r="AQ75" s="44">
        <v>100</v>
      </c>
      <c r="AR75"/>
      <c r="AS75" s="44">
        <v>100</v>
      </c>
      <c r="AT75"/>
      <c r="AU75"/>
      <c r="AV75" s="44">
        <v>100</v>
      </c>
    </row>
    <row r="76" spans="1:48" x14ac:dyDescent="0.25">
      <c r="A76" s="33" t="s">
        <v>414</v>
      </c>
      <c r="B76" s="3" t="s">
        <v>473</v>
      </c>
      <c r="C76" s="3" t="s">
        <v>483</v>
      </c>
      <c r="D76" s="3" t="s">
        <v>521</v>
      </c>
      <c r="E76" s="34" t="s">
        <v>420</v>
      </c>
      <c r="F76" s="34" t="s">
        <v>94</v>
      </c>
      <c r="G76" s="44" t="s">
        <v>86</v>
      </c>
      <c r="I76" s="58"/>
      <c r="J76" s="44" t="s">
        <v>86</v>
      </c>
      <c r="K76" s="44" t="s">
        <v>86</v>
      </c>
      <c r="M76" s="44" t="s">
        <v>86</v>
      </c>
      <c r="N76" s="44"/>
      <c r="O76" s="44" t="s">
        <v>86</v>
      </c>
      <c r="P76" s="44" t="s">
        <v>86</v>
      </c>
      <c r="Q76" s="44" t="s">
        <v>86</v>
      </c>
      <c r="T76" s="44" t="s">
        <v>86</v>
      </c>
      <c r="U76" s="44" t="s">
        <v>86</v>
      </c>
      <c r="V76" s="44" t="s">
        <v>86</v>
      </c>
      <c r="W76" s="44" t="s">
        <v>86</v>
      </c>
      <c r="X76" s="44" t="s">
        <v>86</v>
      </c>
      <c r="Y76" s="44" t="s">
        <v>86</v>
      </c>
      <c r="Z76" s="44" t="s">
        <v>86</v>
      </c>
      <c r="AA76" s="44" t="s">
        <v>86</v>
      </c>
      <c r="AB76" s="44" t="s">
        <v>86</v>
      </c>
      <c r="AC76" s="44" t="s">
        <v>86</v>
      </c>
      <c r="AD76" s="44" t="s">
        <v>86</v>
      </c>
      <c r="AE76"/>
      <c r="AF76" s="44" t="s">
        <v>86</v>
      </c>
      <c r="AG76" s="44" t="s">
        <v>86</v>
      </c>
      <c r="AH76" s="44" t="s">
        <v>86</v>
      </c>
      <c r="AI76" s="44" t="s">
        <v>86</v>
      </c>
      <c r="AJ76" s="44" t="s">
        <v>86</v>
      </c>
      <c r="AK76" s="44" t="s">
        <v>86</v>
      </c>
      <c r="AL76" s="44" t="s">
        <v>86</v>
      </c>
      <c r="AM76"/>
      <c r="AN76" s="44" t="s">
        <v>86</v>
      </c>
      <c r="AO76" s="44" t="s">
        <v>86</v>
      </c>
      <c r="AP76" s="44" t="s">
        <v>86</v>
      </c>
      <c r="AQ76" s="44" t="s">
        <v>86</v>
      </c>
      <c r="AR76"/>
      <c r="AS76" s="44" t="s">
        <v>86</v>
      </c>
      <c r="AT76"/>
      <c r="AU76"/>
      <c r="AV76" s="44" t="s">
        <v>86</v>
      </c>
    </row>
    <row r="77" spans="1:48" x14ac:dyDescent="0.25">
      <c r="A77" s="33" t="s">
        <v>400</v>
      </c>
      <c r="B77" s="3" t="s">
        <v>473</v>
      </c>
      <c r="C77" s="3" t="s">
        <v>483</v>
      </c>
      <c r="D77" s="3" t="s">
        <v>521</v>
      </c>
      <c r="E77" s="34" t="s">
        <v>403</v>
      </c>
      <c r="F77" s="34" t="s">
        <v>106</v>
      </c>
      <c r="G77" s="44">
        <v>29203.200000000001</v>
      </c>
      <c r="I77" s="58"/>
      <c r="J77" s="44">
        <v>21600</v>
      </c>
      <c r="K77" s="44">
        <v>21600</v>
      </c>
      <c r="M77" s="44">
        <v>21600</v>
      </c>
      <c r="N77" s="44"/>
      <c r="O77" s="44">
        <v>21600</v>
      </c>
      <c r="P77" s="44">
        <v>21600</v>
      </c>
      <c r="Q77" s="44">
        <v>21600</v>
      </c>
      <c r="T77" s="44">
        <v>21600</v>
      </c>
      <c r="U77" s="44">
        <v>21600</v>
      </c>
      <c r="V77" s="44">
        <v>21600</v>
      </c>
      <c r="W77" s="44">
        <v>21600</v>
      </c>
      <c r="X77" s="44">
        <v>21600</v>
      </c>
      <c r="Y77" s="44">
        <v>21600</v>
      </c>
      <c r="Z77" s="44">
        <v>21600</v>
      </c>
      <c r="AA77" s="44">
        <v>21600</v>
      </c>
      <c r="AB77" s="44">
        <v>21600</v>
      </c>
      <c r="AC77" s="44">
        <v>21600</v>
      </c>
      <c r="AD77" s="44">
        <v>21600</v>
      </c>
      <c r="AE77"/>
      <c r="AF77" s="44">
        <v>21600</v>
      </c>
      <c r="AG77" s="44">
        <v>21600</v>
      </c>
      <c r="AH77" s="44">
        <v>21600</v>
      </c>
      <c r="AI77" s="44">
        <v>21600</v>
      </c>
      <c r="AJ77" s="44">
        <v>21600</v>
      </c>
      <c r="AK77" s="44">
        <v>21600</v>
      </c>
      <c r="AL77" s="44">
        <v>21600</v>
      </c>
      <c r="AM77"/>
      <c r="AN77" s="44">
        <v>21600</v>
      </c>
      <c r="AO77" s="44">
        <v>21600</v>
      </c>
      <c r="AP77" s="44">
        <v>21600</v>
      </c>
      <c r="AQ77" s="44">
        <v>21600</v>
      </c>
      <c r="AR77"/>
      <c r="AS77" s="44">
        <v>21600</v>
      </c>
      <c r="AT77"/>
      <c r="AU77"/>
      <c r="AV77" s="44">
        <v>21600</v>
      </c>
    </row>
    <row r="78" spans="1:48" x14ac:dyDescent="0.25">
      <c r="A78" s="33" t="s">
        <v>410</v>
      </c>
      <c r="B78" s="3" t="s">
        <v>473</v>
      </c>
      <c r="C78" s="3" t="s">
        <v>483</v>
      </c>
      <c r="D78" s="3" t="s">
        <v>521</v>
      </c>
      <c r="E78" s="34" t="s">
        <v>416</v>
      </c>
      <c r="F78" s="34" t="s">
        <v>100</v>
      </c>
      <c r="G78" s="44">
        <v>0.5</v>
      </c>
      <c r="I78" s="58"/>
      <c r="J78" s="44">
        <v>0.5</v>
      </c>
      <c r="K78" s="44">
        <v>0.5</v>
      </c>
      <c r="M78" s="44">
        <v>0.5</v>
      </c>
      <c r="N78" s="44"/>
      <c r="O78" s="44">
        <v>0.5</v>
      </c>
      <c r="P78" s="44">
        <v>0.5</v>
      </c>
      <c r="Q78" s="44">
        <v>0.5</v>
      </c>
      <c r="T78" s="44">
        <v>0.5</v>
      </c>
      <c r="U78" s="44">
        <v>0.5</v>
      </c>
      <c r="V78" s="44">
        <v>0.5</v>
      </c>
      <c r="W78" s="44">
        <v>0.5</v>
      </c>
      <c r="X78" s="44">
        <v>0.5</v>
      </c>
      <c r="Y78" s="44">
        <v>0.5</v>
      </c>
      <c r="Z78" s="44">
        <v>0.5</v>
      </c>
      <c r="AA78" s="44">
        <v>0.5</v>
      </c>
      <c r="AB78" s="44">
        <v>0.5</v>
      </c>
      <c r="AC78" s="44">
        <v>0.5</v>
      </c>
      <c r="AD78" s="44">
        <v>0.5</v>
      </c>
      <c r="AE78"/>
      <c r="AF78" s="44">
        <v>0.5</v>
      </c>
      <c r="AG78" s="44">
        <v>0.5</v>
      </c>
      <c r="AH78" s="44">
        <v>0.5</v>
      </c>
      <c r="AI78" s="44">
        <v>0.5</v>
      </c>
      <c r="AJ78" s="44">
        <v>0.5</v>
      </c>
      <c r="AK78" s="44">
        <v>0.5</v>
      </c>
      <c r="AL78" s="44">
        <v>0.5</v>
      </c>
      <c r="AM78"/>
      <c r="AN78" s="44">
        <v>0.5</v>
      </c>
      <c r="AO78" s="44">
        <v>0.5</v>
      </c>
      <c r="AP78" s="44">
        <v>0.5</v>
      </c>
      <c r="AQ78" s="44">
        <v>0.5</v>
      </c>
      <c r="AR78"/>
      <c r="AS78" s="44">
        <v>0.5</v>
      </c>
      <c r="AT78"/>
      <c r="AU78"/>
      <c r="AV78" s="44">
        <v>0.5</v>
      </c>
    </row>
    <row r="79" spans="1:48" x14ac:dyDescent="0.25">
      <c r="A79" s="33" t="s">
        <v>401</v>
      </c>
      <c r="B79" s="3" t="s">
        <v>473</v>
      </c>
      <c r="C79" s="3" t="s">
        <v>483</v>
      </c>
      <c r="D79" s="3" t="s">
        <v>521</v>
      </c>
      <c r="E79" s="34" t="s">
        <v>415</v>
      </c>
      <c r="F79" s="34" t="s">
        <v>106</v>
      </c>
      <c r="G79" s="44">
        <v>387936</v>
      </c>
      <c r="I79" s="58"/>
      <c r="J79" s="44">
        <v>60479.999999999993</v>
      </c>
      <c r="K79" s="44">
        <v>60479.999999999993</v>
      </c>
      <c r="M79" s="44">
        <v>60479.999999999993</v>
      </c>
      <c r="N79" s="44"/>
      <c r="O79" s="44">
        <v>60479.999999999993</v>
      </c>
      <c r="P79" s="44">
        <v>60479.999999999993</v>
      </c>
      <c r="Q79" s="44">
        <v>60479.999999999993</v>
      </c>
      <c r="T79" s="44">
        <v>60479.999999999993</v>
      </c>
      <c r="U79" s="44">
        <v>60479.999999999993</v>
      </c>
      <c r="V79" s="44">
        <v>60479.999999999993</v>
      </c>
      <c r="W79" s="44">
        <v>60479.999999999993</v>
      </c>
      <c r="X79" s="44">
        <v>60479.999999999993</v>
      </c>
      <c r="Y79" s="44">
        <v>60479.999999999993</v>
      </c>
      <c r="Z79" s="44">
        <v>60479.999999999993</v>
      </c>
      <c r="AA79" s="44">
        <v>60479.999999999993</v>
      </c>
      <c r="AB79" s="44">
        <v>60479.999999999993</v>
      </c>
      <c r="AC79" s="44">
        <v>60479.999999999993</v>
      </c>
      <c r="AD79" s="44">
        <v>60479.999999999993</v>
      </c>
      <c r="AE79"/>
      <c r="AF79" s="44">
        <v>60479.999999999993</v>
      </c>
      <c r="AG79" s="44">
        <v>60479.999999999993</v>
      </c>
      <c r="AH79" s="44">
        <v>60479.999999999993</v>
      </c>
      <c r="AI79" s="44">
        <v>60479.999999999993</v>
      </c>
      <c r="AJ79" s="44">
        <v>60479.999999999993</v>
      </c>
      <c r="AK79" s="44">
        <v>60479.999999999993</v>
      </c>
      <c r="AL79" s="44">
        <v>60479.999999999993</v>
      </c>
      <c r="AM79"/>
      <c r="AN79" s="44">
        <v>60479.999999999993</v>
      </c>
      <c r="AO79" s="44">
        <v>60479.999999999993</v>
      </c>
      <c r="AP79" s="44">
        <v>60479.999999999993</v>
      </c>
      <c r="AQ79" s="44">
        <v>60479.999999999993</v>
      </c>
      <c r="AR79"/>
      <c r="AS79" s="44">
        <v>60479.999999999993</v>
      </c>
      <c r="AT79"/>
      <c r="AU79"/>
      <c r="AV79" s="44">
        <v>60479.999999999993</v>
      </c>
    </row>
    <row r="80" spans="1:48" x14ac:dyDescent="0.25">
      <c r="A80" s="33" t="s">
        <v>411</v>
      </c>
      <c r="B80" s="3" t="s">
        <v>473</v>
      </c>
      <c r="C80" s="3" t="s">
        <v>483</v>
      </c>
      <c r="D80" s="3" t="s">
        <v>521</v>
      </c>
      <c r="E80" s="34" t="s">
        <v>417</v>
      </c>
      <c r="F80" s="34" t="s">
        <v>100</v>
      </c>
      <c r="G80" s="44">
        <v>0.85</v>
      </c>
      <c r="I80" s="58"/>
      <c r="J80" s="44">
        <v>0.85</v>
      </c>
      <c r="K80" s="44">
        <v>0.85</v>
      </c>
      <c r="M80" s="44">
        <v>0.85</v>
      </c>
      <c r="N80" s="44"/>
      <c r="O80" s="44">
        <v>0.85</v>
      </c>
      <c r="P80" s="44">
        <v>0.85</v>
      </c>
      <c r="Q80" s="44">
        <v>0.85</v>
      </c>
      <c r="T80" s="44">
        <v>0.85</v>
      </c>
      <c r="U80" s="44">
        <v>0.85</v>
      </c>
      <c r="V80" s="44">
        <v>0.85</v>
      </c>
      <c r="W80" s="44">
        <v>0.85</v>
      </c>
      <c r="X80" s="44">
        <v>0.85</v>
      </c>
      <c r="Y80" s="44">
        <v>0.85</v>
      </c>
      <c r="Z80" s="44">
        <v>0.85</v>
      </c>
      <c r="AA80" s="44">
        <v>0.85</v>
      </c>
      <c r="AB80" s="44">
        <v>0.85</v>
      </c>
      <c r="AC80" s="44">
        <v>0.85</v>
      </c>
      <c r="AD80" s="44">
        <v>0.85</v>
      </c>
      <c r="AE80"/>
      <c r="AF80" s="44">
        <v>0.85</v>
      </c>
      <c r="AG80" s="44">
        <v>0.85</v>
      </c>
      <c r="AH80" s="44">
        <v>0.85</v>
      </c>
      <c r="AI80" s="44">
        <v>0.85</v>
      </c>
      <c r="AJ80" s="44">
        <v>0.85</v>
      </c>
      <c r="AK80" s="44">
        <v>0.85</v>
      </c>
      <c r="AL80" s="44">
        <v>0.85</v>
      </c>
      <c r="AM80"/>
      <c r="AN80" s="44">
        <v>0.85</v>
      </c>
      <c r="AO80" s="44">
        <v>0.85</v>
      </c>
      <c r="AP80" s="44">
        <v>0.85</v>
      </c>
      <c r="AQ80" s="44">
        <v>0.85</v>
      </c>
      <c r="AR80"/>
      <c r="AS80" s="44">
        <v>0.85</v>
      </c>
      <c r="AT80"/>
      <c r="AU80"/>
      <c r="AV80" s="44">
        <v>0.85</v>
      </c>
    </row>
    <row r="81" spans="1:48" x14ac:dyDescent="0.25">
      <c r="A81" s="33" t="s">
        <v>402</v>
      </c>
      <c r="B81" s="3" t="s">
        <v>473</v>
      </c>
      <c r="C81" s="3" t="s">
        <v>483</v>
      </c>
      <c r="D81" s="3" t="s">
        <v>521</v>
      </c>
      <c r="E81" s="34" t="s">
        <v>404</v>
      </c>
      <c r="F81" s="34" t="s">
        <v>106</v>
      </c>
      <c r="G81" s="44">
        <v>518400</v>
      </c>
      <c r="I81" s="58"/>
      <c r="J81" s="44">
        <v>518400</v>
      </c>
      <c r="K81" s="44">
        <v>518400</v>
      </c>
      <c r="M81" s="44">
        <v>518400</v>
      </c>
      <c r="N81" s="44"/>
      <c r="O81" s="44">
        <v>518400</v>
      </c>
      <c r="P81" s="44">
        <v>518400</v>
      </c>
      <c r="Q81" s="44">
        <v>518400</v>
      </c>
      <c r="T81" s="44">
        <v>518400</v>
      </c>
      <c r="U81" s="44">
        <v>518400</v>
      </c>
      <c r="V81" s="44">
        <v>518400</v>
      </c>
      <c r="W81" s="44">
        <v>518400</v>
      </c>
      <c r="X81" s="44">
        <v>518400</v>
      </c>
      <c r="Y81" s="44">
        <v>518400</v>
      </c>
      <c r="Z81" s="44">
        <v>518400</v>
      </c>
      <c r="AA81" s="44">
        <v>518400</v>
      </c>
      <c r="AB81" s="44">
        <v>518400</v>
      </c>
      <c r="AC81" s="44">
        <v>518400</v>
      </c>
      <c r="AD81" s="44">
        <v>518400</v>
      </c>
      <c r="AE81"/>
      <c r="AF81" s="44">
        <v>518400</v>
      </c>
      <c r="AG81" s="44">
        <v>518400</v>
      </c>
      <c r="AH81" s="44">
        <v>518400</v>
      </c>
      <c r="AI81" s="44">
        <v>518400</v>
      </c>
      <c r="AJ81" s="44">
        <v>518400</v>
      </c>
      <c r="AK81" s="44">
        <v>518400</v>
      </c>
      <c r="AL81" s="44">
        <v>518400</v>
      </c>
      <c r="AM81"/>
      <c r="AN81" s="44">
        <v>518400</v>
      </c>
      <c r="AO81" s="44">
        <v>518400</v>
      </c>
      <c r="AP81" s="44">
        <v>518400</v>
      </c>
      <c r="AQ81" s="44">
        <v>518400</v>
      </c>
      <c r="AR81"/>
      <c r="AS81" s="44">
        <v>518400</v>
      </c>
      <c r="AT81"/>
      <c r="AU81"/>
      <c r="AV81" s="44">
        <v>518400</v>
      </c>
    </row>
    <row r="82" spans="1:48" x14ac:dyDescent="0.25">
      <c r="A82" s="33" t="s">
        <v>412</v>
      </c>
      <c r="B82" s="3" t="s">
        <v>473</v>
      </c>
      <c r="C82" s="3" t="s">
        <v>483</v>
      </c>
      <c r="D82" s="3" t="s">
        <v>521</v>
      </c>
      <c r="E82" s="34" t="s">
        <v>405</v>
      </c>
      <c r="F82" s="34" t="s">
        <v>106</v>
      </c>
      <c r="G82" s="44">
        <v>5184000</v>
      </c>
      <c r="I82" s="58"/>
      <c r="J82" s="44">
        <v>5184000</v>
      </c>
      <c r="K82" s="44">
        <v>5184000</v>
      </c>
      <c r="M82" s="44">
        <v>5184000</v>
      </c>
      <c r="N82" s="44"/>
      <c r="O82" s="44">
        <v>5184000</v>
      </c>
      <c r="P82" s="44">
        <v>5184000</v>
      </c>
      <c r="Q82" s="44">
        <v>5184000</v>
      </c>
      <c r="T82" s="44">
        <v>5184000</v>
      </c>
      <c r="U82" s="44">
        <v>5184000</v>
      </c>
      <c r="V82" s="44">
        <v>5184000</v>
      </c>
      <c r="W82" s="44">
        <v>5184000</v>
      </c>
      <c r="X82" s="44">
        <v>5184000</v>
      </c>
      <c r="Y82" s="44">
        <v>5184000</v>
      </c>
      <c r="Z82" s="44">
        <v>5184000</v>
      </c>
      <c r="AA82" s="44">
        <v>5184000</v>
      </c>
      <c r="AB82" s="44">
        <v>5184000</v>
      </c>
      <c r="AC82" s="44">
        <v>5184000</v>
      </c>
      <c r="AD82" s="44">
        <v>5184000</v>
      </c>
      <c r="AE82"/>
      <c r="AF82" s="44">
        <v>5184000</v>
      </c>
      <c r="AG82" s="44">
        <v>5184000</v>
      </c>
      <c r="AH82" s="44">
        <v>5184000</v>
      </c>
      <c r="AI82" s="44">
        <v>5184000</v>
      </c>
      <c r="AJ82" s="44">
        <v>5184000</v>
      </c>
      <c r="AK82" s="44">
        <v>5184000</v>
      </c>
      <c r="AL82" s="44">
        <v>5184000</v>
      </c>
      <c r="AM82"/>
      <c r="AN82" s="44">
        <v>5184000</v>
      </c>
      <c r="AO82" s="44">
        <v>5184000</v>
      </c>
      <c r="AP82" s="44">
        <v>5184000</v>
      </c>
      <c r="AQ82" s="44">
        <v>5184000</v>
      </c>
      <c r="AR82"/>
      <c r="AS82" s="44">
        <v>5184000</v>
      </c>
      <c r="AT82"/>
      <c r="AU82"/>
      <c r="AV82" s="44">
        <v>5184000</v>
      </c>
    </row>
    <row r="83" spans="1:48" x14ac:dyDescent="0.25">
      <c r="A83" s="17" t="s">
        <v>51</v>
      </c>
      <c r="B83" s="3" t="s">
        <v>473</v>
      </c>
      <c r="C83" s="3" t="s">
        <v>483</v>
      </c>
      <c r="D83" s="3" t="s">
        <v>521</v>
      </c>
      <c r="E83" s="18" t="s">
        <v>162</v>
      </c>
      <c r="F83" s="18" t="s">
        <v>108</v>
      </c>
      <c r="G83" s="44">
        <v>259200</v>
      </c>
      <c r="I83" s="58"/>
      <c r="J83" s="44">
        <v>50000</v>
      </c>
      <c r="K83" s="44">
        <v>50000</v>
      </c>
      <c r="M83" s="44">
        <v>50000</v>
      </c>
      <c r="N83" s="44"/>
      <c r="O83" s="44">
        <v>50000</v>
      </c>
      <c r="P83" s="44">
        <v>50000</v>
      </c>
      <c r="Q83" s="44">
        <v>50000</v>
      </c>
      <c r="T83" s="44">
        <v>50000</v>
      </c>
      <c r="U83" s="44">
        <v>50000</v>
      </c>
      <c r="V83" s="44">
        <v>50000</v>
      </c>
      <c r="W83" s="44">
        <v>50000</v>
      </c>
      <c r="X83" s="44">
        <v>50000</v>
      </c>
      <c r="Y83" s="44">
        <v>50000</v>
      </c>
      <c r="Z83" s="44">
        <v>50000</v>
      </c>
      <c r="AA83" s="44">
        <v>50000</v>
      </c>
      <c r="AB83" s="44">
        <v>50000</v>
      </c>
      <c r="AC83" s="44">
        <v>50000</v>
      </c>
      <c r="AD83" s="44">
        <v>50000</v>
      </c>
      <c r="AE83"/>
      <c r="AF83" s="44">
        <v>50000</v>
      </c>
      <c r="AG83" s="44">
        <v>50000</v>
      </c>
      <c r="AH83" s="44">
        <v>50000</v>
      </c>
      <c r="AI83" s="44">
        <v>50000</v>
      </c>
      <c r="AJ83" s="44">
        <v>50000</v>
      </c>
      <c r="AK83" s="44">
        <v>50000</v>
      </c>
      <c r="AL83" s="44">
        <v>50000</v>
      </c>
      <c r="AM83"/>
      <c r="AN83" s="44">
        <v>50000</v>
      </c>
      <c r="AO83" s="44">
        <v>50000</v>
      </c>
      <c r="AP83" s="44">
        <v>50000</v>
      </c>
      <c r="AQ83" s="44">
        <v>50000</v>
      </c>
      <c r="AR83"/>
      <c r="AS83" s="44">
        <v>50000</v>
      </c>
      <c r="AT83"/>
      <c r="AU83"/>
      <c r="AV83" s="44">
        <v>50000</v>
      </c>
    </row>
    <row r="84" spans="1:48" x14ac:dyDescent="0.25">
      <c r="A84" s="17" t="s">
        <v>52</v>
      </c>
      <c r="B84" s="3" t="s">
        <v>473</v>
      </c>
      <c r="C84" s="3" t="s">
        <v>483</v>
      </c>
      <c r="D84" s="3" t="s">
        <v>521</v>
      </c>
      <c r="E84" s="18" t="s">
        <v>163</v>
      </c>
      <c r="F84" s="18" t="s">
        <v>196</v>
      </c>
      <c r="G84" s="44">
        <v>140000</v>
      </c>
      <c r="I84" s="58"/>
      <c r="J84" s="44">
        <v>140000</v>
      </c>
      <c r="K84" s="44">
        <v>140000</v>
      </c>
      <c r="M84" s="44">
        <v>140000</v>
      </c>
      <c r="N84" s="44"/>
      <c r="O84" s="44">
        <v>140000</v>
      </c>
      <c r="P84" s="44">
        <v>140000</v>
      </c>
      <c r="Q84" s="44">
        <v>140000</v>
      </c>
      <c r="T84" s="44">
        <v>140000</v>
      </c>
      <c r="U84" s="44">
        <v>140000</v>
      </c>
      <c r="V84" s="44">
        <v>140000</v>
      </c>
      <c r="W84" s="44">
        <v>140000</v>
      </c>
      <c r="X84" s="44">
        <v>140000</v>
      </c>
      <c r="Y84" s="44">
        <v>140000</v>
      </c>
      <c r="Z84" s="44">
        <v>140000</v>
      </c>
      <c r="AA84" s="44">
        <v>140000</v>
      </c>
      <c r="AB84" s="44">
        <v>140000</v>
      </c>
      <c r="AC84" s="44">
        <v>140000</v>
      </c>
      <c r="AD84" s="44">
        <v>140000</v>
      </c>
      <c r="AE84"/>
      <c r="AF84" s="44">
        <v>140000</v>
      </c>
      <c r="AG84" s="44">
        <v>140000</v>
      </c>
      <c r="AH84" s="44">
        <v>140000</v>
      </c>
      <c r="AI84" s="44">
        <v>140000</v>
      </c>
      <c r="AJ84" s="44">
        <v>140000</v>
      </c>
      <c r="AK84" s="44">
        <v>140000</v>
      </c>
      <c r="AL84" s="44">
        <v>140000</v>
      </c>
      <c r="AM84"/>
      <c r="AN84" s="44">
        <v>140000</v>
      </c>
      <c r="AO84" s="44">
        <v>140000</v>
      </c>
      <c r="AP84" s="44">
        <v>140000</v>
      </c>
      <c r="AQ84" s="44">
        <v>140000</v>
      </c>
      <c r="AR84"/>
      <c r="AS84" s="44">
        <v>140000</v>
      </c>
      <c r="AT84"/>
      <c r="AU84"/>
      <c r="AV84" s="44">
        <v>140000</v>
      </c>
    </row>
    <row r="85" spans="1:48" x14ac:dyDescent="0.25">
      <c r="A85" s="17" t="s">
        <v>53</v>
      </c>
      <c r="B85" s="3" t="s">
        <v>473</v>
      </c>
      <c r="C85" s="3" t="s">
        <v>483</v>
      </c>
      <c r="D85" s="3" t="s">
        <v>521</v>
      </c>
      <c r="E85" s="18" t="s">
        <v>164</v>
      </c>
      <c r="F85" s="18" t="s">
        <v>197</v>
      </c>
      <c r="G85" s="44">
        <v>3.6636136999999999E-2</v>
      </c>
      <c r="I85" s="58"/>
      <c r="J85" s="44">
        <v>3.6636136999999999E-2</v>
      </c>
      <c r="K85" s="44">
        <v>3.6636136999999999E-2</v>
      </c>
      <c r="M85" s="44">
        <v>3.6636136999999999E-2</v>
      </c>
      <c r="N85" s="44"/>
      <c r="O85" s="44">
        <v>3.6636136999999999E-2</v>
      </c>
      <c r="P85" s="44">
        <v>3.6636136999999999E-2</v>
      </c>
      <c r="Q85" s="44">
        <v>3.6636136999999999E-2</v>
      </c>
      <c r="T85" s="44">
        <v>3.6636136999999999E-2</v>
      </c>
      <c r="U85" s="44">
        <v>3.6636136999999999E-2</v>
      </c>
      <c r="V85" s="44">
        <v>3.6636136999999999E-2</v>
      </c>
      <c r="W85" s="44">
        <v>3.6636136999999999E-2</v>
      </c>
      <c r="X85" s="44">
        <v>3.6636136999999999E-2</v>
      </c>
      <c r="Y85" s="44">
        <v>3.6636136999999999E-2</v>
      </c>
      <c r="Z85" s="44">
        <v>3.6636136999999999E-2</v>
      </c>
      <c r="AA85" s="44">
        <v>3.6636136999999999E-2</v>
      </c>
      <c r="AB85" s="44">
        <v>3.6636136999999999E-2</v>
      </c>
      <c r="AC85" s="44">
        <v>3.6636136999999999E-2</v>
      </c>
      <c r="AD85" s="44">
        <v>3.6636136999999999E-2</v>
      </c>
      <c r="AE85"/>
      <c r="AF85" s="44">
        <v>3.6636136999999999E-2</v>
      </c>
      <c r="AG85" s="44">
        <v>3.6636136999999999E-2</v>
      </c>
      <c r="AH85" s="44">
        <v>3.6636136999999999E-2</v>
      </c>
      <c r="AI85" s="44">
        <v>3.6636136999999999E-2</v>
      </c>
      <c r="AJ85" s="44">
        <v>3.6636136999999999E-2</v>
      </c>
      <c r="AK85" s="44">
        <v>3.6636136999999999E-2</v>
      </c>
      <c r="AL85" s="44">
        <v>3.6636136999999999E-2</v>
      </c>
      <c r="AM85"/>
      <c r="AN85" s="44">
        <v>3.6636136999999999E-2</v>
      </c>
      <c r="AO85" s="44">
        <v>3.6636136999999999E-2</v>
      </c>
      <c r="AP85" s="44">
        <v>3.6636136999999999E-2</v>
      </c>
      <c r="AQ85" s="44">
        <v>3.6636136999999999E-2</v>
      </c>
      <c r="AR85"/>
      <c r="AS85" s="44">
        <v>3.6636136999999999E-2</v>
      </c>
      <c r="AT85"/>
      <c r="AU85"/>
      <c r="AV85" s="44">
        <v>3.6636136999999999E-2</v>
      </c>
    </row>
    <row r="86" spans="1:48" x14ac:dyDescent="0.25">
      <c r="A86" s="17" t="s">
        <v>54</v>
      </c>
      <c r="B86" s="3" t="s">
        <v>473</v>
      </c>
      <c r="C86" s="3" t="s">
        <v>483</v>
      </c>
      <c r="D86" s="3" t="s">
        <v>521</v>
      </c>
      <c r="E86" s="18" t="s">
        <v>165</v>
      </c>
      <c r="F86" s="18" t="s">
        <v>98</v>
      </c>
      <c r="G86" s="44">
        <v>4.4999999999999997E-3</v>
      </c>
      <c r="I86" s="58"/>
      <c r="J86" s="44">
        <v>4.4999999999999997E-3</v>
      </c>
      <c r="K86" s="44">
        <v>4.4999999999999997E-3</v>
      </c>
      <c r="M86" s="44">
        <v>4.4999999999999997E-3</v>
      </c>
      <c r="N86" s="44"/>
      <c r="O86" s="44">
        <v>4.4999999999999997E-3</v>
      </c>
      <c r="P86" s="44">
        <v>4.4999999999999997E-3</v>
      </c>
      <c r="Q86" s="44">
        <v>4.4999999999999997E-3</v>
      </c>
      <c r="T86" s="44">
        <v>4.4999999999999997E-3</v>
      </c>
      <c r="U86" s="44">
        <v>4.4999999999999997E-3</v>
      </c>
      <c r="V86" s="44">
        <v>4.4999999999999997E-3</v>
      </c>
      <c r="W86" s="44">
        <v>4.4999999999999997E-3</v>
      </c>
      <c r="X86" s="44">
        <v>4.4999999999999997E-3</v>
      </c>
      <c r="Y86" s="44">
        <v>4.4999999999999997E-3</v>
      </c>
      <c r="Z86" s="44">
        <v>4.4999999999999997E-3</v>
      </c>
      <c r="AA86" s="44">
        <v>4.4999999999999997E-3</v>
      </c>
      <c r="AB86" s="44">
        <v>4.4999999999999997E-3</v>
      </c>
      <c r="AC86" s="44">
        <v>4.4999999999999997E-3</v>
      </c>
      <c r="AD86" s="44">
        <v>4.4999999999999997E-3</v>
      </c>
      <c r="AE86"/>
      <c r="AF86" s="44">
        <v>4.4999999999999997E-3</v>
      </c>
      <c r="AG86" s="44">
        <v>4.4999999999999997E-3</v>
      </c>
      <c r="AH86" s="44">
        <v>4.4999999999999997E-3</v>
      </c>
      <c r="AI86" s="44">
        <v>4.4999999999999997E-3</v>
      </c>
      <c r="AJ86" s="44">
        <v>4.4999999999999997E-3</v>
      </c>
      <c r="AK86" s="44">
        <v>4.4999999999999997E-3</v>
      </c>
      <c r="AL86" s="44">
        <v>4.4999999999999997E-3</v>
      </c>
      <c r="AM86"/>
      <c r="AN86" s="44">
        <v>4.4999999999999997E-3</v>
      </c>
      <c r="AO86" s="44">
        <v>4.4999999999999997E-3</v>
      </c>
      <c r="AP86" s="44">
        <v>4.4999999999999997E-3</v>
      </c>
      <c r="AQ86" s="44">
        <v>4.4999999999999997E-3</v>
      </c>
      <c r="AR86"/>
      <c r="AS86" s="44">
        <v>4.4999999999999997E-3</v>
      </c>
      <c r="AT86"/>
      <c r="AU86"/>
      <c r="AV86" s="44">
        <v>4.4999999999999997E-3</v>
      </c>
    </row>
    <row r="87" spans="1:48" x14ac:dyDescent="0.25">
      <c r="A87" s="17" t="s">
        <v>55</v>
      </c>
      <c r="B87" s="3" t="s">
        <v>473</v>
      </c>
      <c r="C87" s="3" t="s">
        <v>483</v>
      </c>
      <c r="D87" s="3" t="s">
        <v>521</v>
      </c>
      <c r="E87" s="18" t="s">
        <v>166</v>
      </c>
      <c r="F87" s="18" t="s">
        <v>100</v>
      </c>
      <c r="G87" s="44">
        <v>0.05</v>
      </c>
      <c r="I87" s="58"/>
      <c r="J87" s="44">
        <v>0.05</v>
      </c>
      <c r="K87" s="44">
        <v>0.05</v>
      </c>
      <c r="M87" s="44">
        <v>0.05</v>
      </c>
      <c r="N87" s="44"/>
      <c r="O87" s="44">
        <v>0.05</v>
      </c>
      <c r="P87" s="44">
        <v>0.05</v>
      </c>
      <c r="Q87" s="44">
        <v>0.05</v>
      </c>
      <c r="T87" s="44">
        <v>0.05</v>
      </c>
      <c r="U87" s="44">
        <v>0.05</v>
      </c>
      <c r="V87" s="44">
        <v>0.05</v>
      </c>
      <c r="W87" s="44">
        <v>0.05</v>
      </c>
      <c r="X87" s="44">
        <v>0.05</v>
      </c>
      <c r="Y87" s="44">
        <v>0.05</v>
      </c>
      <c r="Z87" s="44">
        <v>0.05</v>
      </c>
      <c r="AA87" s="44">
        <v>0.05</v>
      </c>
      <c r="AB87" s="44">
        <v>0.05</v>
      </c>
      <c r="AC87" s="44">
        <v>0.05</v>
      </c>
      <c r="AD87" s="44">
        <v>0.05</v>
      </c>
      <c r="AE87"/>
      <c r="AF87" s="44">
        <v>0.05</v>
      </c>
      <c r="AG87" s="44">
        <v>0.05</v>
      </c>
      <c r="AH87" s="44">
        <v>0.05</v>
      </c>
      <c r="AI87" s="44">
        <v>0.05</v>
      </c>
      <c r="AJ87" s="44">
        <v>0.05</v>
      </c>
      <c r="AK87" s="44">
        <v>0.05</v>
      </c>
      <c r="AL87" s="44">
        <v>0.05</v>
      </c>
      <c r="AM87"/>
      <c r="AN87" s="44">
        <v>0.05</v>
      </c>
      <c r="AO87" s="44">
        <v>0.05</v>
      </c>
      <c r="AP87" s="44">
        <v>0.05</v>
      </c>
      <c r="AQ87" s="44">
        <v>0.05</v>
      </c>
      <c r="AR87"/>
      <c r="AS87" s="44">
        <v>0.05</v>
      </c>
      <c r="AT87"/>
      <c r="AU87"/>
      <c r="AV87" s="44">
        <v>0.05</v>
      </c>
    </row>
    <row r="88" spans="1:48" x14ac:dyDescent="0.25">
      <c r="A88" s="19" t="s">
        <v>213</v>
      </c>
      <c r="B88" s="3" t="s">
        <v>473</v>
      </c>
      <c r="C88" s="3" t="s">
        <v>483</v>
      </c>
      <c r="D88" s="3" t="s">
        <v>521</v>
      </c>
      <c r="E88" s="20" t="s">
        <v>290</v>
      </c>
      <c r="F88" s="20" t="s">
        <v>98</v>
      </c>
      <c r="G88" s="44">
        <v>6.0000000000000002E-6</v>
      </c>
      <c r="I88" s="58"/>
      <c r="J88" s="44">
        <v>6.0000000000000002E-6</v>
      </c>
      <c r="K88" s="44">
        <v>6.0000000000000002E-6</v>
      </c>
      <c r="M88" s="44">
        <v>6.0000000000000002E-6</v>
      </c>
      <c r="N88" s="44"/>
      <c r="O88" s="44">
        <v>6.0000000000000002E-6</v>
      </c>
      <c r="P88" s="44">
        <v>6.0000000000000002E-6</v>
      </c>
      <c r="Q88" s="44">
        <v>6.0000000000000002E-6</v>
      </c>
      <c r="T88" s="44">
        <v>6.0000000000000002E-6</v>
      </c>
      <c r="U88" s="44">
        <v>6.0000000000000002E-6</v>
      </c>
      <c r="V88" s="44">
        <v>6.0000000000000002E-6</v>
      </c>
      <c r="W88" s="44">
        <v>6.0000000000000002E-6</v>
      </c>
      <c r="X88" s="44">
        <v>6.0000000000000002E-6</v>
      </c>
      <c r="Y88" s="44">
        <v>6.0000000000000002E-6</v>
      </c>
      <c r="Z88" s="44">
        <v>6.0000000000000002E-6</v>
      </c>
      <c r="AA88" s="44">
        <v>6.0000000000000002E-6</v>
      </c>
      <c r="AB88" s="44">
        <v>6.0000000000000002E-6</v>
      </c>
      <c r="AC88" s="44">
        <v>6.0000000000000002E-6</v>
      </c>
      <c r="AD88" s="44">
        <v>6.0000000000000002E-6</v>
      </c>
      <c r="AE88"/>
      <c r="AF88" s="44">
        <v>6.0000000000000002E-6</v>
      </c>
      <c r="AG88" s="44">
        <v>6.0000000000000002E-6</v>
      </c>
      <c r="AH88" s="44">
        <v>6.0000000000000002E-6</v>
      </c>
      <c r="AI88" s="44">
        <v>6.0000000000000002E-6</v>
      </c>
      <c r="AJ88" s="44">
        <v>6.0000000000000002E-6</v>
      </c>
      <c r="AK88" s="44">
        <v>6.0000000000000002E-6</v>
      </c>
      <c r="AL88" s="44">
        <v>6.0000000000000002E-6</v>
      </c>
      <c r="AM88"/>
      <c r="AN88" s="44">
        <v>6.0000000000000002E-6</v>
      </c>
      <c r="AO88" s="44">
        <v>6.0000000000000002E-6</v>
      </c>
      <c r="AP88" s="44">
        <v>6.0000000000000002E-6</v>
      </c>
      <c r="AQ88" s="44">
        <v>6.0000000000000002E-6</v>
      </c>
      <c r="AR88"/>
      <c r="AS88" s="44">
        <v>6.0000000000000002E-6</v>
      </c>
      <c r="AT88"/>
      <c r="AU88"/>
      <c r="AV88" s="44">
        <v>6.0000000000000002E-6</v>
      </c>
    </row>
    <row r="89" spans="1:48" x14ac:dyDescent="0.25">
      <c r="A89" s="19" t="s">
        <v>214</v>
      </c>
      <c r="B89" s="3" t="s">
        <v>473</v>
      </c>
      <c r="C89" s="3" t="s">
        <v>483</v>
      </c>
      <c r="D89" s="3" t="s">
        <v>521</v>
      </c>
      <c r="E89" s="20" t="s">
        <v>291</v>
      </c>
      <c r="F89" s="20" t="s">
        <v>98</v>
      </c>
      <c r="G89" s="44">
        <v>1E-3</v>
      </c>
      <c r="I89" s="58"/>
      <c r="J89" s="44">
        <v>1E-3</v>
      </c>
      <c r="K89" s="44">
        <v>1E-3</v>
      </c>
      <c r="M89" s="44">
        <v>1E-3</v>
      </c>
      <c r="N89" s="44"/>
      <c r="O89" s="44">
        <v>1E-3</v>
      </c>
      <c r="P89" s="44">
        <v>1E-3</v>
      </c>
      <c r="Q89" s="44">
        <v>1E-3</v>
      </c>
      <c r="T89" s="44">
        <v>1E-3</v>
      </c>
      <c r="U89" s="44">
        <v>1E-3</v>
      </c>
      <c r="V89" s="44">
        <v>1E-3</v>
      </c>
      <c r="W89" s="44">
        <v>1E-3</v>
      </c>
      <c r="X89" s="44">
        <v>1E-3</v>
      </c>
      <c r="Y89" s="44">
        <v>1E-3</v>
      </c>
      <c r="Z89" s="44">
        <v>1E-3</v>
      </c>
      <c r="AA89" s="44">
        <v>1E-3</v>
      </c>
      <c r="AB89" s="44">
        <v>1E-3</v>
      </c>
      <c r="AC89" s="44">
        <v>1E-3</v>
      </c>
      <c r="AD89" s="44">
        <v>1E-3</v>
      </c>
      <c r="AE89"/>
      <c r="AF89" s="44">
        <v>1E-3</v>
      </c>
      <c r="AG89" s="44">
        <v>1E-3</v>
      </c>
      <c r="AH89" s="44">
        <v>1E-3</v>
      </c>
      <c r="AI89" s="44">
        <v>1E-3</v>
      </c>
      <c r="AJ89" s="44">
        <v>1E-3</v>
      </c>
      <c r="AK89" s="44">
        <v>1E-3</v>
      </c>
      <c r="AL89" s="44">
        <v>1E-3</v>
      </c>
      <c r="AM89"/>
      <c r="AN89" s="44">
        <v>1E-3</v>
      </c>
      <c r="AO89" s="44">
        <v>1E-3</v>
      </c>
      <c r="AP89" s="44">
        <v>1E-3</v>
      </c>
      <c r="AQ89" s="44">
        <v>1E-3</v>
      </c>
      <c r="AR89"/>
      <c r="AS89" s="44">
        <v>1E-3</v>
      </c>
      <c r="AT89"/>
      <c r="AU89"/>
      <c r="AV89" s="44">
        <v>1E-3</v>
      </c>
    </row>
    <row r="90" spans="1:48" x14ac:dyDescent="0.25">
      <c r="A90" s="19" t="s">
        <v>215</v>
      </c>
      <c r="B90" s="3" t="s">
        <v>473</v>
      </c>
      <c r="C90" s="3" t="s">
        <v>483</v>
      </c>
      <c r="D90" s="3" t="s">
        <v>521</v>
      </c>
      <c r="E90" s="20" t="s">
        <v>295</v>
      </c>
      <c r="F90" s="20" t="s">
        <v>294</v>
      </c>
      <c r="G90" s="44">
        <v>374999999.99999994</v>
      </c>
      <c r="I90" s="58"/>
      <c r="J90" s="44">
        <v>374999999.99999994</v>
      </c>
      <c r="K90" s="44">
        <v>374999999.99999994</v>
      </c>
      <c r="M90" s="44">
        <v>374999999.99999994</v>
      </c>
      <c r="N90" s="44"/>
      <c r="O90" s="44">
        <v>374999999.99999994</v>
      </c>
      <c r="P90" s="44">
        <v>374999999.99999994</v>
      </c>
      <c r="Q90" s="44">
        <v>374999999.99999994</v>
      </c>
      <c r="T90" s="44">
        <v>374999999.99999994</v>
      </c>
      <c r="U90" s="44">
        <v>374999999.99999994</v>
      </c>
      <c r="V90" s="44">
        <v>374999999.99999994</v>
      </c>
      <c r="W90" s="44">
        <v>374999999.99999994</v>
      </c>
      <c r="X90" s="44">
        <v>374999999.99999994</v>
      </c>
      <c r="Y90" s="44">
        <v>374999999.99999994</v>
      </c>
      <c r="Z90" s="44">
        <v>374999999.99999994</v>
      </c>
      <c r="AA90" s="44">
        <v>374999999.99999994</v>
      </c>
      <c r="AB90" s="44">
        <v>374999999.99999994</v>
      </c>
      <c r="AC90" s="44">
        <v>374999999.99999994</v>
      </c>
      <c r="AD90" s="44">
        <v>374999999.99999994</v>
      </c>
      <c r="AE90"/>
      <c r="AF90" s="44">
        <v>374999999.99999994</v>
      </c>
      <c r="AG90" s="44">
        <v>374999999.99999994</v>
      </c>
      <c r="AH90" s="44">
        <v>374999999.99999994</v>
      </c>
      <c r="AI90" s="44">
        <v>374999999.99999994</v>
      </c>
      <c r="AJ90" s="44">
        <v>374999999.99999994</v>
      </c>
      <c r="AK90" s="44">
        <v>374999999.99999994</v>
      </c>
      <c r="AL90" s="44">
        <v>374999999.99999994</v>
      </c>
      <c r="AM90"/>
      <c r="AN90" s="44">
        <v>374999999.99999994</v>
      </c>
      <c r="AO90" s="44">
        <v>374999999.99999994</v>
      </c>
      <c r="AP90" s="44">
        <v>374999999.99999994</v>
      </c>
      <c r="AQ90" s="44">
        <v>374999999.99999994</v>
      </c>
      <c r="AR90"/>
      <c r="AS90" s="44">
        <v>374999999.99999994</v>
      </c>
      <c r="AT90"/>
      <c r="AU90"/>
      <c r="AV90" s="44">
        <v>374999999.99999994</v>
      </c>
    </row>
    <row r="91" spans="1:48" x14ac:dyDescent="0.25">
      <c r="A91" s="19" t="s">
        <v>216</v>
      </c>
      <c r="B91" s="3" t="s">
        <v>473</v>
      </c>
      <c r="C91" s="3" t="s">
        <v>483</v>
      </c>
      <c r="D91" s="3" t="s">
        <v>521</v>
      </c>
      <c r="E91" s="20" t="s">
        <v>292</v>
      </c>
      <c r="F91" s="20" t="s">
        <v>297</v>
      </c>
      <c r="G91" s="44">
        <v>3.7037037037037038E-3</v>
      </c>
      <c r="I91" s="58"/>
      <c r="J91" s="44">
        <v>3.7037037037037038E-3</v>
      </c>
      <c r="K91" s="44">
        <v>3.7037037037037038E-3</v>
      </c>
      <c r="M91" s="44">
        <v>3.7037037037037038E-3</v>
      </c>
      <c r="N91" s="44"/>
      <c r="O91" s="44">
        <v>3.7037037037037038E-3</v>
      </c>
      <c r="P91" s="44">
        <v>3.7037037037037038E-3</v>
      </c>
      <c r="Q91" s="44">
        <v>3.7037037037037038E-3</v>
      </c>
      <c r="T91" s="44">
        <v>3.7037037037037038E-3</v>
      </c>
      <c r="U91" s="44">
        <v>3.7037037037037038E-3</v>
      </c>
      <c r="V91" s="44">
        <v>3.7037037037037038E-3</v>
      </c>
      <c r="W91" s="44">
        <v>3.7037037037037038E-3</v>
      </c>
      <c r="X91" s="44">
        <v>3.7037037037037038E-3</v>
      </c>
      <c r="Y91" s="44">
        <v>3.7037037037037038E-3</v>
      </c>
      <c r="Z91" s="44">
        <v>3.7037037037037038E-3</v>
      </c>
      <c r="AA91" s="44">
        <v>3.7037037037037038E-3</v>
      </c>
      <c r="AB91" s="44">
        <v>3.7037037037037038E-3</v>
      </c>
      <c r="AC91" s="44">
        <v>3.7037037037037038E-3</v>
      </c>
      <c r="AD91" s="44">
        <v>3.7037037037037038E-3</v>
      </c>
      <c r="AE91"/>
      <c r="AF91" s="44">
        <v>3.7037037037037038E-3</v>
      </c>
      <c r="AG91" s="44">
        <v>3.7037037037037038E-3</v>
      </c>
      <c r="AH91" s="44">
        <v>3.7037037037037038E-3</v>
      </c>
      <c r="AI91" s="44">
        <v>3.7037037037037038E-3</v>
      </c>
      <c r="AJ91" s="44">
        <v>3.7037037037037038E-3</v>
      </c>
      <c r="AK91" s="44">
        <v>3.7037037037037038E-3</v>
      </c>
      <c r="AL91" s="44">
        <v>3.7037037037037038E-3</v>
      </c>
      <c r="AM91"/>
      <c r="AN91" s="44">
        <v>3.7037037037037038E-3</v>
      </c>
      <c r="AO91" s="44">
        <v>3.7037037037037038E-3</v>
      </c>
      <c r="AP91" s="44">
        <v>3.7037037037037038E-3</v>
      </c>
      <c r="AQ91" s="44">
        <v>3.7037037037037038E-3</v>
      </c>
      <c r="AR91"/>
      <c r="AS91" s="44">
        <v>3.7037037037037038E-3</v>
      </c>
      <c r="AT91"/>
      <c r="AU91"/>
      <c r="AV91" s="44">
        <v>3.7037037037037038E-3</v>
      </c>
    </row>
    <row r="92" spans="1:48" x14ac:dyDescent="0.25">
      <c r="A92" s="19" t="s">
        <v>217</v>
      </c>
      <c r="B92" s="3" t="s">
        <v>473</v>
      </c>
      <c r="C92" s="3" t="s">
        <v>483</v>
      </c>
      <c r="D92" s="3" t="s">
        <v>521</v>
      </c>
      <c r="E92" s="20" t="s">
        <v>293</v>
      </c>
      <c r="F92" s="20" t="s">
        <v>296</v>
      </c>
      <c r="G92" s="44">
        <v>165600</v>
      </c>
      <c r="I92" s="58"/>
      <c r="J92" s="44">
        <v>165600</v>
      </c>
      <c r="K92" s="44">
        <v>165600</v>
      </c>
      <c r="M92" s="44">
        <v>165600</v>
      </c>
      <c r="N92" s="44"/>
      <c r="O92" s="44">
        <v>165600</v>
      </c>
      <c r="P92" s="44">
        <v>165600</v>
      </c>
      <c r="Q92" s="44">
        <v>165600</v>
      </c>
      <c r="T92" s="44">
        <v>165600</v>
      </c>
      <c r="U92" s="44">
        <v>165600</v>
      </c>
      <c r="V92" s="44">
        <v>165600</v>
      </c>
      <c r="W92" s="44">
        <v>165600</v>
      </c>
      <c r="X92" s="44">
        <v>165600</v>
      </c>
      <c r="Y92" s="44">
        <v>165600</v>
      </c>
      <c r="Z92" s="44">
        <v>165600</v>
      </c>
      <c r="AA92" s="44">
        <v>165600</v>
      </c>
      <c r="AB92" s="44">
        <v>165600</v>
      </c>
      <c r="AC92" s="44">
        <v>165600</v>
      </c>
      <c r="AD92" s="44">
        <v>165600</v>
      </c>
      <c r="AE92"/>
      <c r="AF92" s="44">
        <v>165600</v>
      </c>
      <c r="AG92" s="44">
        <v>165600</v>
      </c>
      <c r="AH92" s="44">
        <v>165600</v>
      </c>
      <c r="AI92" s="44">
        <v>165600</v>
      </c>
      <c r="AJ92" s="44">
        <v>165600</v>
      </c>
      <c r="AK92" s="44">
        <v>165600</v>
      </c>
      <c r="AL92" s="44">
        <v>165600</v>
      </c>
      <c r="AM92"/>
      <c r="AN92" s="44">
        <v>165600</v>
      </c>
      <c r="AO92" s="44">
        <v>165600</v>
      </c>
      <c r="AP92" s="44">
        <v>165600</v>
      </c>
      <c r="AQ92" s="44">
        <v>165600</v>
      </c>
      <c r="AR92"/>
      <c r="AS92" s="44">
        <v>165600</v>
      </c>
      <c r="AT92"/>
      <c r="AU92"/>
      <c r="AV92" s="44">
        <v>165600</v>
      </c>
    </row>
    <row r="93" spans="1:48" x14ac:dyDescent="0.25">
      <c r="A93" s="13" t="s">
        <v>60</v>
      </c>
      <c r="B93" s="3" t="s">
        <v>473</v>
      </c>
      <c r="C93" s="3" t="s">
        <v>483</v>
      </c>
      <c r="D93" s="3" t="s">
        <v>521</v>
      </c>
      <c r="E93" s="14" t="s">
        <v>171</v>
      </c>
      <c r="F93" s="14" t="s">
        <v>109</v>
      </c>
      <c r="G93" s="44">
        <v>20</v>
      </c>
      <c r="I93" s="58"/>
      <c r="J93" s="44">
        <v>20</v>
      </c>
      <c r="K93" s="44">
        <v>20</v>
      </c>
      <c r="M93" s="44">
        <v>20</v>
      </c>
      <c r="N93" s="44"/>
      <c r="O93" s="44">
        <v>20</v>
      </c>
      <c r="P93" s="44">
        <v>20</v>
      </c>
      <c r="Q93" s="44">
        <v>20</v>
      </c>
      <c r="T93" s="44">
        <v>20</v>
      </c>
      <c r="U93" s="44">
        <v>20</v>
      </c>
      <c r="V93" s="44">
        <v>20</v>
      </c>
      <c r="W93" s="44">
        <v>20</v>
      </c>
      <c r="X93" s="44">
        <v>20</v>
      </c>
      <c r="Y93" s="44">
        <v>20</v>
      </c>
      <c r="Z93" s="44">
        <v>20</v>
      </c>
      <c r="AA93" s="44">
        <v>20</v>
      </c>
      <c r="AB93" s="44">
        <v>20</v>
      </c>
      <c r="AC93" s="44">
        <v>20</v>
      </c>
      <c r="AD93" s="44">
        <v>20</v>
      </c>
      <c r="AE93"/>
      <c r="AF93" s="44">
        <v>20</v>
      </c>
      <c r="AG93" s="44">
        <v>20</v>
      </c>
      <c r="AH93" s="44">
        <v>20</v>
      </c>
      <c r="AI93" s="44">
        <v>20</v>
      </c>
      <c r="AJ93" s="44">
        <v>20</v>
      </c>
      <c r="AK93" s="44">
        <v>20</v>
      </c>
      <c r="AL93" s="44">
        <v>20</v>
      </c>
      <c r="AM93"/>
      <c r="AN93" s="44">
        <v>20</v>
      </c>
      <c r="AO93" s="44">
        <v>20</v>
      </c>
      <c r="AP93" s="44">
        <v>20</v>
      </c>
      <c r="AQ93" s="44">
        <v>20</v>
      </c>
      <c r="AR93"/>
      <c r="AS93" s="44">
        <v>20</v>
      </c>
      <c r="AT93"/>
      <c r="AU93"/>
      <c r="AV93" s="44">
        <v>20</v>
      </c>
    </row>
    <row r="94" spans="1:48" x14ac:dyDescent="0.25">
      <c r="A94" s="13" t="s">
        <v>208</v>
      </c>
      <c r="B94" s="3" t="s">
        <v>473</v>
      </c>
      <c r="C94" s="3" t="s">
        <v>483</v>
      </c>
      <c r="D94" s="3" t="s">
        <v>521</v>
      </c>
      <c r="E94" s="14" t="s">
        <v>289</v>
      </c>
      <c r="F94" s="14" t="s">
        <v>100</v>
      </c>
      <c r="G94" s="44">
        <v>1</v>
      </c>
      <c r="I94" s="58"/>
      <c r="J94" s="44">
        <v>1</v>
      </c>
      <c r="K94" s="44">
        <v>1</v>
      </c>
      <c r="M94" s="44">
        <v>1</v>
      </c>
      <c r="N94" s="44"/>
      <c r="O94" s="44">
        <v>1</v>
      </c>
      <c r="P94" s="44">
        <v>1</v>
      </c>
      <c r="Q94" s="44">
        <v>1</v>
      </c>
      <c r="T94" s="44">
        <v>1</v>
      </c>
      <c r="U94" s="44">
        <v>1</v>
      </c>
      <c r="V94" s="44">
        <v>1</v>
      </c>
      <c r="W94" s="44">
        <v>1</v>
      </c>
      <c r="X94" s="44">
        <v>1</v>
      </c>
      <c r="Y94" s="44">
        <v>1</v>
      </c>
      <c r="Z94" s="44">
        <v>1</v>
      </c>
      <c r="AA94" s="44">
        <v>1</v>
      </c>
      <c r="AB94" s="44">
        <v>1</v>
      </c>
      <c r="AC94" s="44">
        <v>1</v>
      </c>
      <c r="AD94" s="44">
        <v>1</v>
      </c>
      <c r="AE94"/>
      <c r="AF94" s="44">
        <v>1</v>
      </c>
      <c r="AG94" s="44">
        <v>1</v>
      </c>
      <c r="AH94" s="44">
        <v>1</v>
      </c>
      <c r="AI94" s="44">
        <v>1</v>
      </c>
      <c r="AJ94" s="44">
        <v>1</v>
      </c>
      <c r="AK94" s="44">
        <v>1</v>
      </c>
      <c r="AL94" s="44">
        <v>1</v>
      </c>
      <c r="AM94"/>
      <c r="AN94" s="44">
        <v>1</v>
      </c>
      <c r="AO94" s="44">
        <v>1</v>
      </c>
      <c r="AP94" s="44">
        <v>1</v>
      </c>
      <c r="AQ94" s="44">
        <v>1</v>
      </c>
      <c r="AR94"/>
      <c r="AS94" s="44">
        <v>1</v>
      </c>
      <c r="AT94"/>
      <c r="AU94"/>
      <c r="AV94" s="44">
        <v>1</v>
      </c>
    </row>
    <row r="95" spans="1:48" x14ac:dyDescent="0.25">
      <c r="A95" s="13" t="s">
        <v>59</v>
      </c>
      <c r="B95" s="3" t="s">
        <v>473</v>
      </c>
      <c r="C95" s="3" t="s">
        <v>483</v>
      </c>
      <c r="D95" s="3" t="s">
        <v>521</v>
      </c>
      <c r="E95" s="14" t="s">
        <v>170</v>
      </c>
      <c r="F95" s="14" t="s">
        <v>102</v>
      </c>
      <c r="G95" s="44">
        <v>21</v>
      </c>
      <c r="I95" s="58"/>
      <c r="J95" s="44">
        <v>21</v>
      </c>
      <c r="K95" s="44">
        <v>21</v>
      </c>
      <c r="M95" s="44">
        <v>21</v>
      </c>
      <c r="N95" s="44"/>
      <c r="O95" s="44">
        <v>21</v>
      </c>
      <c r="P95" s="44">
        <v>21</v>
      </c>
      <c r="Q95" s="44">
        <v>21</v>
      </c>
      <c r="T95" s="44">
        <v>21</v>
      </c>
      <c r="U95" s="44">
        <v>21</v>
      </c>
      <c r="V95" s="44">
        <v>21</v>
      </c>
      <c r="W95" s="44">
        <v>21</v>
      </c>
      <c r="X95" s="44">
        <v>21</v>
      </c>
      <c r="Y95" s="44">
        <v>21</v>
      </c>
      <c r="Z95" s="44">
        <v>21</v>
      </c>
      <c r="AA95" s="44">
        <v>21</v>
      </c>
      <c r="AB95" s="44">
        <v>21</v>
      </c>
      <c r="AC95" s="44">
        <v>21</v>
      </c>
      <c r="AD95" s="44">
        <v>21</v>
      </c>
      <c r="AE95"/>
      <c r="AF95" s="44">
        <v>21</v>
      </c>
      <c r="AG95" s="44">
        <v>21</v>
      </c>
      <c r="AH95" s="44">
        <v>21</v>
      </c>
      <c r="AI95" s="44">
        <v>21</v>
      </c>
      <c r="AJ95" s="44">
        <v>21</v>
      </c>
      <c r="AK95" s="44">
        <v>21</v>
      </c>
      <c r="AL95" s="44">
        <v>21</v>
      </c>
      <c r="AM95"/>
      <c r="AN95" s="44">
        <v>21</v>
      </c>
      <c r="AO95" s="44">
        <v>21</v>
      </c>
      <c r="AP95" s="44">
        <v>21</v>
      </c>
      <c r="AQ95" s="44">
        <v>21</v>
      </c>
      <c r="AR95"/>
      <c r="AS95" s="44">
        <v>21</v>
      </c>
      <c r="AT95"/>
      <c r="AU95"/>
      <c r="AV95" s="44">
        <v>21</v>
      </c>
    </row>
    <row r="96" spans="1:48" x14ac:dyDescent="0.25">
      <c r="A96" s="23" t="s">
        <v>65</v>
      </c>
      <c r="B96" s="3" t="s">
        <v>473</v>
      </c>
      <c r="C96" s="3" t="s">
        <v>483</v>
      </c>
      <c r="D96" s="3" t="s">
        <v>521</v>
      </c>
      <c r="E96" s="24" t="s">
        <v>176</v>
      </c>
      <c r="F96" s="24" t="s">
        <v>182</v>
      </c>
      <c r="G96" s="44">
        <v>0.64</v>
      </c>
      <c r="I96" s="58"/>
      <c r="J96" s="44">
        <v>0.64</v>
      </c>
      <c r="K96" s="44">
        <v>0.64</v>
      </c>
      <c r="M96" s="44">
        <v>0.64</v>
      </c>
      <c r="N96" s="44"/>
      <c r="O96" s="44">
        <v>0.64</v>
      </c>
      <c r="P96" s="44">
        <v>0.64</v>
      </c>
      <c r="Q96" s="44">
        <v>0.64</v>
      </c>
      <c r="T96" s="44">
        <v>0.64</v>
      </c>
      <c r="U96" s="44">
        <v>0.64</v>
      </c>
      <c r="V96" s="44">
        <v>0.64</v>
      </c>
      <c r="W96" s="44">
        <v>0.64</v>
      </c>
      <c r="X96" s="44">
        <v>0.64</v>
      </c>
      <c r="Y96" s="44">
        <v>0.64</v>
      </c>
      <c r="Z96" s="44">
        <v>0.64</v>
      </c>
      <c r="AA96" s="44">
        <v>0.64</v>
      </c>
      <c r="AB96" s="44">
        <v>0.64</v>
      </c>
      <c r="AC96" s="44">
        <v>0.64</v>
      </c>
      <c r="AD96" s="44">
        <v>0.64</v>
      </c>
      <c r="AE96"/>
      <c r="AF96" s="44">
        <v>0.64</v>
      </c>
      <c r="AG96" s="44">
        <v>0.64</v>
      </c>
      <c r="AH96" s="44">
        <v>0.64</v>
      </c>
      <c r="AI96" s="44">
        <v>0.64</v>
      </c>
      <c r="AJ96" s="44">
        <v>0.64</v>
      </c>
      <c r="AK96" s="44">
        <v>0.64</v>
      </c>
      <c r="AL96" s="44">
        <v>0.64</v>
      </c>
      <c r="AM96"/>
      <c r="AN96" s="44">
        <v>0.64</v>
      </c>
      <c r="AO96" s="44">
        <v>0.64</v>
      </c>
      <c r="AP96" s="44">
        <v>0.64</v>
      </c>
      <c r="AQ96" s="44">
        <v>0.64</v>
      </c>
      <c r="AR96"/>
      <c r="AS96" s="44">
        <v>0.64</v>
      </c>
      <c r="AT96"/>
      <c r="AU96"/>
      <c r="AV96" s="44">
        <v>0.64</v>
      </c>
    </row>
    <row r="97" spans="1:48" x14ac:dyDescent="0.25">
      <c r="A97" s="23" t="s">
        <v>366</v>
      </c>
      <c r="B97" s="3" t="s">
        <v>473</v>
      </c>
      <c r="C97" s="3" t="s">
        <v>483</v>
      </c>
      <c r="D97" s="3" t="s">
        <v>521</v>
      </c>
      <c r="E97" s="24" t="s">
        <v>369</v>
      </c>
      <c r="F97" s="24" t="s">
        <v>182</v>
      </c>
      <c r="G97" s="44">
        <v>8</v>
      </c>
      <c r="I97" s="58"/>
      <c r="J97" s="44">
        <v>8</v>
      </c>
      <c r="K97" s="44">
        <v>8</v>
      </c>
      <c r="M97" s="44">
        <v>8</v>
      </c>
      <c r="N97" s="44"/>
      <c r="O97" s="44">
        <v>8</v>
      </c>
      <c r="P97" s="44">
        <v>8</v>
      </c>
      <c r="Q97" s="44">
        <v>8</v>
      </c>
      <c r="T97" s="44">
        <v>8</v>
      </c>
      <c r="U97" s="44">
        <v>8</v>
      </c>
      <c r="V97" s="44">
        <v>8</v>
      </c>
      <c r="W97" s="44">
        <v>8</v>
      </c>
      <c r="X97" s="44">
        <v>8</v>
      </c>
      <c r="Y97" s="44">
        <v>8</v>
      </c>
      <c r="Z97" s="44">
        <v>8</v>
      </c>
      <c r="AA97" s="44">
        <v>8</v>
      </c>
      <c r="AB97" s="44">
        <v>8</v>
      </c>
      <c r="AC97" s="44">
        <v>8</v>
      </c>
      <c r="AD97" s="44">
        <v>8</v>
      </c>
      <c r="AE97"/>
      <c r="AF97" s="44">
        <v>8</v>
      </c>
      <c r="AG97" s="44">
        <v>8</v>
      </c>
      <c r="AH97" s="44">
        <v>8</v>
      </c>
      <c r="AI97" s="44">
        <v>8</v>
      </c>
      <c r="AJ97" s="44">
        <v>8</v>
      </c>
      <c r="AK97" s="44">
        <v>8</v>
      </c>
      <c r="AL97" s="44">
        <v>8</v>
      </c>
      <c r="AM97"/>
      <c r="AN97" s="44">
        <v>8</v>
      </c>
      <c r="AO97" s="44">
        <v>8</v>
      </c>
      <c r="AP97" s="44">
        <v>8</v>
      </c>
      <c r="AQ97" s="44">
        <v>8</v>
      </c>
      <c r="AR97"/>
      <c r="AS97" s="44">
        <v>8</v>
      </c>
      <c r="AT97"/>
      <c r="AU97"/>
      <c r="AV97" s="44">
        <v>8</v>
      </c>
    </row>
    <row r="98" spans="1:48" x14ac:dyDescent="0.25">
      <c r="A98" s="23" t="s">
        <v>367</v>
      </c>
      <c r="B98" s="3" t="s">
        <v>473</v>
      </c>
      <c r="C98" s="3" t="s">
        <v>483</v>
      </c>
      <c r="D98" s="3" t="s">
        <v>521</v>
      </c>
      <c r="E98" s="24" t="s">
        <v>370</v>
      </c>
      <c r="F98" s="24" t="s">
        <v>182</v>
      </c>
      <c r="G98" s="44">
        <v>10</v>
      </c>
      <c r="I98" s="58"/>
      <c r="J98" s="44">
        <v>10</v>
      </c>
      <c r="K98" s="44">
        <v>10</v>
      </c>
      <c r="M98" s="44">
        <v>10</v>
      </c>
      <c r="N98" s="44"/>
      <c r="O98" s="44">
        <v>10</v>
      </c>
      <c r="P98" s="44">
        <v>10</v>
      </c>
      <c r="Q98" s="44">
        <v>10</v>
      </c>
      <c r="T98" s="44">
        <v>10</v>
      </c>
      <c r="U98" s="44">
        <v>10</v>
      </c>
      <c r="V98" s="44">
        <v>10</v>
      </c>
      <c r="W98" s="44">
        <v>10</v>
      </c>
      <c r="X98" s="44">
        <v>10</v>
      </c>
      <c r="Y98" s="44">
        <v>10</v>
      </c>
      <c r="Z98" s="44">
        <v>10</v>
      </c>
      <c r="AA98" s="44">
        <v>10</v>
      </c>
      <c r="AB98" s="44">
        <v>10</v>
      </c>
      <c r="AC98" s="44">
        <v>10</v>
      </c>
      <c r="AD98" s="44">
        <v>10</v>
      </c>
      <c r="AE98"/>
      <c r="AF98" s="44">
        <v>10</v>
      </c>
      <c r="AG98" s="44">
        <v>10</v>
      </c>
      <c r="AH98" s="44">
        <v>10</v>
      </c>
      <c r="AI98" s="44">
        <v>10</v>
      </c>
      <c r="AJ98" s="44">
        <v>10</v>
      </c>
      <c r="AK98" s="44">
        <v>10</v>
      </c>
      <c r="AL98" s="44">
        <v>10</v>
      </c>
      <c r="AM98"/>
      <c r="AN98" s="44">
        <v>10</v>
      </c>
      <c r="AO98" s="44">
        <v>10</v>
      </c>
      <c r="AP98" s="44">
        <v>10</v>
      </c>
      <c r="AQ98" s="44">
        <v>10</v>
      </c>
      <c r="AR98"/>
      <c r="AS98" s="44">
        <v>10</v>
      </c>
      <c r="AT98"/>
      <c r="AU98"/>
      <c r="AV98" s="44">
        <v>10</v>
      </c>
    </row>
    <row r="99" spans="1:48" x14ac:dyDescent="0.25">
      <c r="A99" s="23" t="s">
        <v>368</v>
      </c>
      <c r="B99" s="3" t="s">
        <v>473</v>
      </c>
      <c r="C99" s="3" t="s">
        <v>483</v>
      </c>
      <c r="D99" s="3" t="s">
        <v>521</v>
      </c>
      <c r="E99" s="24" t="s">
        <v>371</v>
      </c>
      <c r="F99" s="24" t="s">
        <v>182</v>
      </c>
      <c r="G99" s="44">
        <v>8</v>
      </c>
      <c r="I99" s="58"/>
      <c r="J99" s="44">
        <v>8</v>
      </c>
      <c r="K99" s="44">
        <v>8</v>
      </c>
      <c r="M99" s="44">
        <v>8</v>
      </c>
      <c r="N99" s="44"/>
      <c r="O99" s="44">
        <v>8</v>
      </c>
      <c r="P99" s="44">
        <v>8</v>
      </c>
      <c r="Q99" s="44">
        <v>8</v>
      </c>
      <c r="T99" s="44">
        <v>8</v>
      </c>
      <c r="U99" s="44">
        <v>8</v>
      </c>
      <c r="V99" s="44">
        <v>8</v>
      </c>
      <c r="W99" s="44">
        <v>8</v>
      </c>
      <c r="X99" s="44">
        <v>8</v>
      </c>
      <c r="Y99" s="44">
        <v>8</v>
      </c>
      <c r="Z99" s="44">
        <v>8</v>
      </c>
      <c r="AA99" s="44">
        <v>8</v>
      </c>
      <c r="AB99" s="44">
        <v>8</v>
      </c>
      <c r="AC99" s="44">
        <v>8</v>
      </c>
      <c r="AD99" s="44">
        <v>8</v>
      </c>
      <c r="AE99"/>
      <c r="AF99" s="44">
        <v>8</v>
      </c>
      <c r="AG99" s="44">
        <v>8</v>
      </c>
      <c r="AH99" s="44">
        <v>8</v>
      </c>
      <c r="AI99" s="44">
        <v>8</v>
      </c>
      <c r="AJ99" s="44">
        <v>8</v>
      </c>
      <c r="AK99" s="44">
        <v>8</v>
      </c>
      <c r="AL99" s="44">
        <v>8</v>
      </c>
      <c r="AM99"/>
      <c r="AN99" s="44">
        <v>8</v>
      </c>
      <c r="AO99" s="44">
        <v>8</v>
      </c>
      <c r="AP99" s="44">
        <v>8</v>
      </c>
      <c r="AQ99" s="44">
        <v>8</v>
      </c>
      <c r="AR99"/>
      <c r="AS99" s="44">
        <v>8</v>
      </c>
      <c r="AT99"/>
      <c r="AU99"/>
      <c r="AV99" s="44">
        <v>8</v>
      </c>
    </row>
    <row r="100" spans="1:48" x14ac:dyDescent="0.25">
      <c r="A100" s="23" t="s">
        <v>383</v>
      </c>
      <c r="B100" s="3" t="s">
        <v>473</v>
      </c>
      <c r="C100" s="3" t="s">
        <v>483</v>
      </c>
      <c r="D100" s="3" t="s">
        <v>521</v>
      </c>
      <c r="E100" s="24" t="s">
        <v>384</v>
      </c>
      <c r="F100" s="24" t="s">
        <v>102</v>
      </c>
      <c r="G100" s="44">
        <v>1</v>
      </c>
      <c r="I100" s="58"/>
      <c r="J100" s="44">
        <v>1</v>
      </c>
      <c r="K100" s="44">
        <v>1</v>
      </c>
      <c r="M100" s="44">
        <v>1</v>
      </c>
      <c r="N100" s="44"/>
      <c r="O100" s="44">
        <v>1</v>
      </c>
      <c r="P100" s="44">
        <v>1</v>
      </c>
      <c r="Q100" s="44">
        <v>1</v>
      </c>
      <c r="T100" s="44">
        <v>1</v>
      </c>
      <c r="U100" s="44">
        <v>1</v>
      </c>
      <c r="V100" s="44">
        <v>1</v>
      </c>
      <c r="W100" s="44">
        <v>1</v>
      </c>
      <c r="X100" s="44">
        <v>1</v>
      </c>
      <c r="Y100" s="44">
        <v>1</v>
      </c>
      <c r="Z100" s="44">
        <v>1</v>
      </c>
      <c r="AA100" s="44">
        <v>1</v>
      </c>
      <c r="AB100" s="44">
        <v>1</v>
      </c>
      <c r="AC100" s="44">
        <v>1</v>
      </c>
      <c r="AD100" s="44">
        <v>1</v>
      </c>
      <c r="AE100"/>
      <c r="AF100" s="44">
        <v>1</v>
      </c>
      <c r="AG100" s="44">
        <v>1</v>
      </c>
      <c r="AH100" s="44">
        <v>1</v>
      </c>
      <c r="AI100" s="44">
        <v>1</v>
      </c>
      <c r="AJ100" s="44">
        <v>1</v>
      </c>
      <c r="AK100" s="44">
        <v>1</v>
      </c>
      <c r="AL100" s="44">
        <v>1</v>
      </c>
      <c r="AM100"/>
      <c r="AN100" s="44">
        <v>1</v>
      </c>
      <c r="AO100" s="44">
        <v>1</v>
      </c>
      <c r="AP100" s="44">
        <v>1</v>
      </c>
      <c r="AQ100" s="44">
        <v>1</v>
      </c>
      <c r="AR100"/>
      <c r="AS100" s="44">
        <v>1</v>
      </c>
      <c r="AT100"/>
      <c r="AU100"/>
      <c r="AV100" s="44">
        <v>1</v>
      </c>
    </row>
    <row r="101" spans="1:48" x14ac:dyDescent="0.25">
      <c r="A101" s="23" t="s">
        <v>385</v>
      </c>
      <c r="B101" s="3" t="s">
        <v>473</v>
      </c>
      <c r="C101" s="3" t="s">
        <v>483</v>
      </c>
      <c r="D101" s="3" t="s">
        <v>521</v>
      </c>
      <c r="E101" s="24" t="s">
        <v>386</v>
      </c>
      <c r="F101" s="24" t="s">
        <v>399</v>
      </c>
      <c r="G101" s="44">
        <v>0.5</v>
      </c>
      <c r="I101" s="58"/>
      <c r="J101" s="44">
        <v>0.5</v>
      </c>
      <c r="K101" s="44">
        <v>0.5</v>
      </c>
      <c r="M101" s="44">
        <v>0.5</v>
      </c>
      <c r="N101" s="44"/>
      <c r="O101" s="44">
        <v>0.5</v>
      </c>
      <c r="P101" s="44">
        <v>0.5</v>
      </c>
      <c r="Q101" s="44">
        <v>0.5</v>
      </c>
      <c r="T101" s="44">
        <v>0.5</v>
      </c>
      <c r="U101" s="44">
        <v>0.5</v>
      </c>
      <c r="V101" s="44">
        <v>0.5</v>
      </c>
      <c r="W101" s="44">
        <v>0.5</v>
      </c>
      <c r="X101" s="44">
        <v>0.5</v>
      </c>
      <c r="Y101" s="44">
        <v>0.5</v>
      </c>
      <c r="Z101" s="44">
        <v>0.5</v>
      </c>
      <c r="AA101" s="44">
        <v>0.5</v>
      </c>
      <c r="AB101" s="44">
        <v>0.5</v>
      </c>
      <c r="AC101" s="44">
        <v>0.5</v>
      </c>
      <c r="AD101" s="44">
        <v>0.5</v>
      </c>
      <c r="AE101"/>
      <c r="AF101" s="44">
        <v>0.5</v>
      </c>
      <c r="AG101" s="44">
        <v>0.5</v>
      </c>
      <c r="AH101" s="44">
        <v>0.5</v>
      </c>
      <c r="AI101" s="44">
        <v>0.5</v>
      </c>
      <c r="AJ101" s="44">
        <v>0.5</v>
      </c>
      <c r="AK101" s="44">
        <v>0.5</v>
      </c>
      <c r="AL101" s="44">
        <v>0.5</v>
      </c>
      <c r="AM101"/>
      <c r="AN101" s="44">
        <v>0.5</v>
      </c>
      <c r="AO101" s="44">
        <v>0.5</v>
      </c>
      <c r="AP101" s="44">
        <v>0.5</v>
      </c>
      <c r="AQ101" s="44">
        <v>0.5</v>
      </c>
      <c r="AR101"/>
      <c r="AS101" s="44">
        <v>0.5</v>
      </c>
      <c r="AT101"/>
      <c r="AU101"/>
      <c r="AV101" s="44">
        <v>0.5</v>
      </c>
    </row>
    <row r="102" spans="1:48" x14ac:dyDescent="0.25">
      <c r="A102" s="23" t="s">
        <v>512</v>
      </c>
      <c r="B102" s="3" t="s">
        <v>473</v>
      </c>
      <c r="C102" s="3" t="s">
        <v>483</v>
      </c>
      <c r="D102" s="3" t="s">
        <v>521</v>
      </c>
      <c r="E102" s="24" t="s">
        <v>513</v>
      </c>
      <c r="F102" s="24" t="s">
        <v>486</v>
      </c>
      <c r="G102" s="44">
        <f t="shared" ref="G102" si="0">G100</f>
        <v>1</v>
      </c>
      <c r="I102" s="58"/>
      <c r="J102" s="44">
        <f t="shared" ref="J102:AV102" si="1">10/0.1</f>
        <v>100</v>
      </c>
      <c r="K102" s="44">
        <f t="shared" si="1"/>
        <v>100</v>
      </c>
      <c r="M102" s="44">
        <f t="shared" si="1"/>
        <v>100</v>
      </c>
      <c r="N102" s="44"/>
      <c r="O102" s="44">
        <f t="shared" si="1"/>
        <v>100</v>
      </c>
      <c r="P102" s="44">
        <f t="shared" si="1"/>
        <v>100</v>
      </c>
      <c r="Q102" s="44">
        <f t="shared" si="1"/>
        <v>100</v>
      </c>
      <c r="T102" s="44">
        <f t="shared" si="1"/>
        <v>100</v>
      </c>
      <c r="U102" s="44">
        <f t="shared" si="1"/>
        <v>100</v>
      </c>
      <c r="V102" s="44">
        <f t="shared" si="1"/>
        <v>100</v>
      </c>
      <c r="W102" s="44">
        <f t="shared" si="1"/>
        <v>100</v>
      </c>
      <c r="X102" s="44">
        <f t="shared" si="1"/>
        <v>100</v>
      </c>
      <c r="Y102" s="44">
        <f t="shared" si="1"/>
        <v>100</v>
      </c>
      <c r="Z102" s="44">
        <f t="shared" si="1"/>
        <v>100</v>
      </c>
      <c r="AA102" s="44">
        <f t="shared" si="1"/>
        <v>100</v>
      </c>
      <c r="AB102" s="44">
        <f t="shared" si="1"/>
        <v>100</v>
      </c>
      <c r="AC102" s="44">
        <f t="shared" si="1"/>
        <v>100</v>
      </c>
      <c r="AD102" s="44">
        <f t="shared" si="1"/>
        <v>100</v>
      </c>
      <c r="AE102"/>
      <c r="AF102" s="44">
        <f t="shared" si="1"/>
        <v>100</v>
      </c>
      <c r="AG102" s="44">
        <f t="shared" si="1"/>
        <v>100</v>
      </c>
      <c r="AH102" s="44">
        <f t="shared" si="1"/>
        <v>100</v>
      </c>
      <c r="AI102" s="44">
        <f t="shared" si="1"/>
        <v>100</v>
      </c>
      <c r="AJ102" s="44">
        <f t="shared" si="1"/>
        <v>100</v>
      </c>
      <c r="AK102" s="44">
        <f t="shared" si="1"/>
        <v>100</v>
      </c>
      <c r="AL102" s="44">
        <f t="shared" si="1"/>
        <v>100</v>
      </c>
      <c r="AM102"/>
      <c r="AN102" s="44">
        <f t="shared" si="1"/>
        <v>100</v>
      </c>
      <c r="AO102" s="44">
        <f t="shared" si="1"/>
        <v>100</v>
      </c>
      <c r="AP102" s="44">
        <f t="shared" si="1"/>
        <v>100</v>
      </c>
      <c r="AQ102" s="44">
        <f t="shared" si="1"/>
        <v>100</v>
      </c>
      <c r="AR102"/>
      <c r="AS102" s="44">
        <f t="shared" si="1"/>
        <v>100</v>
      </c>
      <c r="AT102"/>
      <c r="AU102"/>
      <c r="AV102" s="44">
        <f t="shared" si="1"/>
        <v>100</v>
      </c>
    </row>
    <row r="103" spans="1:48" x14ac:dyDescent="0.25">
      <c r="A103" s="23" t="s">
        <v>514</v>
      </c>
      <c r="B103" s="3" t="s">
        <v>473</v>
      </c>
      <c r="C103" s="3" t="s">
        <v>483</v>
      </c>
      <c r="D103" s="3" t="s">
        <v>521</v>
      </c>
      <c r="E103" s="24" t="s">
        <v>513</v>
      </c>
      <c r="F103" s="24" t="s">
        <v>486</v>
      </c>
      <c r="G103" s="44">
        <f>3*G100</f>
        <v>3</v>
      </c>
      <c r="I103" s="58"/>
      <c r="J103" s="44">
        <f t="shared" ref="J103:AV103" si="2">150/0.1</f>
        <v>1500</v>
      </c>
      <c r="K103" s="44">
        <f t="shared" si="2"/>
        <v>1500</v>
      </c>
      <c r="M103" s="44">
        <f t="shared" si="2"/>
        <v>1500</v>
      </c>
      <c r="N103" s="44"/>
      <c r="O103" s="44">
        <f t="shared" si="2"/>
        <v>1500</v>
      </c>
      <c r="P103" s="44">
        <f t="shared" si="2"/>
        <v>1500</v>
      </c>
      <c r="Q103" s="44">
        <f t="shared" si="2"/>
        <v>1500</v>
      </c>
      <c r="T103" s="44">
        <f t="shared" si="2"/>
        <v>1500</v>
      </c>
      <c r="U103" s="44">
        <f t="shared" si="2"/>
        <v>1500</v>
      </c>
      <c r="V103" s="44">
        <f t="shared" si="2"/>
        <v>1500</v>
      </c>
      <c r="W103" s="44">
        <f t="shared" si="2"/>
        <v>1500</v>
      </c>
      <c r="X103" s="44">
        <f t="shared" si="2"/>
        <v>1500</v>
      </c>
      <c r="Y103" s="44">
        <f t="shared" si="2"/>
        <v>1500</v>
      </c>
      <c r="Z103" s="44">
        <f t="shared" si="2"/>
        <v>1500</v>
      </c>
      <c r="AA103" s="44">
        <f t="shared" si="2"/>
        <v>1500</v>
      </c>
      <c r="AB103" s="44">
        <f t="shared" si="2"/>
        <v>1500</v>
      </c>
      <c r="AC103" s="44">
        <f t="shared" si="2"/>
        <v>1500</v>
      </c>
      <c r="AD103" s="44">
        <f t="shared" si="2"/>
        <v>1500</v>
      </c>
      <c r="AE103"/>
      <c r="AF103" s="44">
        <f t="shared" si="2"/>
        <v>1500</v>
      </c>
      <c r="AG103" s="44">
        <f t="shared" si="2"/>
        <v>1500</v>
      </c>
      <c r="AH103" s="44">
        <f t="shared" si="2"/>
        <v>1500</v>
      </c>
      <c r="AI103" s="44">
        <f t="shared" si="2"/>
        <v>1500</v>
      </c>
      <c r="AJ103" s="44">
        <f t="shared" si="2"/>
        <v>1500</v>
      </c>
      <c r="AK103" s="44">
        <f t="shared" si="2"/>
        <v>1500</v>
      </c>
      <c r="AL103" s="44">
        <f t="shared" si="2"/>
        <v>1500</v>
      </c>
      <c r="AM103"/>
      <c r="AN103" s="44">
        <f t="shared" si="2"/>
        <v>1500</v>
      </c>
      <c r="AO103" s="44">
        <f t="shared" si="2"/>
        <v>1500</v>
      </c>
      <c r="AP103" s="44">
        <f t="shared" si="2"/>
        <v>1500</v>
      </c>
      <c r="AQ103" s="44">
        <f t="shared" si="2"/>
        <v>1500</v>
      </c>
      <c r="AR103"/>
      <c r="AS103" s="44">
        <f t="shared" si="2"/>
        <v>1500</v>
      </c>
      <c r="AT103"/>
      <c r="AU103"/>
      <c r="AV103" s="44">
        <f t="shared" si="2"/>
        <v>1500</v>
      </c>
    </row>
    <row r="104" spans="1:48" x14ac:dyDescent="0.25">
      <c r="A104" s="23" t="s">
        <v>515</v>
      </c>
      <c r="B104" s="3" t="s">
        <v>473</v>
      </c>
      <c r="C104" s="3" t="s">
        <v>483</v>
      </c>
      <c r="D104" s="3" t="s">
        <v>521</v>
      </c>
      <c r="E104" s="24" t="s">
        <v>513</v>
      </c>
      <c r="F104" s="24" t="s">
        <v>486</v>
      </c>
      <c r="G104" s="44">
        <f t="shared" ref="G104" si="3">G95</f>
        <v>21</v>
      </c>
      <c r="I104" s="58"/>
      <c r="J104" s="44">
        <f t="shared" ref="J104:AV104" si="4">20/0.1</f>
        <v>200</v>
      </c>
      <c r="K104" s="44">
        <f t="shared" si="4"/>
        <v>200</v>
      </c>
      <c r="M104" s="44">
        <f t="shared" si="4"/>
        <v>200</v>
      </c>
      <c r="N104" s="44"/>
      <c r="O104" s="44">
        <f t="shared" si="4"/>
        <v>200</v>
      </c>
      <c r="P104" s="44">
        <f t="shared" si="4"/>
        <v>200</v>
      </c>
      <c r="Q104" s="44">
        <f t="shared" si="4"/>
        <v>200</v>
      </c>
      <c r="T104" s="44">
        <f t="shared" si="4"/>
        <v>200</v>
      </c>
      <c r="U104" s="44">
        <f t="shared" si="4"/>
        <v>200</v>
      </c>
      <c r="V104" s="44">
        <f t="shared" si="4"/>
        <v>200</v>
      </c>
      <c r="W104" s="44">
        <f t="shared" si="4"/>
        <v>200</v>
      </c>
      <c r="X104" s="44">
        <f t="shared" si="4"/>
        <v>200</v>
      </c>
      <c r="Y104" s="44">
        <f t="shared" si="4"/>
        <v>200</v>
      </c>
      <c r="Z104" s="44">
        <f t="shared" si="4"/>
        <v>200</v>
      </c>
      <c r="AA104" s="44">
        <f t="shared" si="4"/>
        <v>200</v>
      </c>
      <c r="AB104" s="44">
        <f t="shared" si="4"/>
        <v>200</v>
      </c>
      <c r="AC104" s="44">
        <f t="shared" si="4"/>
        <v>200</v>
      </c>
      <c r="AD104" s="44">
        <f t="shared" si="4"/>
        <v>200</v>
      </c>
      <c r="AE104"/>
      <c r="AF104" s="44">
        <f t="shared" si="4"/>
        <v>200</v>
      </c>
      <c r="AG104" s="44">
        <f t="shared" si="4"/>
        <v>200</v>
      </c>
      <c r="AH104" s="44">
        <f t="shared" si="4"/>
        <v>200</v>
      </c>
      <c r="AI104" s="44">
        <f t="shared" si="4"/>
        <v>200</v>
      </c>
      <c r="AJ104" s="44">
        <f t="shared" si="4"/>
        <v>200</v>
      </c>
      <c r="AK104" s="44">
        <f t="shared" si="4"/>
        <v>200</v>
      </c>
      <c r="AL104" s="44">
        <f t="shared" si="4"/>
        <v>200</v>
      </c>
      <c r="AM104"/>
      <c r="AN104" s="44">
        <f t="shared" si="4"/>
        <v>200</v>
      </c>
      <c r="AO104" s="44">
        <f t="shared" si="4"/>
        <v>200</v>
      </c>
      <c r="AP104" s="44">
        <f t="shared" si="4"/>
        <v>200</v>
      </c>
      <c r="AQ104" s="44">
        <f t="shared" si="4"/>
        <v>200</v>
      </c>
      <c r="AR104"/>
      <c r="AS104" s="44">
        <f t="shared" si="4"/>
        <v>200</v>
      </c>
      <c r="AT104"/>
      <c r="AU104"/>
      <c r="AV104" s="44">
        <f t="shared" si="4"/>
        <v>200</v>
      </c>
    </row>
    <row r="105" spans="1:48" x14ac:dyDescent="0.25">
      <c r="A105" s="23" t="s">
        <v>516</v>
      </c>
      <c r="B105" s="3" t="s">
        <v>473</v>
      </c>
      <c r="C105" s="3" t="s">
        <v>483</v>
      </c>
      <c r="D105" s="3" t="s">
        <v>521</v>
      </c>
      <c r="E105" s="24" t="s">
        <v>513</v>
      </c>
      <c r="F105" s="24" t="s">
        <v>486</v>
      </c>
      <c r="G105" s="44">
        <f>10*G95</f>
        <v>210</v>
      </c>
      <c r="I105" s="58"/>
      <c r="J105" s="44">
        <f t="shared" ref="J105:AV105" si="5">400/0.1</f>
        <v>4000</v>
      </c>
      <c r="K105" s="44">
        <f t="shared" si="5"/>
        <v>4000</v>
      </c>
      <c r="M105" s="44">
        <f t="shared" si="5"/>
        <v>4000</v>
      </c>
      <c r="N105" s="44"/>
      <c r="O105" s="44">
        <f t="shared" si="5"/>
        <v>4000</v>
      </c>
      <c r="P105" s="44">
        <f t="shared" si="5"/>
        <v>4000</v>
      </c>
      <c r="Q105" s="44">
        <f t="shared" si="5"/>
        <v>4000</v>
      </c>
      <c r="T105" s="44">
        <f t="shared" si="5"/>
        <v>4000</v>
      </c>
      <c r="U105" s="44">
        <f t="shared" si="5"/>
        <v>4000</v>
      </c>
      <c r="V105" s="44">
        <f t="shared" si="5"/>
        <v>4000</v>
      </c>
      <c r="W105" s="44">
        <f t="shared" si="5"/>
        <v>4000</v>
      </c>
      <c r="X105" s="44">
        <f t="shared" si="5"/>
        <v>4000</v>
      </c>
      <c r="Y105" s="44">
        <f t="shared" si="5"/>
        <v>4000</v>
      </c>
      <c r="Z105" s="44">
        <f t="shared" si="5"/>
        <v>4000</v>
      </c>
      <c r="AA105" s="44">
        <f t="shared" si="5"/>
        <v>4000</v>
      </c>
      <c r="AB105" s="44">
        <f t="shared" si="5"/>
        <v>4000</v>
      </c>
      <c r="AC105" s="44">
        <f t="shared" si="5"/>
        <v>4000</v>
      </c>
      <c r="AD105" s="44">
        <f t="shared" si="5"/>
        <v>4000</v>
      </c>
      <c r="AE105"/>
      <c r="AF105" s="44">
        <f t="shared" si="5"/>
        <v>4000</v>
      </c>
      <c r="AG105" s="44">
        <f t="shared" si="5"/>
        <v>4000</v>
      </c>
      <c r="AH105" s="44">
        <f t="shared" si="5"/>
        <v>4000</v>
      </c>
      <c r="AI105" s="44">
        <f t="shared" si="5"/>
        <v>4000</v>
      </c>
      <c r="AJ105" s="44">
        <f t="shared" si="5"/>
        <v>4000</v>
      </c>
      <c r="AK105" s="44">
        <f t="shared" si="5"/>
        <v>4000</v>
      </c>
      <c r="AL105" s="44">
        <f t="shared" si="5"/>
        <v>4000</v>
      </c>
      <c r="AM105"/>
      <c r="AN105" s="44">
        <f t="shared" si="5"/>
        <v>4000</v>
      </c>
      <c r="AO105" s="44">
        <f t="shared" si="5"/>
        <v>4000</v>
      </c>
      <c r="AP105" s="44">
        <f t="shared" si="5"/>
        <v>4000</v>
      </c>
      <c r="AQ105" s="44">
        <f t="shared" si="5"/>
        <v>4000</v>
      </c>
      <c r="AR105"/>
      <c r="AS105" s="44">
        <f t="shared" si="5"/>
        <v>4000</v>
      </c>
      <c r="AT105"/>
      <c r="AU105"/>
      <c r="AV105" s="44">
        <f t="shared" si="5"/>
        <v>4000</v>
      </c>
    </row>
    <row r="106" spans="1:48" x14ac:dyDescent="0.25">
      <c r="A106" s="23" t="s">
        <v>387</v>
      </c>
      <c r="B106" s="3" t="s">
        <v>473</v>
      </c>
      <c r="C106" s="3" t="s">
        <v>483</v>
      </c>
      <c r="D106" s="3" t="s">
        <v>521</v>
      </c>
      <c r="E106" s="24" t="s">
        <v>388</v>
      </c>
      <c r="F106" s="24" t="s">
        <v>106</v>
      </c>
      <c r="G106" s="44">
        <v>0</v>
      </c>
      <c r="I106" s="58"/>
      <c r="J106" s="44">
        <f t="shared" ref="J106:AV106" si="6">10/0.1</f>
        <v>100</v>
      </c>
      <c r="K106" s="44">
        <f t="shared" si="6"/>
        <v>100</v>
      </c>
      <c r="M106" s="44">
        <f t="shared" si="6"/>
        <v>100</v>
      </c>
      <c r="N106" s="44"/>
      <c r="O106" s="44">
        <f t="shared" si="6"/>
        <v>100</v>
      </c>
      <c r="P106" s="44">
        <f t="shared" si="6"/>
        <v>100</v>
      </c>
      <c r="Q106" s="44">
        <f t="shared" si="6"/>
        <v>100</v>
      </c>
      <c r="T106" s="44">
        <f t="shared" si="6"/>
        <v>100</v>
      </c>
      <c r="U106" s="44">
        <f t="shared" si="6"/>
        <v>100</v>
      </c>
      <c r="V106" s="44">
        <f t="shared" si="6"/>
        <v>100</v>
      </c>
      <c r="W106" s="44">
        <f t="shared" si="6"/>
        <v>100</v>
      </c>
      <c r="X106" s="44">
        <f t="shared" si="6"/>
        <v>100</v>
      </c>
      <c r="Y106" s="44">
        <f t="shared" si="6"/>
        <v>100</v>
      </c>
      <c r="Z106" s="44">
        <f t="shared" si="6"/>
        <v>100</v>
      </c>
      <c r="AA106" s="44">
        <f t="shared" si="6"/>
        <v>100</v>
      </c>
      <c r="AB106" s="44">
        <f t="shared" si="6"/>
        <v>100</v>
      </c>
      <c r="AC106" s="44">
        <f t="shared" si="6"/>
        <v>100</v>
      </c>
      <c r="AD106" s="44">
        <f t="shared" si="6"/>
        <v>100</v>
      </c>
      <c r="AE106"/>
      <c r="AF106" s="44">
        <f t="shared" si="6"/>
        <v>100</v>
      </c>
      <c r="AG106" s="44">
        <f t="shared" si="6"/>
        <v>100</v>
      </c>
      <c r="AH106" s="44">
        <f t="shared" si="6"/>
        <v>100</v>
      </c>
      <c r="AI106" s="44">
        <f t="shared" si="6"/>
        <v>100</v>
      </c>
      <c r="AJ106" s="44">
        <f t="shared" si="6"/>
        <v>100</v>
      </c>
      <c r="AK106" s="44">
        <f t="shared" si="6"/>
        <v>100</v>
      </c>
      <c r="AL106" s="44">
        <f t="shared" si="6"/>
        <v>100</v>
      </c>
      <c r="AM106"/>
      <c r="AN106" s="44">
        <f t="shared" si="6"/>
        <v>100</v>
      </c>
      <c r="AO106" s="44">
        <f t="shared" si="6"/>
        <v>100</v>
      </c>
      <c r="AP106" s="44">
        <f t="shared" si="6"/>
        <v>100</v>
      </c>
      <c r="AQ106" s="44">
        <f t="shared" si="6"/>
        <v>100</v>
      </c>
      <c r="AR106"/>
      <c r="AS106" s="44">
        <f t="shared" si="6"/>
        <v>100</v>
      </c>
      <c r="AT106"/>
      <c r="AU106"/>
      <c r="AV106" s="44">
        <f t="shared" si="6"/>
        <v>100</v>
      </c>
    </row>
    <row r="107" spans="1:48" x14ac:dyDescent="0.25">
      <c r="A107" s="23" t="s">
        <v>389</v>
      </c>
      <c r="B107" s="3" t="s">
        <v>473</v>
      </c>
      <c r="C107" s="3" t="s">
        <v>483</v>
      </c>
      <c r="D107" s="3" t="s">
        <v>521</v>
      </c>
      <c r="E107" s="24" t="s">
        <v>390</v>
      </c>
      <c r="F107" s="24" t="s">
        <v>106</v>
      </c>
      <c r="G107" s="44">
        <v>1589759.9999999998</v>
      </c>
      <c r="I107" s="58"/>
      <c r="J107" s="44">
        <f t="shared" ref="J107:AV107" si="7">150/0.1</f>
        <v>1500</v>
      </c>
      <c r="K107" s="44">
        <f t="shared" si="7"/>
        <v>1500</v>
      </c>
      <c r="M107" s="44">
        <f t="shared" si="7"/>
        <v>1500</v>
      </c>
      <c r="N107" s="44"/>
      <c r="O107" s="44">
        <f t="shared" si="7"/>
        <v>1500</v>
      </c>
      <c r="P107" s="44">
        <f t="shared" si="7"/>
        <v>1500</v>
      </c>
      <c r="Q107" s="44">
        <f t="shared" si="7"/>
        <v>1500</v>
      </c>
      <c r="T107" s="44">
        <f t="shared" si="7"/>
        <v>1500</v>
      </c>
      <c r="U107" s="44">
        <f t="shared" si="7"/>
        <v>1500</v>
      </c>
      <c r="V107" s="44">
        <f t="shared" si="7"/>
        <v>1500</v>
      </c>
      <c r="W107" s="44">
        <f t="shared" si="7"/>
        <v>1500</v>
      </c>
      <c r="X107" s="44">
        <f t="shared" si="7"/>
        <v>1500</v>
      </c>
      <c r="Y107" s="44">
        <f t="shared" si="7"/>
        <v>1500</v>
      </c>
      <c r="Z107" s="44">
        <f t="shared" si="7"/>
        <v>1500</v>
      </c>
      <c r="AA107" s="44">
        <f t="shared" si="7"/>
        <v>1500</v>
      </c>
      <c r="AB107" s="44">
        <f t="shared" si="7"/>
        <v>1500</v>
      </c>
      <c r="AC107" s="44">
        <f t="shared" si="7"/>
        <v>1500</v>
      </c>
      <c r="AD107" s="44">
        <f t="shared" si="7"/>
        <v>1500</v>
      </c>
      <c r="AE107"/>
      <c r="AF107" s="44">
        <f t="shared" si="7"/>
        <v>1500</v>
      </c>
      <c r="AG107" s="44">
        <f t="shared" si="7"/>
        <v>1500</v>
      </c>
      <c r="AH107" s="44">
        <f t="shared" si="7"/>
        <v>1500</v>
      </c>
      <c r="AI107" s="44">
        <f t="shared" si="7"/>
        <v>1500</v>
      </c>
      <c r="AJ107" s="44">
        <f t="shared" si="7"/>
        <v>1500</v>
      </c>
      <c r="AK107" s="44">
        <f t="shared" si="7"/>
        <v>1500</v>
      </c>
      <c r="AL107" s="44">
        <f t="shared" si="7"/>
        <v>1500</v>
      </c>
      <c r="AM107"/>
      <c r="AN107" s="44">
        <f t="shared" si="7"/>
        <v>1500</v>
      </c>
      <c r="AO107" s="44">
        <f t="shared" si="7"/>
        <v>1500</v>
      </c>
      <c r="AP107" s="44">
        <f t="shared" si="7"/>
        <v>1500</v>
      </c>
      <c r="AQ107" s="44">
        <f t="shared" si="7"/>
        <v>1500</v>
      </c>
      <c r="AR107"/>
      <c r="AS107" s="44">
        <f t="shared" si="7"/>
        <v>1500</v>
      </c>
      <c r="AT107"/>
      <c r="AU107"/>
      <c r="AV107" s="44">
        <f t="shared" si="7"/>
        <v>1500</v>
      </c>
    </row>
    <row r="108" spans="1:48" x14ac:dyDescent="0.25">
      <c r="A108" s="23" t="s">
        <v>391</v>
      </c>
      <c r="B108" s="3" t="s">
        <v>473</v>
      </c>
      <c r="C108" s="3" t="s">
        <v>483</v>
      </c>
      <c r="D108" s="3" t="s">
        <v>521</v>
      </c>
      <c r="E108" s="24" t="s">
        <v>392</v>
      </c>
      <c r="F108" s="24" t="s">
        <v>106</v>
      </c>
      <c r="G108" s="44">
        <v>6171428.5714285718</v>
      </c>
      <c r="I108" s="58"/>
      <c r="J108" s="44">
        <f t="shared" ref="J108:AV108" si="8">20/0.1</f>
        <v>200</v>
      </c>
      <c r="K108" s="44">
        <f t="shared" si="8"/>
        <v>200</v>
      </c>
      <c r="M108" s="44">
        <f t="shared" si="8"/>
        <v>200</v>
      </c>
      <c r="N108" s="44"/>
      <c r="O108" s="44">
        <f t="shared" si="8"/>
        <v>200</v>
      </c>
      <c r="P108" s="44">
        <f t="shared" si="8"/>
        <v>200</v>
      </c>
      <c r="Q108" s="44">
        <f t="shared" si="8"/>
        <v>200</v>
      </c>
      <c r="T108" s="44">
        <f t="shared" si="8"/>
        <v>200</v>
      </c>
      <c r="U108" s="44">
        <f t="shared" si="8"/>
        <v>200</v>
      </c>
      <c r="V108" s="44">
        <f t="shared" si="8"/>
        <v>200</v>
      </c>
      <c r="W108" s="44">
        <f t="shared" si="8"/>
        <v>200</v>
      </c>
      <c r="X108" s="44">
        <f t="shared" si="8"/>
        <v>200</v>
      </c>
      <c r="Y108" s="44">
        <f t="shared" si="8"/>
        <v>200</v>
      </c>
      <c r="Z108" s="44">
        <f t="shared" si="8"/>
        <v>200</v>
      </c>
      <c r="AA108" s="44">
        <f t="shared" si="8"/>
        <v>200</v>
      </c>
      <c r="AB108" s="44">
        <f t="shared" si="8"/>
        <v>200</v>
      </c>
      <c r="AC108" s="44">
        <f t="shared" si="8"/>
        <v>200</v>
      </c>
      <c r="AD108" s="44">
        <f t="shared" si="8"/>
        <v>200</v>
      </c>
      <c r="AE108"/>
      <c r="AF108" s="44">
        <f t="shared" si="8"/>
        <v>200</v>
      </c>
      <c r="AG108" s="44">
        <f t="shared" si="8"/>
        <v>200</v>
      </c>
      <c r="AH108" s="44">
        <f t="shared" si="8"/>
        <v>200</v>
      </c>
      <c r="AI108" s="44">
        <f t="shared" si="8"/>
        <v>200</v>
      </c>
      <c r="AJ108" s="44">
        <f t="shared" si="8"/>
        <v>200</v>
      </c>
      <c r="AK108" s="44">
        <f t="shared" si="8"/>
        <v>200</v>
      </c>
      <c r="AL108" s="44">
        <f t="shared" si="8"/>
        <v>200</v>
      </c>
      <c r="AM108"/>
      <c r="AN108" s="44">
        <f t="shared" si="8"/>
        <v>200</v>
      </c>
      <c r="AO108" s="44">
        <f t="shared" si="8"/>
        <v>200</v>
      </c>
      <c r="AP108" s="44">
        <f t="shared" si="8"/>
        <v>200</v>
      </c>
      <c r="AQ108" s="44">
        <f t="shared" si="8"/>
        <v>200</v>
      </c>
      <c r="AR108"/>
      <c r="AS108" s="44">
        <f t="shared" si="8"/>
        <v>200</v>
      </c>
      <c r="AT108"/>
      <c r="AU108"/>
      <c r="AV108" s="44">
        <f t="shared" si="8"/>
        <v>200</v>
      </c>
    </row>
    <row r="109" spans="1:48" x14ac:dyDescent="0.25">
      <c r="A109" s="23" t="s">
        <v>393</v>
      </c>
      <c r="B109" s="3" t="s">
        <v>473</v>
      </c>
      <c r="C109" s="3" t="s">
        <v>483</v>
      </c>
      <c r="D109" s="3" t="s">
        <v>521</v>
      </c>
      <c r="E109" s="24" t="s">
        <v>394</v>
      </c>
      <c r="F109" s="24" t="s">
        <v>106</v>
      </c>
      <c r="G109" s="44">
        <v>6171428.5714285718</v>
      </c>
      <c r="I109" s="58"/>
      <c r="J109" s="44">
        <f t="shared" ref="J109:AV109" si="9">400/0.1</f>
        <v>4000</v>
      </c>
      <c r="K109" s="44">
        <f t="shared" si="9"/>
        <v>4000</v>
      </c>
      <c r="M109" s="44">
        <f t="shared" si="9"/>
        <v>4000</v>
      </c>
      <c r="N109" s="44"/>
      <c r="O109" s="44">
        <f t="shared" si="9"/>
        <v>4000</v>
      </c>
      <c r="P109" s="44">
        <f t="shared" si="9"/>
        <v>4000</v>
      </c>
      <c r="Q109" s="44">
        <f t="shared" si="9"/>
        <v>4000</v>
      </c>
      <c r="T109" s="44">
        <f t="shared" si="9"/>
        <v>4000</v>
      </c>
      <c r="U109" s="44">
        <f t="shared" si="9"/>
        <v>4000</v>
      </c>
      <c r="V109" s="44">
        <f t="shared" si="9"/>
        <v>4000</v>
      </c>
      <c r="W109" s="44">
        <f t="shared" si="9"/>
        <v>4000</v>
      </c>
      <c r="X109" s="44">
        <f t="shared" si="9"/>
        <v>4000</v>
      </c>
      <c r="Y109" s="44">
        <f t="shared" si="9"/>
        <v>4000</v>
      </c>
      <c r="Z109" s="44">
        <f t="shared" si="9"/>
        <v>4000</v>
      </c>
      <c r="AA109" s="44">
        <f t="shared" si="9"/>
        <v>4000</v>
      </c>
      <c r="AB109" s="44">
        <f t="shared" si="9"/>
        <v>4000</v>
      </c>
      <c r="AC109" s="44">
        <f t="shared" si="9"/>
        <v>4000</v>
      </c>
      <c r="AD109" s="44">
        <f t="shared" si="9"/>
        <v>4000</v>
      </c>
      <c r="AE109"/>
      <c r="AF109" s="44">
        <f t="shared" si="9"/>
        <v>4000</v>
      </c>
      <c r="AG109" s="44">
        <f t="shared" si="9"/>
        <v>4000</v>
      </c>
      <c r="AH109" s="44">
        <f t="shared" si="9"/>
        <v>4000</v>
      </c>
      <c r="AI109" s="44">
        <f t="shared" si="9"/>
        <v>4000</v>
      </c>
      <c r="AJ109" s="44">
        <f t="shared" si="9"/>
        <v>4000</v>
      </c>
      <c r="AK109" s="44">
        <f t="shared" si="9"/>
        <v>4000</v>
      </c>
      <c r="AL109" s="44">
        <f t="shared" si="9"/>
        <v>4000</v>
      </c>
      <c r="AM109"/>
      <c r="AN109" s="44">
        <f t="shared" si="9"/>
        <v>4000</v>
      </c>
      <c r="AO109" s="44">
        <f t="shared" si="9"/>
        <v>4000</v>
      </c>
      <c r="AP109" s="44">
        <f t="shared" si="9"/>
        <v>4000</v>
      </c>
      <c r="AQ109" s="44">
        <f t="shared" si="9"/>
        <v>4000</v>
      </c>
      <c r="AR109"/>
      <c r="AS109" s="44">
        <f t="shared" si="9"/>
        <v>4000</v>
      </c>
      <c r="AT109"/>
      <c r="AU109"/>
      <c r="AV109" s="44">
        <f t="shared" si="9"/>
        <v>4000</v>
      </c>
    </row>
    <row r="110" spans="1:48" x14ac:dyDescent="0.25">
      <c r="A110" s="23" t="s">
        <v>421</v>
      </c>
      <c r="B110" s="3" t="s">
        <v>473</v>
      </c>
      <c r="C110" s="3" t="s">
        <v>483</v>
      </c>
      <c r="D110" s="3" t="s">
        <v>521</v>
      </c>
      <c r="E110" s="24" t="s">
        <v>422</v>
      </c>
      <c r="F110" s="24" t="s">
        <v>433</v>
      </c>
      <c r="G110" s="44">
        <v>100</v>
      </c>
      <c r="I110" s="58"/>
      <c r="J110" s="44">
        <v>100</v>
      </c>
      <c r="K110" s="44">
        <v>100</v>
      </c>
      <c r="M110" s="44">
        <v>100</v>
      </c>
      <c r="N110" s="44"/>
      <c r="O110" s="44">
        <v>100</v>
      </c>
      <c r="P110" s="44">
        <v>100</v>
      </c>
      <c r="Q110" s="44">
        <v>100</v>
      </c>
      <c r="T110" s="44">
        <v>100</v>
      </c>
      <c r="U110" s="44">
        <v>100</v>
      </c>
      <c r="V110" s="44">
        <v>100</v>
      </c>
      <c r="W110" s="44">
        <v>100</v>
      </c>
      <c r="X110" s="44">
        <v>100</v>
      </c>
      <c r="Y110" s="44">
        <v>100</v>
      </c>
      <c r="Z110" s="44">
        <v>100</v>
      </c>
      <c r="AA110" s="44">
        <v>100</v>
      </c>
      <c r="AB110" s="44">
        <v>100</v>
      </c>
      <c r="AC110" s="44">
        <v>100</v>
      </c>
      <c r="AD110" s="44">
        <v>100</v>
      </c>
      <c r="AE110"/>
      <c r="AF110" s="44">
        <v>100</v>
      </c>
      <c r="AG110" s="44">
        <v>100</v>
      </c>
      <c r="AH110" s="44">
        <v>100</v>
      </c>
      <c r="AI110" s="44">
        <v>100</v>
      </c>
      <c r="AJ110" s="44">
        <v>100</v>
      </c>
      <c r="AK110" s="44">
        <v>100</v>
      </c>
      <c r="AL110" s="44">
        <v>100</v>
      </c>
      <c r="AM110"/>
      <c r="AN110" s="44">
        <v>100</v>
      </c>
      <c r="AO110" s="44">
        <v>100</v>
      </c>
      <c r="AP110" s="44">
        <v>100</v>
      </c>
      <c r="AQ110" s="44">
        <v>100</v>
      </c>
      <c r="AR110"/>
      <c r="AS110" s="44">
        <v>100</v>
      </c>
      <c r="AT110"/>
      <c r="AU110"/>
      <c r="AV110" s="44">
        <v>100</v>
      </c>
    </row>
    <row r="111" spans="1:48" ht="14.45" customHeight="1" x14ac:dyDescent="0.25">
      <c r="A111" s="23" t="s">
        <v>423</v>
      </c>
      <c r="B111" s="3" t="s">
        <v>473</v>
      </c>
      <c r="C111" s="3" t="s">
        <v>483</v>
      </c>
      <c r="D111" s="3" t="s">
        <v>521</v>
      </c>
      <c r="E111" s="24" t="s">
        <v>424</v>
      </c>
      <c r="F111" s="24" t="s">
        <v>434</v>
      </c>
      <c r="G111" s="44">
        <v>280800</v>
      </c>
      <c r="I111" s="58"/>
      <c r="J111" s="44">
        <v>280800</v>
      </c>
      <c r="K111" s="44">
        <v>280800</v>
      </c>
      <c r="M111" s="44">
        <v>280800</v>
      </c>
      <c r="N111" s="44"/>
      <c r="O111" s="44">
        <v>280800</v>
      </c>
      <c r="P111" s="44">
        <v>280800</v>
      </c>
      <c r="Q111" s="44">
        <v>280800</v>
      </c>
      <c r="T111" s="44">
        <v>280800</v>
      </c>
      <c r="U111" s="44">
        <v>280800</v>
      </c>
      <c r="V111" s="44">
        <v>280800</v>
      </c>
      <c r="W111" s="44">
        <v>280800</v>
      </c>
      <c r="X111" s="44">
        <v>280800</v>
      </c>
      <c r="Y111" s="44">
        <v>280800</v>
      </c>
      <c r="Z111" s="44">
        <v>280800</v>
      </c>
      <c r="AA111" s="44">
        <v>280800</v>
      </c>
      <c r="AB111" s="44">
        <v>280800</v>
      </c>
      <c r="AC111" s="44">
        <v>280800</v>
      </c>
      <c r="AD111" s="44">
        <v>280800</v>
      </c>
      <c r="AE111"/>
      <c r="AF111" s="44">
        <v>280800</v>
      </c>
      <c r="AG111" s="44">
        <v>280800</v>
      </c>
      <c r="AH111" s="44">
        <v>280800</v>
      </c>
      <c r="AI111" s="44">
        <v>280800</v>
      </c>
      <c r="AJ111" s="44">
        <v>280800</v>
      </c>
      <c r="AK111" s="44">
        <v>280800</v>
      </c>
      <c r="AL111" s="44">
        <v>280800</v>
      </c>
      <c r="AM111"/>
      <c r="AN111" s="44">
        <v>280800</v>
      </c>
      <c r="AO111" s="44">
        <v>280800</v>
      </c>
      <c r="AP111" s="44">
        <v>280800</v>
      </c>
      <c r="AQ111" s="44">
        <v>280800</v>
      </c>
      <c r="AR111"/>
      <c r="AS111" s="44">
        <v>280800</v>
      </c>
      <c r="AT111"/>
      <c r="AU111"/>
      <c r="AV111" s="44">
        <v>280800</v>
      </c>
    </row>
    <row r="112" spans="1:48" x14ac:dyDescent="0.25">
      <c r="A112" s="23" t="s">
        <v>425</v>
      </c>
      <c r="B112" s="3" t="s">
        <v>473</v>
      </c>
      <c r="C112" s="3" t="s">
        <v>483</v>
      </c>
      <c r="D112" s="3" t="s">
        <v>521</v>
      </c>
      <c r="E112" s="24" t="s">
        <v>426</v>
      </c>
      <c r="F112" s="24" t="s">
        <v>435</v>
      </c>
      <c r="G112" s="44">
        <v>1.2847222222222224E-5</v>
      </c>
      <c r="I112" s="58"/>
      <c r="J112" s="44">
        <f t="shared" ref="J112:AV112" si="10">1.11 / 10</f>
        <v>0.11100000000000002</v>
      </c>
      <c r="K112" s="44">
        <f t="shared" si="10"/>
        <v>0.11100000000000002</v>
      </c>
      <c r="M112" s="44">
        <f t="shared" si="10"/>
        <v>0.11100000000000002</v>
      </c>
      <c r="N112" s="44"/>
      <c r="O112" s="44">
        <f t="shared" si="10"/>
        <v>0.11100000000000002</v>
      </c>
      <c r="P112" s="44">
        <f t="shared" si="10"/>
        <v>0.11100000000000002</v>
      </c>
      <c r="Q112" s="44">
        <f t="shared" si="10"/>
        <v>0.11100000000000002</v>
      </c>
      <c r="T112" s="44">
        <f t="shared" si="10"/>
        <v>0.11100000000000002</v>
      </c>
      <c r="U112" s="44">
        <f t="shared" si="10"/>
        <v>0.11100000000000002</v>
      </c>
      <c r="V112" s="44">
        <f t="shared" si="10"/>
        <v>0.11100000000000002</v>
      </c>
      <c r="W112" s="44">
        <f t="shared" si="10"/>
        <v>0.11100000000000002</v>
      </c>
      <c r="X112" s="44">
        <f t="shared" si="10"/>
        <v>0.11100000000000002</v>
      </c>
      <c r="Y112" s="44">
        <f t="shared" si="10"/>
        <v>0.11100000000000002</v>
      </c>
      <c r="Z112" s="44">
        <f t="shared" si="10"/>
        <v>0.11100000000000002</v>
      </c>
      <c r="AA112" s="44">
        <f t="shared" si="10"/>
        <v>0.11100000000000002</v>
      </c>
      <c r="AB112" s="44">
        <f t="shared" si="10"/>
        <v>0.11100000000000002</v>
      </c>
      <c r="AC112" s="44">
        <f t="shared" si="10"/>
        <v>0.11100000000000002</v>
      </c>
      <c r="AD112" s="44">
        <f t="shared" si="10"/>
        <v>0.11100000000000002</v>
      </c>
      <c r="AE112"/>
      <c r="AF112" s="44">
        <f t="shared" si="10"/>
        <v>0.11100000000000002</v>
      </c>
      <c r="AG112" s="44">
        <f t="shared" si="10"/>
        <v>0.11100000000000002</v>
      </c>
      <c r="AH112" s="44">
        <f t="shared" si="10"/>
        <v>0.11100000000000002</v>
      </c>
      <c r="AI112" s="44">
        <f t="shared" si="10"/>
        <v>0.11100000000000002</v>
      </c>
      <c r="AJ112" s="44">
        <f t="shared" si="10"/>
        <v>0.11100000000000002</v>
      </c>
      <c r="AK112" s="44">
        <f t="shared" si="10"/>
        <v>0.11100000000000002</v>
      </c>
      <c r="AL112" s="44">
        <f t="shared" si="10"/>
        <v>0.11100000000000002</v>
      </c>
      <c r="AM112"/>
      <c r="AN112" s="44">
        <f t="shared" si="10"/>
        <v>0.11100000000000002</v>
      </c>
      <c r="AO112" s="44">
        <f t="shared" si="10"/>
        <v>0.11100000000000002</v>
      </c>
      <c r="AP112" s="44">
        <f t="shared" si="10"/>
        <v>0.11100000000000002</v>
      </c>
      <c r="AQ112" s="44">
        <f t="shared" si="10"/>
        <v>0.11100000000000002</v>
      </c>
      <c r="AR112"/>
      <c r="AS112" s="44">
        <f t="shared" si="10"/>
        <v>0.11100000000000002</v>
      </c>
      <c r="AT112"/>
      <c r="AU112"/>
      <c r="AV112" s="44">
        <f t="shared" si="10"/>
        <v>0.11100000000000002</v>
      </c>
    </row>
    <row r="113" spans="1:48" x14ac:dyDescent="0.25">
      <c r="A113" s="23" t="s">
        <v>427</v>
      </c>
      <c r="B113" s="3" t="s">
        <v>473</v>
      </c>
      <c r="C113" s="3" t="s">
        <v>483</v>
      </c>
      <c r="D113" s="3" t="s">
        <v>521</v>
      </c>
      <c r="E113" s="24" t="s">
        <v>428</v>
      </c>
      <c r="F113" s="24" t="s">
        <v>433</v>
      </c>
      <c r="G113" s="44">
        <v>100</v>
      </c>
      <c r="I113" s="58"/>
      <c r="J113" s="44">
        <v>100</v>
      </c>
      <c r="K113" s="44">
        <v>100</v>
      </c>
      <c r="M113" s="44">
        <v>100</v>
      </c>
      <c r="N113" s="44"/>
      <c r="O113" s="44">
        <v>100</v>
      </c>
      <c r="P113" s="44">
        <v>100</v>
      </c>
      <c r="Q113" s="44">
        <v>100</v>
      </c>
      <c r="T113" s="44">
        <v>100</v>
      </c>
      <c r="U113" s="44">
        <v>100</v>
      </c>
      <c r="V113" s="44">
        <v>100</v>
      </c>
      <c r="W113" s="44">
        <v>100</v>
      </c>
      <c r="X113" s="44">
        <v>100</v>
      </c>
      <c r="Y113" s="44">
        <v>100</v>
      </c>
      <c r="Z113" s="44">
        <v>100</v>
      </c>
      <c r="AA113" s="44">
        <v>100</v>
      </c>
      <c r="AB113" s="44">
        <v>100</v>
      </c>
      <c r="AC113" s="44">
        <v>100</v>
      </c>
      <c r="AD113" s="44">
        <v>100</v>
      </c>
      <c r="AE113"/>
      <c r="AF113" s="44">
        <v>100</v>
      </c>
      <c r="AG113" s="44">
        <v>100</v>
      </c>
      <c r="AH113" s="44">
        <v>100</v>
      </c>
      <c r="AI113" s="44">
        <v>100</v>
      </c>
      <c r="AJ113" s="44">
        <v>100</v>
      </c>
      <c r="AK113" s="44">
        <v>100</v>
      </c>
      <c r="AL113" s="44">
        <v>100</v>
      </c>
      <c r="AM113"/>
      <c r="AN113" s="44">
        <v>100</v>
      </c>
      <c r="AO113" s="44">
        <v>100</v>
      </c>
      <c r="AP113" s="44">
        <v>100</v>
      </c>
      <c r="AQ113" s="44">
        <v>100</v>
      </c>
      <c r="AR113"/>
      <c r="AS113" s="44">
        <v>100</v>
      </c>
      <c r="AT113"/>
      <c r="AU113"/>
      <c r="AV113" s="44">
        <v>100</v>
      </c>
    </row>
    <row r="114" spans="1:48" ht="14.45" customHeight="1" x14ac:dyDescent="0.25">
      <c r="A114" s="23" t="s">
        <v>429</v>
      </c>
      <c r="B114" s="3" t="s">
        <v>473</v>
      </c>
      <c r="C114" s="3" t="s">
        <v>483</v>
      </c>
      <c r="D114" s="3" t="s">
        <v>521</v>
      </c>
      <c r="E114" s="24" t="s">
        <v>430</v>
      </c>
      <c r="F114" s="24" t="s">
        <v>434</v>
      </c>
      <c r="G114" s="44">
        <v>459648</v>
      </c>
      <c r="I114" s="58"/>
      <c r="J114" s="44">
        <v>459648</v>
      </c>
      <c r="K114" s="44">
        <v>459648</v>
      </c>
      <c r="M114" s="44">
        <v>459648</v>
      </c>
      <c r="N114" s="44"/>
      <c r="O114" s="44">
        <v>459648</v>
      </c>
      <c r="P114" s="44">
        <v>459648</v>
      </c>
      <c r="Q114" s="44">
        <v>459648</v>
      </c>
      <c r="T114" s="44">
        <v>459648</v>
      </c>
      <c r="U114" s="44">
        <v>459648</v>
      </c>
      <c r="V114" s="44">
        <v>459648</v>
      </c>
      <c r="W114" s="44">
        <v>459648</v>
      </c>
      <c r="X114" s="44">
        <v>459648</v>
      </c>
      <c r="Y114" s="44">
        <v>459648</v>
      </c>
      <c r="Z114" s="44">
        <v>459648</v>
      </c>
      <c r="AA114" s="44">
        <v>459648</v>
      </c>
      <c r="AB114" s="44">
        <v>459648</v>
      </c>
      <c r="AC114" s="44">
        <v>459648</v>
      </c>
      <c r="AD114" s="44">
        <v>459648</v>
      </c>
      <c r="AE114"/>
      <c r="AF114" s="44">
        <v>459648</v>
      </c>
      <c r="AG114" s="44">
        <v>459648</v>
      </c>
      <c r="AH114" s="44">
        <v>459648</v>
      </c>
      <c r="AI114" s="44">
        <v>459648</v>
      </c>
      <c r="AJ114" s="44">
        <v>459648</v>
      </c>
      <c r="AK114" s="44">
        <v>459648</v>
      </c>
      <c r="AL114" s="44">
        <v>459648</v>
      </c>
      <c r="AM114"/>
      <c r="AN114" s="44">
        <v>459648</v>
      </c>
      <c r="AO114" s="44">
        <v>459648</v>
      </c>
      <c r="AP114" s="44">
        <v>459648</v>
      </c>
      <c r="AQ114" s="44">
        <v>459648</v>
      </c>
      <c r="AR114"/>
      <c r="AS114" s="44">
        <v>459648</v>
      </c>
      <c r="AT114"/>
      <c r="AU114"/>
      <c r="AV114" s="44">
        <v>459648</v>
      </c>
    </row>
    <row r="115" spans="1:48" x14ac:dyDescent="0.25">
      <c r="A115" s="23" t="s">
        <v>431</v>
      </c>
      <c r="B115" s="3" t="s">
        <v>473</v>
      </c>
      <c r="C115" s="3" t="s">
        <v>483</v>
      </c>
      <c r="D115" s="3" t="s">
        <v>521</v>
      </c>
      <c r="E115" s="24" t="s">
        <v>432</v>
      </c>
      <c r="F115" s="24" t="s">
        <v>435</v>
      </c>
      <c r="G115" s="44">
        <v>1.2847222222222224E-5</v>
      </c>
      <c r="I115" s="58"/>
      <c r="J115" s="44">
        <f t="shared" ref="J115:AV115" si="11">1.11/8</f>
        <v>0.13875000000000001</v>
      </c>
      <c r="K115" s="44">
        <f t="shared" si="11"/>
        <v>0.13875000000000001</v>
      </c>
      <c r="M115" s="44">
        <f t="shared" si="11"/>
        <v>0.13875000000000001</v>
      </c>
      <c r="N115" s="44"/>
      <c r="O115" s="44">
        <f t="shared" si="11"/>
        <v>0.13875000000000001</v>
      </c>
      <c r="P115" s="44">
        <f t="shared" si="11"/>
        <v>0.13875000000000001</v>
      </c>
      <c r="Q115" s="44">
        <f t="shared" si="11"/>
        <v>0.13875000000000001</v>
      </c>
      <c r="T115" s="44">
        <f t="shared" si="11"/>
        <v>0.13875000000000001</v>
      </c>
      <c r="U115" s="44">
        <f t="shared" si="11"/>
        <v>0.13875000000000001</v>
      </c>
      <c r="V115" s="44">
        <f t="shared" si="11"/>
        <v>0.13875000000000001</v>
      </c>
      <c r="W115" s="44">
        <f t="shared" si="11"/>
        <v>0.13875000000000001</v>
      </c>
      <c r="X115" s="44">
        <f t="shared" si="11"/>
        <v>0.13875000000000001</v>
      </c>
      <c r="Y115" s="44">
        <f t="shared" si="11"/>
        <v>0.13875000000000001</v>
      </c>
      <c r="Z115" s="44">
        <f t="shared" si="11"/>
        <v>0.13875000000000001</v>
      </c>
      <c r="AA115" s="44">
        <f t="shared" si="11"/>
        <v>0.13875000000000001</v>
      </c>
      <c r="AB115" s="44">
        <f t="shared" si="11"/>
        <v>0.13875000000000001</v>
      </c>
      <c r="AC115" s="44">
        <f t="shared" si="11"/>
        <v>0.13875000000000001</v>
      </c>
      <c r="AD115" s="44">
        <f t="shared" si="11"/>
        <v>0.13875000000000001</v>
      </c>
      <c r="AE115"/>
      <c r="AF115" s="44">
        <f t="shared" si="11"/>
        <v>0.13875000000000001</v>
      </c>
      <c r="AG115" s="44">
        <f t="shared" si="11"/>
        <v>0.13875000000000001</v>
      </c>
      <c r="AH115" s="44">
        <f t="shared" si="11"/>
        <v>0.13875000000000001</v>
      </c>
      <c r="AI115" s="44">
        <f t="shared" si="11"/>
        <v>0.13875000000000001</v>
      </c>
      <c r="AJ115" s="44">
        <f t="shared" si="11"/>
        <v>0.13875000000000001</v>
      </c>
      <c r="AK115" s="44">
        <f t="shared" si="11"/>
        <v>0.13875000000000001</v>
      </c>
      <c r="AL115" s="44">
        <f t="shared" si="11"/>
        <v>0.13875000000000001</v>
      </c>
      <c r="AM115"/>
      <c r="AN115" s="44">
        <f t="shared" si="11"/>
        <v>0.13875000000000001</v>
      </c>
      <c r="AO115" s="44">
        <f t="shared" si="11"/>
        <v>0.13875000000000001</v>
      </c>
      <c r="AP115" s="44">
        <f t="shared" si="11"/>
        <v>0.13875000000000001</v>
      </c>
      <c r="AQ115" s="44">
        <f t="shared" si="11"/>
        <v>0.13875000000000001</v>
      </c>
      <c r="AR115"/>
      <c r="AS115" s="44">
        <f t="shared" si="11"/>
        <v>0.13875000000000001</v>
      </c>
      <c r="AT115"/>
      <c r="AU115"/>
      <c r="AV115" s="44">
        <f t="shared" si="11"/>
        <v>0.13875000000000001</v>
      </c>
    </row>
    <row r="116" spans="1:48" x14ac:dyDescent="0.25">
      <c r="A116" s="23" t="s">
        <v>395</v>
      </c>
      <c r="B116" s="3" t="s">
        <v>473</v>
      </c>
      <c r="C116" s="3" t="s">
        <v>483</v>
      </c>
      <c r="D116" s="3" t="s">
        <v>521</v>
      </c>
      <c r="E116" s="24" t="s">
        <v>396</v>
      </c>
      <c r="F116" s="24" t="s">
        <v>106</v>
      </c>
      <c r="G116" s="44">
        <v>21600</v>
      </c>
      <c r="I116" s="58"/>
      <c r="J116" s="44">
        <v>21600</v>
      </c>
      <c r="K116" s="44">
        <v>21600</v>
      </c>
      <c r="M116" s="44">
        <v>21600</v>
      </c>
      <c r="N116" s="44"/>
      <c r="O116" s="44">
        <v>21600</v>
      </c>
      <c r="P116" s="44">
        <v>21600</v>
      </c>
      <c r="Q116" s="44">
        <v>21600</v>
      </c>
      <c r="T116" s="44">
        <v>21600</v>
      </c>
      <c r="U116" s="44">
        <v>21600</v>
      </c>
      <c r="V116" s="44">
        <v>21600</v>
      </c>
      <c r="W116" s="44">
        <v>21600</v>
      </c>
      <c r="X116" s="44">
        <v>21600</v>
      </c>
      <c r="Y116" s="44">
        <v>21600</v>
      </c>
      <c r="Z116" s="44">
        <v>21600</v>
      </c>
      <c r="AA116" s="44">
        <v>21600</v>
      </c>
      <c r="AB116" s="44">
        <v>21600</v>
      </c>
      <c r="AC116" s="44">
        <v>21600</v>
      </c>
      <c r="AD116" s="44">
        <v>21600</v>
      </c>
      <c r="AE116"/>
      <c r="AF116" s="44">
        <v>21600</v>
      </c>
      <c r="AG116" s="44">
        <v>21600</v>
      </c>
      <c r="AH116" s="44">
        <v>21600</v>
      </c>
      <c r="AI116" s="44">
        <v>21600</v>
      </c>
      <c r="AJ116" s="44">
        <v>21600</v>
      </c>
      <c r="AK116" s="44">
        <v>21600</v>
      </c>
      <c r="AL116" s="44">
        <v>21600</v>
      </c>
      <c r="AM116"/>
      <c r="AN116" s="44">
        <v>21600</v>
      </c>
      <c r="AO116" s="44">
        <v>21600</v>
      </c>
      <c r="AP116" s="44">
        <v>21600</v>
      </c>
      <c r="AQ116" s="44">
        <v>21600</v>
      </c>
      <c r="AR116"/>
      <c r="AS116" s="44">
        <v>21600</v>
      </c>
      <c r="AT116"/>
      <c r="AU116"/>
      <c r="AV116" s="44">
        <v>21600</v>
      </c>
    </row>
    <row r="117" spans="1:48" x14ac:dyDescent="0.25">
      <c r="A117" s="23" t="s">
        <v>397</v>
      </c>
      <c r="B117" s="3" t="s">
        <v>473</v>
      </c>
      <c r="C117" s="3" t="s">
        <v>483</v>
      </c>
      <c r="D117" s="3" t="s">
        <v>521</v>
      </c>
      <c r="E117" s="24" t="s">
        <v>398</v>
      </c>
      <c r="F117" s="24" t="s">
        <v>106</v>
      </c>
      <c r="G117" s="44">
        <v>172800</v>
      </c>
      <c r="I117" s="58"/>
      <c r="J117" s="44">
        <v>43200</v>
      </c>
      <c r="K117" s="44">
        <v>43200</v>
      </c>
      <c r="M117" s="44">
        <v>43200</v>
      </c>
      <c r="N117" s="44"/>
      <c r="O117" s="44">
        <v>43200</v>
      </c>
      <c r="P117" s="44">
        <v>43200</v>
      </c>
      <c r="Q117" s="44">
        <v>43200</v>
      </c>
      <c r="T117" s="44">
        <v>43200</v>
      </c>
      <c r="U117" s="44">
        <v>43200</v>
      </c>
      <c r="V117" s="44">
        <v>43200</v>
      </c>
      <c r="W117" s="44">
        <v>43200</v>
      </c>
      <c r="X117" s="44">
        <v>43200</v>
      </c>
      <c r="Y117" s="44">
        <v>43200</v>
      </c>
      <c r="Z117" s="44">
        <v>43200</v>
      </c>
      <c r="AA117" s="44">
        <v>43200</v>
      </c>
      <c r="AB117" s="44">
        <v>43200</v>
      </c>
      <c r="AC117" s="44">
        <v>43200</v>
      </c>
      <c r="AD117" s="44">
        <v>43200</v>
      </c>
      <c r="AE117"/>
      <c r="AF117" s="44">
        <v>43200</v>
      </c>
      <c r="AG117" s="44">
        <v>43200</v>
      </c>
      <c r="AH117" s="44">
        <v>43200</v>
      </c>
      <c r="AI117" s="44">
        <v>43200</v>
      </c>
      <c r="AJ117" s="44">
        <v>43200</v>
      </c>
      <c r="AK117" s="44">
        <v>43200</v>
      </c>
      <c r="AL117" s="44">
        <v>43200</v>
      </c>
      <c r="AM117"/>
      <c r="AN117" s="44">
        <v>43200</v>
      </c>
      <c r="AO117" s="44">
        <v>43200</v>
      </c>
      <c r="AP117" s="44">
        <v>43200</v>
      </c>
      <c r="AQ117" s="44">
        <v>43200</v>
      </c>
      <c r="AR117"/>
      <c r="AS117" s="44">
        <v>43200</v>
      </c>
      <c r="AT117"/>
      <c r="AU117"/>
      <c r="AV117" s="44">
        <v>43200</v>
      </c>
    </row>
    <row r="118" spans="1:48" x14ac:dyDescent="0.25">
      <c r="A118" s="13" t="s">
        <v>61</v>
      </c>
      <c r="B118" s="3" t="s">
        <v>473</v>
      </c>
      <c r="C118" s="3" t="s">
        <v>483</v>
      </c>
      <c r="D118" s="3" t="s">
        <v>521</v>
      </c>
      <c r="E118" s="14" t="s">
        <v>172</v>
      </c>
      <c r="F118" s="14" t="s">
        <v>111</v>
      </c>
      <c r="G118" s="44">
        <v>0.8</v>
      </c>
      <c r="I118" s="58"/>
      <c r="J118" s="44">
        <v>0.8</v>
      </c>
      <c r="K118" s="44">
        <v>0.8</v>
      </c>
      <c r="M118" s="44">
        <v>0.8</v>
      </c>
      <c r="N118" s="44"/>
      <c r="O118" s="44">
        <v>0.8</v>
      </c>
      <c r="P118" s="44">
        <v>0.8</v>
      </c>
      <c r="Q118" s="44">
        <v>0.8</v>
      </c>
      <c r="T118" s="44">
        <v>0.8</v>
      </c>
      <c r="U118" s="44">
        <v>0.8</v>
      </c>
      <c r="V118" s="44">
        <v>0.8</v>
      </c>
      <c r="W118" s="44">
        <v>0.8</v>
      </c>
      <c r="X118" s="44">
        <v>0.8</v>
      </c>
      <c r="Y118" s="44">
        <v>0.8</v>
      </c>
      <c r="Z118" s="44">
        <v>0.8</v>
      </c>
      <c r="AA118" s="44">
        <v>0.8</v>
      </c>
      <c r="AB118" s="44">
        <v>0.8</v>
      </c>
      <c r="AC118" s="44">
        <v>0.8</v>
      </c>
      <c r="AD118" s="44">
        <v>0.8</v>
      </c>
      <c r="AE118"/>
      <c r="AF118" s="44">
        <v>0.8</v>
      </c>
      <c r="AG118" s="44">
        <v>0.8</v>
      </c>
      <c r="AH118" s="44">
        <v>0.8</v>
      </c>
      <c r="AI118" s="44">
        <v>0.8</v>
      </c>
      <c r="AJ118" s="44">
        <v>0.8</v>
      </c>
      <c r="AK118" s="44">
        <v>0.8</v>
      </c>
      <c r="AL118" s="44">
        <v>0.8</v>
      </c>
      <c r="AM118"/>
      <c r="AN118" s="44">
        <v>0.8</v>
      </c>
      <c r="AO118" s="44">
        <v>0.8</v>
      </c>
      <c r="AP118" s="44">
        <v>0.8</v>
      </c>
      <c r="AQ118" s="44">
        <v>0.8</v>
      </c>
      <c r="AR118"/>
      <c r="AS118" s="44">
        <v>0.8</v>
      </c>
      <c r="AT118"/>
      <c r="AU118"/>
      <c r="AV118" s="44">
        <v>0.8</v>
      </c>
    </row>
    <row r="119" spans="1:48" x14ac:dyDescent="0.25">
      <c r="A119" s="13" t="s">
        <v>62</v>
      </c>
      <c r="B119" s="3" t="s">
        <v>473</v>
      </c>
      <c r="C119" s="3" t="s">
        <v>483</v>
      </c>
      <c r="D119" s="3" t="s">
        <v>521</v>
      </c>
      <c r="E119" s="14" t="s">
        <v>173</v>
      </c>
      <c r="F119" s="14" t="s">
        <v>198</v>
      </c>
      <c r="G119" s="44">
        <v>2.0833333333333335E-4</v>
      </c>
      <c r="I119" s="58">
        <f>1250 * 0.000001 / 6</f>
        <v>2.0833333333333335E-4</v>
      </c>
      <c r="J119" s="44">
        <f>0.000208333333333333 / 2</f>
        <v>1.041666666666665E-4</v>
      </c>
      <c r="K119" s="44">
        <f>0.000208333333333333 / 2</f>
        <v>1.041666666666665E-4</v>
      </c>
      <c r="L119" s="1" t="s">
        <v>595</v>
      </c>
      <c r="M119" s="44">
        <f>0.000208333333333333 / 2</f>
        <v>1.041666666666665E-4</v>
      </c>
      <c r="N119" s="44"/>
      <c r="O119" s="44">
        <v>2.0833333333333335E-4</v>
      </c>
      <c r="P119" s="44">
        <v>2.0833333333333335E-4</v>
      </c>
      <c r="Q119" s="44">
        <v>2.0833333333333335E-4</v>
      </c>
      <c r="T119" s="44">
        <v>2.0833333333333335E-4</v>
      </c>
      <c r="U119" s="44">
        <v>2.0833333333333335E-4</v>
      </c>
      <c r="V119" s="44">
        <v>2.0833333333333335E-4</v>
      </c>
      <c r="W119" s="44">
        <v>2.0833333333333335E-4</v>
      </c>
      <c r="X119" s="44">
        <v>2.0833333333333335E-4</v>
      </c>
      <c r="Y119" s="44">
        <v>2.0833333333333335E-4</v>
      </c>
      <c r="Z119" s="44">
        <v>2.0833333333333335E-4</v>
      </c>
      <c r="AA119" s="44">
        <v>2.0833333333333335E-4</v>
      </c>
      <c r="AB119" s="44">
        <v>2.0833333333333335E-4</v>
      </c>
      <c r="AC119" s="44">
        <v>2.0833333333333335E-4</v>
      </c>
      <c r="AD119" s="44">
        <v>2.0833333333333335E-4</v>
      </c>
      <c r="AE119"/>
      <c r="AF119" s="44">
        <v>2.0833333333333335E-4</v>
      </c>
      <c r="AG119" s="44">
        <v>2.0833333333333335E-4</v>
      </c>
      <c r="AH119" s="44">
        <v>2.0833333333333335E-4</v>
      </c>
      <c r="AI119" s="44">
        <v>2.0833333333333335E-4</v>
      </c>
      <c r="AJ119" s="44">
        <v>2.0833333333333335E-4</v>
      </c>
      <c r="AK119" s="44">
        <v>2.0833333333333335E-4</v>
      </c>
      <c r="AL119" s="44">
        <v>2.0833333333333335E-4</v>
      </c>
      <c r="AM119"/>
      <c r="AN119" s="44">
        <v>2.0833333333333335E-4</v>
      </c>
      <c r="AO119" s="44">
        <v>2.0833333333333335E-4</v>
      </c>
      <c r="AP119" s="44">
        <v>2.0833333333333335E-4</v>
      </c>
      <c r="AQ119" s="44">
        <v>2.0833333333333335E-4</v>
      </c>
      <c r="AR119"/>
      <c r="AS119" s="44">
        <v>2.0833333333333335E-4</v>
      </c>
      <c r="AT119"/>
      <c r="AU119"/>
      <c r="AV119" s="44">
        <v>2.0833333333333335E-4</v>
      </c>
    </row>
    <row r="120" spans="1:48" x14ac:dyDescent="0.25">
      <c r="A120" s="13" t="s">
        <v>63</v>
      </c>
      <c r="B120" s="3" t="s">
        <v>473</v>
      </c>
      <c r="C120" s="3" t="s">
        <v>483</v>
      </c>
      <c r="D120" s="3" t="s">
        <v>521</v>
      </c>
      <c r="E120" s="14" t="s">
        <v>174</v>
      </c>
      <c r="F120" s="14" t="s">
        <v>110</v>
      </c>
      <c r="G120" s="44">
        <v>5.7899999999999998E-7</v>
      </c>
      <c r="I120" s="58"/>
      <c r="J120" s="44">
        <v>5.7899999999999998E-7</v>
      </c>
      <c r="K120" s="44">
        <v>5.7899999999999998E-7</v>
      </c>
      <c r="M120" s="44">
        <v>5.7899999999999998E-7</v>
      </c>
      <c r="N120" s="44"/>
      <c r="O120" s="44">
        <v>5.7899999999999998E-7</v>
      </c>
      <c r="P120" s="44">
        <v>5.7899999999999998E-7</v>
      </c>
      <c r="Q120" s="44">
        <v>5.7899999999999998E-7</v>
      </c>
      <c r="T120" s="44">
        <v>5.7899999999999998E-7</v>
      </c>
      <c r="U120" s="44">
        <v>5.7899999999999998E-7</v>
      </c>
      <c r="V120" s="44">
        <v>5.7899999999999998E-7</v>
      </c>
      <c r="W120" s="44">
        <v>5.7899999999999998E-7</v>
      </c>
      <c r="X120" s="44">
        <v>5.7899999999999998E-7</v>
      </c>
      <c r="Y120" s="44">
        <v>5.7899999999999998E-7</v>
      </c>
      <c r="Z120" s="44">
        <v>5.7899999999999998E-7</v>
      </c>
      <c r="AA120" s="44">
        <v>5.7899999999999998E-7</v>
      </c>
      <c r="AB120" s="44">
        <v>5.7899999999999998E-7</v>
      </c>
      <c r="AC120" s="44">
        <v>5.7899999999999998E-7</v>
      </c>
      <c r="AD120" s="44">
        <v>5.7899999999999998E-7</v>
      </c>
      <c r="AE120"/>
      <c r="AF120" s="44">
        <v>5.7899999999999998E-7</v>
      </c>
      <c r="AG120" s="44">
        <v>5.7899999999999998E-7</v>
      </c>
      <c r="AH120" s="44">
        <v>5.7899999999999998E-7</v>
      </c>
      <c r="AI120" s="44">
        <v>5.7899999999999998E-7</v>
      </c>
      <c r="AJ120" s="44">
        <v>5.7899999999999998E-7</v>
      </c>
      <c r="AK120" s="44">
        <v>5.7899999999999998E-7</v>
      </c>
      <c r="AL120" s="44">
        <v>5.7899999999999998E-7</v>
      </c>
      <c r="AM120"/>
      <c r="AN120" s="44">
        <v>5.7899999999999998E-7</v>
      </c>
      <c r="AO120" s="44">
        <v>5.7899999999999998E-7</v>
      </c>
      <c r="AP120" s="44">
        <v>5.7899999999999998E-7</v>
      </c>
      <c r="AQ120" s="44">
        <v>5.7899999999999998E-7</v>
      </c>
      <c r="AR120"/>
      <c r="AS120" s="44">
        <v>5.7899999999999998E-7</v>
      </c>
      <c r="AT120"/>
      <c r="AU120"/>
      <c r="AV120" s="44">
        <v>5.7899999999999998E-7</v>
      </c>
    </row>
    <row r="121" spans="1:48" x14ac:dyDescent="0.25">
      <c r="A121" s="13" t="s">
        <v>64</v>
      </c>
      <c r="B121" s="3" t="s">
        <v>473</v>
      </c>
      <c r="C121" s="3" t="s">
        <v>483</v>
      </c>
      <c r="D121" s="3" t="s">
        <v>521</v>
      </c>
      <c r="E121" s="14" t="s">
        <v>175</v>
      </c>
      <c r="F121" s="14" t="s">
        <v>198</v>
      </c>
      <c r="G121" s="44">
        <v>2.0833333333333335E-4</v>
      </c>
      <c r="I121" s="58"/>
      <c r="J121" s="44">
        <v>2.0833333333333335E-4</v>
      </c>
      <c r="K121" s="44">
        <v>2.0833333333333335E-4</v>
      </c>
      <c r="M121" s="44">
        <v>2.0833333333333335E-4</v>
      </c>
      <c r="N121" s="44"/>
      <c r="O121" s="44">
        <v>2.0833333333333335E-4</v>
      </c>
      <c r="P121" s="44">
        <v>2.0833333333333335E-4</v>
      </c>
      <c r="Q121" s="44">
        <v>2.0833333333333335E-4</v>
      </c>
      <c r="T121" s="44">
        <v>2.0833333333333335E-4</v>
      </c>
      <c r="U121" s="44">
        <v>2.0833333333333335E-4</v>
      </c>
      <c r="V121" s="44">
        <v>2.0833333333333335E-4</v>
      </c>
      <c r="W121" s="44">
        <v>2.0833333333333335E-4</v>
      </c>
      <c r="X121" s="44">
        <v>2.0833333333333335E-4</v>
      </c>
      <c r="Y121" s="44">
        <v>2.0833333333333335E-4</v>
      </c>
      <c r="Z121" s="44">
        <v>2.0833333333333335E-4</v>
      </c>
      <c r="AA121" s="44">
        <v>2.0833333333333335E-4</v>
      </c>
      <c r="AB121" s="44">
        <v>2.0833333333333335E-4</v>
      </c>
      <c r="AC121" s="44">
        <v>2.0833333333333335E-4</v>
      </c>
      <c r="AD121" s="44">
        <v>2.0833333333333335E-4</v>
      </c>
      <c r="AE121"/>
      <c r="AF121" s="44">
        <v>2.0833333333333335E-4</v>
      </c>
      <c r="AG121" s="44">
        <v>2.0833333333333335E-4</v>
      </c>
      <c r="AH121" s="44">
        <v>2.0833333333333335E-4</v>
      </c>
      <c r="AI121" s="44">
        <v>2.0833333333333335E-4</v>
      </c>
      <c r="AJ121" s="44">
        <v>2.0833333333333335E-4</v>
      </c>
      <c r="AK121" s="44">
        <v>2.0833333333333335E-4</v>
      </c>
      <c r="AL121" s="44">
        <v>2.0833333333333335E-4</v>
      </c>
      <c r="AM121"/>
      <c r="AN121" s="44">
        <v>2.0833333333333335E-4</v>
      </c>
      <c r="AO121" s="44">
        <v>2.0833333333333335E-4</v>
      </c>
      <c r="AP121" s="44">
        <v>2.0833333333333335E-4</v>
      </c>
      <c r="AQ121" s="44">
        <v>2.0833333333333335E-4</v>
      </c>
      <c r="AR121"/>
      <c r="AS121" s="44">
        <v>2.0833333333333335E-4</v>
      </c>
      <c r="AT121"/>
      <c r="AU121"/>
      <c r="AV121" s="44">
        <v>2.0833333333333335E-4</v>
      </c>
    </row>
    <row r="122" spans="1:48" x14ac:dyDescent="0.25">
      <c r="A122" s="13" t="s">
        <v>452</v>
      </c>
      <c r="B122" s="3" t="s">
        <v>473</v>
      </c>
      <c r="C122" s="3" t="s">
        <v>483</v>
      </c>
      <c r="D122" s="3" t="s">
        <v>521</v>
      </c>
      <c r="E122" s="14" t="s">
        <v>453</v>
      </c>
      <c r="F122" s="14" t="s">
        <v>198</v>
      </c>
      <c r="G122" s="44">
        <v>1.0000000000000001E-5</v>
      </c>
      <c r="I122" s="58"/>
      <c r="J122" s="44">
        <v>0</v>
      </c>
      <c r="K122" s="44">
        <v>0</v>
      </c>
      <c r="M122" s="44">
        <v>0</v>
      </c>
      <c r="N122" s="44"/>
      <c r="O122" s="44">
        <v>0</v>
      </c>
      <c r="P122" s="44">
        <v>0</v>
      </c>
      <c r="Q122" s="44">
        <v>0</v>
      </c>
      <c r="T122" s="44">
        <v>0</v>
      </c>
      <c r="U122" s="44">
        <v>0</v>
      </c>
      <c r="V122" s="44">
        <v>0</v>
      </c>
      <c r="W122" s="44">
        <v>0</v>
      </c>
      <c r="X122" s="44">
        <v>0</v>
      </c>
      <c r="Y122" s="44">
        <v>0</v>
      </c>
      <c r="Z122" s="44">
        <v>0</v>
      </c>
      <c r="AA122" s="44">
        <v>0</v>
      </c>
      <c r="AB122" s="44">
        <v>0</v>
      </c>
      <c r="AC122" s="44">
        <v>0</v>
      </c>
      <c r="AD122" s="44">
        <v>0</v>
      </c>
      <c r="AE122"/>
      <c r="AF122" s="44">
        <v>0</v>
      </c>
      <c r="AG122" s="44">
        <v>0</v>
      </c>
      <c r="AH122" s="44">
        <v>0</v>
      </c>
      <c r="AI122" s="44">
        <v>0</v>
      </c>
      <c r="AJ122" s="44">
        <v>0</v>
      </c>
      <c r="AK122" s="44">
        <v>0</v>
      </c>
      <c r="AL122" s="44">
        <v>0</v>
      </c>
      <c r="AM122"/>
      <c r="AN122" s="44">
        <v>0</v>
      </c>
      <c r="AO122" s="44">
        <v>0</v>
      </c>
      <c r="AP122" s="44">
        <v>0</v>
      </c>
      <c r="AQ122" s="44">
        <v>0</v>
      </c>
      <c r="AR122"/>
      <c r="AS122" s="44">
        <v>0</v>
      </c>
      <c r="AT122"/>
      <c r="AU122"/>
      <c r="AV122" s="44">
        <v>0</v>
      </c>
    </row>
    <row r="123" spans="1:48" x14ac:dyDescent="0.25">
      <c r="A123" s="13" t="s">
        <v>454</v>
      </c>
      <c r="B123" s="3" t="s">
        <v>473</v>
      </c>
      <c r="C123" s="3" t="s">
        <v>483</v>
      </c>
      <c r="D123" s="3" t="s">
        <v>521</v>
      </c>
      <c r="E123" s="14" t="s">
        <v>455</v>
      </c>
      <c r="F123" s="14" t="s">
        <v>198</v>
      </c>
      <c r="G123" s="44">
        <v>1.0000000000000001E-5</v>
      </c>
      <c r="I123" s="58"/>
      <c r="J123" s="44">
        <v>0</v>
      </c>
      <c r="K123" s="44">
        <v>0</v>
      </c>
      <c r="M123" s="44">
        <v>0</v>
      </c>
      <c r="N123" s="44"/>
      <c r="O123" s="44">
        <v>0</v>
      </c>
      <c r="P123" s="44">
        <v>0</v>
      </c>
      <c r="Q123" s="44">
        <v>0</v>
      </c>
      <c r="T123" s="44">
        <v>0</v>
      </c>
      <c r="U123" s="44">
        <v>0</v>
      </c>
      <c r="V123" s="44">
        <v>0</v>
      </c>
      <c r="W123" s="44">
        <v>0</v>
      </c>
      <c r="X123" s="44">
        <v>0</v>
      </c>
      <c r="Y123" s="44">
        <v>0</v>
      </c>
      <c r="Z123" s="44">
        <v>0</v>
      </c>
      <c r="AA123" s="44">
        <v>0</v>
      </c>
      <c r="AB123" s="44">
        <v>0</v>
      </c>
      <c r="AC123" s="44">
        <v>0</v>
      </c>
      <c r="AD123" s="44">
        <v>0</v>
      </c>
      <c r="AE123"/>
      <c r="AF123" s="44">
        <v>0</v>
      </c>
      <c r="AG123" s="44">
        <v>0</v>
      </c>
      <c r="AH123" s="44">
        <v>0</v>
      </c>
      <c r="AI123" s="44">
        <v>0</v>
      </c>
      <c r="AJ123" s="44">
        <v>0</v>
      </c>
      <c r="AK123" s="44">
        <v>0</v>
      </c>
      <c r="AL123" s="44">
        <v>0</v>
      </c>
      <c r="AM123"/>
      <c r="AN123" s="44">
        <v>0</v>
      </c>
      <c r="AO123" s="44">
        <v>0</v>
      </c>
      <c r="AP123" s="44">
        <v>0</v>
      </c>
      <c r="AQ123" s="44">
        <v>0</v>
      </c>
      <c r="AR123"/>
      <c r="AS123" s="44">
        <v>0</v>
      </c>
      <c r="AT123"/>
      <c r="AU123"/>
      <c r="AV123" s="44">
        <v>0</v>
      </c>
    </row>
    <row r="124" spans="1:48" x14ac:dyDescent="0.25">
      <c r="A124" s="38" t="s">
        <v>444</v>
      </c>
      <c r="B124" s="3" t="s">
        <v>473</v>
      </c>
      <c r="C124" s="3" t="s">
        <v>483</v>
      </c>
      <c r="D124" s="3" t="s">
        <v>521</v>
      </c>
      <c r="E124" s="39" t="s">
        <v>178</v>
      </c>
      <c r="F124" s="39" t="s">
        <v>179</v>
      </c>
      <c r="G124" s="44">
        <v>1.9999999999999999E-7</v>
      </c>
      <c r="I124" s="58"/>
      <c r="J124" s="44">
        <v>0</v>
      </c>
      <c r="K124" s="44">
        <v>0</v>
      </c>
      <c r="M124" s="44">
        <v>0</v>
      </c>
      <c r="N124" s="44"/>
      <c r="O124" s="44">
        <v>5.9999999999999997E-7</v>
      </c>
      <c r="P124" s="44">
        <v>5.9999999999999997E-7</v>
      </c>
      <c r="Q124" s="44">
        <v>5.9999999999999997E-7</v>
      </c>
      <c r="T124" s="44">
        <v>5.9999999999999997E-7</v>
      </c>
      <c r="U124" s="44">
        <v>5.9999999999999997E-7</v>
      </c>
      <c r="V124" s="44">
        <v>5.9999999999999997E-7</v>
      </c>
      <c r="W124" s="44">
        <v>5.9999999999999997E-7</v>
      </c>
      <c r="X124" s="44">
        <v>5.9999999999999997E-7</v>
      </c>
      <c r="Y124" s="44">
        <v>5.9999999999999997E-7</v>
      </c>
      <c r="Z124" s="44">
        <v>5.9999999999999997E-7</v>
      </c>
      <c r="AA124" s="44">
        <v>5.9999999999999997E-7</v>
      </c>
      <c r="AB124" s="44">
        <v>5.9999999999999997E-7</v>
      </c>
      <c r="AC124" s="44">
        <v>5.9999999999999997E-7</v>
      </c>
      <c r="AD124" s="44">
        <v>5.9999999999999997E-7</v>
      </c>
      <c r="AE124"/>
      <c r="AF124" s="44">
        <v>5.9999999999999997E-7</v>
      </c>
      <c r="AG124" s="44">
        <v>5.9999999999999997E-7</v>
      </c>
      <c r="AH124" s="44">
        <v>5.9999999999999997E-7</v>
      </c>
      <c r="AI124" s="44">
        <v>5.9999999999999997E-7</v>
      </c>
      <c r="AJ124" s="44">
        <v>5.9999999999999997E-7</v>
      </c>
      <c r="AK124" s="44">
        <v>5.9999999999999997E-7</v>
      </c>
      <c r="AL124" s="44">
        <v>5.9999999999999997E-7</v>
      </c>
      <c r="AM124"/>
      <c r="AN124" s="44">
        <v>5.9999999999999997E-7</v>
      </c>
      <c r="AO124" s="44">
        <v>5.9999999999999997E-7</v>
      </c>
      <c r="AP124" s="44">
        <v>5.9999999999999997E-7</v>
      </c>
      <c r="AQ124" s="44">
        <v>5.9999999999999997E-7</v>
      </c>
      <c r="AR124"/>
      <c r="AS124" s="44">
        <v>5.9999999999999997E-7</v>
      </c>
      <c r="AT124"/>
      <c r="AU124"/>
      <c r="AV124" s="44">
        <v>9.9999999999999995E-8</v>
      </c>
    </row>
    <row r="125" spans="1:48" x14ac:dyDescent="0.25">
      <c r="A125" s="38" t="s">
        <v>67</v>
      </c>
      <c r="B125" s="3" t="s">
        <v>473</v>
      </c>
      <c r="C125" s="3" t="s">
        <v>483</v>
      </c>
      <c r="D125" s="3" t="s">
        <v>521</v>
      </c>
      <c r="E125" s="39" t="s">
        <v>445</v>
      </c>
      <c r="F125" s="39" t="s">
        <v>446</v>
      </c>
      <c r="G125" s="44">
        <f>1000 * 0.000001 / 12</f>
        <v>8.3333333333333331E-5</v>
      </c>
      <c r="I125" s="58"/>
      <c r="J125" s="44">
        <f t="shared" ref="J125:AV125" si="12">1000 * 0.000001 / 12</f>
        <v>8.3333333333333331E-5</v>
      </c>
      <c r="K125" s="44">
        <f t="shared" si="12"/>
        <v>8.3333333333333331E-5</v>
      </c>
      <c r="M125" s="44">
        <f t="shared" si="12"/>
        <v>8.3333333333333331E-5</v>
      </c>
      <c r="N125" s="44"/>
      <c r="O125" s="44">
        <f t="shared" si="12"/>
        <v>8.3333333333333331E-5</v>
      </c>
      <c r="P125" s="44">
        <f t="shared" si="12"/>
        <v>8.3333333333333331E-5</v>
      </c>
      <c r="Q125" s="44">
        <f t="shared" si="12"/>
        <v>8.3333333333333331E-5</v>
      </c>
      <c r="T125" s="44">
        <f t="shared" si="12"/>
        <v>8.3333333333333331E-5</v>
      </c>
      <c r="U125" s="44">
        <f t="shared" si="12"/>
        <v>8.3333333333333331E-5</v>
      </c>
      <c r="V125" s="44">
        <f t="shared" si="12"/>
        <v>8.3333333333333331E-5</v>
      </c>
      <c r="W125" s="44">
        <f t="shared" si="12"/>
        <v>8.3333333333333331E-5</v>
      </c>
      <c r="X125" s="44">
        <f t="shared" si="12"/>
        <v>8.3333333333333331E-5</v>
      </c>
      <c r="Y125" s="44">
        <f t="shared" si="12"/>
        <v>8.3333333333333331E-5</v>
      </c>
      <c r="Z125" s="44">
        <f t="shared" si="12"/>
        <v>8.3333333333333331E-5</v>
      </c>
      <c r="AA125" s="44">
        <f t="shared" si="12"/>
        <v>8.3333333333333331E-5</v>
      </c>
      <c r="AB125" s="44">
        <f t="shared" si="12"/>
        <v>8.3333333333333331E-5</v>
      </c>
      <c r="AC125" s="44">
        <f t="shared" si="12"/>
        <v>8.3333333333333331E-5</v>
      </c>
      <c r="AD125" s="44">
        <f t="shared" si="12"/>
        <v>8.3333333333333331E-5</v>
      </c>
      <c r="AE125"/>
      <c r="AF125" s="44">
        <f t="shared" si="12"/>
        <v>8.3333333333333331E-5</v>
      </c>
      <c r="AG125" s="44">
        <f t="shared" si="12"/>
        <v>8.3333333333333331E-5</v>
      </c>
      <c r="AH125" s="44">
        <f t="shared" si="12"/>
        <v>8.3333333333333331E-5</v>
      </c>
      <c r="AI125" s="44">
        <f t="shared" si="12"/>
        <v>8.3333333333333331E-5</v>
      </c>
      <c r="AJ125" s="44">
        <f t="shared" si="12"/>
        <v>8.3333333333333331E-5</v>
      </c>
      <c r="AK125" s="44">
        <f t="shared" si="12"/>
        <v>8.3333333333333331E-5</v>
      </c>
      <c r="AL125" s="44">
        <f t="shared" si="12"/>
        <v>8.3333333333333331E-5</v>
      </c>
      <c r="AM125"/>
      <c r="AN125" s="44">
        <f t="shared" si="12"/>
        <v>8.3333333333333331E-5</v>
      </c>
      <c r="AO125" s="44">
        <f t="shared" si="12"/>
        <v>8.3333333333333331E-5</v>
      </c>
      <c r="AP125" s="44">
        <f t="shared" si="12"/>
        <v>8.3333333333333331E-5</v>
      </c>
      <c r="AQ125" s="44">
        <f t="shared" si="12"/>
        <v>8.3333333333333331E-5</v>
      </c>
      <c r="AR125"/>
      <c r="AS125" s="44">
        <f t="shared" si="12"/>
        <v>8.3333333333333331E-5</v>
      </c>
      <c r="AT125"/>
      <c r="AU125"/>
      <c r="AV125" s="44">
        <f t="shared" si="12"/>
        <v>8.3333333333333331E-5</v>
      </c>
    </row>
    <row r="126" spans="1:48" x14ac:dyDescent="0.25">
      <c r="A126" s="38" t="s">
        <v>448</v>
      </c>
      <c r="B126" s="3" t="s">
        <v>473</v>
      </c>
      <c r="C126" s="3" t="s">
        <v>483</v>
      </c>
      <c r="D126" s="3" t="s">
        <v>521</v>
      </c>
      <c r="E126" s="39" t="s">
        <v>449</v>
      </c>
      <c r="F126" s="39" t="s">
        <v>94</v>
      </c>
      <c r="G126" s="44" t="s">
        <v>87</v>
      </c>
      <c r="I126" s="58"/>
      <c r="J126" s="44" t="s">
        <v>86</v>
      </c>
      <c r="K126" s="44" t="s">
        <v>86</v>
      </c>
      <c r="M126" s="44" t="s">
        <v>86</v>
      </c>
      <c r="N126" s="44"/>
      <c r="O126" s="44" t="s">
        <v>86</v>
      </c>
      <c r="P126" s="44" t="s">
        <v>86</v>
      </c>
      <c r="Q126" s="44" t="s">
        <v>86</v>
      </c>
      <c r="T126" s="44" t="s">
        <v>86</v>
      </c>
      <c r="U126" s="44" t="s">
        <v>86</v>
      </c>
      <c r="V126" s="44" t="s">
        <v>86</v>
      </c>
      <c r="W126" s="44" t="s">
        <v>86</v>
      </c>
      <c r="X126" s="44" t="s">
        <v>86</v>
      </c>
      <c r="Y126" s="44" t="s">
        <v>86</v>
      </c>
      <c r="Z126" s="44" t="s">
        <v>86</v>
      </c>
      <c r="AA126" s="44" t="s">
        <v>86</v>
      </c>
      <c r="AB126" s="44" t="s">
        <v>86</v>
      </c>
      <c r="AC126" s="44" t="s">
        <v>86</v>
      </c>
      <c r="AD126" s="44" t="s">
        <v>86</v>
      </c>
      <c r="AE126"/>
      <c r="AF126" s="44" t="s">
        <v>86</v>
      </c>
      <c r="AG126" s="44" t="s">
        <v>86</v>
      </c>
      <c r="AH126" s="44" t="s">
        <v>86</v>
      </c>
      <c r="AI126" s="44" t="s">
        <v>86</v>
      </c>
      <c r="AJ126" s="44" t="s">
        <v>86</v>
      </c>
      <c r="AK126" s="44" t="s">
        <v>86</v>
      </c>
      <c r="AL126" s="44" t="s">
        <v>86</v>
      </c>
      <c r="AM126"/>
      <c r="AN126" s="44" t="s">
        <v>86</v>
      </c>
      <c r="AO126" s="44" t="s">
        <v>86</v>
      </c>
      <c r="AP126" s="44" t="s">
        <v>86</v>
      </c>
      <c r="AQ126" s="44" t="s">
        <v>86</v>
      </c>
      <c r="AR126"/>
      <c r="AS126" s="44" t="s">
        <v>86</v>
      </c>
      <c r="AT126"/>
      <c r="AU126"/>
      <c r="AV126" s="44" t="s">
        <v>86</v>
      </c>
    </row>
    <row r="127" spans="1:48" x14ac:dyDescent="0.25">
      <c r="A127" s="21" t="s">
        <v>66</v>
      </c>
      <c r="B127" s="3" t="s">
        <v>473</v>
      </c>
      <c r="C127" s="3" t="s">
        <v>483</v>
      </c>
      <c r="D127" s="3" t="s">
        <v>521</v>
      </c>
      <c r="E127" s="22" t="s">
        <v>177</v>
      </c>
      <c r="F127" s="22" t="s">
        <v>199</v>
      </c>
      <c r="G127" s="44">
        <v>5.0000000000000001E-4</v>
      </c>
      <c r="I127" s="58"/>
      <c r="J127" s="44">
        <v>5.0000000000000001E-4</v>
      </c>
      <c r="K127" s="44">
        <v>5.0000000000000001E-4</v>
      </c>
      <c r="M127" s="44">
        <v>5.0000000000000001E-4</v>
      </c>
      <c r="N127" s="44"/>
      <c r="O127" s="44">
        <v>5.0000000000000001E-4</v>
      </c>
      <c r="P127" s="44">
        <v>5.0000000000000001E-4</v>
      </c>
      <c r="Q127" s="44">
        <v>5.0000000000000001E-4</v>
      </c>
      <c r="T127" s="44">
        <v>5.0000000000000001E-4</v>
      </c>
      <c r="U127" s="44">
        <v>5.0000000000000001E-4</v>
      </c>
      <c r="V127" s="44">
        <v>5.0000000000000001E-4</v>
      </c>
      <c r="W127" s="44">
        <v>5.0000000000000001E-4</v>
      </c>
      <c r="X127" s="44">
        <v>5.0000000000000001E-4</v>
      </c>
      <c r="Y127" s="44">
        <v>5.0000000000000001E-4</v>
      </c>
      <c r="Z127" s="44">
        <v>5.0000000000000001E-4</v>
      </c>
      <c r="AA127" s="44">
        <v>5.0000000000000001E-4</v>
      </c>
      <c r="AB127" s="44">
        <v>5.0000000000000001E-4</v>
      </c>
      <c r="AC127" s="44">
        <v>5.0000000000000001E-4</v>
      </c>
      <c r="AD127" s="44">
        <v>5.0000000000000001E-4</v>
      </c>
      <c r="AE127"/>
      <c r="AF127" s="44">
        <v>5.0000000000000001E-4</v>
      </c>
      <c r="AG127" s="44">
        <v>5.0000000000000001E-4</v>
      </c>
      <c r="AH127" s="44">
        <v>5.0000000000000001E-4</v>
      </c>
      <c r="AI127" s="44">
        <v>5.0000000000000001E-4</v>
      </c>
      <c r="AJ127" s="44">
        <v>5.0000000000000001E-4</v>
      </c>
      <c r="AK127" s="44">
        <v>5.0000000000000001E-4</v>
      </c>
      <c r="AL127" s="44">
        <v>5.0000000000000001E-4</v>
      </c>
      <c r="AM127"/>
      <c r="AN127" s="44">
        <v>5.0000000000000001E-4</v>
      </c>
      <c r="AO127" s="44">
        <v>5.0000000000000001E-4</v>
      </c>
      <c r="AP127" s="44">
        <v>5.0000000000000001E-4</v>
      </c>
      <c r="AQ127" s="44">
        <v>5.0000000000000001E-4</v>
      </c>
      <c r="AR127"/>
      <c r="AS127" s="44">
        <v>5.0000000000000001E-4</v>
      </c>
      <c r="AT127"/>
      <c r="AU127"/>
      <c r="AV127" s="44">
        <v>5.0000000000000001E-4</v>
      </c>
    </row>
    <row r="128" spans="1:48" x14ac:dyDescent="0.25">
      <c r="A128" s="21" t="s">
        <v>441</v>
      </c>
      <c r="B128" s="3" t="s">
        <v>473</v>
      </c>
      <c r="C128" s="3" t="s">
        <v>483</v>
      </c>
      <c r="D128" s="3" t="s">
        <v>521</v>
      </c>
      <c r="E128" s="22" t="s">
        <v>442</v>
      </c>
      <c r="F128" s="22" t="s">
        <v>443</v>
      </c>
      <c r="G128" s="44">
        <v>1.0000000000000001E-9</v>
      </c>
      <c r="I128" s="58"/>
      <c r="J128" s="44">
        <f>0.00000000000003/2/2/2</f>
        <v>3.7499999999999998E-15</v>
      </c>
      <c r="K128" s="44">
        <f>0.00000000000003/2/2/2</f>
        <v>3.7499999999999998E-15</v>
      </c>
      <c r="M128" s="44">
        <f>0.00000000000003/2/2/2</f>
        <v>3.7499999999999998E-15</v>
      </c>
      <c r="N128" s="44"/>
      <c r="O128" s="44">
        <v>4.9999999999999999E-13</v>
      </c>
      <c r="P128" s="44">
        <v>4.9999999999999999E-13</v>
      </c>
      <c r="Q128" s="44">
        <v>4.9999999999999999E-13</v>
      </c>
      <c r="T128" s="44">
        <v>4.9999999999999999E-13</v>
      </c>
      <c r="U128" s="44">
        <v>4.9999999999999999E-13</v>
      </c>
      <c r="V128" s="44">
        <v>4.9999999999999999E-13</v>
      </c>
      <c r="W128" s="44">
        <v>4.9999999999999999E-13</v>
      </c>
      <c r="X128" s="44">
        <v>4.9999999999999999E-13</v>
      </c>
      <c r="Y128" s="44">
        <v>4.9999999999999999E-13</v>
      </c>
      <c r="Z128" s="44">
        <v>4.9999999999999999E-13</v>
      </c>
      <c r="AA128" s="44">
        <v>4.9999999999999999E-13</v>
      </c>
      <c r="AB128" s="44">
        <v>4.9999999999999999E-13</v>
      </c>
      <c r="AC128" s="44">
        <v>4.9999999999999999E-13</v>
      </c>
      <c r="AD128" s="44">
        <v>4.9999999999999999E-13</v>
      </c>
      <c r="AE128"/>
      <c r="AF128" s="44">
        <v>4.9999999999999999E-13</v>
      </c>
      <c r="AG128" s="44">
        <v>4.9999999999999999E-13</v>
      </c>
      <c r="AH128" s="44">
        <v>4.9999999999999999E-13</v>
      </c>
      <c r="AI128" s="44">
        <v>4.9999999999999999E-13</v>
      </c>
      <c r="AJ128" s="44">
        <v>4.9999999999999999E-13</v>
      </c>
      <c r="AK128" s="44">
        <v>4.9999999999999999E-13</v>
      </c>
      <c r="AL128" s="44">
        <v>4.9999999999999999E-13</v>
      </c>
      <c r="AM128"/>
      <c r="AN128" s="44">
        <v>4.9999999999999999E-13</v>
      </c>
      <c r="AO128" s="44">
        <v>4.9999999999999999E-13</v>
      </c>
      <c r="AP128" s="44">
        <v>4.9999999999999999E-13</v>
      </c>
      <c r="AQ128" s="44">
        <v>4.9999999999999999E-13</v>
      </c>
      <c r="AR128"/>
      <c r="AS128" s="44">
        <v>4.9999999999999999E-13</v>
      </c>
      <c r="AT128"/>
      <c r="AU128"/>
      <c r="AV128" s="44">
        <v>4.9999999999999999E-13</v>
      </c>
    </row>
    <row r="129" spans="1:48" x14ac:dyDescent="0.25">
      <c r="A129" s="21" t="s">
        <v>228</v>
      </c>
      <c r="B129" s="3" t="s">
        <v>473</v>
      </c>
      <c r="C129" s="3" t="s">
        <v>483</v>
      </c>
      <c r="D129" s="3" t="s">
        <v>521</v>
      </c>
      <c r="E129" s="22" t="s">
        <v>311</v>
      </c>
      <c r="F129" s="22" t="s">
        <v>109</v>
      </c>
      <c r="G129" s="44">
        <v>10</v>
      </c>
      <c r="I129" s="58"/>
      <c r="J129" s="44">
        <v>10</v>
      </c>
      <c r="K129" s="44">
        <v>10</v>
      </c>
      <c r="M129" s="44">
        <v>10</v>
      </c>
      <c r="N129" s="44"/>
      <c r="O129" s="44">
        <v>10</v>
      </c>
      <c r="P129" s="44">
        <v>10</v>
      </c>
      <c r="Q129" s="44">
        <v>10</v>
      </c>
      <c r="T129" s="44">
        <v>10</v>
      </c>
      <c r="U129" s="44">
        <v>10</v>
      </c>
      <c r="V129" s="44">
        <v>10</v>
      </c>
      <c r="W129" s="44">
        <v>10</v>
      </c>
      <c r="X129" s="44">
        <v>10</v>
      </c>
      <c r="Y129" s="44">
        <v>10</v>
      </c>
      <c r="Z129" s="44">
        <v>10</v>
      </c>
      <c r="AA129" s="44">
        <v>10</v>
      </c>
      <c r="AB129" s="44">
        <v>10</v>
      </c>
      <c r="AC129" s="44">
        <v>10</v>
      </c>
      <c r="AD129" s="44">
        <v>10</v>
      </c>
      <c r="AE129"/>
      <c r="AF129" s="44">
        <v>10</v>
      </c>
      <c r="AG129" s="44">
        <v>10</v>
      </c>
      <c r="AH129" s="44">
        <v>10</v>
      </c>
      <c r="AI129" s="44">
        <v>10</v>
      </c>
      <c r="AJ129" s="44">
        <v>10</v>
      </c>
      <c r="AK129" s="44">
        <v>10</v>
      </c>
      <c r="AL129" s="44">
        <v>10</v>
      </c>
      <c r="AM129"/>
      <c r="AN129" s="44">
        <v>10</v>
      </c>
      <c r="AO129" s="44">
        <v>10</v>
      </c>
      <c r="AP129" s="44">
        <v>10</v>
      </c>
      <c r="AQ129" s="44">
        <v>10</v>
      </c>
      <c r="AR129"/>
      <c r="AS129" s="44">
        <v>10</v>
      </c>
      <c r="AT129"/>
      <c r="AU129"/>
      <c r="AV129" s="44">
        <v>10</v>
      </c>
    </row>
    <row r="130" spans="1:48" x14ac:dyDescent="0.25">
      <c r="A130" s="21" t="s">
        <v>229</v>
      </c>
      <c r="B130" s="3" t="s">
        <v>473</v>
      </c>
      <c r="C130" s="3" t="s">
        <v>483</v>
      </c>
      <c r="D130" s="3" t="s">
        <v>521</v>
      </c>
      <c r="E130" s="22" t="s">
        <v>312</v>
      </c>
      <c r="F130" s="22" t="s">
        <v>301</v>
      </c>
      <c r="G130" s="44">
        <v>-0.04</v>
      </c>
      <c r="I130" s="58"/>
      <c r="J130" s="44">
        <v>-0.04</v>
      </c>
      <c r="K130" s="44">
        <v>-0.04</v>
      </c>
      <c r="M130" s="44">
        <v>-0.04</v>
      </c>
      <c r="N130" s="44"/>
      <c r="O130" s="44">
        <v>-0.04</v>
      </c>
      <c r="P130" s="44">
        <v>-0.04</v>
      </c>
      <c r="Q130" s="44">
        <v>-0.04</v>
      </c>
      <c r="T130" s="44">
        <v>-0.04</v>
      </c>
      <c r="U130" s="44">
        <v>-0.04</v>
      </c>
      <c r="V130" s="44">
        <v>-0.04</v>
      </c>
      <c r="W130" s="44">
        <v>-0.04</v>
      </c>
      <c r="X130" s="44">
        <v>-0.04</v>
      </c>
      <c r="Y130" s="44">
        <v>-0.04</v>
      </c>
      <c r="Z130" s="44">
        <v>-0.04</v>
      </c>
      <c r="AA130" s="44">
        <v>-0.04</v>
      </c>
      <c r="AB130" s="44">
        <v>-0.04</v>
      </c>
      <c r="AC130" s="44">
        <v>-0.04</v>
      </c>
      <c r="AD130" s="44">
        <v>-0.04</v>
      </c>
      <c r="AE130"/>
      <c r="AF130" s="44">
        <v>-0.04</v>
      </c>
      <c r="AG130" s="44">
        <v>-0.04</v>
      </c>
      <c r="AH130" s="44">
        <v>-0.04</v>
      </c>
      <c r="AI130" s="44">
        <v>-0.04</v>
      </c>
      <c r="AJ130" s="44">
        <v>-0.04</v>
      </c>
      <c r="AK130" s="44">
        <v>-0.04</v>
      </c>
      <c r="AL130" s="44">
        <v>-0.04</v>
      </c>
      <c r="AM130"/>
      <c r="AN130" s="44">
        <v>-0.04</v>
      </c>
      <c r="AO130" s="44">
        <v>-0.04</v>
      </c>
      <c r="AP130" s="44">
        <v>-0.04</v>
      </c>
      <c r="AQ130" s="44">
        <v>-0.04</v>
      </c>
      <c r="AR130"/>
      <c r="AS130" s="44">
        <v>-0.04</v>
      </c>
      <c r="AT130"/>
      <c r="AU130"/>
      <c r="AV130" s="44">
        <v>-0.04</v>
      </c>
    </row>
    <row r="131" spans="1:48" x14ac:dyDescent="0.25">
      <c r="A131" s="21" t="s">
        <v>230</v>
      </c>
      <c r="B131" s="3" t="s">
        <v>473</v>
      </c>
      <c r="C131" s="3" t="s">
        <v>483</v>
      </c>
      <c r="D131" s="3" t="s">
        <v>521</v>
      </c>
      <c r="E131" s="22" t="s">
        <v>313</v>
      </c>
      <c r="F131" s="22" t="s">
        <v>100</v>
      </c>
      <c r="G131" s="44">
        <v>2.9</v>
      </c>
      <c r="I131" s="58"/>
      <c r="J131" s="44">
        <v>2.9</v>
      </c>
      <c r="K131" s="44">
        <v>2.9</v>
      </c>
      <c r="M131" s="44">
        <v>2.9</v>
      </c>
      <c r="N131" s="44"/>
      <c r="O131" s="44">
        <v>2.9</v>
      </c>
      <c r="P131" s="44">
        <v>2.9</v>
      </c>
      <c r="Q131" s="44">
        <v>2.9</v>
      </c>
      <c r="T131" s="44">
        <v>2.9</v>
      </c>
      <c r="U131" s="44">
        <v>2.9</v>
      </c>
      <c r="V131" s="44">
        <v>2.9</v>
      </c>
      <c r="W131" s="44">
        <v>2.9</v>
      </c>
      <c r="X131" s="44">
        <v>2.9</v>
      </c>
      <c r="Y131" s="44">
        <v>2.9</v>
      </c>
      <c r="Z131" s="44">
        <v>2.9</v>
      </c>
      <c r="AA131" s="44">
        <v>2.9</v>
      </c>
      <c r="AB131" s="44">
        <v>2.9</v>
      </c>
      <c r="AC131" s="44">
        <v>2.9</v>
      </c>
      <c r="AD131" s="44">
        <v>2.9</v>
      </c>
      <c r="AE131"/>
      <c r="AF131" s="44">
        <v>2.9</v>
      </c>
      <c r="AG131" s="44">
        <v>2.9</v>
      </c>
      <c r="AH131" s="44">
        <v>2.9</v>
      </c>
      <c r="AI131" s="44">
        <v>2.9</v>
      </c>
      <c r="AJ131" s="44">
        <v>2.9</v>
      </c>
      <c r="AK131" s="44">
        <v>2.9</v>
      </c>
      <c r="AL131" s="44">
        <v>2.9</v>
      </c>
      <c r="AM131"/>
      <c r="AN131" s="44">
        <v>2.9</v>
      </c>
      <c r="AO131" s="44">
        <v>2.9</v>
      </c>
      <c r="AP131" s="44">
        <v>2.9</v>
      </c>
      <c r="AQ131" s="44">
        <v>2.9</v>
      </c>
      <c r="AR131"/>
      <c r="AS131" s="44">
        <v>2.9</v>
      </c>
      <c r="AT131"/>
      <c r="AU131"/>
      <c r="AV131" s="44">
        <v>2.9</v>
      </c>
    </row>
    <row r="132" spans="1:48" x14ac:dyDescent="0.25">
      <c r="A132" s="21" t="s">
        <v>231</v>
      </c>
      <c r="B132" s="3" t="s">
        <v>473</v>
      </c>
      <c r="C132" s="3" t="s">
        <v>483</v>
      </c>
      <c r="D132" s="3" t="s">
        <v>521</v>
      </c>
      <c r="E132" s="22" t="s">
        <v>314</v>
      </c>
      <c r="F132" s="22" t="s">
        <v>95</v>
      </c>
      <c r="G132" s="44">
        <v>1</v>
      </c>
      <c r="I132" s="58"/>
      <c r="J132" s="44">
        <v>1</v>
      </c>
      <c r="K132" s="44">
        <v>1</v>
      </c>
      <c r="M132" s="44">
        <v>1</v>
      </c>
      <c r="N132" s="44"/>
      <c r="O132" s="44">
        <v>1</v>
      </c>
      <c r="P132" s="44">
        <v>1</v>
      </c>
      <c r="Q132" s="44">
        <v>1</v>
      </c>
      <c r="T132" s="44">
        <v>1</v>
      </c>
      <c r="U132" s="44">
        <v>1</v>
      </c>
      <c r="V132" s="44">
        <v>1</v>
      </c>
      <c r="W132" s="44">
        <v>1</v>
      </c>
      <c r="X132" s="44">
        <v>1</v>
      </c>
      <c r="Y132" s="44">
        <v>1</v>
      </c>
      <c r="Z132" s="44">
        <v>1</v>
      </c>
      <c r="AA132" s="44">
        <v>1</v>
      </c>
      <c r="AB132" s="44">
        <v>1</v>
      </c>
      <c r="AC132" s="44">
        <v>1</v>
      </c>
      <c r="AD132" s="44">
        <v>1</v>
      </c>
      <c r="AE132"/>
      <c r="AF132" s="44">
        <v>1</v>
      </c>
      <c r="AG132" s="44">
        <v>1</v>
      </c>
      <c r="AH132" s="44">
        <v>1</v>
      </c>
      <c r="AI132" s="44">
        <v>1</v>
      </c>
      <c r="AJ132" s="44">
        <v>1</v>
      </c>
      <c r="AK132" s="44">
        <v>1</v>
      </c>
      <c r="AL132" s="44">
        <v>1</v>
      </c>
      <c r="AM132"/>
      <c r="AN132" s="44">
        <v>1</v>
      </c>
      <c r="AO132" s="44">
        <v>1</v>
      </c>
      <c r="AP132" s="44">
        <v>1</v>
      </c>
      <c r="AQ132" s="44">
        <v>1</v>
      </c>
      <c r="AR132"/>
      <c r="AS132" s="44">
        <v>1</v>
      </c>
      <c r="AT132"/>
      <c r="AU132"/>
      <c r="AV132" s="44">
        <v>1</v>
      </c>
    </row>
    <row r="133" spans="1:48" x14ac:dyDescent="0.25">
      <c r="A133" s="21" t="s">
        <v>68</v>
      </c>
      <c r="B133" s="3" t="s">
        <v>473</v>
      </c>
      <c r="C133" s="3" t="s">
        <v>483</v>
      </c>
      <c r="D133" s="3" t="s">
        <v>521</v>
      </c>
      <c r="E133" s="22" t="s">
        <v>178</v>
      </c>
      <c r="F133" s="22" t="s">
        <v>179</v>
      </c>
      <c r="G133" s="44">
        <v>6.0000000000000002E-5</v>
      </c>
      <c r="I133" s="58"/>
      <c r="J133" s="44">
        <v>1.9999999999999999E-7</v>
      </c>
      <c r="K133" s="44">
        <v>1.9999999999999999E-7</v>
      </c>
      <c r="M133" s="44">
        <v>1.9999999999999999E-7</v>
      </c>
      <c r="N133" s="44"/>
      <c r="O133" s="44">
        <v>1.9999999999999999E-7</v>
      </c>
      <c r="P133" s="44">
        <v>1.9999999999999999E-7</v>
      </c>
      <c r="Q133" s="44">
        <v>1.9999999999999999E-7</v>
      </c>
      <c r="T133" s="44">
        <v>1.9999999999999999E-7</v>
      </c>
      <c r="U133" s="44">
        <v>1.9999999999999999E-7</v>
      </c>
      <c r="V133" s="44">
        <v>1.9999999999999999E-7</v>
      </c>
      <c r="W133" s="44">
        <v>1.9999999999999999E-7</v>
      </c>
      <c r="X133" s="44">
        <v>1.9999999999999999E-7</v>
      </c>
      <c r="Y133" s="44">
        <v>1.9999999999999999E-7</v>
      </c>
      <c r="Z133" s="44">
        <v>1.9999999999999999E-7</v>
      </c>
      <c r="AA133" s="44">
        <v>1.9999999999999999E-7</v>
      </c>
      <c r="AB133" s="44">
        <v>1.9999999999999999E-7</v>
      </c>
      <c r="AC133" s="44">
        <v>1.9999999999999999E-7</v>
      </c>
      <c r="AD133" s="44">
        <v>1.9999999999999999E-7</v>
      </c>
      <c r="AE133"/>
      <c r="AF133" s="44">
        <v>1.9999999999999999E-7</v>
      </c>
      <c r="AG133" s="44">
        <v>1.9999999999999999E-7</v>
      </c>
      <c r="AH133" s="44">
        <v>1.9999999999999999E-7</v>
      </c>
      <c r="AI133" s="44">
        <v>1.9999999999999999E-7</v>
      </c>
      <c r="AJ133" s="44">
        <v>1.9999999999999999E-7</v>
      </c>
      <c r="AK133" s="44">
        <v>1.9999999999999999E-7</v>
      </c>
      <c r="AL133" s="44">
        <v>1.9999999999999999E-7</v>
      </c>
      <c r="AM133"/>
      <c r="AN133" s="44">
        <v>1.9999999999999999E-7</v>
      </c>
      <c r="AO133" s="44">
        <v>1.9999999999999999E-7</v>
      </c>
      <c r="AP133" s="44">
        <v>1.9999999999999999E-7</v>
      </c>
      <c r="AQ133" s="44">
        <v>1.9999999999999999E-7</v>
      </c>
      <c r="AR133"/>
      <c r="AS133" s="44">
        <v>1.9999999999999999E-7</v>
      </c>
      <c r="AT133"/>
      <c r="AU133"/>
      <c r="AV133" s="44">
        <v>1.9999999999999999E-7</v>
      </c>
    </row>
    <row r="134" spans="1:48" x14ac:dyDescent="0.25">
      <c r="A134" s="21" t="s">
        <v>522</v>
      </c>
      <c r="B134" s="3" t="s">
        <v>473</v>
      </c>
      <c r="C134" s="3" t="s">
        <v>483</v>
      </c>
      <c r="D134" s="3" t="s">
        <v>521</v>
      </c>
      <c r="E134" s="22" t="s">
        <v>315</v>
      </c>
      <c r="F134" s="22" t="s">
        <v>109</v>
      </c>
      <c r="G134" s="44">
        <v>1.9999999999999999E-7</v>
      </c>
      <c r="I134" s="60"/>
      <c r="J134" s="55">
        <v>0</v>
      </c>
      <c r="K134" s="55">
        <v>0</v>
      </c>
      <c r="M134" s="55">
        <v>0</v>
      </c>
      <c r="N134" s="55"/>
      <c r="O134" s="44">
        <v>1.9999999999999999E-7</v>
      </c>
      <c r="P134" s="44">
        <v>1.9999999999999999E-7</v>
      </c>
      <c r="Q134" s="44">
        <v>1.9999999999999999E-7</v>
      </c>
      <c r="T134" s="44">
        <v>1.9999999999999999E-7</v>
      </c>
      <c r="U134" s="44">
        <v>1.9999999999999999E-7</v>
      </c>
      <c r="V134" s="44">
        <v>1.9999999999999999E-7</v>
      </c>
      <c r="W134" s="44">
        <v>1.9999999999999999E-7</v>
      </c>
      <c r="X134" s="44">
        <v>1.9999999999999999E-7</v>
      </c>
      <c r="Y134" s="44">
        <v>1.9999999999999999E-7</v>
      </c>
      <c r="Z134" s="44">
        <v>1.9999999999999999E-7</v>
      </c>
      <c r="AA134" s="44">
        <v>1.9999999999999999E-7</v>
      </c>
      <c r="AB134" s="44">
        <v>1.9999999999999999E-7</v>
      </c>
      <c r="AC134" s="44">
        <v>1.9999999999999999E-7</v>
      </c>
      <c r="AD134" s="44">
        <v>1.9999999999999999E-7</v>
      </c>
      <c r="AE134"/>
      <c r="AF134" s="44">
        <v>1.9999999999999999E-7</v>
      </c>
      <c r="AG134" s="44">
        <v>1.9999999999999999E-7</v>
      </c>
      <c r="AH134" s="44">
        <v>1.9999999999999999E-7</v>
      </c>
      <c r="AI134" s="44">
        <v>1.9999999999999999E-7</v>
      </c>
      <c r="AJ134" s="44">
        <v>1.9999999999999999E-7</v>
      </c>
      <c r="AK134" s="44">
        <v>1.9999999999999999E-7</v>
      </c>
      <c r="AL134" s="44">
        <v>1.9999999999999999E-7</v>
      </c>
      <c r="AM134"/>
      <c r="AN134" s="44">
        <v>1.9999999999999999E-7</v>
      </c>
      <c r="AO134" s="44">
        <v>1.9999999999999999E-7</v>
      </c>
      <c r="AP134" s="44">
        <v>1.9999999999999999E-7</v>
      </c>
      <c r="AQ134" s="44">
        <v>1.9999999999999999E-7</v>
      </c>
      <c r="AR134"/>
      <c r="AS134" s="44">
        <v>1.9999999999999999E-7</v>
      </c>
      <c r="AT134"/>
      <c r="AU134"/>
      <c r="AV134" s="44">
        <v>1.9999999999999999E-7</v>
      </c>
    </row>
    <row r="135" spans="1:48" x14ac:dyDescent="0.25">
      <c r="A135" s="21" t="s">
        <v>232</v>
      </c>
      <c r="B135" s="3" t="s">
        <v>473</v>
      </c>
      <c r="C135" s="3" t="s">
        <v>483</v>
      </c>
      <c r="D135" s="3" t="s">
        <v>521</v>
      </c>
      <c r="E135" s="22" t="s">
        <v>315</v>
      </c>
      <c r="F135" s="22" t="s">
        <v>109</v>
      </c>
      <c r="G135" s="44">
        <v>10</v>
      </c>
      <c r="I135" s="58"/>
      <c r="J135" s="44">
        <v>10</v>
      </c>
      <c r="K135" s="44">
        <v>10</v>
      </c>
      <c r="M135" s="44">
        <v>10</v>
      </c>
      <c r="N135" s="44"/>
      <c r="O135" s="44">
        <v>10</v>
      </c>
      <c r="P135" s="44">
        <v>10</v>
      </c>
      <c r="Q135" s="44">
        <v>10</v>
      </c>
      <c r="T135" s="44">
        <v>10</v>
      </c>
      <c r="U135" s="44">
        <v>10</v>
      </c>
      <c r="V135" s="44">
        <v>10</v>
      </c>
      <c r="W135" s="44">
        <v>10</v>
      </c>
      <c r="X135" s="44">
        <v>10</v>
      </c>
      <c r="Y135" s="44">
        <v>10</v>
      </c>
      <c r="Z135" s="44">
        <v>10</v>
      </c>
      <c r="AA135" s="44">
        <v>10</v>
      </c>
      <c r="AB135" s="44">
        <v>10</v>
      </c>
      <c r="AC135" s="44">
        <v>10</v>
      </c>
      <c r="AD135" s="44">
        <v>10</v>
      </c>
      <c r="AE135"/>
      <c r="AF135" s="44">
        <v>10</v>
      </c>
      <c r="AG135" s="44">
        <v>10</v>
      </c>
      <c r="AH135" s="44">
        <v>10</v>
      </c>
      <c r="AI135" s="44">
        <v>10</v>
      </c>
      <c r="AJ135" s="44">
        <v>10</v>
      </c>
      <c r="AK135" s="44">
        <v>10</v>
      </c>
      <c r="AL135" s="44">
        <v>10</v>
      </c>
      <c r="AM135"/>
      <c r="AN135" s="44">
        <v>10</v>
      </c>
      <c r="AO135" s="44">
        <v>10</v>
      </c>
      <c r="AP135" s="44">
        <v>10</v>
      </c>
      <c r="AQ135" s="44">
        <v>10</v>
      </c>
      <c r="AR135"/>
      <c r="AS135" s="44">
        <v>10</v>
      </c>
      <c r="AT135"/>
      <c r="AU135"/>
      <c r="AV135" s="44">
        <v>10</v>
      </c>
    </row>
    <row r="136" spans="1:48" x14ac:dyDescent="0.25">
      <c r="A136" s="21" t="s">
        <v>233</v>
      </c>
      <c r="B136" s="3" t="s">
        <v>473</v>
      </c>
      <c r="C136" s="3" t="s">
        <v>483</v>
      </c>
      <c r="D136" s="3" t="s">
        <v>521</v>
      </c>
      <c r="E136" s="22" t="s">
        <v>316</v>
      </c>
      <c r="F136" s="22" t="s">
        <v>301</v>
      </c>
      <c r="G136" s="44">
        <v>-0.04</v>
      </c>
      <c r="I136" s="58"/>
      <c r="J136" s="44">
        <v>-0.04</v>
      </c>
      <c r="K136" s="44">
        <v>-0.04</v>
      </c>
      <c r="M136" s="44">
        <v>-0.04</v>
      </c>
      <c r="N136" s="44"/>
      <c r="O136" s="44">
        <v>-0.04</v>
      </c>
      <c r="P136" s="44">
        <v>-0.04</v>
      </c>
      <c r="Q136" s="44">
        <v>-0.04</v>
      </c>
      <c r="T136" s="44">
        <v>-0.04</v>
      </c>
      <c r="U136" s="44">
        <v>-0.04</v>
      </c>
      <c r="V136" s="44">
        <v>-0.04</v>
      </c>
      <c r="W136" s="44">
        <v>-0.04</v>
      </c>
      <c r="X136" s="44">
        <v>-0.04</v>
      </c>
      <c r="Y136" s="44">
        <v>-0.04</v>
      </c>
      <c r="Z136" s="44">
        <v>-0.04</v>
      </c>
      <c r="AA136" s="44">
        <v>-0.04</v>
      </c>
      <c r="AB136" s="44">
        <v>-0.04</v>
      </c>
      <c r="AC136" s="44">
        <v>-0.04</v>
      </c>
      <c r="AD136" s="44">
        <v>-0.04</v>
      </c>
      <c r="AE136"/>
      <c r="AF136" s="44">
        <v>-0.04</v>
      </c>
      <c r="AG136" s="44">
        <v>-0.04</v>
      </c>
      <c r="AH136" s="44">
        <v>-0.04</v>
      </c>
      <c r="AI136" s="44">
        <v>-0.04</v>
      </c>
      <c r="AJ136" s="44">
        <v>-0.04</v>
      </c>
      <c r="AK136" s="44">
        <v>-0.04</v>
      </c>
      <c r="AL136" s="44">
        <v>-0.04</v>
      </c>
      <c r="AM136"/>
      <c r="AN136" s="44">
        <v>-0.04</v>
      </c>
      <c r="AO136" s="44">
        <v>-0.04</v>
      </c>
      <c r="AP136" s="44">
        <v>-0.04</v>
      </c>
      <c r="AQ136" s="44">
        <v>-0.04</v>
      </c>
      <c r="AR136"/>
      <c r="AS136" s="44">
        <v>-0.04</v>
      </c>
      <c r="AT136"/>
      <c r="AU136"/>
      <c r="AV136" s="44">
        <v>-0.04</v>
      </c>
    </row>
    <row r="137" spans="1:48" x14ac:dyDescent="0.25">
      <c r="A137" s="21" t="s">
        <v>234</v>
      </c>
      <c r="B137" s="3" t="s">
        <v>473</v>
      </c>
      <c r="C137" s="3" t="s">
        <v>483</v>
      </c>
      <c r="D137" s="3" t="s">
        <v>521</v>
      </c>
      <c r="E137" s="22" t="s">
        <v>317</v>
      </c>
      <c r="F137" s="22" t="s">
        <v>100</v>
      </c>
      <c r="G137" s="44">
        <v>2.9</v>
      </c>
      <c r="I137" s="58"/>
      <c r="J137" s="44">
        <v>2.9</v>
      </c>
      <c r="K137" s="44">
        <v>2.9</v>
      </c>
      <c r="M137" s="44">
        <v>2.9</v>
      </c>
      <c r="N137" s="44"/>
      <c r="O137" s="44">
        <v>2.9</v>
      </c>
      <c r="P137" s="44">
        <v>2.9</v>
      </c>
      <c r="Q137" s="44">
        <v>2.9</v>
      </c>
      <c r="T137" s="44">
        <v>2.9</v>
      </c>
      <c r="U137" s="44">
        <v>2.9</v>
      </c>
      <c r="V137" s="44">
        <v>2.9</v>
      </c>
      <c r="W137" s="44">
        <v>2.9</v>
      </c>
      <c r="X137" s="44">
        <v>2.9</v>
      </c>
      <c r="Y137" s="44">
        <v>2.9</v>
      </c>
      <c r="Z137" s="44">
        <v>2.9</v>
      </c>
      <c r="AA137" s="44">
        <v>2.9</v>
      </c>
      <c r="AB137" s="44">
        <v>2.9</v>
      </c>
      <c r="AC137" s="44">
        <v>2.9</v>
      </c>
      <c r="AD137" s="44">
        <v>2.9</v>
      </c>
      <c r="AE137"/>
      <c r="AF137" s="44">
        <v>2.9</v>
      </c>
      <c r="AG137" s="44">
        <v>2.9</v>
      </c>
      <c r="AH137" s="44">
        <v>2.9</v>
      </c>
      <c r="AI137" s="44">
        <v>2.9</v>
      </c>
      <c r="AJ137" s="44">
        <v>2.9</v>
      </c>
      <c r="AK137" s="44">
        <v>2.9</v>
      </c>
      <c r="AL137" s="44">
        <v>2.9</v>
      </c>
      <c r="AM137"/>
      <c r="AN137" s="44">
        <v>2.9</v>
      </c>
      <c r="AO137" s="44">
        <v>2.9</v>
      </c>
      <c r="AP137" s="44">
        <v>2.9</v>
      </c>
      <c r="AQ137" s="44">
        <v>2.9</v>
      </c>
      <c r="AR137"/>
      <c r="AS137" s="44">
        <v>2.9</v>
      </c>
      <c r="AT137"/>
      <c r="AU137"/>
      <c r="AV137" s="44">
        <v>2.9</v>
      </c>
    </row>
    <row r="138" spans="1:48" x14ac:dyDescent="0.25">
      <c r="A138" s="21" t="s">
        <v>235</v>
      </c>
      <c r="B138" s="3" t="s">
        <v>473</v>
      </c>
      <c r="C138" s="3" t="s">
        <v>483</v>
      </c>
      <c r="D138" s="3" t="s">
        <v>521</v>
      </c>
      <c r="E138" s="22" t="s">
        <v>318</v>
      </c>
      <c r="F138" s="22" t="s">
        <v>95</v>
      </c>
      <c r="G138" s="44">
        <v>1</v>
      </c>
      <c r="I138" s="58"/>
      <c r="J138" s="44">
        <v>1</v>
      </c>
      <c r="K138" s="44">
        <v>1</v>
      </c>
      <c r="M138" s="44">
        <v>1</v>
      </c>
      <c r="N138" s="44"/>
      <c r="O138" s="44">
        <v>1</v>
      </c>
      <c r="P138" s="44">
        <v>1</v>
      </c>
      <c r="Q138" s="44">
        <v>1</v>
      </c>
      <c r="T138" s="44">
        <v>1</v>
      </c>
      <c r="U138" s="44">
        <v>1</v>
      </c>
      <c r="V138" s="44">
        <v>1</v>
      </c>
      <c r="W138" s="44">
        <v>1</v>
      </c>
      <c r="X138" s="44">
        <v>1</v>
      </c>
      <c r="Y138" s="44">
        <v>1</v>
      </c>
      <c r="Z138" s="44">
        <v>1</v>
      </c>
      <c r="AA138" s="44">
        <v>1</v>
      </c>
      <c r="AB138" s="44">
        <v>1</v>
      </c>
      <c r="AC138" s="44">
        <v>1</v>
      </c>
      <c r="AD138" s="44">
        <v>1</v>
      </c>
      <c r="AE138"/>
      <c r="AF138" s="44">
        <v>1</v>
      </c>
      <c r="AG138" s="44">
        <v>1</v>
      </c>
      <c r="AH138" s="44">
        <v>1</v>
      </c>
      <c r="AI138" s="44">
        <v>1</v>
      </c>
      <c r="AJ138" s="44">
        <v>1</v>
      </c>
      <c r="AK138" s="44">
        <v>1</v>
      </c>
      <c r="AL138" s="44">
        <v>1</v>
      </c>
      <c r="AM138"/>
      <c r="AN138" s="44">
        <v>1</v>
      </c>
      <c r="AO138" s="44">
        <v>1</v>
      </c>
      <c r="AP138" s="44">
        <v>1</v>
      </c>
      <c r="AQ138" s="44">
        <v>1</v>
      </c>
      <c r="AR138"/>
      <c r="AS138" s="44">
        <v>1</v>
      </c>
      <c r="AT138"/>
      <c r="AU138"/>
      <c r="AV138" s="44">
        <v>1</v>
      </c>
    </row>
    <row r="139" spans="1:48" x14ac:dyDescent="0.25">
      <c r="A139" s="21" t="s">
        <v>69</v>
      </c>
      <c r="B139" s="3" t="s">
        <v>473</v>
      </c>
      <c r="C139" s="3" t="s">
        <v>483</v>
      </c>
      <c r="D139" s="3" t="s">
        <v>521</v>
      </c>
      <c r="E139" s="22" t="s">
        <v>180</v>
      </c>
      <c r="F139" s="22" t="s">
        <v>100</v>
      </c>
      <c r="G139" s="44">
        <v>0</v>
      </c>
      <c r="I139" s="58"/>
      <c r="J139" s="44">
        <v>0</v>
      </c>
      <c r="K139" s="44">
        <v>0</v>
      </c>
      <c r="M139" s="44">
        <v>0</v>
      </c>
      <c r="N139" s="44"/>
      <c r="O139" s="44">
        <v>0</v>
      </c>
      <c r="P139" s="44">
        <v>0</v>
      </c>
      <c r="Q139" s="44">
        <v>0</v>
      </c>
      <c r="T139" s="44">
        <v>0</v>
      </c>
      <c r="U139" s="44">
        <v>0</v>
      </c>
      <c r="V139" s="44">
        <v>0</v>
      </c>
      <c r="W139" s="44">
        <v>0</v>
      </c>
      <c r="X139" s="44">
        <v>0</v>
      </c>
      <c r="Y139" s="44">
        <v>0</v>
      </c>
      <c r="Z139" s="44">
        <v>0</v>
      </c>
      <c r="AA139" s="44">
        <v>0</v>
      </c>
      <c r="AB139" s="44">
        <v>0</v>
      </c>
      <c r="AC139" s="44">
        <v>0</v>
      </c>
      <c r="AD139" s="44">
        <v>0</v>
      </c>
      <c r="AE139"/>
      <c r="AF139" s="44">
        <v>0</v>
      </c>
      <c r="AG139" s="44">
        <v>0</v>
      </c>
      <c r="AH139" s="44">
        <v>0</v>
      </c>
      <c r="AI139" s="44">
        <v>0</v>
      </c>
      <c r="AJ139" s="44">
        <v>0</v>
      </c>
      <c r="AK139" s="44">
        <v>0</v>
      </c>
      <c r="AL139" s="44">
        <v>0</v>
      </c>
      <c r="AM139"/>
      <c r="AN139" s="44">
        <v>0</v>
      </c>
      <c r="AO139" s="44">
        <v>0</v>
      </c>
      <c r="AP139" s="44">
        <v>0</v>
      </c>
      <c r="AQ139" s="44">
        <v>0</v>
      </c>
      <c r="AR139"/>
      <c r="AS139" s="44">
        <v>0</v>
      </c>
      <c r="AT139"/>
      <c r="AU139"/>
      <c r="AV139" s="44">
        <v>0</v>
      </c>
    </row>
    <row r="140" spans="1:48" x14ac:dyDescent="0.25">
      <c r="A140" s="40" t="s">
        <v>70</v>
      </c>
      <c r="B140" s="3" t="s">
        <v>473</v>
      </c>
      <c r="C140" s="3" t="s">
        <v>483</v>
      </c>
      <c r="D140" s="3" t="s">
        <v>521</v>
      </c>
      <c r="E140" s="41" t="s">
        <v>181</v>
      </c>
      <c r="F140" s="41" t="s">
        <v>198</v>
      </c>
      <c r="G140" s="44">
        <v>1.6666666666666666E-4</v>
      </c>
      <c r="I140" s="58"/>
      <c r="J140" s="44">
        <v>5.0000000000000004E-6</v>
      </c>
      <c r="K140" s="44">
        <v>5.0000000000000004E-6</v>
      </c>
      <c r="M140" s="44">
        <v>5.0000000000000004E-6</v>
      </c>
      <c r="N140" s="44"/>
      <c r="O140" s="44">
        <v>5.0000000000000004E-6</v>
      </c>
      <c r="P140" s="44">
        <v>5.0000000000000004E-6</v>
      </c>
      <c r="Q140" s="44">
        <v>5.0000000000000004E-6</v>
      </c>
      <c r="T140" s="44">
        <v>5.0000000000000004E-6</v>
      </c>
      <c r="U140" s="44">
        <v>5.0000000000000004E-6</v>
      </c>
      <c r="V140" s="44">
        <v>5.0000000000000004E-6</v>
      </c>
      <c r="W140" s="44">
        <v>5.0000000000000004E-6</v>
      </c>
      <c r="X140" s="44">
        <v>5.0000000000000004E-6</v>
      </c>
      <c r="Y140" s="44">
        <v>5.0000000000000004E-6</v>
      </c>
      <c r="Z140" s="44">
        <v>5.0000000000000004E-6</v>
      </c>
      <c r="AA140" s="44">
        <v>5.0000000000000004E-6</v>
      </c>
      <c r="AB140" s="44">
        <v>5.0000000000000004E-6</v>
      </c>
      <c r="AC140" s="44">
        <v>5.0000000000000004E-6</v>
      </c>
      <c r="AD140" s="44">
        <v>5.0000000000000004E-6</v>
      </c>
      <c r="AE140"/>
      <c r="AF140" s="44">
        <v>5.0000000000000004E-6</v>
      </c>
      <c r="AG140" s="44">
        <v>5.0000000000000004E-6</v>
      </c>
      <c r="AH140" s="44">
        <v>5.0000000000000004E-6</v>
      </c>
      <c r="AI140" s="44">
        <v>5.0000000000000004E-6</v>
      </c>
      <c r="AJ140" s="44">
        <v>5.0000000000000004E-6</v>
      </c>
      <c r="AK140" s="44">
        <v>5.0000000000000004E-6</v>
      </c>
      <c r="AL140" s="44">
        <v>5.0000000000000004E-6</v>
      </c>
      <c r="AM140"/>
      <c r="AN140" s="44">
        <v>5.0000000000000004E-6</v>
      </c>
      <c r="AO140" s="44">
        <v>5.0000000000000004E-6</v>
      </c>
      <c r="AP140" s="44">
        <v>5.0000000000000004E-6</v>
      </c>
      <c r="AQ140" s="44">
        <v>5.0000000000000004E-6</v>
      </c>
      <c r="AR140"/>
      <c r="AS140" s="44">
        <v>5.0000000000000004E-6</v>
      </c>
      <c r="AT140"/>
      <c r="AU140"/>
      <c r="AV140" s="44">
        <v>5.0000000000000004E-6</v>
      </c>
    </row>
    <row r="141" spans="1:48" x14ac:dyDescent="0.25">
      <c r="A141" s="23" t="s">
        <v>56</v>
      </c>
      <c r="B141" s="3" t="s">
        <v>473</v>
      </c>
      <c r="C141" s="3" t="s">
        <v>483</v>
      </c>
      <c r="D141" s="3" t="s">
        <v>521</v>
      </c>
      <c r="E141" s="24" t="s">
        <v>167</v>
      </c>
      <c r="F141" s="24" t="s">
        <v>198</v>
      </c>
      <c r="G141" s="44">
        <v>0</v>
      </c>
      <c r="I141" s="58"/>
      <c r="J141" s="44">
        <v>0</v>
      </c>
      <c r="K141" s="44">
        <v>0</v>
      </c>
      <c r="M141" s="44">
        <v>0</v>
      </c>
      <c r="N141" s="44"/>
      <c r="O141" s="44">
        <v>0</v>
      </c>
      <c r="P141" s="44">
        <v>0</v>
      </c>
      <c r="Q141" s="44">
        <v>0</v>
      </c>
      <c r="T141" s="44">
        <v>0</v>
      </c>
      <c r="U141" s="44">
        <v>0</v>
      </c>
      <c r="V141" s="44">
        <v>0</v>
      </c>
      <c r="W141" s="44">
        <v>0</v>
      </c>
      <c r="X141" s="44">
        <v>0</v>
      </c>
      <c r="Y141" s="44">
        <v>0</v>
      </c>
      <c r="Z141" s="44">
        <v>0</v>
      </c>
      <c r="AA141" s="44">
        <v>0</v>
      </c>
      <c r="AB141" s="44">
        <v>0</v>
      </c>
      <c r="AC141" s="44">
        <v>0</v>
      </c>
      <c r="AD141" s="44">
        <v>0</v>
      </c>
      <c r="AE141"/>
      <c r="AF141" s="44">
        <v>0</v>
      </c>
      <c r="AG141" s="44">
        <v>0</v>
      </c>
      <c r="AH141" s="44">
        <v>0</v>
      </c>
      <c r="AI141" s="44">
        <v>0</v>
      </c>
      <c r="AJ141" s="44">
        <v>0</v>
      </c>
      <c r="AK141" s="44">
        <v>0</v>
      </c>
      <c r="AL141" s="44">
        <v>0</v>
      </c>
      <c r="AM141"/>
      <c r="AN141" s="44">
        <v>0</v>
      </c>
      <c r="AO141" s="44">
        <v>0</v>
      </c>
      <c r="AP141" s="44">
        <v>0</v>
      </c>
      <c r="AQ141" s="44">
        <v>0</v>
      </c>
      <c r="AR141"/>
      <c r="AS141" s="44">
        <v>0</v>
      </c>
      <c r="AT141"/>
      <c r="AU141"/>
      <c r="AV141" s="44">
        <v>0</v>
      </c>
    </row>
    <row r="142" spans="1:48" x14ac:dyDescent="0.25">
      <c r="A142" s="23" t="s">
        <v>57</v>
      </c>
      <c r="B142" s="3" t="s">
        <v>473</v>
      </c>
      <c r="C142" s="3" t="s">
        <v>483</v>
      </c>
      <c r="D142" s="3" t="s">
        <v>521</v>
      </c>
      <c r="E142" s="24" t="s">
        <v>168</v>
      </c>
      <c r="F142" s="24" t="s">
        <v>198</v>
      </c>
      <c r="G142" s="44">
        <v>2E-3</v>
      </c>
      <c r="I142" s="58"/>
      <c r="J142" s="44">
        <v>2E-3</v>
      </c>
      <c r="K142" s="44">
        <v>2E-3</v>
      </c>
      <c r="M142" s="44">
        <v>2E-3</v>
      </c>
      <c r="N142" s="44"/>
      <c r="O142" s="44">
        <v>2E-3</v>
      </c>
      <c r="P142" s="44">
        <v>2E-3</v>
      </c>
      <c r="Q142" s="44">
        <v>2E-3</v>
      </c>
      <c r="T142" s="44">
        <v>2E-3</v>
      </c>
      <c r="U142" s="44">
        <v>2E-3</v>
      </c>
      <c r="V142" s="44">
        <v>2E-3</v>
      </c>
      <c r="W142" s="44">
        <v>2E-3</v>
      </c>
      <c r="X142" s="44">
        <v>2E-3</v>
      </c>
      <c r="Y142" s="44">
        <v>2E-3</v>
      </c>
      <c r="Z142" s="44">
        <v>2E-3</v>
      </c>
      <c r="AA142" s="44">
        <v>2E-3</v>
      </c>
      <c r="AB142" s="44">
        <v>2E-3</v>
      </c>
      <c r="AC142" s="44">
        <v>2E-3</v>
      </c>
      <c r="AD142" s="44">
        <v>2E-3</v>
      </c>
      <c r="AE142"/>
      <c r="AF142" s="44">
        <v>2E-3</v>
      </c>
      <c r="AG142" s="44">
        <v>2E-3</v>
      </c>
      <c r="AH142" s="44">
        <v>2E-3</v>
      </c>
      <c r="AI142" s="44">
        <v>2E-3</v>
      </c>
      <c r="AJ142" s="44">
        <v>2E-3</v>
      </c>
      <c r="AK142" s="44">
        <v>2E-3</v>
      </c>
      <c r="AL142" s="44">
        <v>2E-3</v>
      </c>
      <c r="AM142"/>
      <c r="AN142" s="44">
        <v>2E-3</v>
      </c>
      <c r="AO142" s="44">
        <v>2E-3</v>
      </c>
      <c r="AP142" s="44">
        <v>2E-3</v>
      </c>
      <c r="AQ142" s="44">
        <v>2E-3</v>
      </c>
      <c r="AR142"/>
      <c r="AS142" s="44">
        <v>2E-3</v>
      </c>
      <c r="AT142"/>
      <c r="AU142"/>
      <c r="AV142" s="44">
        <v>2E-3</v>
      </c>
    </row>
    <row r="143" spans="1:48" x14ac:dyDescent="0.25">
      <c r="A143" s="23" t="s">
        <v>58</v>
      </c>
      <c r="B143" s="3" t="s">
        <v>473</v>
      </c>
      <c r="C143" s="3" t="s">
        <v>483</v>
      </c>
      <c r="D143" s="3" t="s">
        <v>521</v>
      </c>
      <c r="E143" s="24" t="s">
        <v>169</v>
      </c>
      <c r="F143" s="24" t="s">
        <v>198</v>
      </c>
      <c r="G143" s="44">
        <v>3.9999999999999998E-6</v>
      </c>
      <c r="I143" s="58"/>
      <c r="J143" s="44">
        <v>3.9999999999999998E-6</v>
      </c>
      <c r="K143" s="44">
        <v>3.9999999999999998E-6</v>
      </c>
      <c r="M143" s="44">
        <v>3.9999999999999998E-6</v>
      </c>
      <c r="N143" s="44"/>
      <c r="O143" s="44">
        <v>3.9999999999999998E-6</v>
      </c>
      <c r="P143" s="44">
        <v>3.9999999999999998E-6</v>
      </c>
      <c r="Q143" s="44">
        <v>3.9999999999999998E-6</v>
      </c>
      <c r="T143" s="44">
        <v>3.9999999999999998E-6</v>
      </c>
      <c r="U143" s="44">
        <v>3.9999999999999998E-6</v>
      </c>
      <c r="V143" s="44">
        <v>3.9999999999999998E-6</v>
      </c>
      <c r="W143" s="44">
        <v>3.9999999999999998E-6</v>
      </c>
      <c r="X143" s="44">
        <v>3.9999999999999998E-6</v>
      </c>
      <c r="Y143" s="44">
        <v>3.9999999999999998E-6</v>
      </c>
      <c r="Z143" s="44">
        <v>3.9999999999999998E-6</v>
      </c>
      <c r="AA143" s="44">
        <v>3.9999999999999998E-6</v>
      </c>
      <c r="AB143" s="44">
        <v>3.9999999999999998E-6</v>
      </c>
      <c r="AC143" s="44">
        <v>3.9999999999999998E-6</v>
      </c>
      <c r="AD143" s="44">
        <v>3.9999999999999998E-6</v>
      </c>
      <c r="AE143"/>
      <c r="AF143" s="44">
        <v>3.9999999999999998E-6</v>
      </c>
      <c r="AG143" s="44">
        <v>3.9999999999999998E-6</v>
      </c>
      <c r="AH143" s="44">
        <v>3.9999999999999998E-6</v>
      </c>
      <c r="AI143" s="44">
        <v>3.9999999999999998E-6</v>
      </c>
      <c r="AJ143" s="44">
        <v>3.9999999999999998E-6</v>
      </c>
      <c r="AK143" s="44">
        <v>3.9999999999999998E-6</v>
      </c>
      <c r="AL143" s="44">
        <v>3.9999999999999998E-6</v>
      </c>
      <c r="AM143"/>
      <c r="AN143" s="44">
        <v>3.9999999999999998E-6</v>
      </c>
      <c r="AO143" s="44">
        <v>3.9999999999999998E-6</v>
      </c>
      <c r="AP143" s="44">
        <v>3.9999999999999998E-6</v>
      </c>
      <c r="AQ143" s="44">
        <v>3.9999999999999998E-6</v>
      </c>
      <c r="AR143"/>
      <c r="AS143" s="44">
        <v>3.9999999999999998E-6</v>
      </c>
      <c r="AT143"/>
      <c r="AU143"/>
      <c r="AV143" s="44">
        <v>3.9999999999999998E-6</v>
      </c>
    </row>
    <row r="144" spans="1:48" x14ac:dyDescent="0.25">
      <c r="A144" s="23" t="s">
        <v>71</v>
      </c>
      <c r="B144" s="3" t="s">
        <v>473</v>
      </c>
      <c r="C144" s="3" t="s">
        <v>483</v>
      </c>
      <c r="D144" s="3" t="s">
        <v>521</v>
      </c>
      <c r="E144" s="24" t="s">
        <v>183</v>
      </c>
      <c r="F144" s="24" t="s">
        <v>200</v>
      </c>
      <c r="G144" s="44">
        <v>3.7699999999999999E-10</v>
      </c>
      <c r="I144" s="58"/>
      <c r="J144" s="44">
        <v>3.7699999999999999E-10</v>
      </c>
      <c r="K144" s="44">
        <v>3.7699999999999999E-10</v>
      </c>
      <c r="M144" s="44">
        <v>3.7699999999999999E-10</v>
      </c>
      <c r="N144" s="44"/>
      <c r="O144" s="44">
        <v>3.7699999999999999E-10</v>
      </c>
      <c r="P144" s="44">
        <v>3.7699999999999999E-10</v>
      </c>
      <c r="Q144" s="44">
        <v>3.7699999999999999E-10</v>
      </c>
      <c r="T144" s="44">
        <v>3.7699999999999999E-10</v>
      </c>
      <c r="U144" s="44">
        <v>3.7699999999999999E-10</v>
      </c>
      <c r="V144" s="44">
        <v>3.7699999999999999E-10</v>
      </c>
      <c r="W144" s="44">
        <v>3.7699999999999999E-10</v>
      </c>
      <c r="X144" s="44">
        <v>3.7699999999999999E-10</v>
      </c>
      <c r="Y144" s="44">
        <v>3.7699999999999999E-10</v>
      </c>
      <c r="Z144" s="44">
        <v>3.7699999999999999E-10</v>
      </c>
      <c r="AA144" s="44">
        <v>3.7699999999999999E-10</v>
      </c>
      <c r="AB144" s="44">
        <v>3.7699999999999999E-10</v>
      </c>
      <c r="AC144" s="44">
        <v>3.7699999999999999E-10</v>
      </c>
      <c r="AD144" s="44">
        <v>3.7699999999999999E-10</v>
      </c>
      <c r="AE144"/>
      <c r="AF144" s="44">
        <v>3.7699999999999999E-10</v>
      </c>
      <c r="AG144" s="44">
        <v>3.7699999999999999E-10</v>
      </c>
      <c r="AH144" s="44">
        <v>3.7699999999999999E-10</v>
      </c>
      <c r="AI144" s="44">
        <v>3.7699999999999999E-10</v>
      </c>
      <c r="AJ144" s="44">
        <v>3.7699999999999999E-10</v>
      </c>
      <c r="AK144" s="44">
        <v>3.7699999999999999E-10</v>
      </c>
      <c r="AL144" s="44">
        <v>3.7699999999999999E-10</v>
      </c>
      <c r="AM144"/>
      <c r="AN144" s="44">
        <v>3.7699999999999999E-10</v>
      </c>
      <c r="AO144" s="44">
        <v>3.7699999999999999E-10</v>
      </c>
      <c r="AP144" s="44">
        <v>3.7699999999999999E-10</v>
      </c>
      <c r="AQ144" s="44">
        <v>3.7699999999999999E-10</v>
      </c>
      <c r="AR144"/>
      <c r="AS144" s="44">
        <v>3.7699999999999999E-10</v>
      </c>
      <c r="AT144"/>
      <c r="AU144"/>
      <c r="AV144" s="44">
        <v>3.7699999999999999E-10</v>
      </c>
    </row>
    <row r="145" spans="1:48" x14ac:dyDescent="0.25">
      <c r="A145" s="23" t="s">
        <v>236</v>
      </c>
      <c r="B145" s="3" t="s">
        <v>473</v>
      </c>
      <c r="C145" s="3" t="s">
        <v>483</v>
      </c>
      <c r="D145" s="3" t="s">
        <v>521</v>
      </c>
      <c r="E145" s="24" t="s">
        <v>303</v>
      </c>
      <c r="F145" s="24" t="s">
        <v>109</v>
      </c>
      <c r="G145" s="44">
        <v>20</v>
      </c>
      <c r="I145" s="58"/>
      <c r="J145" s="44">
        <v>20</v>
      </c>
      <c r="K145" s="44">
        <v>20</v>
      </c>
      <c r="M145" s="44">
        <v>20</v>
      </c>
      <c r="N145" s="44"/>
      <c r="O145" s="44">
        <v>20</v>
      </c>
      <c r="P145" s="44">
        <v>20</v>
      </c>
      <c r="Q145" s="44">
        <v>20</v>
      </c>
      <c r="T145" s="44">
        <v>20</v>
      </c>
      <c r="U145" s="44">
        <v>20</v>
      </c>
      <c r="V145" s="44">
        <v>20</v>
      </c>
      <c r="W145" s="44">
        <v>20</v>
      </c>
      <c r="X145" s="44">
        <v>20</v>
      </c>
      <c r="Y145" s="44">
        <v>20</v>
      </c>
      <c r="Z145" s="44">
        <v>20</v>
      </c>
      <c r="AA145" s="44">
        <v>20</v>
      </c>
      <c r="AB145" s="44">
        <v>20</v>
      </c>
      <c r="AC145" s="44">
        <v>20</v>
      </c>
      <c r="AD145" s="44">
        <v>20</v>
      </c>
      <c r="AE145"/>
      <c r="AF145" s="44">
        <v>20</v>
      </c>
      <c r="AG145" s="44">
        <v>20</v>
      </c>
      <c r="AH145" s="44">
        <v>20</v>
      </c>
      <c r="AI145" s="44">
        <v>20</v>
      </c>
      <c r="AJ145" s="44">
        <v>20</v>
      </c>
      <c r="AK145" s="44">
        <v>20</v>
      </c>
      <c r="AL145" s="44">
        <v>20</v>
      </c>
      <c r="AM145"/>
      <c r="AN145" s="44">
        <v>20</v>
      </c>
      <c r="AO145" s="44">
        <v>20</v>
      </c>
      <c r="AP145" s="44">
        <v>20</v>
      </c>
      <c r="AQ145" s="44">
        <v>20</v>
      </c>
      <c r="AR145"/>
      <c r="AS145" s="44">
        <v>20</v>
      </c>
      <c r="AT145"/>
      <c r="AU145"/>
      <c r="AV145" s="44">
        <v>20</v>
      </c>
    </row>
    <row r="146" spans="1:48" x14ac:dyDescent="0.25">
      <c r="A146" s="23" t="s">
        <v>237</v>
      </c>
      <c r="B146" s="3" t="s">
        <v>473</v>
      </c>
      <c r="C146" s="3" t="s">
        <v>483</v>
      </c>
      <c r="D146" s="3" t="s">
        <v>521</v>
      </c>
      <c r="E146" s="24" t="s">
        <v>304</v>
      </c>
      <c r="F146" s="24" t="s">
        <v>301</v>
      </c>
      <c r="G146" s="44">
        <v>-0.06</v>
      </c>
      <c r="I146" s="58"/>
      <c r="J146" s="44">
        <v>-0.06</v>
      </c>
      <c r="K146" s="44">
        <v>-0.06</v>
      </c>
      <c r="M146" s="44">
        <v>-0.06</v>
      </c>
      <c r="N146" s="44"/>
      <c r="O146" s="44">
        <v>-0.06</v>
      </c>
      <c r="P146" s="44">
        <v>-0.06</v>
      </c>
      <c r="Q146" s="44">
        <v>-0.06</v>
      </c>
      <c r="T146" s="44">
        <v>-0.06</v>
      </c>
      <c r="U146" s="44">
        <v>-0.06</v>
      </c>
      <c r="V146" s="44">
        <v>-0.06</v>
      </c>
      <c r="W146" s="44">
        <v>-0.06</v>
      </c>
      <c r="X146" s="44">
        <v>-0.06</v>
      </c>
      <c r="Y146" s="44">
        <v>-0.06</v>
      </c>
      <c r="Z146" s="44">
        <v>-0.06</v>
      </c>
      <c r="AA146" s="44">
        <v>-0.06</v>
      </c>
      <c r="AB146" s="44">
        <v>-0.06</v>
      </c>
      <c r="AC146" s="44">
        <v>-0.06</v>
      </c>
      <c r="AD146" s="44">
        <v>-0.06</v>
      </c>
      <c r="AE146"/>
      <c r="AF146" s="44">
        <v>-0.06</v>
      </c>
      <c r="AG146" s="44">
        <v>-0.06</v>
      </c>
      <c r="AH146" s="44">
        <v>-0.06</v>
      </c>
      <c r="AI146" s="44">
        <v>-0.06</v>
      </c>
      <c r="AJ146" s="44">
        <v>-0.06</v>
      </c>
      <c r="AK146" s="44">
        <v>-0.06</v>
      </c>
      <c r="AL146" s="44">
        <v>-0.06</v>
      </c>
      <c r="AM146"/>
      <c r="AN146" s="44">
        <v>-0.06</v>
      </c>
      <c r="AO146" s="44">
        <v>-0.06</v>
      </c>
      <c r="AP146" s="44">
        <v>-0.06</v>
      </c>
      <c r="AQ146" s="44">
        <v>-0.06</v>
      </c>
      <c r="AR146"/>
      <c r="AS146" s="44">
        <v>-0.06</v>
      </c>
      <c r="AT146"/>
      <c r="AU146"/>
      <c r="AV146" s="44">
        <v>-0.06</v>
      </c>
    </row>
    <row r="147" spans="1:48" x14ac:dyDescent="0.25">
      <c r="A147" s="23" t="s">
        <v>238</v>
      </c>
      <c r="B147" s="3" t="s">
        <v>473</v>
      </c>
      <c r="C147" s="3" t="s">
        <v>483</v>
      </c>
      <c r="D147" s="3" t="s">
        <v>521</v>
      </c>
      <c r="E147" s="24" t="s">
        <v>305</v>
      </c>
      <c r="F147" s="24" t="s">
        <v>100</v>
      </c>
      <c r="G147" s="44">
        <v>0.89100000000000001</v>
      </c>
      <c r="I147" s="58"/>
      <c r="J147" s="44">
        <v>0.89100000000000001</v>
      </c>
      <c r="K147" s="44">
        <v>0.89100000000000001</v>
      </c>
      <c r="M147" s="44">
        <v>0.89100000000000001</v>
      </c>
      <c r="N147" s="44"/>
      <c r="O147" s="44">
        <v>0.89100000000000001</v>
      </c>
      <c r="P147" s="44">
        <v>0.89100000000000001</v>
      </c>
      <c r="Q147" s="44">
        <v>0.89100000000000001</v>
      </c>
      <c r="T147" s="44">
        <v>0.89100000000000001</v>
      </c>
      <c r="U147" s="44">
        <v>0.89100000000000001</v>
      </c>
      <c r="V147" s="44">
        <v>0.89100000000000001</v>
      </c>
      <c r="W147" s="44">
        <v>0.89100000000000001</v>
      </c>
      <c r="X147" s="44">
        <v>0.89100000000000001</v>
      </c>
      <c r="Y147" s="44">
        <v>0.89100000000000001</v>
      </c>
      <c r="Z147" s="44">
        <v>0.89100000000000001</v>
      </c>
      <c r="AA147" s="44">
        <v>0.89100000000000001</v>
      </c>
      <c r="AB147" s="44">
        <v>0.89100000000000001</v>
      </c>
      <c r="AC147" s="44">
        <v>0.89100000000000001</v>
      </c>
      <c r="AD147" s="44">
        <v>0.89100000000000001</v>
      </c>
      <c r="AE147"/>
      <c r="AF147" s="44">
        <v>0.89100000000000001</v>
      </c>
      <c r="AG147" s="44">
        <v>0.89100000000000001</v>
      </c>
      <c r="AH147" s="44">
        <v>0.89100000000000001</v>
      </c>
      <c r="AI147" s="44">
        <v>0.89100000000000001</v>
      </c>
      <c r="AJ147" s="44">
        <v>0.89100000000000001</v>
      </c>
      <c r="AK147" s="44">
        <v>0.89100000000000001</v>
      </c>
      <c r="AL147" s="44">
        <v>0.89100000000000001</v>
      </c>
      <c r="AM147"/>
      <c r="AN147" s="44">
        <v>0.89100000000000001</v>
      </c>
      <c r="AO147" s="44">
        <v>0.89100000000000001</v>
      </c>
      <c r="AP147" s="44">
        <v>0.89100000000000001</v>
      </c>
      <c r="AQ147" s="44">
        <v>0.89100000000000001</v>
      </c>
      <c r="AR147"/>
      <c r="AS147" s="44">
        <v>0.89100000000000001</v>
      </c>
      <c r="AT147"/>
      <c r="AU147"/>
      <c r="AV147" s="44">
        <v>0.89100000000000001</v>
      </c>
    </row>
    <row r="148" spans="1:48" x14ac:dyDescent="0.25">
      <c r="A148" s="23" t="s">
        <v>239</v>
      </c>
      <c r="B148" s="3" t="s">
        <v>473</v>
      </c>
      <c r="C148" s="3" t="s">
        <v>483</v>
      </c>
      <c r="D148" s="3" t="s">
        <v>521</v>
      </c>
      <c r="E148" s="24" t="s">
        <v>306</v>
      </c>
      <c r="F148" s="24" t="s">
        <v>95</v>
      </c>
      <c r="G148" s="44">
        <v>1</v>
      </c>
      <c r="I148" s="58"/>
      <c r="J148" s="44">
        <v>1</v>
      </c>
      <c r="K148" s="44">
        <v>1</v>
      </c>
      <c r="M148" s="44">
        <v>1</v>
      </c>
      <c r="N148" s="44"/>
      <c r="O148" s="44">
        <v>1</v>
      </c>
      <c r="P148" s="44">
        <v>1</v>
      </c>
      <c r="Q148" s="44">
        <v>1</v>
      </c>
      <c r="T148" s="44">
        <v>1</v>
      </c>
      <c r="U148" s="44">
        <v>1</v>
      </c>
      <c r="V148" s="44">
        <v>1</v>
      </c>
      <c r="W148" s="44">
        <v>1</v>
      </c>
      <c r="X148" s="44">
        <v>1</v>
      </c>
      <c r="Y148" s="44">
        <v>1</v>
      </c>
      <c r="Z148" s="44">
        <v>1</v>
      </c>
      <c r="AA148" s="44">
        <v>1</v>
      </c>
      <c r="AB148" s="44">
        <v>1</v>
      </c>
      <c r="AC148" s="44">
        <v>1</v>
      </c>
      <c r="AD148" s="44">
        <v>1</v>
      </c>
      <c r="AE148"/>
      <c r="AF148" s="44">
        <v>1</v>
      </c>
      <c r="AG148" s="44">
        <v>1</v>
      </c>
      <c r="AH148" s="44">
        <v>1</v>
      </c>
      <c r="AI148" s="44">
        <v>1</v>
      </c>
      <c r="AJ148" s="44">
        <v>1</v>
      </c>
      <c r="AK148" s="44">
        <v>1</v>
      </c>
      <c r="AL148" s="44">
        <v>1</v>
      </c>
      <c r="AM148"/>
      <c r="AN148" s="44">
        <v>1</v>
      </c>
      <c r="AO148" s="44">
        <v>1</v>
      </c>
      <c r="AP148" s="44">
        <v>1</v>
      </c>
      <c r="AQ148" s="44">
        <v>1</v>
      </c>
      <c r="AR148"/>
      <c r="AS148" s="44">
        <v>1</v>
      </c>
      <c r="AT148"/>
      <c r="AU148"/>
      <c r="AV148" s="44">
        <v>1</v>
      </c>
    </row>
    <row r="149" spans="1:48" x14ac:dyDescent="0.25">
      <c r="A149" s="23" t="s">
        <v>72</v>
      </c>
      <c r="B149" s="3" t="s">
        <v>473</v>
      </c>
      <c r="C149" s="3" t="s">
        <v>483</v>
      </c>
      <c r="D149" s="3" t="s">
        <v>521</v>
      </c>
      <c r="E149" s="24" t="s">
        <v>184</v>
      </c>
      <c r="F149" s="24" t="s">
        <v>198</v>
      </c>
      <c r="G149" s="44">
        <v>4.0000000000000003E-5</v>
      </c>
      <c r="I149" s="58"/>
      <c r="J149" s="44">
        <v>4.0000000000000003E-5</v>
      </c>
      <c r="K149" s="44">
        <v>4.0000000000000003E-5</v>
      </c>
      <c r="M149" s="44">
        <v>4.0000000000000003E-5</v>
      </c>
      <c r="N149" s="44"/>
      <c r="O149" s="44">
        <v>4.0000000000000003E-5</v>
      </c>
      <c r="P149" s="44">
        <v>4.0000000000000003E-5</v>
      </c>
      <c r="Q149" s="44">
        <v>4.0000000000000003E-5</v>
      </c>
      <c r="T149" s="44">
        <v>4.0000000000000003E-5</v>
      </c>
      <c r="U149" s="44">
        <v>4.0000000000000003E-5</v>
      </c>
      <c r="V149" s="44">
        <v>4.0000000000000003E-5</v>
      </c>
      <c r="W149" s="44">
        <v>4.0000000000000003E-5</v>
      </c>
      <c r="X149" s="44">
        <v>4.0000000000000003E-5</v>
      </c>
      <c r="Y149" s="44">
        <v>4.0000000000000003E-5</v>
      </c>
      <c r="Z149" s="44">
        <v>4.0000000000000003E-5</v>
      </c>
      <c r="AA149" s="44">
        <v>4.0000000000000003E-5</v>
      </c>
      <c r="AB149" s="44">
        <v>4.0000000000000003E-5</v>
      </c>
      <c r="AC149" s="44">
        <v>4.0000000000000003E-5</v>
      </c>
      <c r="AD149" s="44">
        <v>4.0000000000000003E-5</v>
      </c>
      <c r="AE149"/>
      <c r="AF149" s="44">
        <v>4.0000000000000003E-5</v>
      </c>
      <c r="AG149" s="44">
        <v>4.0000000000000003E-5</v>
      </c>
      <c r="AH149" s="44">
        <v>4.0000000000000003E-5</v>
      </c>
      <c r="AI149" s="44">
        <v>4.0000000000000003E-5</v>
      </c>
      <c r="AJ149" s="44">
        <v>4.0000000000000003E-5</v>
      </c>
      <c r="AK149" s="44">
        <v>4.0000000000000003E-5</v>
      </c>
      <c r="AL149" s="44">
        <v>4.0000000000000003E-5</v>
      </c>
      <c r="AM149"/>
      <c r="AN149" s="44">
        <v>4.0000000000000003E-5</v>
      </c>
      <c r="AO149" s="44">
        <v>4.0000000000000003E-5</v>
      </c>
      <c r="AP149" s="44">
        <v>4.0000000000000003E-5</v>
      </c>
      <c r="AQ149" s="44">
        <v>4.0000000000000003E-5</v>
      </c>
      <c r="AR149"/>
      <c r="AS149" s="44">
        <v>4.0000000000000003E-5</v>
      </c>
      <c r="AT149"/>
      <c r="AU149"/>
      <c r="AV149" s="44">
        <v>4.0000000000000003E-5</v>
      </c>
    </row>
    <row r="150" spans="1:48" x14ac:dyDescent="0.25">
      <c r="A150" s="13" t="s">
        <v>73</v>
      </c>
      <c r="B150" s="3" t="s">
        <v>473</v>
      </c>
      <c r="C150" s="3" t="s">
        <v>483</v>
      </c>
      <c r="D150" s="3" t="s">
        <v>521</v>
      </c>
      <c r="E150" s="14" t="s">
        <v>186</v>
      </c>
      <c r="F150" s="14" t="s">
        <v>200</v>
      </c>
      <c r="G150" s="44">
        <v>5.8333333333333335E-9</v>
      </c>
      <c r="I150" s="58"/>
      <c r="J150" s="44">
        <v>5.8333333333333335E-9</v>
      </c>
      <c r="K150" s="44">
        <v>5.8333333333333335E-9</v>
      </c>
      <c r="M150" s="44">
        <v>5.8333333333333335E-9</v>
      </c>
      <c r="N150" s="44"/>
      <c r="O150" s="44">
        <v>5.8333333333333335E-9</v>
      </c>
      <c r="P150" s="44">
        <v>5.8333333333333335E-9</v>
      </c>
      <c r="Q150" s="44">
        <v>5.8333333333333335E-9</v>
      </c>
      <c r="T150" s="44">
        <v>5.8333333333333335E-9</v>
      </c>
      <c r="U150" s="44">
        <v>5.8333333333333335E-9</v>
      </c>
      <c r="V150" s="44">
        <v>5.8333333333333335E-9</v>
      </c>
      <c r="W150" s="44">
        <v>5.8333333333333335E-9</v>
      </c>
      <c r="X150" s="44">
        <v>5.8333333333333335E-9</v>
      </c>
      <c r="Y150" s="44">
        <v>5.8333333333333335E-9</v>
      </c>
      <c r="Z150" s="44">
        <v>5.8333333333333335E-9</v>
      </c>
      <c r="AA150" s="44">
        <v>5.8333333333333335E-9</v>
      </c>
      <c r="AB150" s="44">
        <v>5.8333333333333335E-9</v>
      </c>
      <c r="AC150" s="44">
        <v>5.8333333333333335E-9</v>
      </c>
      <c r="AD150" s="44">
        <v>5.8333333333333335E-9</v>
      </c>
      <c r="AE150"/>
      <c r="AF150" s="44">
        <v>5.8333333333333335E-9</v>
      </c>
      <c r="AG150" s="44">
        <v>5.8333333333333335E-9</v>
      </c>
      <c r="AH150" s="44">
        <v>5.8333333333333335E-9</v>
      </c>
      <c r="AI150" s="44">
        <v>5.8333333333333335E-9</v>
      </c>
      <c r="AJ150" s="44">
        <v>5.8333333333333335E-9</v>
      </c>
      <c r="AK150" s="44">
        <v>5.8333333333333335E-9</v>
      </c>
      <c r="AL150" s="44">
        <v>5.8333333333333335E-9</v>
      </c>
      <c r="AM150"/>
      <c r="AN150" s="44">
        <v>5.8333333333333335E-9</v>
      </c>
      <c r="AO150" s="44">
        <v>5.8333333333333335E-9</v>
      </c>
      <c r="AP150" s="44">
        <v>5.8333333333333335E-9</v>
      </c>
      <c r="AQ150" s="44">
        <v>5.8333333333333335E-9</v>
      </c>
      <c r="AR150"/>
      <c r="AS150" s="44">
        <v>5.8333333333333335E-9</v>
      </c>
      <c r="AT150"/>
      <c r="AU150"/>
      <c r="AV150" s="44">
        <v>5.8333333333333335E-9</v>
      </c>
    </row>
    <row r="151" spans="1:48" x14ac:dyDescent="0.25">
      <c r="A151" s="13" t="s">
        <v>240</v>
      </c>
      <c r="B151" s="3" t="s">
        <v>473</v>
      </c>
      <c r="C151" s="3" t="s">
        <v>483</v>
      </c>
      <c r="D151" s="3" t="s">
        <v>521</v>
      </c>
      <c r="E151" s="14" t="s">
        <v>307</v>
      </c>
      <c r="F151" s="14" t="s">
        <v>109</v>
      </c>
      <c r="G151" s="44">
        <v>20</v>
      </c>
      <c r="I151" s="58"/>
      <c r="J151" s="44">
        <v>20</v>
      </c>
      <c r="K151" s="44">
        <v>20</v>
      </c>
      <c r="M151" s="44">
        <v>20</v>
      </c>
      <c r="N151" s="44"/>
      <c r="O151" s="44">
        <v>20</v>
      </c>
      <c r="P151" s="44">
        <v>20</v>
      </c>
      <c r="Q151" s="44">
        <v>20</v>
      </c>
      <c r="T151" s="44">
        <v>20</v>
      </c>
      <c r="U151" s="44">
        <v>20</v>
      </c>
      <c r="V151" s="44">
        <v>20</v>
      </c>
      <c r="W151" s="44">
        <v>20</v>
      </c>
      <c r="X151" s="44">
        <v>20</v>
      </c>
      <c r="Y151" s="44">
        <v>20</v>
      </c>
      <c r="Z151" s="44">
        <v>20</v>
      </c>
      <c r="AA151" s="44">
        <v>20</v>
      </c>
      <c r="AB151" s="44">
        <v>20</v>
      </c>
      <c r="AC151" s="44">
        <v>20</v>
      </c>
      <c r="AD151" s="44">
        <v>20</v>
      </c>
      <c r="AE151"/>
      <c r="AF151" s="44">
        <v>20</v>
      </c>
      <c r="AG151" s="44">
        <v>20</v>
      </c>
      <c r="AH151" s="44">
        <v>20</v>
      </c>
      <c r="AI151" s="44">
        <v>20</v>
      </c>
      <c r="AJ151" s="44">
        <v>20</v>
      </c>
      <c r="AK151" s="44">
        <v>20</v>
      </c>
      <c r="AL151" s="44">
        <v>20</v>
      </c>
      <c r="AM151"/>
      <c r="AN151" s="44">
        <v>20</v>
      </c>
      <c r="AO151" s="44">
        <v>20</v>
      </c>
      <c r="AP151" s="44">
        <v>20</v>
      </c>
      <c r="AQ151" s="44">
        <v>20</v>
      </c>
      <c r="AR151"/>
      <c r="AS151" s="44">
        <v>20</v>
      </c>
      <c r="AT151"/>
      <c r="AU151"/>
      <c r="AV151" s="44">
        <v>20</v>
      </c>
    </row>
    <row r="152" spans="1:48" x14ac:dyDescent="0.25">
      <c r="A152" s="13" t="s">
        <v>241</v>
      </c>
      <c r="B152" s="3" t="s">
        <v>473</v>
      </c>
      <c r="C152" s="3" t="s">
        <v>483</v>
      </c>
      <c r="D152" s="3" t="s">
        <v>521</v>
      </c>
      <c r="E152" s="14" t="s">
        <v>308</v>
      </c>
      <c r="F152" s="14" t="s">
        <v>301</v>
      </c>
      <c r="G152" s="44">
        <v>-0.06</v>
      </c>
      <c r="I152" s="58"/>
      <c r="J152" s="44">
        <v>-0.06</v>
      </c>
      <c r="K152" s="44">
        <v>-0.06</v>
      </c>
      <c r="M152" s="44">
        <v>-0.06</v>
      </c>
      <c r="N152" s="44"/>
      <c r="O152" s="44">
        <v>-0.06</v>
      </c>
      <c r="P152" s="44">
        <v>-0.06</v>
      </c>
      <c r="Q152" s="44">
        <v>-0.06</v>
      </c>
      <c r="T152" s="44">
        <v>-0.06</v>
      </c>
      <c r="U152" s="44">
        <v>-0.06</v>
      </c>
      <c r="V152" s="44">
        <v>-0.06</v>
      </c>
      <c r="W152" s="44">
        <v>-0.06</v>
      </c>
      <c r="X152" s="44">
        <v>-0.06</v>
      </c>
      <c r="Y152" s="44">
        <v>-0.06</v>
      </c>
      <c r="Z152" s="44">
        <v>-0.06</v>
      </c>
      <c r="AA152" s="44">
        <v>-0.06</v>
      </c>
      <c r="AB152" s="44">
        <v>-0.06</v>
      </c>
      <c r="AC152" s="44">
        <v>-0.06</v>
      </c>
      <c r="AD152" s="44">
        <v>-0.06</v>
      </c>
      <c r="AE152"/>
      <c r="AF152" s="44">
        <v>-0.06</v>
      </c>
      <c r="AG152" s="44">
        <v>-0.06</v>
      </c>
      <c r="AH152" s="44">
        <v>-0.06</v>
      </c>
      <c r="AI152" s="44">
        <v>-0.06</v>
      </c>
      <c r="AJ152" s="44">
        <v>-0.06</v>
      </c>
      <c r="AK152" s="44">
        <v>-0.06</v>
      </c>
      <c r="AL152" s="44">
        <v>-0.06</v>
      </c>
      <c r="AM152"/>
      <c r="AN152" s="44">
        <v>-0.06</v>
      </c>
      <c r="AO152" s="44">
        <v>-0.06</v>
      </c>
      <c r="AP152" s="44">
        <v>-0.06</v>
      </c>
      <c r="AQ152" s="44">
        <v>-0.06</v>
      </c>
      <c r="AR152"/>
      <c r="AS152" s="44">
        <v>-0.06</v>
      </c>
      <c r="AT152"/>
      <c r="AU152"/>
      <c r="AV152" s="44">
        <v>-0.06</v>
      </c>
    </row>
    <row r="153" spans="1:48" x14ac:dyDescent="0.25">
      <c r="A153" s="13" t="s">
        <v>242</v>
      </c>
      <c r="B153" s="3" t="s">
        <v>473</v>
      </c>
      <c r="C153" s="3" t="s">
        <v>483</v>
      </c>
      <c r="D153" s="3" t="s">
        <v>521</v>
      </c>
      <c r="E153" s="14" t="s">
        <v>309</v>
      </c>
      <c r="F153" s="14" t="s">
        <v>100</v>
      </c>
      <c r="G153" s="44">
        <v>0.89100000000000001</v>
      </c>
      <c r="I153" s="58"/>
      <c r="J153" s="44">
        <v>0.89100000000000001</v>
      </c>
      <c r="K153" s="44">
        <v>0.89100000000000001</v>
      </c>
      <c r="M153" s="44">
        <v>0.89100000000000001</v>
      </c>
      <c r="N153" s="44"/>
      <c r="O153" s="44">
        <v>0.89100000000000001</v>
      </c>
      <c r="P153" s="44">
        <v>0.89100000000000001</v>
      </c>
      <c r="Q153" s="44">
        <v>0.89100000000000001</v>
      </c>
      <c r="T153" s="44">
        <v>0.89100000000000001</v>
      </c>
      <c r="U153" s="44">
        <v>0.89100000000000001</v>
      </c>
      <c r="V153" s="44">
        <v>0.89100000000000001</v>
      </c>
      <c r="W153" s="44">
        <v>0.89100000000000001</v>
      </c>
      <c r="X153" s="44">
        <v>0.89100000000000001</v>
      </c>
      <c r="Y153" s="44">
        <v>0.89100000000000001</v>
      </c>
      <c r="Z153" s="44">
        <v>0.89100000000000001</v>
      </c>
      <c r="AA153" s="44">
        <v>0.89100000000000001</v>
      </c>
      <c r="AB153" s="44">
        <v>0.89100000000000001</v>
      </c>
      <c r="AC153" s="44">
        <v>0.89100000000000001</v>
      </c>
      <c r="AD153" s="44">
        <v>0.89100000000000001</v>
      </c>
      <c r="AE153"/>
      <c r="AF153" s="44">
        <v>0.89100000000000001</v>
      </c>
      <c r="AG153" s="44">
        <v>0.89100000000000001</v>
      </c>
      <c r="AH153" s="44">
        <v>0.89100000000000001</v>
      </c>
      <c r="AI153" s="44">
        <v>0.89100000000000001</v>
      </c>
      <c r="AJ153" s="44">
        <v>0.89100000000000001</v>
      </c>
      <c r="AK153" s="44">
        <v>0.89100000000000001</v>
      </c>
      <c r="AL153" s="44">
        <v>0.89100000000000001</v>
      </c>
      <c r="AM153"/>
      <c r="AN153" s="44">
        <v>0.89100000000000001</v>
      </c>
      <c r="AO153" s="44">
        <v>0.89100000000000001</v>
      </c>
      <c r="AP153" s="44">
        <v>0.89100000000000001</v>
      </c>
      <c r="AQ153" s="44">
        <v>0.89100000000000001</v>
      </c>
      <c r="AR153"/>
      <c r="AS153" s="44">
        <v>0.89100000000000001</v>
      </c>
      <c r="AT153"/>
      <c r="AU153"/>
      <c r="AV153" s="44">
        <v>0.89100000000000001</v>
      </c>
    </row>
    <row r="154" spans="1:48" x14ac:dyDescent="0.25">
      <c r="A154" s="13" t="s">
        <v>243</v>
      </c>
      <c r="B154" s="3" t="s">
        <v>473</v>
      </c>
      <c r="C154" s="3" t="s">
        <v>483</v>
      </c>
      <c r="D154" s="3" t="s">
        <v>521</v>
      </c>
      <c r="E154" s="14" t="s">
        <v>310</v>
      </c>
      <c r="F154" s="14" t="s">
        <v>95</v>
      </c>
      <c r="G154" s="44">
        <v>1</v>
      </c>
      <c r="I154" s="58"/>
      <c r="J154" s="44">
        <v>1</v>
      </c>
      <c r="K154" s="44">
        <v>1</v>
      </c>
      <c r="M154" s="44">
        <v>1</v>
      </c>
      <c r="N154" s="44"/>
      <c r="O154" s="44">
        <v>1</v>
      </c>
      <c r="P154" s="44">
        <v>1</v>
      </c>
      <c r="Q154" s="44">
        <v>1</v>
      </c>
      <c r="T154" s="44">
        <v>1</v>
      </c>
      <c r="U154" s="44">
        <v>1</v>
      </c>
      <c r="V154" s="44">
        <v>1</v>
      </c>
      <c r="W154" s="44">
        <v>1</v>
      </c>
      <c r="X154" s="44">
        <v>1</v>
      </c>
      <c r="Y154" s="44">
        <v>1</v>
      </c>
      <c r="Z154" s="44">
        <v>1</v>
      </c>
      <c r="AA154" s="44">
        <v>1</v>
      </c>
      <c r="AB154" s="44">
        <v>1</v>
      </c>
      <c r="AC154" s="44">
        <v>1</v>
      </c>
      <c r="AD154" s="44">
        <v>1</v>
      </c>
      <c r="AE154"/>
      <c r="AF154" s="44">
        <v>1</v>
      </c>
      <c r="AG154" s="44">
        <v>1</v>
      </c>
      <c r="AH154" s="44">
        <v>1</v>
      </c>
      <c r="AI154" s="44">
        <v>1</v>
      </c>
      <c r="AJ154" s="44">
        <v>1</v>
      </c>
      <c r="AK154" s="44">
        <v>1</v>
      </c>
      <c r="AL154" s="44">
        <v>1</v>
      </c>
      <c r="AM154"/>
      <c r="AN154" s="44">
        <v>1</v>
      </c>
      <c r="AO154" s="44">
        <v>1</v>
      </c>
      <c r="AP154" s="44">
        <v>1</v>
      </c>
      <c r="AQ154" s="44">
        <v>1</v>
      </c>
      <c r="AR154"/>
      <c r="AS154" s="44">
        <v>1</v>
      </c>
      <c r="AT154"/>
      <c r="AU154"/>
      <c r="AV154" s="44">
        <v>1</v>
      </c>
    </row>
    <row r="155" spans="1:48" x14ac:dyDescent="0.25">
      <c r="A155" s="13" t="s">
        <v>74</v>
      </c>
      <c r="B155" s="3" t="s">
        <v>473</v>
      </c>
      <c r="C155" s="3" t="s">
        <v>483</v>
      </c>
      <c r="D155" s="3" t="s">
        <v>521</v>
      </c>
      <c r="E155" s="14" t="s">
        <v>185</v>
      </c>
      <c r="F155" s="14" t="s">
        <v>198</v>
      </c>
      <c r="G155" s="44">
        <v>4.0000000000000003E-5</v>
      </c>
      <c r="I155" s="58"/>
      <c r="J155" s="44">
        <v>4.0000000000000003E-5</v>
      </c>
      <c r="K155" s="44">
        <v>4.0000000000000003E-5</v>
      </c>
      <c r="M155" s="44">
        <v>4.0000000000000003E-5</v>
      </c>
      <c r="N155" s="44"/>
      <c r="O155" s="44">
        <v>4.0000000000000003E-5</v>
      </c>
      <c r="P155" s="44">
        <v>4.0000000000000003E-5</v>
      </c>
      <c r="Q155" s="44">
        <v>4.0000000000000003E-5</v>
      </c>
      <c r="T155" s="44">
        <v>4.0000000000000003E-5</v>
      </c>
      <c r="U155" s="44">
        <v>4.0000000000000003E-5</v>
      </c>
      <c r="V155" s="44">
        <v>4.0000000000000003E-5</v>
      </c>
      <c r="W155" s="44">
        <v>4.0000000000000003E-5</v>
      </c>
      <c r="X155" s="44">
        <v>4.0000000000000003E-5</v>
      </c>
      <c r="Y155" s="44">
        <v>4.0000000000000003E-5</v>
      </c>
      <c r="Z155" s="44">
        <v>4.0000000000000003E-5</v>
      </c>
      <c r="AA155" s="44">
        <v>4.0000000000000003E-5</v>
      </c>
      <c r="AB155" s="44">
        <v>4.0000000000000003E-5</v>
      </c>
      <c r="AC155" s="44">
        <v>4.0000000000000003E-5</v>
      </c>
      <c r="AD155" s="44">
        <v>4.0000000000000003E-5</v>
      </c>
      <c r="AE155"/>
      <c r="AF155" s="44">
        <v>4.0000000000000003E-5</v>
      </c>
      <c r="AG155" s="44">
        <v>4.0000000000000003E-5</v>
      </c>
      <c r="AH155" s="44">
        <v>4.0000000000000003E-5</v>
      </c>
      <c r="AI155" s="44">
        <v>4.0000000000000003E-5</v>
      </c>
      <c r="AJ155" s="44">
        <v>4.0000000000000003E-5</v>
      </c>
      <c r="AK155" s="44">
        <v>4.0000000000000003E-5</v>
      </c>
      <c r="AL155" s="44">
        <v>4.0000000000000003E-5</v>
      </c>
      <c r="AM155"/>
      <c r="AN155" s="44">
        <v>4.0000000000000003E-5</v>
      </c>
      <c r="AO155" s="44">
        <v>4.0000000000000003E-5</v>
      </c>
      <c r="AP155" s="44">
        <v>4.0000000000000003E-5</v>
      </c>
      <c r="AQ155" s="44">
        <v>4.0000000000000003E-5</v>
      </c>
      <c r="AR155"/>
      <c r="AS155" s="44">
        <v>4.0000000000000003E-5</v>
      </c>
      <c r="AT155"/>
      <c r="AU155"/>
      <c r="AV155" s="44">
        <v>4.0000000000000003E-5</v>
      </c>
    </row>
    <row r="156" spans="1:48" x14ac:dyDescent="0.25">
      <c r="A156" s="9" t="s">
        <v>75</v>
      </c>
      <c r="B156" s="3" t="s">
        <v>473</v>
      </c>
      <c r="C156" s="3" t="s">
        <v>483</v>
      </c>
      <c r="D156" s="3" t="s">
        <v>521</v>
      </c>
      <c r="E156" s="10" t="s">
        <v>187</v>
      </c>
      <c r="F156" s="10" t="s">
        <v>200</v>
      </c>
      <c r="G156" s="44">
        <v>4.9999999999999998E-8</v>
      </c>
      <c r="I156" s="58"/>
      <c r="J156" s="44">
        <v>4.0000000000000001E-8</v>
      </c>
      <c r="K156" s="44">
        <v>4.0000000000000001E-8</v>
      </c>
      <c r="M156" s="44">
        <v>4.0000000000000001E-8</v>
      </c>
      <c r="N156" s="44"/>
      <c r="O156" s="44">
        <v>4.0000000000000001E-8</v>
      </c>
      <c r="P156" s="44">
        <v>4.0000000000000001E-8</v>
      </c>
      <c r="Q156" s="44">
        <v>4.0000000000000001E-8</v>
      </c>
      <c r="T156" s="44">
        <v>4.0000000000000001E-8</v>
      </c>
      <c r="U156" s="44">
        <v>4.0000000000000001E-8</v>
      </c>
      <c r="V156" s="44">
        <v>4.0000000000000001E-8</v>
      </c>
      <c r="W156" s="44">
        <v>4.0000000000000001E-8</v>
      </c>
      <c r="X156" s="44">
        <v>4.0000000000000001E-8</v>
      </c>
      <c r="Y156" s="44">
        <v>4.0000000000000001E-8</v>
      </c>
      <c r="Z156" s="44">
        <v>4.0000000000000001E-8</v>
      </c>
      <c r="AA156" s="44">
        <v>4.0000000000000001E-8</v>
      </c>
      <c r="AB156" s="44">
        <v>4.0000000000000001E-8</v>
      </c>
      <c r="AC156" s="44">
        <v>4.0000000000000001E-8</v>
      </c>
      <c r="AD156" s="44">
        <v>4.0000000000000001E-8</v>
      </c>
      <c r="AE156"/>
      <c r="AF156" s="44">
        <v>4.0000000000000001E-8</v>
      </c>
      <c r="AG156" s="44">
        <v>4.0000000000000001E-8</v>
      </c>
      <c r="AH156" s="44">
        <v>4.0000000000000001E-8</v>
      </c>
      <c r="AI156" s="44">
        <v>4.0000000000000001E-8</v>
      </c>
      <c r="AJ156" s="44">
        <v>4.0000000000000001E-8</v>
      </c>
      <c r="AK156" s="44">
        <v>4.0000000000000001E-8</v>
      </c>
      <c r="AL156" s="44">
        <v>4.0000000000000001E-8</v>
      </c>
      <c r="AM156"/>
      <c r="AN156" s="44">
        <v>4.0000000000000001E-8</v>
      </c>
      <c r="AO156" s="44">
        <v>4.0000000000000001E-8</v>
      </c>
      <c r="AP156" s="44">
        <v>4.0000000000000001E-8</v>
      </c>
      <c r="AQ156" s="44">
        <v>4.0000000000000001E-8</v>
      </c>
      <c r="AR156"/>
      <c r="AS156" s="44">
        <v>4.0000000000000001E-8</v>
      </c>
      <c r="AT156"/>
      <c r="AU156"/>
      <c r="AV156" s="44">
        <v>4.0000000000000001E-8</v>
      </c>
    </row>
    <row r="157" spans="1:48" x14ac:dyDescent="0.25">
      <c r="A157" s="9" t="s">
        <v>218</v>
      </c>
      <c r="B157" s="3" t="s">
        <v>473</v>
      </c>
      <c r="C157" s="3" t="s">
        <v>483</v>
      </c>
      <c r="D157" s="3" t="s">
        <v>521</v>
      </c>
      <c r="E157" s="10" t="s">
        <v>298</v>
      </c>
      <c r="F157" s="10" t="s">
        <v>109</v>
      </c>
      <c r="G157" s="44">
        <v>20</v>
      </c>
      <c r="I157" s="58"/>
      <c r="J157" s="44">
        <v>20</v>
      </c>
      <c r="K157" s="44">
        <v>20</v>
      </c>
      <c r="M157" s="44">
        <v>20</v>
      </c>
      <c r="N157" s="44"/>
      <c r="O157" s="44">
        <v>20</v>
      </c>
      <c r="P157" s="44">
        <v>20</v>
      </c>
      <c r="Q157" s="44">
        <v>20</v>
      </c>
      <c r="T157" s="44">
        <v>20</v>
      </c>
      <c r="U157" s="44">
        <v>20</v>
      </c>
      <c r="V157" s="44">
        <v>20</v>
      </c>
      <c r="W157" s="44">
        <v>20</v>
      </c>
      <c r="X157" s="44">
        <v>20</v>
      </c>
      <c r="Y157" s="44">
        <v>20</v>
      </c>
      <c r="Z157" s="44">
        <v>20</v>
      </c>
      <c r="AA157" s="44">
        <v>20</v>
      </c>
      <c r="AB157" s="44">
        <v>20</v>
      </c>
      <c r="AC157" s="44">
        <v>20</v>
      </c>
      <c r="AD157" s="44">
        <v>20</v>
      </c>
      <c r="AE157"/>
      <c r="AF157" s="44">
        <v>20</v>
      </c>
      <c r="AG157" s="44">
        <v>20</v>
      </c>
      <c r="AH157" s="44">
        <v>20</v>
      </c>
      <c r="AI157" s="44">
        <v>20</v>
      </c>
      <c r="AJ157" s="44">
        <v>20</v>
      </c>
      <c r="AK157" s="44">
        <v>20</v>
      </c>
      <c r="AL157" s="44">
        <v>20</v>
      </c>
      <c r="AM157"/>
      <c r="AN157" s="44">
        <v>20</v>
      </c>
      <c r="AO157" s="44">
        <v>20</v>
      </c>
      <c r="AP157" s="44">
        <v>20</v>
      </c>
      <c r="AQ157" s="44">
        <v>20</v>
      </c>
      <c r="AR157"/>
      <c r="AS157" s="44">
        <v>20</v>
      </c>
      <c r="AT157"/>
      <c r="AU157"/>
      <c r="AV157" s="44">
        <v>20</v>
      </c>
    </row>
    <row r="158" spans="1:48" x14ac:dyDescent="0.25">
      <c r="A158" s="9" t="s">
        <v>219</v>
      </c>
      <c r="B158" s="3" t="s">
        <v>473</v>
      </c>
      <c r="C158" s="3" t="s">
        <v>483</v>
      </c>
      <c r="D158" s="3" t="s">
        <v>521</v>
      </c>
      <c r="E158" s="10" t="s">
        <v>299</v>
      </c>
      <c r="F158" s="10" t="s">
        <v>301</v>
      </c>
      <c r="G158" s="44">
        <v>-4.4200000000000003E-2</v>
      </c>
      <c r="I158" s="58"/>
      <c r="J158" s="44">
        <v>-4.4200000000000003E-2</v>
      </c>
      <c r="K158" s="44">
        <v>-4.4200000000000003E-2</v>
      </c>
      <c r="M158" s="44">
        <v>-4.4200000000000003E-2</v>
      </c>
      <c r="N158" s="44"/>
      <c r="O158" s="44">
        <v>-4.4200000000000003E-2</v>
      </c>
      <c r="P158" s="44">
        <v>-4.4200000000000003E-2</v>
      </c>
      <c r="Q158" s="44">
        <v>-4.4200000000000003E-2</v>
      </c>
      <c r="T158" s="44">
        <v>-4.4200000000000003E-2</v>
      </c>
      <c r="U158" s="44">
        <v>-4.4200000000000003E-2</v>
      </c>
      <c r="V158" s="44">
        <v>-4.4200000000000003E-2</v>
      </c>
      <c r="W158" s="44">
        <v>-4.4200000000000003E-2</v>
      </c>
      <c r="X158" s="44">
        <v>-4.4200000000000003E-2</v>
      </c>
      <c r="Y158" s="44">
        <v>-4.4200000000000003E-2</v>
      </c>
      <c r="Z158" s="44">
        <v>-4.4200000000000003E-2</v>
      </c>
      <c r="AA158" s="44">
        <v>-4.4200000000000003E-2</v>
      </c>
      <c r="AB158" s="44">
        <v>-4.4200000000000003E-2</v>
      </c>
      <c r="AC158" s="44">
        <v>-4.4200000000000003E-2</v>
      </c>
      <c r="AD158" s="44">
        <v>-4.4200000000000003E-2</v>
      </c>
      <c r="AE158"/>
      <c r="AF158" s="44">
        <v>-4.4200000000000003E-2</v>
      </c>
      <c r="AG158" s="44">
        <v>-4.4200000000000003E-2</v>
      </c>
      <c r="AH158" s="44">
        <v>-4.4200000000000003E-2</v>
      </c>
      <c r="AI158" s="44">
        <v>-4.4200000000000003E-2</v>
      </c>
      <c r="AJ158" s="44">
        <v>-4.4200000000000003E-2</v>
      </c>
      <c r="AK158" s="44">
        <v>-4.4200000000000003E-2</v>
      </c>
      <c r="AL158" s="44">
        <v>-4.4200000000000003E-2</v>
      </c>
      <c r="AM158"/>
      <c r="AN158" s="44">
        <v>-4.4200000000000003E-2</v>
      </c>
      <c r="AO158" s="44">
        <v>-4.4200000000000003E-2</v>
      </c>
      <c r="AP158" s="44">
        <v>-4.4200000000000003E-2</v>
      </c>
      <c r="AQ158" s="44">
        <v>-4.4200000000000003E-2</v>
      </c>
      <c r="AR158"/>
      <c r="AS158" s="44">
        <v>-4.4200000000000003E-2</v>
      </c>
      <c r="AT158"/>
      <c r="AU158"/>
      <c r="AV158" s="44">
        <v>-4.4200000000000003E-2</v>
      </c>
    </row>
    <row r="159" spans="1:48" x14ac:dyDescent="0.25">
      <c r="A159" s="9" t="s">
        <v>220</v>
      </c>
      <c r="B159" s="3" t="s">
        <v>473</v>
      </c>
      <c r="C159" s="3" t="s">
        <v>483</v>
      </c>
      <c r="D159" s="3" t="s">
        <v>521</v>
      </c>
      <c r="E159" s="10" t="s">
        <v>300</v>
      </c>
      <c r="F159" s="10" t="s">
        <v>100</v>
      </c>
      <c r="G159" s="44">
        <v>1.55</v>
      </c>
      <c r="I159" s="58"/>
      <c r="J159" s="44">
        <v>1.55</v>
      </c>
      <c r="K159" s="44">
        <v>1.55</v>
      </c>
      <c r="M159" s="44">
        <v>1.55</v>
      </c>
      <c r="N159" s="44"/>
      <c r="O159" s="44">
        <v>1.55</v>
      </c>
      <c r="P159" s="44">
        <v>1.55</v>
      </c>
      <c r="Q159" s="44">
        <v>1.55</v>
      </c>
      <c r="T159" s="44">
        <v>1.55</v>
      </c>
      <c r="U159" s="44">
        <v>1.55</v>
      </c>
      <c r="V159" s="44">
        <v>1.55</v>
      </c>
      <c r="W159" s="44">
        <v>1.55</v>
      </c>
      <c r="X159" s="44">
        <v>1.55</v>
      </c>
      <c r="Y159" s="44">
        <v>1.55</v>
      </c>
      <c r="Z159" s="44">
        <v>1.55</v>
      </c>
      <c r="AA159" s="44">
        <v>1.55</v>
      </c>
      <c r="AB159" s="44">
        <v>1.55</v>
      </c>
      <c r="AC159" s="44">
        <v>1.55</v>
      </c>
      <c r="AD159" s="44">
        <v>1.55</v>
      </c>
      <c r="AE159"/>
      <c r="AF159" s="44">
        <v>1.55</v>
      </c>
      <c r="AG159" s="44">
        <v>1.55</v>
      </c>
      <c r="AH159" s="44">
        <v>1.55</v>
      </c>
      <c r="AI159" s="44">
        <v>1.55</v>
      </c>
      <c r="AJ159" s="44">
        <v>1.55</v>
      </c>
      <c r="AK159" s="44">
        <v>1.55</v>
      </c>
      <c r="AL159" s="44">
        <v>1.55</v>
      </c>
      <c r="AM159"/>
      <c r="AN159" s="44">
        <v>1.55</v>
      </c>
      <c r="AO159" s="44">
        <v>1.55</v>
      </c>
      <c r="AP159" s="44">
        <v>1.55</v>
      </c>
      <c r="AQ159" s="44">
        <v>1.55</v>
      </c>
      <c r="AR159"/>
      <c r="AS159" s="44">
        <v>1.55</v>
      </c>
      <c r="AT159"/>
      <c r="AU159"/>
      <c r="AV159" s="44">
        <v>1.55</v>
      </c>
    </row>
    <row r="160" spans="1:48" x14ac:dyDescent="0.25">
      <c r="A160" s="9" t="s">
        <v>221</v>
      </c>
      <c r="B160" s="3" t="s">
        <v>473</v>
      </c>
      <c r="C160" s="3" t="s">
        <v>483</v>
      </c>
      <c r="D160" s="3" t="s">
        <v>521</v>
      </c>
      <c r="E160" s="10" t="s">
        <v>302</v>
      </c>
      <c r="F160" s="10" t="s">
        <v>95</v>
      </c>
      <c r="G160" s="44">
        <v>1</v>
      </c>
      <c r="I160" s="58"/>
      <c r="J160" s="44">
        <v>1</v>
      </c>
      <c r="K160" s="44">
        <v>1</v>
      </c>
      <c r="M160" s="44">
        <v>1</v>
      </c>
      <c r="N160" s="44"/>
      <c r="O160" s="44">
        <v>1</v>
      </c>
      <c r="P160" s="44">
        <v>1</v>
      </c>
      <c r="Q160" s="44">
        <v>1</v>
      </c>
      <c r="T160" s="44">
        <v>1</v>
      </c>
      <c r="U160" s="44">
        <v>1</v>
      </c>
      <c r="V160" s="44">
        <v>1</v>
      </c>
      <c r="W160" s="44">
        <v>1</v>
      </c>
      <c r="X160" s="44">
        <v>1</v>
      </c>
      <c r="Y160" s="44">
        <v>1</v>
      </c>
      <c r="Z160" s="44">
        <v>1</v>
      </c>
      <c r="AA160" s="44">
        <v>1</v>
      </c>
      <c r="AB160" s="44">
        <v>1</v>
      </c>
      <c r="AC160" s="44">
        <v>1</v>
      </c>
      <c r="AD160" s="44">
        <v>1</v>
      </c>
      <c r="AE160"/>
      <c r="AF160" s="44">
        <v>1</v>
      </c>
      <c r="AG160" s="44">
        <v>1</v>
      </c>
      <c r="AH160" s="44">
        <v>1</v>
      </c>
      <c r="AI160" s="44">
        <v>1</v>
      </c>
      <c r="AJ160" s="44">
        <v>1</v>
      </c>
      <c r="AK160" s="44">
        <v>1</v>
      </c>
      <c r="AL160" s="44">
        <v>1</v>
      </c>
      <c r="AM160"/>
      <c r="AN160" s="44">
        <v>1</v>
      </c>
      <c r="AO160" s="44">
        <v>1</v>
      </c>
      <c r="AP160" s="44">
        <v>1</v>
      </c>
      <c r="AQ160" s="44">
        <v>1</v>
      </c>
      <c r="AR160"/>
      <c r="AS160" s="44">
        <v>1</v>
      </c>
      <c r="AT160"/>
      <c r="AU160"/>
      <c r="AV160" s="44">
        <v>1</v>
      </c>
    </row>
    <row r="161" spans="1:48" x14ac:dyDescent="0.25">
      <c r="A161" s="9" t="s">
        <v>76</v>
      </c>
      <c r="B161" s="3" t="s">
        <v>473</v>
      </c>
      <c r="C161" s="3" t="s">
        <v>483</v>
      </c>
      <c r="D161" s="3" t="s">
        <v>521</v>
      </c>
      <c r="E161" s="10" t="s">
        <v>188</v>
      </c>
      <c r="F161" s="10" t="s">
        <v>198</v>
      </c>
      <c r="G161" s="44">
        <v>2.7799999999999998E-4</v>
      </c>
      <c r="I161" s="58"/>
      <c r="J161" s="44">
        <v>2.7799999999999998E-4</v>
      </c>
      <c r="K161" s="44">
        <v>2.7799999999999998E-4</v>
      </c>
      <c r="M161" s="44">
        <v>2.7799999999999998E-4</v>
      </c>
      <c r="N161" s="44"/>
      <c r="O161" s="44">
        <v>2.7799999999999998E-4</v>
      </c>
      <c r="P161" s="44">
        <v>2.7799999999999998E-4</v>
      </c>
      <c r="Q161" s="44">
        <v>2.7799999999999998E-4</v>
      </c>
      <c r="T161" s="44">
        <v>2.7799999999999998E-4</v>
      </c>
      <c r="U161" s="44">
        <v>2.7799999999999998E-4</v>
      </c>
      <c r="V161" s="44">
        <v>2.7799999999999998E-4</v>
      </c>
      <c r="W161" s="44">
        <v>2.7799999999999998E-4</v>
      </c>
      <c r="X161" s="44">
        <v>2.7799999999999998E-4</v>
      </c>
      <c r="Y161" s="44">
        <v>2.7799999999999998E-4</v>
      </c>
      <c r="Z161" s="44">
        <v>2.7799999999999998E-4</v>
      </c>
      <c r="AA161" s="44">
        <v>2.7799999999999998E-4</v>
      </c>
      <c r="AB161" s="44">
        <v>2.7799999999999998E-4</v>
      </c>
      <c r="AC161" s="44">
        <v>2.7799999999999998E-4</v>
      </c>
      <c r="AD161" s="44">
        <v>2.7799999999999998E-4</v>
      </c>
      <c r="AE161"/>
      <c r="AF161" s="44">
        <v>2.7799999999999998E-4</v>
      </c>
      <c r="AG161" s="44">
        <v>2.7799999999999998E-4</v>
      </c>
      <c r="AH161" s="44">
        <v>2.7799999999999998E-4</v>
      </c>
      <c r="AI161" s="44">
        <v>2.7799999999999998E-4</v>
      </c>
      <c r="AJ161" s="44">
        <v>2.7799999999999998E-4</v>
      </c>
      <c r="AK161" s="44">
        <v>2.7799999999999998E-4</v>
      </c>
      <c r="AL161" s="44">
        <v>2.7799999999999998E-4</v>
      </c>
      <c r="AM161"/>
      <c r="AN161" s="44">
        <v>2.7799999999999998E-4</v>
      </c>
      <c r="AO161" s="44">
        <v>2.7799999999999998E-4</v>
      </c>
      <c r="AP161" s="44">
        <v>2.7799999999999998E-4</v>
      </c>
      <c r="AQ161" s="44">
        <v>2.7799999999999998E-4</v>
      </c>
      <c r="AR161"/>
      <c r="AS161" s="44">
        <v>2.7799999999999998E-4</v>
      </c>
      <c r="AT161"/>
      <c r="AU161"/>
      <c r="AV161" s="44">
        <v>2.7799999999999998E-4</v>
      </c>
    </row>
    <row r="162" spans="1:48" x14ac:dyDescent="0.25">
      <c r="A162" s="25" t="s">
        <v>78</v>
      </c>
      <c r="B162" s="3" t="s">
        <v>473</v>
      </c>
      <c r="C162" s="3" t="s">
        <v>483</v>
      </c>
      <c r="D162" s="3" t="s">
        <v>521</v>
      </c>
      <c r="E162" s="26" t="s">
        <v>189</v>
      </c>
      <c r="F162" s="26" t="s">
        <v>201</v>
      </c>
      <c r="G162" s="44">
        <v>4.7300000000000001E-7</v>
      </c>
      <c r="I162" s="58"/>
      <c r="J162" s="44">
        <v>2.4999999999999998E-12</v>
      </c>
      <c r="K162" s="44">
        <v>2.4999999999999998E-12</v>
      </c>
      <c r="M162" s="44">
        <v>2.4999999999999998E-12</v>
      </c>
      <c r="N162" s="44"/>
      <c r="O162" s="44">
        <v>2.4999999999999998E-12</v>
      </c>
      <c r="P162" s="44">
        <v>2.4999999999999998E-12</v>
      </c>
      <c r="Q162" s="44">
        <v>2.4999999999999998E-12</v>
      </c>
      <c r="T162" s="44">
        <v>2.4999999999999998E-12</v>
      </c>
      <c r="U162" s="44">
        <v>2.4999999999999998E-12</v>
      </c>
      <c r="V162" s="44">
        <v>2.4999999999999998E-12</v>
      </c>
      <c r="W162" s="44">
        <v>2.4999999999999998E-12</v>
      </c>
      <c r="X162" s="44">
        <v>2.4999999999999998E-12</v>
      </c>
      <c r="Y162" s="44">
        <v>2.4999999999999998E-12</v>
      </c>
      <c r="Z162" s="44">
        <v>2.4999999999999998E-12</v>
      </c>
      <c r="AA162" s="44">
        <v>2.4999999999999998E-12</v>
      </c>
      <c r="AB162" s="44">
        <v>2.4999999999999998E-12</v>
      </c>
      <c r="AC162" s="44">
        <v>2.4999999999999998E-12</v>
      </c>
      <c r="AD162" s="44">
        <v>2.4999999999999998E-12</v>
      </c>
      <c r="AE162"/>
      <c r="AF162" s="44">
        <v>2.4999999999999998E-12</v>
      </c>
      <c r="AG162" s="44">
        <v>2.4999999999999998E-12</v>
      </c>
      <c r="AH162" s="44">
        <v>2.4999999999999998E-12</v>
      </c>
      <c r="AI162" s="44">
        <v>2.4999999999999998E-12</v>
      </c>
      <c r="AJ162" s="44">
        <v>2.4999999999999998E-12</v>
      </c>
      <c r="AK162" s="44">
        <v>2.4999999999999998E-12</v>
      </c>
      <c r="AL162" s="44">
        <v>2.4999999999999998E-12</v>
      </c>
      <c r="AM162"/>
      <c r="AN162" s="44">
        <v>2.4999999999999998E-12</v>
      </c>
      <c r="AO162" s="44">
        <v>2.4999999999999998E-12</v>
      </c>
      <c r="AP162" s="44">
        <v>2.4999999999999998E-12</v>
      </c>
      <c r="AQ162" s="44">
        <v>2.4999999999999998E-12</v>
      </c>
      <c r="AR162"/>
      <c r="AS162" s="44">
        <v>2.4999999999999998E-12</v>
      </c>
      <c r="AT162"/>
      <c r="AU162"/>
      <c r="AV162" s="44">
        <v>2.4999999999999998E-12</v>
      </c>
    </row>
    <row r="163" spans="1:48" x14ac:dyDescent="0.25">
      <c r="A163" s="25" t="s">
        <v>245</v>
      </c>
      <c r="B163" s="3" t="s">
        <v>473</v>
      </c>
      <c r="C163" s="3" t="s">
        <v>483</v>
      </c>
      <c r="D163" s="3" t="s">
        <v>521</v>
      </c>
      <c r="E163" s="26" t="s">
        <v>319</v>
      </c>
      <c r="F163" s="26" t="s">
        <v>109</v>
      </c>
      <c r="G163" s="44">
        <v>20</v>
      </c>
      <c r="I163" s="58"/>
      <c r="J163" s="44">
        <v>20</v>
      </c>
      <c r="K163" s="44">
        <v>20</v>
      </c>
      <c r="M163" s="44">
        <v>20</v>
      </c>
      <c r="N163" s="44"/>
      <c r="O163" s="44">
        <v>20</v>
      </c>
      <c r="P163" s="44">
        <v>20</v>
      </c>
      <c r="Q163" s="44">
        <v>20</v>
      </c>
      <c r="T163" s="44">
        <v>20</v>
      </c>
      <c r="U163" s="44">
        <v>20</v>
      </c>
      <c r="V163" s="44">
        <v>20</v>
      </c>
      <c r="W163" s="44">
        <v>20</v>
      </c>
      <c r="X163" s="44">
        <v>20</v>
      </c>
      <c r="Y163" s="44">
        <v>20</v>
      </c>
      <c r="Z163" s="44">
        <v>20</v>
      </c>
      <c r="AA163" s="44">
        <v>20</v>
      </c>
      <c r="AB163" s="44">
        <v>20</v>
      </c>
      <c r="AC163" s="44">
        <v>20</v>
      </c>
      <c r="AD163" s="44">
        <v>20</v>
      </c>
      <c r="AE163"/>
      <c r="AF163" s="44">
        <v>20</v>
      </c>
      <c r="AG163" s="44">
        <v>20</v>
      </c>
      <c r="AH163" s="44">
        <v>20</v>
      </c>
      <c r="AI163" s="44">
        <v>20</v>
      </c>
      <c r="AJ163" s="44">
        <v>20</v>
      </c>
      <c r="AK163" s="44">
        <v>20</v>
      </c>
      <c r="AL163" s="44">
        <v>20</v>
      </c>
      <c r="AM163"/>
      <c r="AN163" s="44">
        <v>20</v>
      </c>
      <c r="AO163" s="44">
        <v>20</v>
      </c>
      <c r="AP163" s="44">
        <v>20</v>
      </c>
      <c r="AQ163" s="44">
        <v>20</v>
      </c>
      <c r="AR163"/>
      <c r="AS163" s="44">
        <v>20</v>
      </c>
      <c r="AT163"/>
      <c r="AU163"/>
      <c r="AV163" s="44">
        <v>20</v>
      </c>
    </row>
    <row r="164" spans="1:48" x14ac:dyDescent="0.25">
      <c r="A164" s="25" t="s">
        <v>246</v>
      </c>
      <c r="B164" s="3" t="s">
        <v>473</v>
      </c>
      <c r="C164" s="3" t="s">
        <v>483</v>
      </c>
      <c r="D164" s="3" t="s">
        <v>521</v>
      </c>
      <c r="E164" s="26" t="s">
        <v>320</v>
      </c>
      <c r="F164" s="26" t="s">
        <v>301</v>
      </c>
      <c r="G164" s="44">
        <v>0</v>
      </c>
      <c r="I164" s="58"/>
      <c r="J164" s="44">
        <v>0</v>
      </c>
      <c r="K164" s="44">
        <v>0</v>
      </c>
      <c r="M164" s="44">
        <v>0</v>
      </c>
      <c r="N164" s="44"/>
      <c r="O164" s="44">
        <v>0</v>
      </c>
      <c r="P164" s="44">
        <v>0</v>
      </c>
      <c r="Q164" s="44">
        <v>0</v>
      </c>
      <c r="T164" s="44">
        <v>0</v>
      </c>
      <c r="U164" s="44">
        <v>0</v>
      </c>
      <c r="V164" s="44">
        <v>0</v>
      </c>
      <c r="W164" s="44">
        <v>0</v>
      </c>
      <c r="X164" s="44">
        <v>0</v>
      </c>
      <c r="Y164" s="44">
        <v>0</v>
      </c>
      <c r="Z164" s="44">
        <v>0</v>
      </c>
      <c r="AA164" s="44">
        <v>0</v>
      </c>
      <c r="AB164" s="44">
        <v>0</v>
      </c>
      <c r="AC164" s="44">
        <v>0</v>
      </c>
      <c r="AD164" s="44">
        <v>0</v>
      </c>
      <c r="AE164"/>
      <c r="AF164" s="44">
        <v>0</v>
      </c>
      <c r="AG164" s="44">
        <v>0</v>
      </c>
      <c r="AH164" s="44">
        <v>0</v>
      </c>
      <c r="AI164" s="44">
        <v>0</v>
      </c>
      <c r="AJ164" s="44">
        <v>0</v>
      </c>
      <c r="AK164" s="44">
        <v>0</v>
      </c>
      <c r="AL164" s="44">
        <v>0</v>
      </c>
      <c r="AM164"/>
      <c r="AN164" s="44">
        <v>0</v>
      </c>
      <c r="AO164" s="44">
        <v>0</v>
      </c>
      <c r="AP164" s="44">
        <v>0</v>
      </c>
      <c r="AQ164" s="44">
        <v>0</v>
      </c>
      <c r="AR164"/>
      <c r="AS164" s="44">
        <v>0</v>
      </c>
      <c r="AT164"/>
      <c r="AU164"/>
      <c r="AV164" s="44">
        <v>0</v>
      </c>
    </row>
    <row r="165" spans="1:48" x14ac:dyDescent="0.25">
      <c r="A165" s="25" t="s">
        <v>247</v>
      </c>
      <c r="B165" s="3" t="s">
        <v>473</v>
      </c>
      <c r="C165" s="3" t="s">
        <v>483</v>
      </c>
      <c r="D165" s="3" t="s">
        <v>521</v>
      </c>
      <c r="E165" s="26" t="s">
        <v>321</v>
      </c>
      <c r="F165" s="26" t="s">
        <v>100</v>
      </c>
      <c r="G165" s="44">
        <v>1</v>
      </c>
      <c r="I165" s="58"/>
      <c r="J165" s="44">
        <v>1</v>
      </c>
      <c r="K165" s="44">
        <v>1</v>
      </c>
      <c r="M165" s="44">
        <v>1</v>
      </c>
      <c r="N165" s="44"/>
      <c r="O165" s="44">
        <v>1</v>
      </c>
      <c r="P165" s="44">
        <v>1</v>
      </c>
      <c r="Q165" s="44">
        <v>1</v>
      </c>
      <c r="T165" s="44">
        <v>1</v>
      </c>
      <c r="U165" s="44">
        <v>1</v>
      </c>
      <c r="V165" s="44">
        <v>1</v>
      </c>
      <c r="W165" s="44">
        <v>1</v>
      </c>
      <c r="X165" s="44">
        <v>1</v>
      </c>
      <c r="Y165" s="44">
        <v>1</v>
      </c>
      <c r="Z165" s="44">
        <v>1</v>
      </c>
      <c r="AA165" s="44">
        <v>1</v>
      </c>
      <c r="AB165" s="44">
        <v>1</v>
      </c>
      <c r="AC165" s="44">
        <v>1</v>
      </c>
      <c r="AD165" s="44">
        <v>1</v>
      </c>
      <c r="AE165"/>
      <c r="AF165" s="44">
        <v>1</v>
      </c>
      <c r="AG165" s="44">
        <v>1</v>
      </c>
      <c r="AH165" s="44">
        <v>1</v>
      </c>
      <c r="AI165" s="44">
        <v>1</v>
      </c>
      <c r="AJ165" s="44">
        <v>1</v>
      </c>
      <c r="AK165" s="44">
        <v>1</v>
      </c>
      <c r="AL165" s="44">
        <v>1</v>
      </c>
      <c r="AM165"/>
      <c r="AN165" s="44">
        <v>1</v>
      </c>
      <c r="AO165" s="44">
        <v>1</v>
      </c>
      <c r="AP165" s="44">
        <v>1</v>
      </c>
      <c r="AQ165" s="44">
        <v>1</v>
      </c>
      <c r="AR165"/>
      <c r="AS165" s="44">
        <v>1</v>
      </c>
      <c r="AT165"/>
      <c r="AU165"/>
      <c r="AV165" s="44">
        <v>1</v>
      </c>
    </row>
    <row r="166" spans="1:48" x14ac:dyDescent="0.25">
      <c r="A166" s="25" t="s">
        <v>248</v>
      </c>
      <c r="B166" s="3" t="s">
        <v>473</v>
      </c>
      <c r="C166" s="3" t="s">
        <v>483</v>
      </c>
      <c r="D166" s="3" t="s">
        <v>521</v>
      </c>
      <c r="E166" s="26" t="s">
        <v>322</v>
      </c>
      <c r="F166" s="26" t="s">
        <v>95</v>
      </c>
      <c r="G166" s="44">
        <v>0</v>
      </c>
      <c r="I166" s="58"/>
      <c r="J166" s="44">
        <v>0</v>
      </c>
      <c r="K166" s="44">
        <v>0</v>
      </c>
      <c r="M166" s="44">
        <v>0</v>
      </c>
      <c r="N166" s="44"/>
      <c r="O166" s="44">
        <v>0</v>
      </c>
      <c r="P166" s="44">
        <v>0</v>
      </c>
      <c r="Q166" s="44">
        <v>0</v>
      </c>
      <c r="T166" s="44">
        <v>0</v>
      </c>
      <c r="U166" s="44">
        <v>0</v>
      </c>
      <c r="V166" s="44">
        <v>0</v>
      </c>
      <c r="W166" s="44">
        <v>0</v>
      </c>
      <c r="X166" s="44">
        <v>0</v>
      </c>
      <c r="Y166" s="44">
        <v>0</v>
      </c>
      <c r="Z166" s="44">
        <v>0</v>
      </c>
      <c r="AA166" s="44">
        <v>0</v>
      </c>
      <c r="AB166" s="44">
        <v>0</v>
      </c>
      <c r="AC166" s="44">
        <v>0</v>
      </c>
      <c r="AD166" s="44">
        <v>0</v>
      </c>
      <c r="AE166"/>
      <c r="AF166" s="44">
        <v>0</v>
      </c>
      <c r="AG166" s="44">
        <v>0</v>
      </c>
      <c r="AH166" s="44">
        <v>0</v>
      </c>
      <c r="AI166" s="44">
        <v>0</v>
      </c>
      <c r="AJ166" s="44">
        <v>0</v>
      </c>
      <c r="AK166" s="44">
        <v>0</v>
      </c>
      <c r="AL166" s="44">
        <v>0</v>
      </c>
      <c r="AM166"/>
      <c r="AN166" s="44">
        <v>0</v>
      </c>
      <c r="AO166" s="44">
        <v>0</v>
      </c>
      <c r="AP166" s="44">
        <v>0</v>
      </c>
      <c r="AQ166" s="44">
        <v>0</v>
      </c>
      <c r="AR166"/>
      <c r="AS166" s="44">
        <v>0</v>
      </c>
      <c r="AT166"/>
      <c r="AU166"/>
      <c r="AV166" s="44">
        <v>0</v>
      </c>
    </row>
    <row r="167" spans="1:48" x14ac:dyDescent="0.25">
      <c r="A167" s="25" t="s">
        <v>79</v>
      </c>
      <c r="B167" s="3" t="s">
        <v>473</v>
      </c>
      <c r="C167" s="3" t="s">
        <v>483</v>
      </c>
      <c r="D167" s="3" t="s">
        <v>521</v>
      </c>
      <c r="E167" s="26" t="s">
        <v>190</v>
      </c>
      <c r="F167" s="26" t="s">
        <v>100</v>
      </c>
      <c r="G167" s="44">
        <v>0.4</v>
      </c>
      <c r="I167" s="58"/>
      <c r="J167" s="44">
        <v>0.4</v>
      </c>
      <c r="K167" s="44">
        <v>0.4</v>
      </c>
      <c r="M167" s="44">
        <v>0.4</v>
      </c>
      <c r="N167" s="44"/>
      <c r="O167" s="44">
        <v>0.4</v>
      </c>
      <c r="P167" s="44">
        <v>0.4</v>
      </c>
      <c r="Q167" s="44">
        <v>0.4</v>
      </c>
      <c r="T167" s="44">
        <v>0.4</v>
      </c>
      <c r="U167" s="44">
        <v>0.4</v>
      </c>
      <c r="V167" s="44">
        <v>0.4</v>
      </c>
      <c r="W167" s="44">
        <v>0.4</v>
      </c>
      <c r="X167" s="44">
        <v>0.4</v>
      </c>
      <c r="Y167" s="44">
        <v>0.4</v>
      </c>
      <c r="Z167" s="44">
        <v>0.4</v>
      </c>
      <c r="AA167" s="44">
        <v>0.4</v>
      </c>
      <c r="AB167" s="44">
        <v>0.4</v>
      </c>
      <c r="AC167" s="44">
        <v>0.4</v>
      </c>
      <c r="AD167" s="44">
        <v>0.4</v>
      </c>
      <c r="AE167"/>
      <c r="AF167" s="44">
        <v>0.4</v>
      </c>
      <c r="AG167" s="44">
        <v>0.4</v>
      </c>
      <c r="AH167" s="44">
        <v>0.4</v>
      </c>
      <c r="AI167" s="44">
        <v>0.4</v>
      </c>
      <c r="AJ167" s="44">
        <v>0.4</v>
      </c>
      <c r="AK167" s="44">
        <v>0.4</v>
      </c>
      <c r="AL167" s="44">
        <v>0.4</v>
      </c>
      <c r="AM167"/>
      <c r="AN167" s="44">
        <v>0.4</v>
      </c>
      <c r="AO167" s="44">
        <v>0.4</v>
      </c>
      <c r="AP167" s="44">
        <v>0.4</v>
      </c>
      <c r="AQ167" s="44">
        <v>0.4</v>
      </c>
      <c r="AR167"/>
      <c r="AS167" s="44">
        <v>0.4</v>
      </c>
      <c r="AT167"/>
      <c r="AU167"/>
      <c r="AV167" s="44">
        <v>0.4</v>
      </c>
    </row>
    <row r="168" spans="1:48" x14ac:dyDescent="0.25">
      <c r="A168" s="31" t="s">
        <v>80</v>
      </c>
      <c r="B168" s="3" t="s">
        <v>473</v>
      </c>
      <c r="C168" s="3" t="s">
        <v>483</v>
      </c>
      <c r="D168" s="3" t="s">
        <v>521</v>
      </c>
      <c r="E168" s="32" t="s">
        <v>191</v>
      </c>
      <c r="F168" s="32" t="s">
        <v>200</v>
      </c>
      <c r="G168" s="44">
        <v>3.2100000000000002E-6</v>
      </c>
      <c r="I168" s="58"/>
      <c r="J168" s="44">
        <v>2.0000000000000001E-9</v>
      </c>
      <c r="K168" s="44">
        <v>2.0000000000000001E-9</v>
      </c>
      <c r="M168" s="44">
        <v>2.0000000000000001E-9</v>
      </c>
      <c r="N168" s="44"/>
      <c r="O168" s="44">
        <v>2.0000000000000001E-9</v>
      </c>
      <c r="P168" s="44">
        <v>2.0000000000000001E-9</v>
      </c>
      <c r="Q168" s="44">
        <v>2.0000000000000001E-9</v>
      </c>
      <c r="T168" s="44">
        <v>2.0000000000000001E-9</v>
      </c>
      <c r="U168" s="44">
        <v>2.0000000000000001E-9</v>
      </c>
      <c r="V168" s="44">
        <v>2.0000000000000001E-9</v>
      </c>
      <c r="W168" s="44">
        <v>2.0000000000000001E-9</v>
      </c>
      <c r="X168" s="44">
        <v>2.0000000000000001E-9</v>
      </c>
      <c r="Y168" s="44">
        <v>2.0000000000000001E-9</v>
      </c>
      <c r="Z168" s="44">
        <v>2.0000000000000001E-9</v>
      </c>
      <c r="AA168" s="44">
        <v>2.0000000000000001E-9</v>
      </c>
      <c r="AB168" s="44">
        <v>2.0000000000000001E-9</v>
      </c>
      <c r="AC168" s="44">
        <v>2.0000000000000001E-9</v>
      </c>
      <c r="AD168" s="44">
        <v>2.0000000000000001E-9</v>
      </c>
      <c r="AE168"/>
      <c r="AF168" s="44">
        <v>2.0000000000000001E-9</v>
      </c>
      <c r="AG168" s="44">
        <v>2.0000000000000001E-9</v>
      </c>
      <c r="AH168" s="44">
        <v>2.0000000000000001E-9</v>
      </c>
      <c r="AI168" s="44">
        <v>2.0000000000000001E-9</v>
      </c>
      <c r="AJ168" s="44">
        <v>2.0000000000000001E-9</v>
      </c>
      <c r="AK168" s="44">
        <v>2.0000000000000001E-9</v>
      </c>
      <c r="AL168" s="44">
        <v>2.0000000000000001E-9</v>
      </c>
      <c r="AM168"/>
      <c r="AN168" s="44">
        <v>2.0000000000000001E-9</v>
      </c>
      <c r="AO168" s="44">
        <v>2.0000000000000001E-9</v>
      </c>
      <c r="AP168" s="44">
        <v>2.0000000000000001E-9</v>
      </c>
      <c r="AQ168" s="44">
        <v>2.0000000000000001E-9</v>
      </c>
      <c r="AR168"/>
      <c r="AS168" s="44">
        <v>2.0000000000000001E-9</v>
      </c>
      <c r="AT168"/>
      <c r="AU168"/>
      <c r="AV168" s="44">
        <v>2.0000000000000001E-9</v>
      </c>
    </row>
    <row r="169" spans="1:48" x14ac:dyDescent="0.25">
      <c r="A169" s="31" t="s">
        <v>249</v>
      </c>
      <c r="B169" s="3" t="s">
        <v>473</v>
      </c>
      <c r="C169" s="3" t="s">
        <v>483</v>
      </c>
      <c r="D169" s="3" t="s">
        <v>521</v>
      </c>
      <c r="E169" s="32" t="s">
        <v>323</v>
      </c>
      <c r="F169" s="32" t="s">
        <v>109</v>
      </c>
      <c r="G169" s="44">
        <v>25</v>
      </c>
      <c r="I169" s="58"/>
      <c r="J169" s="44">
        <v>25</v>
      </c>
      <c r="K169" s="44">
        <v>25</v>
      </c>
      <c r="M169" s="44">
        <v>25</v>
      </c>
      <c r="N169" s="44"/>
      <c r="O169" s="44">
        <v>25</v>
      </c>
      <c r="P169" s="44">
        <v>25</v>
      </c>
      <c r="Q169" s="44">
        <v>25</v>
      </c>
      <c r="T169" s="44">
        <v>25</v>
      </c>
      <c r="U169" s="44">
        <v>25</v>
      </c>
      <c r="V169" s="44">
        <v>25</v>
      </c>
      <c r="W169" s="44">
        <v>25</v>
      </c>
      <c r="X169" s="44">
        <v>25</v>
      </c>
      <c r="Y169" s="44">
        <v>25</v>
      </c>
      <c r="Z169" s="44">
        <v>25</v>
      </c>
      <c r="AA169" s="44">
        <v>25</v>
      </c>
      <c r="AB169" s="44">
        <v>25</v>
      </c>
      <c r="AC169" s="44">
        <v>25</v>
      </c>
      <c r="AD169" s="44">
        <v>25</v>
      </c>
      <c r="AE169"/>
      <c r="AF169" s="44">
        <v>25</v>
      </c>
      <c r="AG169" s="44">
        <v>25</v>
      </c>
      <c r="AH169" s="44">
        <v>25</v>
      </c>
      <c r="AI169" s="44">
        <v>25</v>
      </c>
      <c r="AJ169" s="44">
        <v>25</v>
      </c>
      <c r="AK169" s="44">
        <v>25</v>
      </c>
      <c r="AL169" s="44">
        <v>25</v>
      </c>
      <c r="AM169"/>
      <c r="AN169" s="44">
        <v>25</v>
      </c>
      <c r="AO169" s="44">
        <v>25</v>
      </c>
      <c r="AP169" s="44">
        <v>25</v>
      </c>
      <c r="AQ169" s="44">
        <v>25</v>
      </c>
      <c r="AR169"/>
      <c r="AS169" s="44">
        <v>25</v>
      </c>
      <c r="AT169"/>
      <c r="AU169"/>
      <c r="AV169" s="44">
        <v>25</v>
      </c>
    </row>
    <row r="170" spans="1:48" x14ac:dyDescent="0.25">
      <c r="A170" s="31" t="s">
        <v>250</v>
      </c>
      <c r="B170" s="3" t="s">
        <v>473</v>
      </c>
      <c r="C170" s="3" t="s">
        <v>483</v>
      </c>
      <c r="D170" s="3" t="s">
        <v>521</v>
      </c>
      <c r="E170" s="32" t="s">
        <v>324</v>
      </c>
      <c r="F170" s="32" t="s">
        <v>301</v>
      </c>
      <c r="G170" s="44">
        <v>0</v>
      </c>
      <c r="I170" s="58"/>
      <c r="J170" s="44">
        <v>0</v>
      </c>
      <c r="K170" s="44">
        <v>0</v>
      </c>
      <c r="M170" s="44">
        <v>0</v>
      </c>
      <c r="N170" s="44"/>
      <c r="O170" s="44">
        <v>0</v>
      </c>
      <c r="P170" s="44">
        <v>0</v>
      </c>
      <c r="Q170" s="44">
        <v>0</v>
      </c>
      <c r="T170" s="44">
        <v>0</v>
      </c>
      <c r="U170" s="44">
        <v>0</v>
      </c>
      <c r="V170" s="44">
        <v>0</v>
      </c>
      <c r="W170" s="44">
        <v>0</v>
      </c>
      <c r="X170" s="44">
        <v>0</v>
      </c>
      <c r="Y170" s="44">
        <v>0</v>
      </c>
      <c r="Z170" s="44">
        <v>0</v>
      </c>
      <c r="AA170" s="44">
        <v>0</v>
      </c>
      <c r="AB170" s="44">
        <v>0</v>
      </c>
      <c r="AC170" s="44">
        <v>0</v>
      </c>
      <c r="AD170" s="44">
        <v>0</v>
      </c>
      <c r="AE170"/>
      <c r="AF170" s="44">
        <v>0</v>
      </c>
      <c r="AG170" s="44">
        <v>0</v>
      </c>
      <c r="AH170" s="44">
        <v>0</v>
      </c>
      <c r="AI170" s="44">
        <v>0</v>
      </c>
      <c r="AJ170" s="44">
        <v>0</v>
      </c>
      <c r="AK170" s="44">
        <v>0</v>
      </c>
      <c r="AL170" s="44">
        <v>0</v>
      </c>
      <c r="AM170"/>
      <c r="AN170" s="44">
        <v>0</v>
      </c>
      <c r="AO170" s="44">
        <v>0</v>
      </c>
      <c r="AP170" s="44">
        <v>0</v>
      </c>
      <c r="AQ170" s="44">
        <v>0</v>
      </c>
      <c r="AR170"/>
      <c r="AS170" s="44">
        <v>0</v>
      </c>
      <c r="AT170"/>
      <c r="AU170"/>
      <c r="AV170" s="44">
        <v>0</v>
      </c>
    </row>
    <row r="171" spans="1:48" x14ac:dyDescent="0.25">
      <c r="A171" s="31" t="s">
        <v>251</v>
      </c>
      <c r="B171" s="3" t="s">
        <v>473</v>
      </c>
      <c r="C171" s="3" t="s">
        <v>483</v>
      </c>
      <c r="D171" s="3" t="s">
        <v>521</v>
      </c>
      <c r="E171" s="32" t="s">
        <v>325</v>
      </c>
      <c r="F171" s="32" t="s">
        <v>100</v>
      </c>
      <c r="G171" s="44">
        <v>3.98</v>
      </c>
      <c r="I171" s="58"/>
      <c r="J171" s="44">
        <v>3.98</v>
      </c>
      <c r="K171" s="44">
        <v>3.98</v>
      </c>
      <c r="M171" s="44">
        <v>3.98</v>
      </c>
      <c r="N171" s="44"/>
      <c r="O171" s="44">
        <v>3.98</v>
      </c>
      <c r="P171" s="44">
        <v>3.98</v>
      </c>
      <c r="Q171" s="44">
        <v>3.98</v>
      </c>
      <c r="T171" s="44">
        <v>3.98</v>
      </c>
      <c r="U171" s="44">
        <v>3.98</v>
      </c>
      <c r="V171" s="44">
        <v>3.98</v>
      </c>
      <c r="W171" s="44">
        <v>3.98</v>
      </c>
      <c r="X171" s="44">
        <v>3.98</v>
      </c>
      <c r="Y171" s="44">
        <v>3.98</v>
      </c>
      <c r="Z171" s="44">
        <v>3.98</v>
      </c>
      <c r="AA171" s="44">
        <v>3.98</v>
      </c>
      <c r="AB171" s="44">
        <v>3.98</v>
      </c>
      <c r="AC171" s="44">
        <v>3.98</v>
      </c>
      <c r="AD171" s="44">
        <v>3.98</v>
      </c>
      <c r="AE171"/>
      <c r="AF171" s="44">
        <v>3.98</v>
      </c>
      <c r="AG171" s="44">
        <v>3.98</v>
      </c>
      <c r="AH171" s="44">
        <v>3.98</v>
      </c>
      <c r="AI171" s="44">
        <v>3.98</v>
      </c>
      <c r="AJ171" s="44">
        <v>3.98</v>
      </c>
      <c r="AK171" s="44">
        <v>3.98</v>
      </c>
      <c r="AL171" s="44">
        <v>3.98</v>
      </c>
      <c r="AM171"/>
      <c r="AN171" s="44">
        <v>3.98</v>
      </c>
      <c r="AO171" s="44">
        <v>3.98</v>
      </c>
      <c r="AP171" s="44">
        <v>3.98</v>
      </c>
      <c r="AQ171" s="44">
        <v>3.98</v>
      </c>
      <c r="AR171"/>
      <c r="AS171" s="44">
        <v>3.98</v>
      </c>
      <c r="AT171"/>
      <c r="AU171"/>
      <c r="AV171" s="44">
        <v>3.98</v>
      </c>
    </row>
    <row r="172" spans="1:48" x14ac:dyDescent="0.25">
      <c r="A172" s="31" t="s">
        <v>252</v>
      </c>
      <c r="B172" s="3" t="s">
        <v>473</v>
      </c>
      <c r="C172" s="3" t="s">
        <v>483</v>
      </c>
      <c r="D172" s="3" t="s">
        <v>521</v>
      </c>
      <c r="E172" s="32" t="s">
        <v>326</v>
      </c>
      <c r="F172" s="32" t="s">
        <v>95</v>
      </c>
      <c r="G172" s="44">
        <v>1</v>
      </c>
      <c r="I172" s="58"/>
      <c r="J172" s="44">
        <v>1</v>
      </c>
      <c r="K172" s="44">
        <v>1</v>
      </c>
      <c r="M172" s="44">
        <v>1</v>
      </c>
      <c r="N172" s="44"/>
      <c r="O172" s="44">
        <v>1</v>
      </c>
      <c r="P172" s="44">
        <v>1</v>
      </c>
      <c r="Q172" s="44">
        <v>1</v>
      </c>
      <c r="T172" s="44">
        <v>1</v>
      </c>
      <c r="U172" s="44">
        <v>1</v>
      </c>
      <c r="V172" s="44">
        <v>1</v>
      </c>
      <c r="W172" s="44">
        <v>1</v>
      </c>
      <c r="X172" s="44">
        <v>1</v>
      </c>
      <c r="Y172" s="44">
        <v>1</v>
      </c>
      <c r="Z172" s="44">
        <v>1</v>
      </c>
      <c r="AA172" s="44">
        <v>1</v>
      </c>
      <c r="AB172" s="44">
        <v>1</v>
      </c>
      <c r="AC172" s="44">
        <v>1</v>
      </c>
      <c r="AD172" s="44">
        <v>1</v>
      </c>
      <c r="AE172"/>
      <c r="AF172" s="44">
        <v>1</v>
      </c>
      <c r="AG172" s="44">
        <v>1</v>
      </c>
      <c r="AH172" s="44">
        <v>1</v>
      </c>
      <c r="AI172" s="44">
        <v>1</v>
      </c>
      <c r="AJ172" s="44">
        <v>1</v>
      </c>
      <c r="AK172" s="44">
        <v>1</v>
      </c>
      <c r="AL172" s="44">
        <v>1</v>
      </c>
      <c r="AM172"/>
      <c r="AN172" s="44">
        <v>1</v>
      </c>
      <c r="AO172" s="44">
        <v>1</v>
      </c>
      <c r="AP172" s="44">
        <v>1</v>
      </c>
      <c r="AQ172" s="44">
        <v>1</v>
      </c>
      <c r="AR172"/>
      <c r="AS172" s="44">
        <v>1</v>
      </c>
      <c r="AT172"/>
      <c r="AU172"/>
      <c r="AV172" s="44">
        <v>1</v>
      </c>
    </row>
    <row r="173" spans="1:48" x14ac:dyDescent="0.25">
      <c r="A173" s="31" t="s">
        <v>81</v>
      </c>
      <c r="B173" s="3" t="s">
        <v>473</v>
      </c>
      <c r="C173" s="3" t="s">
        <v>483</v>
      </c>
      <c r="D173" s="3" t="s">
        <v>521</v>
      </c>
      <c r="E173" s="32" t="s">
        <v>192</v>
      </c>
      <c r="F173" s="32" t="s">
        <v>198</v>
      </c>
      <c r="G173" s="44">
        <v>1.6666666666666666E-4</v>
      </c>
      <c r="I173" s="58"/>
      <c r="J173" s="44">
        <v>1.6666666666666666E-4</v>
      </c>
      <c r="K173" s="44">
        <v>1.6666666666666666E-4</v>
      </c>
      <c r="M173" s="44">
        <v>1.6666666666666666E-4</v>
      </c>
      <c r="N173" s="44"/>
      <c r="O173" s="44">
        <v>1.6666666666666666E-4</v>
      </c>
      <c r="P173" s="44">
        <v>1.6666666666666666E-4</v>
      </c>
      <c r="Q173" s="44">
        <v>1.6666666666666666E-4</v>
      </c>
      <c r="T173" s="44">
        <v>1.6666666666666666E-4</v>
      </c>
      <c r="U173" s="44">
        <v>1.6666666666666666E-4</v>
      </c>
      <c r="V173" s="44">
        <v>1.6666666666666666E-4</v>
      </c>
      <c r="W173" s="44">
        <v>1.6666666666666666E-4</v>
      </c>
      <c r="X173" s="44">
        <v>1.6666666666666666E-4</v>
      </c>
      <c r="Y173" s="44">
        <v>1.6666666666666666E-4</v>
      </c>
      <c r="Z173" s="44">
        <v>1.6666666666666666E-4</v>
      </c>
      <c r="AA173" s="44">
        <v>1.6666666666666666E-4</v>
      </c>
      <c r="AB173" s="44">
        <v>1.6666666666666666E-4</v>
      </c>
      <c r="AC173" s="44">
        <v>1.6666666666666666E-4</v>
      </c>
      <c r="AD173" s="44">
        <v>1.6666666666666666E-4</v>
      </c>
      <c r="AE173"/>
      <c r="AF173" s="44">
        <v>1.6666666666666666E-4</v>
      </c>
      <c r="AG173" s="44">
        <v>1.6666666666666666E-4</v>
      </c>
      <c r="AH173" s="44">
        <v>1.6666666666666666E-4</v>
      </c>
      <c r="AI173" s="44">
        <v>1.6666666666666666E-4</v>
      </c>
      <c r="AJ173" s="44">
        <v>1.6666666666666666E-4</v>
      </c>
      <c r="AK173" s="44">
        <v>1.6666666666666666E-4</v>
      </c>
      <c r="AL173" s="44">
        <v>1.6666666666666666E-4</v>
      </c>
      <c r="AM173"/>
      <c r="AN173" s="44">
        <v>1.6666666666666666E-4</v>
      </c>
      <c r="AO173" s="44">
        <v>1.6666666666666666E-4</v>
      </c>
      <c r="AP173" s="44">
        <v>1.6666666666666666E-4</v>
      </c>
      <c r="AQ173" s="44">
        <v>1.6666666666666666E-4</v>
      </c>
      <c r="AR173"/>
      <c r="AS173" s="44">
        <v>1.6666666666666666E-4</v>
      </c>
      <c r="AT173"/>
      <c r="AU173"/>
      <c r="AV173" s="44">
        <v>1.6666666666666666E-4</v>
      </c>
    </row>
    <row r="174" spans="1:48" x14ac:dyDescent="0.25">
      <c r="A174" s="11" t="s">
        <v>253</v>
      </c>
      <c r="B174" s="3" t="s">
        <v>473</v>
      </c>
      <c r="C174" s="3" t="s">
        <v>483</v>
      </c>
      <c r="D174" s="3" t="s">
        <v>521</v>
      </c>
      <c r="E174" s="12" t="s">
        <v>327</v>
      </c>
      <c r="F174" s="12" t="s">
        <v>328</v>
      </c>
      <c r="G174" s="44">
        <v>1E-8</v>
      </c>
      <c r="I174" s="58"/>
      <c r="J174" s="44">
        <v>1E-8</v>
      </c>
      <c r="K174" s="44">
        <v>1E-8</v>
      </c>
      <c r="M174" s="44">
        <v>1E-8</v>
      </c>
      <c r="N174" s="44"/>
      <c r="O174" s="44">
        <v>1E-8</v>
      </c>
      <c r="P174" s="44">
        <v>1E-8</v>
      </c>
      <c r="Q174" s="44">
        <v>1E-8</v>
      </c>
      <c r="T174" s="44">
        <v>1E-8</v>
      </c>
      <c r="U174" s="44">
        <v>1E-8</v>
      </c>
      <c r="V174" s="44">
        <v>1E-8</v>
      </c>
      <c r="W174" s="44">
        <v>1E-8</v>
      </c>
      <c r="X174" s="44">
        <v>1E-8</v>
      </c>
      <c r="Y174" s="44">
        <v>1E-8</v>
      </c>
      <c r="Z174" s="44">
        <v>1E-8</v>
      </c>
      <c r="AA174" s="44">
        <v>1E-8</v>
      </c>
      <c r="AB174" s="44">
        <v>1E-8</v>
      </c>
      <c r="AC174" s="44">
        <v>1E-8</v>
      </c>
      <c r="AD174" s="44">
        <v>1E-8</v>
      </c>
      <c r="AE174"/>
      <c r="AF174" s="44">
        <v>1E-8</v>
      </c>
      <c r="AG174" s="44">
        <v>1E-8</v>
      </c>
      <c r="AH174" s="44">
        <v>1E-8</v>
      </c>
      <c r="AI174" s="44">
        <v>1E-8</v>
      </c>
      <c r="AJ174" s="44">
        <v>1E-8</v>
      </c>
      <c r="AK174" s="44">
        <v>1E-8</v>
      </c>
      <c r="AL174" s="44">
        <v>1E-8</v>
      </c>
      <c r="AM174"/>
      <c r="AN174" s="44">
        <v>1E-8</v>
      </c>
      <c r="AO174" s="44">
        <v>1E-8</v>
      </c>
      <c r="AP174" s="44">
        <v>1E-8</v>
      </c>
      <c r="AQ174" s="44">
        <v>1E-8</v>
      </c>
      <c r="AR174"/>
      <c r="AS174" s="44">
        <v>1E-8</v>
      </c>
      <c r="AT174"/>
      <c r="AU174"/>
      <c r="AV174" s="44">
        <v>1E-8</v>
      </c>
    </row>
    <row r="175" spans="1:48" x14ac:dyDescent="0.25">
      <c r="A175" s="11" t="s">
        <v>254</v>
      </c>
      <c r="B175" s="3" t="s">
        <v>473</v>
      </c>
      <c r="C175" s="3" t="s">
        <v>483</v>
      </c>
      <c r="D175" s="3" t="s">
        <v>521</v>
      </c>
      <c r="E175" s="12" t="s">
        <v>329</v>
      </c>
      <c r="F175" s="12" t="s">
        <v>109</v>
      </c>
      <c r="G175" s="44">
        <v>20</v>
      </c>
      <c r="I175" s="58"/>
      <c r="J175" s="44">
        <v>20</v>
      </c>
      <c r="K175" s="44">
        <v>20</v>
      </c>
      <c r="M175" s="44">
        <v>20</v>
      </c>
      <c r="N175" s="44"/>
      <c r="O175" s="44">
        <v>20</v>
      </c>
      <c r="P175" s="44">
        <v>20</v>
      </c>
      <c r="Q175" s="44">
        <v>20</v>
      </c>
      <c r="T175" s="44">
        <v>20</v>
      </c>
      <c r="U175" s="44">
        <v>20</v>
      </c>
      <c r="V175" s="44">
        <v>20</v>
      </c>
      <c r="W175" s="44">
        <v>20</v>
      </c>
      <c r="X175" s="44">
        <v>20</v>
      </c>
      <c r="Y175" s="44">
        <v>20</v>
      </c>
      <c r="Z175" s="44">
        <v>20</v>
      </c>
      <c r="AA175" s="44">
        <v>20</v>
      </c>
      <c r="AB175" s="44">
        <v>20</v>
      </c>
      <c r="AC175" s="44">
        <v>20</v>
      </c>
      <c r="AD175" s="44">
        <v>20</v>
      </c>
      <c r="AE175"/>
      <c r="AF175" s="44">
        <v>20</v>
      </c>
      <c r="AG175" s="44">
        <v>20</v>
      </c>
      <c r="AH175" s="44">
        <v>20</v>
      </c>
      <c r="AI175" s="44">
        <v>20</v>
      </c>
      <c r="AJ175" s="44">
        <v>20</v>
      </c>
      <c r="AK175" s="44">
        <v>20</v>
      </c>
      <c r="AL175" s="44">
        <v>20</v>
      </c>
      <c r="AM175"/>
      <c r="AN175" s="44">
        <v>20</v>
      </c>
      <c r="AO175" s="44">
        <v>20</v>
      </c>
      <c r="AP175" s="44">
        <v>20</v>
      </c>
      <c r="AQ175" s="44">
        <v>20</v>
      </c>
      <c r="AR175"/>
      <c r="AS175" s="44">
        <v>20</v>
      </c>
      <c r="AT175"/>
      <c r="AU175"/>
      <c r="AV175" s="44">
        <v>20</v>
      </c>
    </row>
    <row r="176" spans="1:48" x14ac:dyDescent="0.25">
      <c r="A176" s="11" t="s">
        <v>255</v>
      </c>
      <c r="B176" s="3" t="s">
        <v>473</v>
      </c>
      <c r="C176" s="3" t="s">
        <v>483</v>
      </c>
      <c r="D176" s="3" t="s">
        <v>521</v>
      </c>
      <c r="E176" s="12" t="s">
        <v>330</v>
      </c>
      <c r="F176" s="12" t="s">
        <v>301</v>
      </c>
      <c r="G176" s="44">
        <v>0</v>
      </c>
      <c r="I176" s="58"/>
      <c r="J176" s="44">
        <v>0</v>
      </c>
      <c r="K176" s="44">
        <v>0</v>
      </c>
      <c r="M176" s="44">
        <v>0</v>
      </c>
      <c r="N176" s="44"/>
      <c r="O176" s="44">
        <v>0</v>
      </c>
      <c r="P176" s="44">
        <v>0</v>
      </c>
      <c r="Q176" s="44">
        <v>0</v>
      </c>
      <c r="T176" s="44">
        <v>0</v>
      </c>
      <c r="U176" s="44">
        <v>0</v>
      </c>
      <c r="V176" s="44">
        <v>0</v>
      </c>
      <c r="W176" s="44">
        <v>0</v>
      </c>
      <c r="X176" s="44">
        <v>0</v>
      </c>
      <c r="Y176" s="44">
        <v>0</v>
      </c>
      <c r="Z176" s="44">
        <v>0</v>
      </c>
      <c r="AA176" s="44">
        <v>0</v>
      </c>
      <c r="AB176" s="44">
        <v>0</v>
      </c>
      <c r="AC176" s="44">
        <v>0</v>
      </c>
      <c r="AD176" s="44">
        <v>0</v>
      </c>
      <c r="AE176"/>
      <c r="AF176" s="44">
        <v>0</v>
      </c>
      <c r="AG176" s="44">
        <v>0</v>
      </c>
      <c r="AH176" s="44">
        <v>0</v>
      </c>
      <c r="AI176" s="44">
        <v>0</v>
      </c>
      <c r="AJ176" s="44">
        <v>0</v>
      </c>
      <c r="AK176" s="44">
        <v>0</v>
      </c>
      <c r="AL176" s="44">
        <v>0</v>
      </c>
      <c r="AM176"/>
      <c r="AN176" s="44">
        <v>0</v>
      </c>
      <c r="AO176" s="44">
        <v>0</v>
      </c>
      <c r="AP176" s="44">
        <v>0</v>
      </c>
      <c r="AQ176" s="44">
        <v>0</v>
      </c>
      <c r="AR176"/>
      <c r="AS176" s="44">
        <v>0</v>
      </c>
      <c r="AT176"/>
      <c r="AU176"/>
      <c r="AV176" s="44">
        <v>0</v>
      </c>
    </row>
    <row r="177" spans="1:48" x14ac:dyDescent="0.25">
      <c r="A177" s="11" t="s">
        <v>256</v>
      </c>
      <c r="B177" s="3" t="s">
        <v>473</v>
      </c>
      <c r="C177" s="3" t="s">
        <v>483</v>
      </c>
      <c r="D177" s="3" t="s">
        <v>521</v>
      </c>
      <c r="E177" s="12" t="s">
        <v>331</v>
      </c>
      <c r="F177" s="12" t="s">
        <v>100</v>
      </c>
      <c r="G177" s="44">
        <v>2</v>
      </c>
      <c r="I177" s="58"/>
      <c r="J177" s="44">
        <v>2</v>
      </c>
      <c r="K177" s="44">
        <v>2</v>
      </c>
      <c r="M177" s="44">
        <v>2</v>
      </c>
      <c r="N177" s="44"/>
      <c r="O177" s="44">
        <v>2</v>
      </c>
      <c r="P177" s="44">
        <v>2</v>
      </c>
      <c r="Q177" s="44">
        <v>2</v>
      </c>
      <c r="T177" s="44">
        <v>2</v>
      </c>
      <c r="U177" s="44">
        <v>2</v>
      </c>
      <c r="V177" s="44">
        <v>2</v>
      </c>
      <c r="W177" s="44">
        <v>2</v>
      </c>
      <c r="X177" s="44">
        <v>2</v>
      </c>
      <c r="Y177" s="44">
        <v>2</v>
      </c>
      <c r="Z177" s="44">
        <v>2</v>
      </c>
      <c r="AA177" s="44">
        <v>2</v>
      </c>
      <c r="AB177" s="44">
        <v>2</v>
      </c>
      <c r="AC177" s="44">
        <v>2</v>
      </c>
      <c r="AD177" s="44">
        <v>2</v>
      </c>
      <c r="AE177"/>
      <c r="AF177" s="44">
        <v>2</v>
      </c>
      <c r="AG177" s="44">
        <v>2</v>
      </c>
      <c r="AH177" s="44">
        <v>2</v>
      </c>
      <c r="AI177" s="44">
        <v>2</v>
      </c>
      <c r="AJ177" s="44">
        <v>2</v>
      </c>
      <c r="AK177" s="44">
        <v>2</v>
      </c>
      <c r="AL177" s="44">
        <v>2</v>
      </c>
      <c r="AM177"/>
      <c r="AN177" s="44">
        <v>2</v>
      </c>
      <c r="AO177" s="44">
        <v>2</v>
      </c>
      <c r="AP177" s="44">
        <v>2</v>
      </c>
      <c r="AQ177" s="44">
        <v>2</v>
      </c>
      <c r="AR177"/>
      <c r="AS177" s="44">
        <v>2</v>
      </c>
      <c r="AT177"/>
      <c r="AU177"/>
      <c r="AV177" s="44">
        <v>2</v>
      </c>
    </row>
    <row r="178" spans="1:48" x14ac:dyDescent="0.25">
      <c r="A178" s="11" t="s">
        <v>257</v>
      </c>
      <c r="B178" s="3" t="s">
        <v>473</v>
      </c>
      <c r="C178" s="3" t="s">
        <v>483</v>
      </c>
      <c r="D178" s="3" t="s">
        <v>521</v>
      </c>
      <c r="E178" s="12" t="s">
        <v>332</v>
      </c>
      <c r="F178" s="12" t="s">
        <v>95</v>
      </c>
      <c r="G178" s="44">
        <v>1</v>
      </c>
      <c r="I178" s="58"/>
      <c r="J178" s="44">
        <v>1</v>
      </c>
      <c r="K178" s="44">
        <v>1</v>
      </c>
      <c r="M178" s="44">
        <v>1</v>
      </c>
      <c r="N178" s="44"/>
      <c r="O178" s="44">
        <v>1</v>
      </c>
      <c r="P178" s="44">
        <v>1</v>
      </c>
      <c r="Q178" s="44">
        <v>1</v>
      </c>
      <c r="T178" s="44">
        <v>1</v>
      </c>
      <c r="U178" s="44">
        <v>1</v>
      </c>
      <c r="V178" s="44">
        <v>1</v>
      </c>
      <c r="W178" s="44">
        <v>1</v>
      </c>
      <c r="X178" s="44">
        <v>1</v>
      </c>
      <c r="Y178" s="44">
        <v>1</v>
      </c>
      <c r="Z178" s="44">
        <v>1</v>
      </c>
      <c r="AA178" s="44">
        <v>1</v>
      </c>
      <c r="AB178" s="44">
        <v>1</v>
      </c>
      <c r="AC178" s="44">
        <v>1</v>
      </c>
      <c r="AD178" s="44">
        <v>1</v>
      </c>
      <c r="AE178"/>
      <c r="AF178" s="44">
        <v>1</v>
      </c>
      <c r="AG178" s="44">
        <v>1</v>
      </c>
      <c r="AH178" s="44">
        <v>1</v>
      </c>
      <c r="AI178" s="44">
        <v>1</v>
      </c>
      <c r="AJ178" s="44">
        <v>1</v>
      </c>
      <c r="AK178" s="44">
        <v>1</v>
      </c>
      <c r="AL178" s="44">
        <v>1</v>
      </c>
      <c r="AM178"/>
      <c r="AN178" s="44">
        <v>1</v>
      </c>
      <c r="AO178" s="44">
        <v>1</v>
      </c>
      <c r="AP178" s="44">
        <v>1</v>
      </c>
      <c r="AQ178" s="44">
        <v>1</v>
      </c>
      <c r="AR178"/>
      <c r="AS178" s="44">
        <v>1</v>
      </c>
      <c r="AT178"/>
      <c r="AU178"/>
      <c r="AV178" s="44">
        <v>1</v>
      </c>
    </row>
    <row r="179" spans="1:48" x14ac:dyDescent="0.25">
      <c r="A179" s="11" t="s">
        <v>258</v>
      </c>
      <c r="B179" s="3" t="s">
        <v>473</v>
      </c>
      <c r="C179" s="3" t="s">
        <v>483</v>
      </c>
      <c r="D179" s="3" t="s">
        <v>521</v>
      </c>
      <c r="E179" s="12" t="s">
        <v>349</v>
      </c>
      <c r="F179" s="12" t="s">
        <v>198</v>
      </c>
      <c r="G179" s="44">
        <v>8.3333333333333331E-5</v>
      </c>
      <c r="I179" s="58"/>
      <c r="J179" s="44">
        <v>8.3333333333333331E-5</v>
      </c>
      <c r="K179" s="44">
        <v>8.3333333333333331E-5</v>
      </c>
      <c r="M179" s="44">
        <v>8.3333333333333331E-5</v>
      </c>
      <c r="N179" s="44"/>
      <c r="O179" s="44">
        <v>8.3333333333333331E-5</v>
      </c>
      <c r="P179" s="44">
        <v>8.3333333333333331E-5</v>
      </c>
      <c r="Q179" s="44">
        <v>8.3333333333333331E-5</v>
      </c>
      <c r="T179" s="44">
        <v>8.3333333333333331E-5</v>
      </c>
      <c r="U179" s="44">
        <v>8.3333333333333331E-5</v>
      </c>
      <c r="V179" s="44">
        <v>8.3333333333333331E-5</v>
      </c>
      <c r="W179" s="44">
        <v>8.3333333333333331E-5</v>
      </c>
      <c r="X179" s="44">
        <v>8.3333333333333331E-5</v>
      </c>
      <c r="Y179" s="44">
        <v>8.3333333333333331E-5</v>
      </c>
      <c r="Z179" s="44">
        <v>8.3333333333333331E-5</v>
      </c>
      <c r="AA179" s="44">
        <v>8.3333333333333331E-5</v>
      </c>
      <c r="AB179" s="44">
        <v>8.3333333333333331E-5</v>
      </c>
      <c r="AC179" s="44">
        <v>8.3333333333333331E-5</v>
      </c>
      <c r="AD179" s="44">
        <v>8.3333333333333331E-5</v>
      </c>
      <c r="AE179"/>
      <c r="AF179" s="44">
        <v>8.3333333333333331E-5</v>
      </c>
      <c r="AG179" s="44">
        <v>8.3333333333333331E-5</v>
      </c>
      <c r="AH179" s="44">
        <v>8.3333333333333331E-5</v>
      </c>
      <c r="AI179" s="44">
        <v>8.3333333333333331E-5</v>
      </c>
      <c r="AJ179" s="44">
        <v>8.3333333333333331E-5</v>
      </c>
      <c r="AK179" s="44">
        <v>8.3333333333333331E-5</v>
      </c>
      <c r="AL179" s="44">
        <v>8.3333333333333331E-5</v>
      </c>
      <c r="AM179"/>
      <c r="AN179" s="44">
        <v>8.3333333333333331E-5</v>
      </c>
      <c r="AO179" s="44">
        <v>8.3333333333333331E-5</v>
      </c>
      <c r="AP179" s="44">
        <v>8.3333333333333331E-5</v>
      </c>
      <c r="AQ179" s="44">
        <v>8.3333333333333331E-5</v>
      </c>
      <c r="AR179"/>
      <c r="AS179" s="44">
        <v>8.3333333333333331E-5</v>
      </c>
      <c r="AT179"/>
      <c r="AU179"/>
      <c r="AV179" s="44">
        <v>8.3333333333333331E-5</v>
      </c>
    </row>
    <row r="180" spans="1:48" x14ac:dyDescent="0.25">
      <c r="A180" s="11" t="s">
        <v>259</v>
      </c>
      <c r="B180" s="3" t="s">
        <v>473</v>
      </c>
      <c r="C180" s="3" t="s">
        <v>483</v>
      </c>
      <c r="D180" s="3" t="s">
        <v>521</v>
      </c>
      <c r="E180" s="12" t="s">
        <v>350</v>
      </c>
      <c r="F180" s="12" t="s">
        <v>100</v>
      </c>
      <c r="G180" s="44">
        <v>1</v>
      </c>
      <c r="I180" s="58"/>
      <c r="J180" s="44">
        <v>1</v>
      </c>
      <c r="K180" s="44">
        <v>1</v>
      </c>
      <c r="M180" s="44">
        <v>1</v>
      </c>
      <c r="N180" s="44"/>
      <c r="O180" s="44">
        <v>1</v>
      </c>
      <c r="P180" s="44">
        <v>1</v>
      </c>
      <c r="Q180" s="44">
        <v>1</v>
      </c>
      <c r="T180" s="44">
        <v>1</v>
      </c>
      <c r="U180" s="44">
        <v>1</v>
      </c>
      <c r="V180" s="44">
        <v>1</v>
      </c>
      <c r="W180" s="44">
        <v>1</v>
      </c>
      <c r="X180" s="44">
        <v>1</v>
      </c>
      <c r="Y180" s="44">
        <v>1</v>
      </c>
      <c r="Z180" s="44">
        <v>1</v>
      </c>
      <c r="AA180" s="44">
        <v>1</v>
      </c>
      <c r="AB180" s="44">
        <v>1</v>
      </c>
      <c r="AC180" s="44">
        <v>1</v>
      </c>
      <c r="AD180" s="44">
        <v>1</v>
      </c>
      <c r="AE180"/>
      <c r="AF180" s="44">
        <v>1</v>
      </c>
      <c r="AG180" s="44">
        <v>1</v>
      </c>
      <c r="AH180" s="44">
        <v>1</v>
      </c>
      <c r="AI180" s="44">
        <v>1</v>
      </c>
      <c r="AJ180" s="44">
        <v>1</v>
      </c>
      <c r="AK180" s="44">
        <v>1</v>
      </c>
      <c r="AL180" s="44">
        <v>1</v>
      </c>
      <c r="AM180"/>
      <c r="AN180" s="44">
        <v>1</v>
      </c>
      <c r="AO180" s="44">
        <v>1</v>
      </c>
      <c r="AP180" s="44">
        <v>1</v>
      </c>
      <c r="AQ180" s="44">
        <v>1</v>
      </c>
      <c r="AR180"/>
      <c r="AS180" s="44">
        <v>1</v>
      </c>
      <c r="AT180"/>
      <c r="AU180"/>
      <c r="AV180" s="44">
        <v>1</v>
      </c>
    </row>
    <row r="181" spans="1:48" x14ac:dyDescent="0.25">
      <c r="A181" s="27" t="s">
        <v>260</v>
      </c>
      <c r="B181" s="3" t="s">
        <v>473</v>
      </c>
      <c r="C181" s="3" t="s">
        <v>483</v>
      </c>
      <c r="D181" s="3" t="s">
        <v>521</v>
      </c>
      <c r="E181" s="28" t="s">
        <v>351</v>
      </c>
      <c r="F181" s="28" t="s">
        <v>352</v>
      </c>
      <c r="G181" s="44">
        <v>2.3533050791148895E-8</v>
      </c>
      <c r="I181" s="58"/>
      <c r="J181" s="44">
        <v>2.3533050791148899E-8</v>
      </c>
      <c r="K181" s="44">
        <v>2.3533050791148899E-8</v>
      </c>
      <c r="M181" s="44">
        <v>2.3533050791148899E-8</v>
      </c>
      <c r="N181" s="44"/>
      <c r="O181" s="44">
        <v>2.3533050791148899E-8</v>
      </c>
      <c r="P181" s="44">
        <v>2.3533050791148899E-8</v>
      </c>
      <c r="Q181" s="44">
        <v>2.3533050791148899E-8</v>
      </c>
      <c r="T181" s="44">
        <v>2.3533050791148899E-8</v>
      </c>
      <c r="U181" s="44">
        <v>2.3533050791148899E-8</v>
      </c>
      <c r="V181" s="44">
        <v>2.3533050791148899E-8</v>
      </c>
      <c r="W181" s="44">
        <v>2.3533050791148899E-8</v>
      </c>
      <c r="X181" s="44">
        <v>2.3533050791148899E-8</v>
      </c>
      <c r="Y181" s="44">
        <v>2.3533050791148899E-8</v>
      </c>
      <c r="Z181" s="44">
        <v>2.3533050791148899E-8</v>
      </c>
      <c r="AA181" s="44">
        <v>2.3533050791148899E-8</v>
      </c>
      <c r="AB181" s="44">
        <v>2.3533050791148899E-8</v>
      </c>
      <c r="AC181" s="44">
        <v>2.3533050791148899E-8</v>
      </c>
      <c r="AD181" s="44">
        <v>2.3533050791148899E-8</v>
      </c>
      <c r="AE181"/>
      <c r="AF181" s="44">
        <v>2.3533050791148899E-8</v>
      </c>
      <c r="AG181" s="44">
        <v>2.3533050791148899E-8</v>
      </c>
      <c r="AH181" s="44">
        <v>2.3533050791148899E-8</v>
      </c>
      <c r="AI181" s="44">
        <v>2.3533050791148899E-8</v>
      </c>
      <c r="AJ181" s="44">
        <v>2.3533050791148899E-8</v>
      </c>
      <c r="AK181" s="44">
        <v>2.3533050791148899E-8</v>
      </c>
      <c r="AL181" s="44">
        <v>2.3533050791148899E-8</v>
      </c>
      <c r="AM181"/>
      <c r="AN181" s="44">
        <v>2.3533050791148899E-8</v>
      </c>
      <c r="AO181" s="44">
        <v>2.3533050791148899E-8</v>
      </c>
      <c r="AP181" s="44">
        <v>2.3533050791148899E-8</v>
      </c>
      <c r="AQ181" s="44">
        <v>2.3533050791148899E-8</v>
      </c>
      <c r="AR181"/>
      <c r="AS181" s="44">
        <v>2.3533050791148899E-8</v>
      </c>
      <c r="AT181"/>
      <c r="AU181"/>
      <c r="AV181" s="44">
        <v>2.3533050791148899E-8</v>
      </c>
    </row>
    <row r="182" spans="1:48" x14ac:dyDescent="0.25">
      <c r="A182" s="27" t="s">
        <v>261</v>
      </c>
      <c r="B182" s="3" t="s">
        <v>473</v>
      </c>
      <c r="C182" s="3" t="s">
        <v>483</v>
      </c>
      <c r="D182" s="3" t="s">
        <v>521</v>
      </c>
      <c r="E182" s="28" t="s">
        <v>333</v>
      </c>
      <c r="F182" s="28" t="s">
        <v>109</v>
      </c>
      <c r="G182" s="44">
        <v>20</v>
      </c>
      <c r="I182" s="58"/>
      <c r="J182" s="44">
        <v>20</v>
      </c>
      <c r="K182" s="44">
        <v>20</v>
      </c>
      <c r="M182" s="44">
        <v>20</v>
      </c>
      <c r="N182" s="44"/>
      <c r="O182" s="44">
        <v>20</v>
      </c>
      <c r="P182" s="44">
        <v>20</v>
      </c>
      <c r="Q182" s="44">
        <v>20</v>
      </c>
      <c r="T182" s="44">
        <v>20</v>
      </c>
      <c r="U182" s="44">
        <v>20</v>
      </c>
      <c r="V182" s="44">
        <v>20</v>
      </c>
      <c r="W182" s="44">
        <v>20</v>
      </c>
      <c r="X182" s="44">
        <v>20</v>
      </c>
      <c r="Y182" s="44">
        <v>20</v>
      </c>
      <c r="Z182" s="44">
        <v>20</v>
      </c>
      <c r="AA182" s="44">
        <v>20</v>
      </c>
      <c r="AB182" s="44">
        <v>20</v>
      </c>
      <c r="AC182" s="44">
        <v>20</v>
      </c>
      <c r="AD182" s="44">
        <v>20</v>
      </c>
      <c r="AE182"/>
      <c r="AF182" s="44">
        <v>20</v>
      </c>
      <c r="AG182" s="44">
        <v>20</v>
      </c>
      <c r="AH182" s="44">
        <v>20</v>
      </c>
      <c r="AI182" s="44">
        <v>20</v>
      </c>
      <c r="AJ182" s="44">
        <v>20</v>
      </c>
      <c r="AK182" s="44">
        <v>20</v>
      </c>
      <c r="AL182" s="44">
        <v>20</v>
      </c>
      <c r="AM182"/>
      <c r="AN182" s="44">
        <v>20</v>
      </c>
      <c r="AO182" s="44">
        <v>20</v>
      </c>
      <c r="AP182" s="44">
        <v>20</v>
      </c>
      <c r="AQ182" s="44">
        <v>20</v>
      </c>
      <c r="AR182"/>
      <c r="AS182" s="44">
        <v>20</v>
      </c>
      <c r="AT182"/>
      <c r="AU182"/>
      <c r="AV182" s="44">
        <v>20</v>
      </c>
    </row>
    <row r="183" spans="1:48" x14ac:dyDescent="0.25">
      <c r="A183" s="27" t="s">
        <v>262</v>
      </c>
      <c r="B183" s="3" t="s">
        <v>473</v>
      </c>
      <c r="C183" s="3" t="s">
        <v>483</v>
      </c>
      <c r="D183" s="3" t="s">
        <v>521</v>
      </c>
      <c r="E183" s="28" t="s">
        <v>334</v>
      </c>
      <c r="F183" s="28" t="s">
        <v>301</v>
      </c>
      <c r="G183" s="44">
        <v>-0.187</v>
      </c>
      <c r="I183" s="58"/>
      <c r="J183" s="44">
        <v>-0.187</v>
      </c>
      <c r="K183" s="44">
        <v>-0.187</v>
      </c>
      <c r="M183" s="44">
        <v>-0.187</v>
      </c>
      <c r="N183" s="44"/>
      <c r="O183" s="44">
        <v>-0.187</v>
      </c>
      <c r="P183" s="44">
        <v>-0.187</v>
      </c>
      <c r="Q183" s="44">
        <v>-0.187</v>
      </c>
      <c r="T183" s="44">
        <v>-0.187</v>
      </c>
      <c r="U183" s="44">
        <v>-0.187</v>
      </c>
      <c r="V183" s="44">
        <v>-0.187</v>
      </c>
      <c r="W183" s="44">
        <v>-0.187</v>
      </c>
      <c r="X183" s="44">
        <v>-0.187</v>
      </c>
      <c r="Y183" s="44">
        <v>-0.187</v>
      </c>
      <c r="Z183" s="44">
        <v>-0.187</v>
      </c>
      <c r="AA183" s="44">
        <v>-0.187</v>
      </c>
      <c r="AB183" s="44">
        <v>-0.187</v>
      </c>
      <c r="AC183" s="44">
        <v>-0.187</v>
      </c>
      <c r="AD183" s="44">
        <v>-0.187</v>
      </c>
      <c r="AE183"/>
      <c r="AF183" s="44">
        <v>-0.187</v>
      </c>
      <c r="AG183" s="44">
        <v>-0.187</v>
      </c>
      <c r="AH183" s="44">
        <v>-0.187</v>
      </c>
      <c r="AI183" s="44">
        <v>-0.187</v>
      </c>
      <c r="AJ183" s="44">
        <v>-0.187</v>
      </c>
      <c r="AK183" s="44">
        <v>-0.187</v>
      </c>
      <c r="AL183" s="44">
        <v>-0.187</v>
      </c>
      <c r="AM183"/>
      <c r="AN183" s="44">
        <v>-0.187</v>
      </c>
      <c r="AO183" s="44">
        <v>-0.187</v>
      </c>
      <c r="AP183" s="44">
        <v>-0.187</v>
      </c>
      <c r="AQ183" s="44">
        <v>-0.187</v>
      </c>
      <c r="AR183"/>
      <c r="AS183" s="44">
        <v>-0.187</v>
      </c>
      <c r="AT183"/>
      <c r="AU183"/>
      <c r="AV183" s="44">
        <v>-0.187</v>
      </c>
    </row>
    <row r="184" spans="1:48" x14ac:dyDescent="0.25">
      <c r="A184" s="27" t="s">
        <v>263</v>
      </c>
      <c r="B184" s="3" t="s">
        <v>473</v>
      </c>
      <c r="C184" s="3" t="s">
        <v>483</v>
      </c>
      <c r="D184" s="3" t="s">
        <v>521</v>
      </c>
      <c r="E184" s="28" t="s">
        <v>335</v>
      </c>
      <c r="F184" s="28" t="s">
        <v>100</v>
      </c>
      <c r="G184" s="44">
        <v>2.48</v>
      </c>
      <c r="I184" s="58"/>
      <c r="J184" s="44">
        <v>2.48</v>
      </c>
      <c r="K184" s="44">
        <v>2.48</v>
      </c>
      <c r="M184" s="44">
        <v>2.48</v>
      </c>
      <c r="N184" s="44"/>
      <c r="O184" s="44">
        <v>2.48</v>
      </c>
      <c r="P184" s="44">
        <v>2.48</v>
      </c>
      <c r="Q184" s="44">
        <v>2.48</v>
      </c>
      <c r="T184" s="44">
        <v>2.48</v>
      </c>
      <c r="U184" s="44">
        <v>2.48</v>
      </c>
      <c r="V184" s="44">
        <v>2.48</v>
      </c>
      <c r="W184" s="44">
        <v>2.48</v>
      </c>
      <c r="X184" s="44">
        <v>2.48</v>
      </c>
      <c r="Y184" s="44">
        <v>2.48</v>
      </c>
      <c r="Z184" s="44">
        <v>2.48</v>
      </c>
      <c r="AA184" s="44">
        <v>2.48</v>
      </c>
      <c r="AB184" s="44">
        <v>2.48</v>
      </c>
      <c r="AC184" s="44">
        <v>2.48</v>
      </c>
      <c r="AD184" s="44">
        <v>2.48</v>
      </c>
      <c r="AE184"/>
      <c r="AF184" s="44">
        <v>2.48</v>
      </c>
      <c r="AG184" s="44">
        <v>2.48</v>
      </c>
      <c r="AH184" s="44">
        <v>2.48</v>
      </c>
      <c r="AI184" s="44">
        <v>2.48</v>
      </c>
      <c r="AJ184" s="44">
        <v>2.48</v>
      </c>
      <c r="AK184" s="44">
        <v>2.48</v>
      </c>
      <c r="AL184" s="44">
        <v>2.48</v>
      </c>
      <c r="AM184"/>
      <c r="AN184" s="44">
        <v>2.48</v>
      </c>
      <c r="AO184" s="44">
        <v>2.48</v>
      </c>
      <c r="AP184" s="44">
        <v>2.48</v>
      </c>
      <c r="AQ184" s="44">
        <v>2.48</v>
      </c>
      <c r="AR184"/>
      <c r="AS184" s="44">
        <v>2.48</v>
      </c>
      <c r="AT184"/>
      <c r="AU184"/>
      <c r="AV184" s="44">
        <v>2.48</v>
      </c>
    </row>
    <row r="185" spans="1:48" x14ac:dyDescent="0.25">
      <c r="A185" s="27" t="s">
        <v>264</v>
      </c>
      <c r="B185" s="3" t="s">
        <v>473</v>
      </c>
      <c r="C185" s="3" t="s">
        <v>483</v>
      </c>
      <c r="D185" s="3" t="s">
        <v>521</v>
      </c>
      <c r="E185" s="28" t="s">
        <v>336</v>
      </c>
      <c r="F185" s="28" t="s">
        <v>95</v>
      </c>
      <c r="G185" s="44">
        <v>1</v>
      </c>
      <c r="I185" s="58"/>
      <c r="J185" s="44">
        <v>1</v>
      </c>
      <c r="K185" s="44">
        <v>1</v>
      </c>
      <c r="M185" s="44">
        <v>1</v>
      </c>
      <c r="N185" s="44"/>
      <c r="O185" s="44">
        <v>1</v>
      </c>
      <c r="P185" s="44">
        <v>1</v>
      </c>
      <c r="Q185" s="44">
        <v>1</v>
      </c>
      <c r="T185" s="44">
        <v>1</v>
      </c>
      <c r="U185" s="44">
        <v>1</v>
      </c>
      <c r="V185" s="44">
        <v>1</v>
      </c>
      <c r="W185" s="44">
        <v>1</v>
      </c>
      <c r="X185" s="44">
        <v>1</v>
      </c>
      <c r="Y185" s="44">
        <v>1</v>
      </c>
      <c r="Z185" s="44">
        <v>1</v>
      </c>
      <c r="AA185" s="44">
        <v>1</v>
      </c>
      <c r="AB185" s="44">
        <v>1</v>
      </c>
      <c r="AC185" s="44">
        <v>1</v>
      </c>
      <c r="AD185" s="44">
        <v>1</v>
      </c>
      <c r="AE185"/>
      <c r="AF185" s="44">
        <v>1</v>
      </c>
      <c r="AG185" s="44">
        <v>1</v>
      </c>
      <c r="AH185" s="44">
        <v>1</v>
      </c>
      <c r="AI185" s="44">
        <v>1</v>
      </c>
      <c r="AJ185" s="44">
        <v>1</v>
      </c>
      <c r="AK185" s="44">
        <v>1</v>
      </c>
      <c r="AL185" s="44">
        <v>1</v>
      </c>
      <c r="AM185"/>
      <c r="AN185" s="44">
        <v>1</v>
      </c>
      <c r="AO185" s="44">
        <v>1</v>
      </c>
      <c r="AP185" s="44">
        <v>1</v>
      </c>
      <c r="AQ185" s="44">
        <v>1</v>
      </c>
      <c r="AR185"/>
      <c r="AS185" s="44">
        <v>1</v>
      </c>
      <c r="AT185"/>
      <c r="AU185"/>
      <c r="AV185" s="44">
        <v>1</v>
      </c>
    </row>
    <row r="186" spans="1:48" x14ac:dyDescent="0.25">
      <c r="A186" s="27" t="s">
        <v>265</v>
      </c>
      <c r="B186" s="3" t="s">
        <v>473</v>
      </c>
      <c r="C186" s="3" t="s">
        <v>483</v>
      </c>
      <c r="D186" s="3" t="s">
        <v>521</v>
      </c>
      <c r="E186" s="28" t="s">
        <v>353</v>
      </c>
      <c r="F186" s="28" t="s">
        <v>354</v>
      </c>
      <c r="G186" s="44">
        <v>6.1060227588121015E-4</v>
      </c>
      <c r="I186" s="58"/>
      <c r="J186" s="44">
        <v>6.1060227588121015E-4</v>
      </c>
      <c r="K186" s="44">
        <v>6.1060227588121015E-4</v>
      </c>
      <c r="M186" s="44">
        <v>6.1060227588121015E-4</v>
      </c>
      <c r="N186" s="44"/>
      <c r="O186" s="44">
        <v>6.1060227588121015E-4</v>
      </c>
      <c r="P186" s="44">
        <v>6.1060227588121015E-4</v>
      </c>
      <c r="Q186" s="44">
        <v>6.1060227588121015E-4</v>
      </c>
      <c r="T186" s="44">
        <v>6.1060227588121015E-4</v>
      </c>
      <c r="U186" s="44">
        <v>6.1060227588121015E-4</v>
      </c>
      <c r="V186" s="44">
        <v>6.1060227588121015E-4</v>
      </c>
      <c r="W186" s="44">
        <v>6.1060227588121015E-4</v>
      </c>
      <c r="X186" s="44">
        <v>6.1060227588121015E-4</v>
      </c>
      <c r="Y186" s="44">
        <v>6.1060227588121015E-4</v>
      </c>
      <c r="Z186" s="44">
        <v>6.1060227588121015E-4</v>
      </c>
      <c r="AA186" s="44">
        <v>6.1060227588121015E-4</v>
      </c>
      <c r="AB186" s="44">
        <v>6.1060227588121015E-4</v>
      </c>
      <c r="AC186" s="44">
        <v>6.1060227588121015E-4</v>
      </c>
      <c r="AD186" s="44">
        <v>6.1060227588121015E-4</v>
      </c>
      <c r="AE186"/>
      <c r="AF186" s="44">
        <v>6.1060227588121015E-4</v>
      </c>
      <c r="AG186" s="44">
        <v>6.1060227588121015E-4</v>
      </c>
      <c r="AH186" s="44">
        <v>6.1060227588121015E-4</v>
      </c>
      <c r="AI186" s="44">
        <v>6.1060227588121015E-4</v>
      </c>
      <c r="AJ186" s="44">
        <v>6.1060227588121015E-4</v>
      </c>
      <c r="AK186" s="44">
        <v>6.1060227588121015E-4</v>
      </c>
      <c r="AL186" s="44">
        <v>6.1060227588121015E-4</v>
      </c>
      <c r="AM186"/>
      <c r="AN186" s="44">
        <v>6.1060227588121015E-4</v>
      </c>
      <c r="AO186" s="44">
        <v>6.1060227588121015E-4</v>
      </c>
      <c r="AP186" s="44">
        <v>6.1060227588121015E-4</v>
      </c>
      <c r="AQ186" s="44">
        <v>6.1060227588121015E-4</v>
      </c>
      <c r="AR186"/>
      <c r="AS186" s="44">
        <v>6.1060227588121015E-4</v>
      </c>
      <c r="AT186"/>
      <c r="AU186"/>
      <c r="AV186" s="44">
        <v>6.1060227588121015E-4</v>
      </c>
    </row>
    <row r="187" spans="1:48" x14ac:dyDescent="0.25">
      <c r="A187" s="23" t="s">
        <v>266</v>
      </c>
      <c r="B187" s="3" t="s">
        <v>473</v>
      </c>
      <c r="C187" s="3" t="s">
        <v>483</v>
      </c>
      <c r="D187" s="3" t="s">
        <v>521</v>
      </c>
      <c r="E187" s="24" t="s">
        <v>193</v>
      </c>
      <c r="F187" s="24" t="s">
        <v>200</v>
      </c>
      <c r="G187" s="44">
        <v>6.41E-9</v>
      </c>
      <c r="I187" s="58"/>
      <c r="J187" s="44">
        <v>3.9999999999999998E-7</v>
      </c>
      <c r="K187" s="44">
        <v>3.9999999999999998E-7</v>
      </c>
      <c r="M187" s="44">
        <v>3.9999999999999998E-7</v>
      </c>
      <c r="N187" s="44"/>
      <c r="O187" s="44">
        <v>3.9999999999999998E-7</v>
      </c>
      <c r="P187" s="44">
        <v>3.9999999999999998E-7</v>
      </c>
      <c r="Q187" s="44">
        <v>3.9999999999999998E-7</v>
      </c>
      <c r="T187" s="44">
        <v>3.9999999999999998E-7</v>
      </c>
      <c r="U187" s="44">
        <v>3.9999999999999998E-7</v>
      </c>
      <c r="V187" s="44">
        <v>3.9999999999999998E-7</v>
      </c>
      <c r="W187" s="44">
        <v>3.9999999999999998E-7</v>
      </c>
      <c r="X187" s="44">
        <v>3.9999999999999998E-7</v>
      </c>
      <c r="Y187" s="44">
        <v>3.9999999999999998E-7</v>
      </c>
      <c r="Z187" s="44">
        <v>3.9999999999999998E-7</v>
      </c>
      <c r="AA187" s="44">
        <v>3.9999999999999998E-7</v>
      </c>
      <c r="AB187" s="44">
        <v>3.9999999999999998E-7</v>
      </c>
      <c r="AC187" s="44">
        <v>3.9999999999999998E-7</v>
      </c>
      <c r="AD187" s="44">
        <v>3.9999999999999998E-7</v>
      </c>
      <c r="AE187"/>
      <c r="AF187" s="44">
        <v>3.9999999999999998E-7</v>
      </c>
      <c r="AG187" s="44">
        <v>3.9999999999999998E-7</v>
      </c>
      <c r="AH187" s="44">
        <v>3.9999999999999998E-7</v>
      </c>
      <c r="AI187" s="44">
        <v>3.9999999999999998E-7</v>
      </c>
      <c r="AJ187" s="44">
        <v>3.9999999999999998E-7</v>
      </c>
      <c r="AK187" s="44">
        <v>3.9999999999999998E-7</v>
      </c>
      <c r="AL187" s="44">
        <v>3.9999999999999998E-7</v>
      </c>
      <c r="AM187"/>
      <c r="AN187" s="44">
        <v>3.9999999999999998E-7</v>
      </c>
      <c r="AO187" s="44">
        <v>3.9999999999999998E-7</v>
      </c>
      <c r="AP187" s="44">
        <v>3.9999999999999998E-7</v>
      </c>
      <c r="AQ187" s="44">
        <v>3.9999999999999998E-7</v>
      </c>
      <c r="AR187"/>
      <c r="AS187" s="44">
        <v>3.9999999999999998E-7</v>
      </c>
      <c r="AT187"/>
      <c r="AU187"/>
      <c r="AV187" s="44">
        <v>3.9999999999999998E-7</v>
      </c>
    </row>
    <row r="188" spans="1:48" x14ac:dyDescent="0.25">
      <c r="A188" s="23" t="s">
        <v>267</v>
      </c>
      <c r="B188" s="3" t="s">
        <v>473</v>
      </c>
      <c r="C188" s="3" t="s">
        <v>483</v>
      </c>
      <c r="D188" s="3" t="s">
        <v>521</v>
      </c>
      <c r="E188" s="24" t="s">
        <v>337</v>
      </c>
      <c r="F188" s="24" t="s">
        <v>109</v>
      </c>
      <c r="G188" s="44">
        <v>25</v>
      </c>
      <c r="I188" s="58"/>
      <c r="J188" s="44">
        <v>25</v>
      </c>
      <c r="K188" s="44">
        <v>25</v>
      </c>
      <c r="M188" s="44">
        <v>25</v>
      </c>
      <c r="N188" s="44"/>
      <c r="O188" s="44">
        <v>25</v>
      </c>
      <c r="P188" s="44">
        <v>25</v>
      </c>
      <c r="Q188" s="44">
        <v>25</v>
      </c>
      <c r="T188" s="44">
        <v>25</v>
      </c>
      <c r="U188" s="44">
        <v>25</v>
      </c>
      <c r="V188" s="44">
        <v>25</v>
      </c>
      <c r="W188" s="44">
        <v>25</v>
      </c>
      <c r="X188" s="44">
        <v>25</v>
      </c>
      <c r="Y188" s="44">
        <v>25</v>
      </c>
      <c r="Z188" s="44">
        <v>25</v>
      </c>
      <c r="AA188" s="44">
        <v>25</v>
      </c>
      <c r="AB188" s="44">
        <v>25</v>
      </c>
      <c r="AC188" s="44">
        <v>25</v>
      </c>
      <c r="AD188" s="44">
        <v>25</v>
      </c>
      <c r="AE188"/>
      <c r="AF188" s="44">
        <v>25</v>
      </c>
      <c r="AG188" s="44">
        <v>25</v>
      </c>
      <c r="AH188" s="44">
        <v>25</v>
      </c>
      <c r="AI188" s="44">
        <v>25</v>
      </c>
      <c r="AJ188" s="44">
        <v>25</v>
      </c>
      <c r="AK188" s="44">
        <v>25</v>
      </c>
      <c r="AL188" s="44">
        <v>25</v>
      </c>
      <c r="AM188"/>
      <c r="AN188" s="44">
        <v>25</v>
      </c>
      <c r="AO188" s="44">
        <v>25</v>
      </c>
      <c r="AP188" s="44">
        <v>25</v>
      </c>
      <c r="AQ188" s="44">
        <v>25</v>
      </c>
      <c r="AR188"/>
      <c r="AS188" s="44">
        <v>25</v>
      </c>
      <c r="AT188"/>
      <c r="AU188"/>
      <c r="AV188" s="44">
        <v>25</v>
      </c>
    </row>
    <row r="189" spans="1:48" x14ac:dyDescent="0.25">
      <c r="A189" s="23" t="s">
        <v>268</v>
      </c>
      <c r="B189" s="3" t="s">
        <v>473</v>
      </c>
      <c r="C189" s="3" t="s">
        <v>483</v>
      </c>
      <c r="D189" s="3" t="s">
        <v>521</v>
      </c>
      <c r="E189" s="24" t="s">
        <v>338</v>
      </c>
      <c r="F189" s="24" t="s">
        <v>301</v>
      </c>
      <c r="G189" s="44">
        <v>0</v>
      </c>
      <c r="I189" s="58"/>
      <c r="J189" s="44">
        <v>0</v>
      </c>
      <c r="K189" s="44">
        <v>0</v>
      </c>
      <c r="M189" s="44">
        <v>0</v>
      </c>
      <c r="N189" s="44"/>
      <c r="O189" s="44">
        <v>0</v>
      </c>
      <c r="P189" s="44">
        <v>0</v>
      </c>
      <c r="Q189" s="44">
        <v>0</v>
      </c>
      <c r="T189" s="44">
        <v>0</v>
      </c>
      <c r="U189" s="44">
        <v>0</v>
      </c>
      <c r="V189" s="44">
        <v>0</v>
      </c>
      <c r="W189" s="44">
        <v>0</v>
      </c>
      <c r="X189" s="44">
        <v>0</v>
      </c>
      <c r="Y189" s="44">
        <v>0</v>
      </c>
      <c r="Z189" s="44">
        <v>0</v>
      </c>
      <c r="AA189" s="44">
        <v>0</v>
      </c>
      <c r="AB189" s="44">
        <v>0</v>
      </c>
      <c r="AC189" s="44">
        <v>0</v>
      </c>
      <c r="AD189" s="44">
        <v>0</v>
      </c>
      <c r="AE189"/>
      <c r="AF189" s="44">
        <v>0</v>
      </c>
      <c r="AG189" s="44">
        <v>0</v>
      </c>
      <c r="AH189" s="44">
        <v>0</v>
      </c>
      <c r="AI189" s="44">
        <v>0</v>
      </c>
      <c r="AJ189" s="44">
        <v>0</v>
      </c>
      <c r="AK189" s="44">
        <v>0</v>
      </c>
      <c r="AL189" s="44">
        <v>0</v>
      </c>
      <c r="AM189"/>
      <c r="AN189" s="44">
        <v>0</v>
      </c>
      <c r="AO189" s="44">
        <v>0</v>
      </c>
      <c r="AP189" s="44">
        <v>0</v>
      </c>
      <c r="AQ189" s="44">
        <v>0</v>
      </c>
      <c r="AR189"/>
      <c r="AS189" s="44">
        <v>0</v>
      </c>
      <c r="AT189"/>
      <c r="AU189"/>
      <c r="AV189" s="44">
        <v>0</v>
      </c>
    </row>
    <row r="190" spans="1:48" x14ac:dyDescent="0.25">
      <c r="A190" s="23" t="s">
        <v>269</v>
      </c>
      <c r="B190" s="3" t="s">
        <v>473</v>
      </c>
      <c r="C190" s="3" t="s">
        <v>483</v>
      </c>
      <c r="D190" s="3" t="s">
        <v>521</v>
      </c>
      <c r="E190" s="24" t="s">
        <v>339</v>
      </c>
      <c r="F190" s="24" t="s">
        <v>100</v>
      </c>
      <c r="G190" s="44">
        <v>3.98</v>
      </c>
      <c r="I190" s="58"/>
      <c r="J190" s="44">
        <v>3.98</v>
      </c>
      <c r="K190" s="44">
        <v>3.98</v>
      </c>
      <c r="M190" s="44">
        <v>3.98</v>
      </c>
      <c r="N190" s="44"/>
      <c r="O190" s="44">
        <v>3.98</v>
      </c>
      <c r="P190" s="44">
        <v>3.98</v>
      </c>
      <c r="Q190" s="44">
        <v>3.98</v>
      </c>
      <c r="T190" s="44">
        <v>3.98</v>
      </c>
      <c r="U190" s="44">
        <v>3.98</v>
      </c>
      <c r="V190" s="44">
        <v>3.98</v>
      </c>
      <c r="W190" s="44">
        <v>3.98</v>
      </c>
      <c r="X190" s="44">
        <v>3.98</v>
      </c>
      <c r="Y190" s="44">
        <v>3.98</v>
      </c>
      <c r="Z190" s="44">
        <v>3.98</v>
      </c>
      <c r="AA190" s="44">
        <v>3.98</v>
      </c>
      <c r="AB190" s="44">
        <v>3.98</v>
      </c>
      <c r="AC190" s="44">
        <v>3.98</v>
      </c>
      <c r="AD190" s="44">
        <v>3.98</v>
      </c>
      <c r="AE190"/>
      <c r="AF190" s="44">
        <v>3.98</v>
      </c>
      <c r="AG190" s="44">
        <v>3.98</v>
      </c>
      <c r="AH190" s="44">
        <v>3.98</v>
      </c>
      <c r="AI190" s="44">
        <v>3.98</v>
      </c>
      <c r="AJ190" s="44">
        <v>3.98</v>
      </c>
      <c r="AK190" s="44">
        <v>3.98</v>
      </c>
      <c r="AL190" s="44">
        <v>3.98</v>
      </c>
      <c r="AM190"/>
      <c r="AN190" s="44">
        <v>3.98</v>
      </c>
      <c r="AO190" s="44">
        <v>3.98</v>
      </c>
      <c r="AP190" s="44">
        <v>3.98</v>
      </c>
      <c r="AQ190" s="44">
        <v>3.98</v>
      </c>
      <c r="AR190"/>
      <c r="AS190" s="44">
        <v>3.98</v>
      </c>
      <c r="AT190"/>
      <c r="AU190"/>
      <c r="AV190" s="44">
        <v>3.98</v>
      </c>
    </row>
    <row r="191" spans="1:48" x14ac:dyDescent="0.25">
      <c r="A191" s="23" t="s">
        <v>270</v>
      </c>
      <c r="B191" s="3" t="s">
        <v>473</v>
      </c>
      <c r="C191" s="3" t="s">
        <v>483</v>
      </c>
      <c r="D191" s="3" t="s">
        <v>521</v>
      </c>
      <c r="E191" s="24" t="s">
        <v>340</v>
      </c>
      <c r="F191" s="24" t="s">
        <v>95</v>
      </c>
      <c r="G191" s="44">
        <v>1</v>
      </c>
      <c r="I191" s="58"/>
      <c r="J191" s="44">
        <v>1</v>
      </c>
      <c r="K191" s="44">
        <v>1</v>
      </c>
      <c r="M191" s="44">
        <v>1</v>
      </c>
      <c r="N191" s="44"/>
      <c r="O191" s="44">
        <v>1</v>
      </c>
      <c r="P191" s="44">
        <v>1</v>
      </c>
      <c r="Q191" s="44">
        <v>1</v>
      </c>
      <c r="T191" s="44">
        <v>1</v>
      </c>
      <c r="U191" s="44">
        <v>1</v>
      </c>
      <c r="V191" s="44">
        <v>1</v>
      </c>
      <c r="W191" s="44">
        <v>1</v>
      </c>
      <c r="X191" s="44">
        <v>1</v>
      </c>
      <c r="Y191" s="44">
        <v>1</v>
      </c>
      <c r="Z191" s="44">
        <v>1</v>
      </c>
      <c r="AA191" s="44">
        <v>1</v>
      </c>
      <c r="AB191" s="44">
        <v>1</v>
      </c>
      <c r="AC191" s="44">
        <v>1</v>
      </c>
      <c r="AD191" s="44">
        <v>1</v>
      </c>
      <c r="AE191"/>
      <c r="AF191" s="44">
        <v>1</v>
      </c>
      <c r="AG191" s="44">
        <v>1</v>
      </c>
      <c r="AH191" s="44">
        <v>1</v>
      </c>
      <c r="AI191" s="44">
        <v>1</v>
      </c>
      <c r="AJ191" s="44">
        <v>1</v>
      </c>
      <c r="AK191" s="44">
        <v>1</v>
      </c>
      <c r="AL191" s="44">
        <v>1</v>
      </c>
      <c r="AM191"/>
      <c r="AN191" s="44">
        <v>1</v>
      </c>
      <c r="AO191" s="44">
        <v>1</v>
      </c>
      <c r="AP191" s="44">
        <v>1</v>
      </c>
      <c r="AQ191" s="44">
        <v>1</v>
      </c>
      <c r="AR191"/>
      <c r="AS191" s="44">
        <v>1</v>
      </c>
      <c r="AT191"/>
      <c r="AU191"/>
      <c r="AV191" s="44">
        <v>1</v>
      </c>
    </row>
    <row r="192" spans="1:48" x14ac:dyDescent="0.25">
      <c r="A192" s="23" t="s">
        <v>271</v>
      </c>
      <c r="B192" s="3" t="s">
        <v>473</v>
      </c>
      <c r="C192" s="3" t="s">
        <v>483</v>
      </c>
      <c r="D192" s="3" t="s">
        <v>521</v>
      </c>
      <c r="E192" s="24" t="s">
        <v>194</v>
      </c>
      <c r="F192" s="24" t="s">
        <v>198</v>
      </c>
      <c r="G192" s="44">
        <v>8.3333333333333331E-5</v>
      </c>
      <c r="I192" s="58"/>
      <c r="J192" s="44">
        <v>8.3333333333333331E-5</v>
      </c>
      <c r="K192" s="44">
        <v>8.3333333333333331E-5</v>
      </c>
      <c r="M192" s="44">
        <v>8.3333333333333331E-5</v>
      </c>
      <c r="N192" s="44"/>
      <c r="O192" s="44">
        <v>8.3333333333333331E-5</v>
      </c>
      <c r="P192" s="44">
        <v>8.3333333333333331E-5</v>
      </c>
      <c r="Q192" s="44">
        <v>8.3333333333333331E-5</v>
      </c>
      <c r="T192" s="44">
        <v>8.3333333333333331E-5</v>
      </c>
      <c r="U192" s="44">
        <v>8.3333333333333331E-5</v>
      </c>
      <c r="V192" s="44">
        <v>8.3333333333333331E-5</v>
      </c>
      <c r="W192" s="44">
        <v>8.3333333333333331E-5</v>
      </c>
      <c r="X192" s="44">
        <v>8.3333333333333331E-5</v>
      </c>
      <c r="Y192" s="44">
        <v>8.3333333333333331E-5</v>
      </c>
      <c r="Z192" s="44">
        <v>8.3333333333333331E-5</v>
      </c>
      <c r="AA192" s="44">
        <v>8.3333333333333331E-5</v>
      </c>
      <c r="AB192" s="44">
        <v>8.3333333333333331E-5</v>
      </c>
      <c r="AC192" s="44">
        <v>8.3333333333333331E-5</v>
      </c>
      <c r="AD192" s="44">
        <v>8.3333333333333331E-5</v>
      </c>
      <c r="AE192"/>
      <c r="AF192" s="44">
        <v>8.3333333333333331E-5</v>
      </c>
      <c r="AG192" s="44">
        <v>8.3333333333333331E-5</v>
      </c>
      <c r="AH192" s="44">
        <v>8.3333333333333331E-5</v>
      </c>
      <c r="AI192" s="44">
        <v>8.3333333333333331E-5</v>
      </c>
      <c r="AJ192" s="44">
        <v>8.3333333333333331E-5</v>
      </c>
      <c r="AK192" s="44">
        <v>8.3333333333333331E-5</v>
      </c>
      <c r="AL192" s="44">
        <v>8.3333333333333331E-5</v>
      </c>
      <c r="AM192"/>
      <c r="AN192" s="44">
        <v>8.3333333333333331E-5</v>
      </c>
      <c r="AO192" s="44">
        <v>8.3333333333333331E-5</v>
      </c>
      <c r="AP192" s="44">
        <v>8.3333333333333331E-5</v>
      </c>
      <c r="AQ192" s="44">
        <v>8.3333333333333331E-5</v>
      </c>
      <c r="AR192"/>
      <c r="AS192" s="44">
        <v>8.3333333333333331E-5</v>
      </c>
      <c r="AT192"/>
      <c r="AU192"/>
      <c r="AV192" s="44">
        <v>8.3333333333333331E-5</v>
      </c>
    </row>
    <row r="193" spans="1:56" x14ac:dyDescent="0.25">
      <c r="A193" s="7" t="s">
        <v>272</v>
      </c>
      <c r="B193" s="3" t="s">
        <v>473</v>
      </c>
      <c r="C193" s="3" t="s">
        <v>483</v>
      </c>
      <c r="D193" s="3" t="s">
        <v>521</v>
      </c>
      <c r="E193" s="8" t="s">
        <v>355</v>
      </c>
      <c r="F193" s="8" t="s">
        <v>200</v>
      </c>
      <c r="G193" s="44">
        <v>6.41E-9</v>
      </c>
      <c r="I193" s="58"/>
      <c r="J193" s="44">
        <v>3.9999999999999998E-7</v>
      </c>
      <c r="K193" s="44">
        <v>3.9999999999999998E-7</v>
      </c>
      <c r="M193" s="44">
        <v>3.9999999999999998E-7</v>
      </c>
      <c r="N193" s="44"/>
      <c r="O193" s="44">
        <v>3.9999999999999998E-7</v>
      </c>
      <c r="P193" s="44">
        <v>3.9999999999999998E-7</v>
      </c>
      <c r="Q193" s="44">
        <v>3.9999999999999998E-7</v>
      </c>
      <c r="T193" s="44">
        <v>3.9999999999999998E-7</v>
      </c>
      <c r="U193" s="44">
        <v>3.9999999999999998E-7</v>
      </c>
      <c r="V193" s="44">
        <v>3.9999999999999998E-7</v>
      </c>
      <c r="W193" s="44">
        <v>3.9999999999999998E-7</v>
      </c>
      <c r="X193" s="44">
        <v>3.9999999999999998E-7</v>
      </c>
      <c r="Y193" s="44">
        <v>3.9999999999999998E-7</v>
      </c>
      <c r="Z193" s="44">
        <v>3.9999999999999998E-7</v>
      </c>
      <c r="AA193" s="44">
        <v>3.9999999999999998E-7</v>
      </c>
      <c r="AB193" s="44">
        <v>3.9999999999999998E-7</v>
      </c>
      <c r="AC193" s="44">
        <v>3.9999999999999998E-7</v>
      </c>
      <c r="AD193" s="44">
        <v>3.9999999999999998E-7</v>
      </c>
      <c r="AE193"/>
      <c r="AF193" s="44">
        <v>3.9999999999999998E-7</v>
      </c>
      <c r="AG193" s="44">
        <v>3.9999999999999998E-7</v>
      </c>
      <c r="AH193" s="44">
        <v>3.9999999999999998E-7</v>
      </c>
      <c r="AI193" s="44">
        <v>3.9999999999999998E-7</v>
      </c>
      <c r="AJ193" s="44">
        <v>3.9999999999999998E-7</v>
      </c>
      <c r="AK193" s="44">
        <v>3.9999999999999998E-7</v>
      </c>
      <c r="AL193" s="44">
        <v>3.9999999999999998E-7</v>
      </c>
      <c r="AM193"/>
      <c r="AN193" s="44">
        <v>3.9999999999999998E-7</v>
      </c>
      <c r="AO193" s="44">
        <v>3.9999999999999998E-7</v>
      </c>
      <c r="AP193" s="44">
        <v>3.9999999999999998E-7</v>
      </c>
      <c r="AQ193" s="44">
        <v>3.9999999999999998E-7</v>
      </c>
      <c r="AR193"/>
      <c r="AS193" s="44">
        <v>3.9999999999999998E-7</v>
      </c>
      <c r="AT193"/>
      <c r="AU193"/>
      <c r="AV193" s="44">
        <v>3.9999999999999998E-7</v>
      </c>
    </row>
    <row r="194" spans="1:56" x14ac:dyDescent="0.25">
      <c r="A194" s="7" t="s">
        <v>273</v>
      </c>
      <c r="B194" s="3" t="s">
        <v>473</v>
      </c>
      <c r="C194" s="3" t="s">
        <v>483</v>
      </c>
      <c r="D194" s="3" t="s">
        <v>521</v>
      </c>
      <c r="E194" s="8" t="s">
        <v>341</v>
      </c>
      <c r="F194" s="8" t="s">
        <v>109</v>
      </c>
      <c r="G194" s="44">
        <v>25</v>
      </c>
      <c r="I194" s="58"/>
      <c r="J194" s="44">
        <v>25</v>
      </c>
      <c r="K194" s="44">
        <v>25</v>
      </c>
      <c r="M194" s="44">
        <v>25</v>
      </c>
      <c r="N194" s="44"/>
      <c r="O194" s="44">
        <v>25</v>
      </c>
      <c r="P194" s="44">
        <v>25</v>
      </c>
      <c r="Q194" s="44">
        <v>25</v>
      </c>
      <c r="T194" s="44">
        <v>25</v>
      </c>
      <c r="U194" s="44">
        <v>25</v>
      </c>
      <c r="V194" s="44">
        <v>25</v>
      </c>
      <c r="W194" s="44">
        <v>25</v>
      </c>
      <c r="X194" s="44">
        <v>25</v>
      </c>
      <c r="Y194" s="44">
        <v>25</v>
      </c>
      <c r="Z194" s="44">
        <v>25</v>
      </c>
      <c r="AA194" s="44">
        <v>25</v>
      </c>
      <c r="AB194" s="44">
        <v>25</v>
      </c>
      <c r="AC194" s="44">
        <v>25</v>
      </c>
      <c r="AD194" s="44">
        <v>25</v>
      </c>
      <c r="AE194"/>
      <c r="AF194" s="44">
        <v>25</v>
      </c>
      <c r="AG194" s="44">
        <v>25</v>
      </c>
      <c r="AH194" s="44">
        <v>25</v>
      </c>
      <c r="AI194" s="44">
        <v>25</v>
      </c>
      <c r="AJ194" s="44">
        <v>25</v>
      </c>
      <c r="AK194" s="44">
        <v>25</v>
      </c>
      <c r="AL194" s="44">
        <v>25</v>
      </c>
      <c r="AM194"/>
      <c r="AN194" s="44">
        <v>25</v>
      </c>
      <c r="AO194" s="44">
        <v>25</v>
      </c>
      <c r="AP194" s="44">
        <v>25</v>
      </c>
      <c r="AQ194" s="44">
        <v>25</v>
      </c>
      <c r="AR194"/>
      <c r="AS194" s="44">
        <v>25</v>
      </c>
      <c r="AT194"/>
      <c r="AU194"/>
      <c r="AV194" s="44">
        <v>25</v>
      </c>
    </row>
    <row r="195" spans="1:56" x14ac:dyDescent="0.25">
      <c r="A195" s="7" t="s">
        <v>274</v>
      </c>
      <c r="B195" s="3" t="s">
        <v>473</v>
      </c>
      <c r="C195" s="3" t="s">
        <v>483</v>
      </c>
      <c r="D195" s="3" t="s">
        <v>521</v>
      </c>
      <c r="E195" s="8" t="s">
        <v>342</v>
      </c>
      <c r="F195" s="8" t="s">
        <v>301</v>
      </c>
      <c r="G195" s="44">
        <v>0</v>
      </c>
      <c r="I195" s="58"/>
      <c r="J195" s="44">
        <v>0</v>
      </c>
      <c r="K195" s="44">
        <v>0</v>
      </c>
      <c r="M195" s="44">
        <v>0</v>
      </c>
      <c r="N195" s="44"/>
      <c r="O195" s="44">
        <v>0</v>
      </c>
      <c r="P195" s="44">
        <v>0</v>
      </c>
      <c r="Q195" s="44">
        <v>0</v>
      </c>
      <c r="T195" s="44">
        <v>0</v>
      </c>
      <c r="U195" s="44">
        <v>0</v>
      </c>
      <c r="V195" s="44">
        <v>0</v>
      </c>
      <c r="W195" s="44">
        <v>0</v>
      </c>
      <c r="X195" s="44">
        <v>0</v>
      </c>
      <c r="Y195" s="44">
        <v>0</v>
      </c>
      <c r="Z195" s="44">
        <v>0</v>
      </c>
      <c r="AA195" s="44">
        <v>0</v>
      </c>
      <c r="AB195" s="44">
        <v>0</v>
      </c>
      <c r="AC195" s="44">
        <v>0</v>
      </c>
      <c r="AD195" s="44">
        <v>0</v>
      </c>
      <c r="AE195"/>
      <c r="AF195" s="44">
        <v>0</v>
      </c>
      <c r="AG195" s="44">
        <v>0</v>
      </c>
      <c r="AH195" s="44">
        <v>0</v>
      </c>
      <c r="AI195" s="44">
        <v>0</v>
      </c>
      <c r="AJ195" s="44">
        <v>0</v>
      </c>
      <c r="AK195" s="44">
        <v>0</v>
      </c>
      <c r="AL195" s="44">
        <v>0</v>
      </c>
      <c r="AM195"/>
      <c r="AN195" s="44">
        <v>0</v>
      </c>
      <c r="AO195" s="44">
        <v>0</v>
      </c>
      <c r="AP195" s="44">
        <v>0</v>
      </c>
      <c r="AQ195" s="44">
        <v>0</v>
      </c>
      <c r="AR195"/>
      <c r="AS195" s="44">
        <v>0</v>
      </c>
      <c r="AT195"/>
      <c r="AU195"/>
      <c r="AV195" s="44">
        <v>0</v>
      </c>
    </row>
    <row r="196" spans="1:56" x14ac:dyDescent="0.25">
      <c r="A196" s="7" t="s">
        <v>275</v>
      </c>
      <c r="B196" s="3" t="s">
        <v>473</v>
      </c>
      <c r="C196" s="3" t="s">
        <v>483</v>
      </c>
      <c r="D196" s="3" t="s">
        <v>521</v>
      </c>
      <c r="E196" s="8" t="s">
        <v>343</v>
      </c>
      <c r="F196" s="8" t="s">
        <v>100</v>
      </c>
      <c r="G196" s="44">
        <v>3.98</v>
      </c>
      <c r="I196" s="58"/>
      <c r="J196" s="44">
        <v>3.98</v>
      </c>
      <c r="K196" s="44">
        <v>3.98</v>
      </c>
      <c r="M196" s="44">
        <v>3.98</v>
      </c>
      <c r="N196" s="44"/>
      <c r="O196" s="44">
        <v>3.98</v>
      </c>
      <c r="P196" s="44">
        <v>3.98</v>
      </c>
      <c r="Q196" s="44">
        <v>3.98</v>
      </c>
      <c r="T196" s="44">
        <v>3.98</v>
      </c>
      <c r="U196" s="44">
        <v>3.98</v>
      </c>
      <c r="V196" s="44">
        <v>3.98</v>
      </c>
      <c r="W196" s="44">
        <v>3.98</v>
      </c>
      <c r="X196" s="44">
        <v>3.98</v>
      </c>
      <c r="Y196" s="44">
        <v>3.98</v>
      </c>
      <c r="Z196" s="44">
        <v>3.98</v>
      </c>
      <c r="AA196" s="44">
        <v>3.98</v>
      </c>
      <c r="AB196" s="44">
        <v>3.98</v>
      </c>
      <c r="AC196" s="44">
        <v>3.98</v>
      </c>
      <c r="AD196" s="44">
        <v>3.98</v>
      </c>
      <c r="AE196"/>
      <c r="AF196" s="44">
        <v>3.98</v>
      </c>
      <c r="AG196" s="44">
        <v>3.98</v>
      </c>
      <c r="AH196" s="44">
        <v>3.98</v>
      </c>
      <c r="AI196" s="44">
        <v>3.98</v>
      </c>
      <c r="AJ196" s="44">
        <v>3.98</v>
      </c>
      <c r="AK196" s="44">
        <v>3.98</v>
      </c>
      <c r="AL196" s="44">
        <v>3.98</v>
      </c>
      <c r="AM196"/>
      <c r="AN196" s="44">
        <v>3.98</v>
      </c>
      <c r="AO196" s="44">
        <v>3.98</v>
      </c>
      <c r="AP196" s="44">
        <v>3.98</v>
      </c>
      <c r="AQ196" s="44">
        <v>3.98</v>
      </c>
      <c r="AR196"/>
      <c r="AS196" s="44">
        <v>3.98</v>
      </c>
      <c r="AT196"/>
      <c r="AU196"/>
      <c r="AV196" s="44">
        <v>3.98</v>
      </c>
    </row>
    <row r="197" spans="1:56" x14ac:dyDescent="0.25">
      <c r="A197" s="7" t="s">
        <v>276</v>
      </c>
      <c r="B197" s="3" t="s">
        <v>473</v>
      </c>
      <c r="C197" s="3" t="s">
        <v>483</v>
      </c>
      <c r="D197" s="3" t="s">
        <v>521</v>
      </c>
      <c r="E197" s="8" t="s">
        <v>344</v>
      </c>
      <c r="F197" s="8" t="s">
        <v>95</v>
      </c>
      <c r="G197" s="44">
        <v>1</v>
      </c>
      <c r="I197" s="58"/>
      <c r="J197" s="44">
        <v>1</v>
      </c>
      <c r="K197" s="44">
        <v>1</v>
      </c>
      <c r="M197" s="44">
        <v>1</v>
      </c>
      <c r="N197" s="44"/>
      <c r="O197" s="44">
        <v>1</v>
      </c>
      <c r="P197" s="44">
        <v>1</v>
      </c>
      <c r="Q197" s="44">
        <v>1</v>
      </c>
      <c r="T197" s="44">
        <v>1</v>
      </c>
      <c r="U197" s="44">
        <v>1</v>
      </c>
      <c r="V197" s="44">
        <v>1</v>
      </c>
      <c r="W197" s="44">
        <v>1</v>
      </c>
      <c r="X197" s="44">
        <v>1</v>
      </c>
      <c r="Y197" s="44">
        <v>1</v>
      </c>
      <c r="Z197" s="44">
        <v>1</v>
      </c>
      <c r="AA197" s="44">
        <v>1</v>
      </c>
      <c r="AB197" s="44">
        <v>1</v>
      </c>
      <c r="AC197" s="44">
        <v>1</v>
      </c>
      <c r="AD197" s="44">
        <v>1</v>
      </c>
      <c r="AE197"/>
      <c r="AF197" s="44">
        <v>1</v>
      </c>
      <c r="AG197" s="44">
        <v>1</v>
      </c>
      <c r="AH197" s="44">
        <v>1</v>
      </c>
      <c r="AI197" s="44">
        <v>1</v>
      </c>
      <c r="AJ197" s="44">
        <v>1</v>
      </c>
      <c r="AK197" s="44">
        <v>1</v>
      </c>
      <c r="AL197" s="44">
        <v>1</v>
      </c>
      <c r="AM197"/>
      <c r="AN197" s="44">
        <v>1</v>
      </c>
      <c r="AO197" s="44">
        <v>1</v>
      </c>
      <c r="AP197" s="44">
        <v>1</v>
      </c>
      <c r="AQ197" s="44">
        <v>1</v>
      </c>
      <c r="AR197"/>
      <c r="AS197" s="44">
        <v>1</v>
      </c>
      <c r="AT197"/>
      <c r="AU197"/>
      <c r="AV197" s="44">
        <v>1</v>
      </c>
    </row>
    <row r="198" spans="1:56" x14ac:dyDescent="0.25">
      <c r="A198" s="7" t="s">
        <v>277</v>
      </c>
      <c r="B198" s="3" t="s">
        <v>473</v>
      </c>
      <c r="C198" s="3" t="s">
        <v>483</v>
      </c>
      <c r="D198" s="3" t="s">
        <v>521</v>
      </c>
      <c r="E198" s="8" t="s">
        <v>358</v>
      </c>
      <c r="F198" s="8" t="s">
        <v>198</v>
      </c>
      <c r="G198" s="44">
        <v>8.3333333333333331E-5</v>
      </c>
      <c r="I198" s="58"/>
      <c r="J198" s="44">
        <v>8.3333333333333331E-5</v>
      </c>
      <c r="K198" s="44">
        <v>8.3333333333333331E-5</v>
      </c>
      <c r="M198" s="44">
        <v>8.3333333333333331E-5</v>
      </c>
      <c r="N198" s="44"/>
      <c r="O198" s="44">
        <v>8.3333333333333331E-5</v>
      </c>
      <c r="P198" s="44">
        <v>8.3333333333333331E-5</v>
      </c>
      <c r="Q198" s="44">
        <v>8.3333333333333331E-5</v>
      </c>
      <c r="T198" s="44">
        <v>8.3333333333333331E-5</v>
      </c>
      <c r="U198" s="44">
        <v>8.3333333333333331E-5</v>
      </c>
      <c r="V198" s="44">
        <v>8.3333333333333331E-5</v>
      </c>
      <c r="W198" s="44">
        <v>8.3333333333333331E-5</v>
      </c>
      <c r="X198" s="44">
        <v>8.3333333333333331E-5</v>
      </c>
      <c r="Y198" s="44">
        <v>8.3333333333333331E-5</v>
      </c>
      <c r="Z198" s="44">
        <v>8.3333333333333331E-5</v>
      </c>
      <c r="AA198" s="44">
        <v>8.3333333333333331E-5</v>
      </c>
      <c r="AB198" s="44">
        <v>8.3333333333333331E-5</v>
      </c>
      <c r="AC198" s="44">
        <v>8.3333333333333331E-5</v>
      </c>
      <c r="AD198" s="44">
        <v>8.3333333333333331E-5</v>
      </c>
      <c r="AE198"/>
      <c r="AF198" s="44">
        <v>8.3333333333333331E-5</v>
      </c>
      <c r="AG198" s="44">
        <v>8.3333333333333331E-5</v>
      </c>
      <c r="AH198" s="44">
        <v>8.3333333333333331E-5</v>
      </c>
      <c r="AI198" s="44">
        <v>8.3333333333333331E-5</v>
      </c>
      <c r="AJ198" s="44">
        <v>8.3333333333333331E-5</v>
      </c>
      <c r="AK198" s="44">
        <v>8.3333333333333331E-5</v>
      </c>
      <c r="AL198" s="44">
        <v>8.3333333333333331E-5</v>
      </c>
      <c r="AM198"/>
      <c r="AN198" s="44">
        <v>8.3333333333333331E-5</v>
      </c>
      <c r="AO198" s="44">
        <v>8.3333333333333331E-5</v>
      </c>
      <c r="AP198" s="44">
        <v>8.3333333333333331E-5</v>
      </c>
      <c r="AQ198" s="44">
        <v>8.3333333333333331E-5</v>
      </c>
      <c r="AR198"/>
      <c r="AS198" s="44">
        <v>8.3333333333333331E-5</v>
      </c>
      <c r="AT198"/>
      <c r="AU198"/>
      <c r="AV198" s="44">
        <v>8.3333333333333331E-5</v>
      </c>
    </row>
    <row r="199" spans="1:56" x14ac:dyDescent="0.25">
      <c r="A199" s="29" t="s">
        <v>278</v>
      </c>
      <c r="B199" s="3" t="s">
        <v>473</v>
      </c>
      <c r="C199" s="3" t="s">
        <v>483</v>
      </c>
      <c r="D199" s="3" t="s">
        <v>521</v>
      </c>
      <c r="E199" s="30" t="s">
        <v>356</v>
      </c>
      <c r="F199" s="30" t="s">
        <v>357</v>
      </c>
      <c r="G199" s="44">
        <v>3.205E-9</v>
      </c>
      <c r="I199" s="58"/>
      <c r="J199" s="44">
        <v>1.9999999999999999E-7</v>
      </c>
      <c r="K199" s="44">
        <v>1.9999999999999999E-7</v>
      </c>
      <c r="M199" s="44">
        <v>1.9999999999999999E-7</v>
      </c>
      <c r="N199" s="44"/>
      <c r="O199" s="44">
        <v>1.9999999999999999E-7</v>
      </c>
      <c r="P199" s="44">
        <v>1.9999999999999999E-7</v>
      </c>
      <c r="Q199" s="44">
        <v>1.9999999999999999E-7</v>
      </c>
      <c r="T199" s="44">
        <v>1.9999999999999999E-7</v>
      </c>
      <c r="U199" s="44">
        <v>1.9999999999999999E-7</v>
      </c>
      <c r="V199" s="44">
        <v>1.9999999999999999E-7</v>
      </c>
      <c r="W199" s="44">
        <v>1.9999999999999999E-7</v>
      </c>
      <c r="X199" s="44">
        <v>1.9999999999999999E-7</v>
      </c>
      <c r="Y199" s="44">
        <v>1.9999999999999999E-7</v>
      </c>
      <c r="Z199" s="44">
        <v>1.9999999999999999E-7</v>
      </c>
      <c r="AA199" s="44">
        <v>1.9999999999999999E-7</v>
      </c>
      <c r="AB199" s="44">
        <v>1.9999999999999999E-7</v>
      </c>
      <c r="AC199" s="44">
        <v>1.9999999999999999E-7</v>
      </c>
      <c r="AD199" s="44">
        <v>1.9999999999999999E-7</v>
      </c>
      <c r="AE199"/>
      <c r="AF199" s="44">
        <v>1.9999999999999999E-7</v>
      </c>
      <c r="AG199" s="44">
        <v>1.9999999999999999E-7</v>
      </c>
      <c r="AH199" s="44">
        <v>1.9999999999999999E-7</v>
      </c>
      <c r="AI199" s="44">
        <v>1.9999999999999999E-7</v>
      </c>
      <c r="AJ199" s="44">
        <v>1.9999999999999999E-7</v>
      </c>
      <c r="AK199" s="44">
        <v>1.9999999999999999E-7</v>
      </c>
      <c r="AL199" s="44">
        <v>1.9999999999999999E-7</v>
      </c>
      <c r="AM199"/>
      <c r="AN199" s="44">
        <v>1.9999999999999999E-7</v>
      </c>
      <c r="AO199" s="44">
        <v>1.9999999999999999E-7</v>
      </c>
      <c r="AP199" s="44">
        <v>1.9999999999999999E-7</v>
      </c>
      <c r="AQ199" s="44">
        <v>1.9999999999999999E-7</v>
      </c>
      <c r="AR199"/>
      <c r="AS199" s="44">
        <v>1.9999999999999999E-7</v>
      </c>
      <c r="AT199"/>
      <c r="AU199"/>
      <c r="AV199" s="44">
        <v>1.9999999999999999E-7</v>
      </c>
    </row>
    <row r="200" spans="1:56" x14ac:dyDescent="0.25">
      <c r="A200" s="29" t="s">
        <v>279</v>
      </c>
      <c r="B200" s="3" t="s">
        <v>473</v>
      </c>
      <c r="C200" s="3" t="s">
        <v>483</v>
      </c>
      <c r="D200" s="3" t="s">
        <v>521</v>
      </c>
      <c r="E200" s="30" t="s">
        <v>345</v>
      </c>
      <c r="F200" s="30" t="s">
        <v>109</v>
      </c>
      <c r="G200" s="44">
        <v>25</v>
      </c>
      <c r="I200" s="58"/>
      <c r="J200" s="44">
        <v>25</v>
      </c>
      <c r="K200" s="44">
        <v>25</v>
      </c>
      <c r="M200" s="44">
        <v>25</v>
      </c>
      <c r="N200" s="44"/>
      <c r="O200" s="44">
        <v>25</v>
      </c>
      <c r="P200" s="44">
        <v>25</v>
      </c>
      <c r="Q200" s="44">
        <v>25</v>
      </c>
      <c r="T200" s="44">
        <v>25</v>
      </c>
      <c r="U200" s="44">
        <v>25</v>
      </c>
      <c r="V200" s="44">
        <v>25</v>
      </c>
      <c r="W200" s="44">
        <v>25</v>
      </c>
      <c r="X200" s="44">
        <v>25</v>
      </c>
      <c r="Y200" s="44">
        <v>25</v>
      </c>
      <c r="Z200" s="44">
        <v>25</v>
      </c>
      <c r="AA200" s="44">
        <v>25</v>
      </c>
      <c r="AB200" s="44">
        <v>25</v>
      </c>
      <c r="AC200" s="44">
        <v>25</v>
      </c>
      <c r="AD200" s="44">
        <v>25</v>
      </c>
      <c r="AE200"/>
      <c r="AF200" s="44">
        <v>25</v>
      </c>
      <c r="AG200" s="44">
        <v>25</v>
      </c>
      <c r="AH200" s="44">
        <v>25</v>
      </c>
      <c r="AI200" s="44">
        <v>25</v>
      </c>
      <c r="AJ200" s="44">
        <v>25</v>
      </c>
      <c r="AK200" s="44">
        <v>25</v>
      </c>
      <c r="AL200" s="44">
        <v>25</v>
      </c>
      <c r="AM200"/>
      <c r="AN200" s="44">
        <v>25</v>
      </c>
      <c r="AO200" s="44">
        <v>25</v>
      </c>
      <c r="AP200" s="44">
        <v>25</v>
      </c>
      <c r="AQ200" s="44">
        <v>25</v>
      </c>
      <c r="AR200"/>
      <c r="AS200" s="44">
        <v>25</v>
      </c>
      <c r="AT200"/>
      <c r="AU200"/>
      <c r="AV200" s="44">
        <v>25</v>
      </c>
    </row>
    <row r="201" spans="1:56" x14ac:dyDescent="0.25">
      <c r="A201" s="29" t="s">
        <v>280</v>
      </c>
      <c r="B201" s="3" t="s">
        <v>473</v>
      </c>
      <c r="C201" s="3" t="s">
        <v>483</v>
      </c>
      <c r="D201" s="3" t="s">
        <v>521</v>
      </c>
      <c r="E201" s="30" t="s">
        <v>346</v>
      </c>
      <c r="F201" s="30" t="s">
        <v>301</v>
      </c>
      <c r="G201" s="44">
        <v>0</v>
      </c>
      <c r="I201" s="58"/>
      <c r="J201" s="44">
        <v>0</v>
      </c>
      <c r="K201" s="44">
        <v>0</v>
      </c>
      <c r="M201" s="44">
        <v>0</v>
      </c>
      <c r="N201" s="44"/>
      <c r="O201" s="44">
        <v>0</v>
      </c>
      <c r="P201" s="44">
        <v>0</v>
      </c>
      <c r="Q201" s="44">
        <v>0</v>
      </c>
      <c r="T201" s="44">
        <v>0</v>
      </c>
      <c r="U201" s="44">
        <v>0</v>
      </c>
      <c r="V201" s="44">
        <v>0</v>
      </c>
      <c r="W201" s="44">
        <v>0</v>
      </c>
      <c r="X201" s="44">
        <v>0</v>
      </c>
      <c r="Y201" s="44">
        <v>0</v>
      </c>
      <c r="Z201" s="44">
        <v>0</v>
      </c>
      <c r="AA201" s="44">
        <v>0</v>
      </c>
      <c r="AB201" s="44">
        <v>0</v>
      </c>
      <c r="AC201" s="44">
        <v>0</v>
      </c>
      <c r="AD201" s="44">
        <v>0</v>
      </c>
      <c r="AE201"/>
      <c r="AF201" s="44">
        <v>0</v>
      </c>
      <c r="AG201" s="44">
        <v>0</v>
      </c>
      <c r="AH201" s="44">
        <v>0</v>
      </c>
      <c r="AI201" s="44">
        <v>0</v>
      </c>
      <c r="AJ201" s="44">
        <v>0</v>
      </c>
      <c r="AK201" s="44">
        <v>0</v>
      </c>
      <c r="AL201" s="44">
        <v>0</v>
      </c>
      <c r="AM201"/>
      <c r="AN201" s="44">
        <v>0</v>
      </c>
      <c r="AO201" s="44">
        <v>0</v>
      </c>
      <c r="AP201" s="44">
        <v>0</v>
      </c>
      <c r="AQ201" s="44">
        <v>0</v>
      </c>
      <c r="AR201"/>
      <c r="AS201" s="44">
        <v>0</v>
      </c>
      <c r="AT201"/>
      <c r="AU201"/>
      <c r="AV201" s="44">
        <v>0</v>
      </c>
    </row>
    <row r="202" spans="1:56" x14ac:dyDescent="0.25">
      <c r="A202" s="29" t="s">
        <v>281</v>
      </c>
      <c r="B202" s="3" t="s">
        <v>473</v>
      </c>
      <c r="C202" s="3" t="s">
        <v>483</v>
      </c>
      <c r="D202" s="3" t="s">
        <v>521</v>
      </c>
      <c r="E202" s="30" t="s">
        <v>347</v>
      </c>
      <c r="F202" s="30" t="s">
        <v>100</v>
      </c>
      <c r="G202" s="44">
        <v>3.98</v>
      </c>
      <c r="I202" s="58"/>
      <c r="J202" s="44">
        <v>3.98</v>
      </c>
      <c r="K202" s="44">
        <v>3.98</v>
      </c>
      <c r="M202" s="44">
        <v>3.98</v>
      </c>
      <c r="N202" s="44"/>
      <c r="O202" s="44">
        <v>3.98</v>
      </c>
      <c r="P202" s="44">
        <v>3.98</v>
      </c>
      <c r="Q202" s="44">
        <v>3.98</v>
      </c>
      <c r="T202" s="44">
        <v>3.98</v>
      </c>
      <c r="U202" s="44">
        <v>3.98</v>
      </c>
      <c r="V202" s="44">
        <v>3.98</v>
      </c>
      <c r="W202" s="44">
        <v>3.98</v>
      </c>
      <c r="X202" s="44">
        <v>3.98</v>
      </c>
      <c r="Y202" s="44">
        <v>3.98</v>
      </c>
      <c r="Z202" s="44">
        <v>3.98</v>
      </c>
      <c r="AA202" s="44">
        <v>3.98</v>
      </c>
      <c r="AB202" s="44">
        <v>3.98</v>
      </c>
      <c r="AC202" s="44">
        <v>3.98</v>
      </c>
      <c r="AD202" s="44">
        <v>3.98</v>
      </c>
      <c r="AE202"/>
      <c r="AF202" s="44">
        <v>3.98</v>
      </c>
      <c r="AG202" s="44">
        <v>3.98</v>
      </c>
      <c r="AH202" s="44">
        <v>3.98</v>
      </c>
      <c r="AI202" s="44">
        <v>3.98</v>
      </c>
      <c r="AJ202" s="44">
        <v>3.98</v>
      </c>
      <c r="AK202" s="44">
        <v>3.98</v>
      </c>
      <c r="AL202" s="44">
        <v>3.98</v>
      </c>
      <c r="AM202"/>
      <c r="AN202" s="44">
        <v>3.98</v>
      </c>
      <c r="AO202" s="44">
        <v>3.98</v>
      </c>
      <c r="AP202" s="44">
        <v>3.98</v>
      </c>
      <c r="AQ202" s="44">
        <v>3.98</v>
      </c>
      <c r="AR202"/>
      <c r="AS202" s="44">
        <v>3.98</v>
      </c>
      <c r="AT202"/>
      <c r="AU202"/>
      <c r="AV202" s="44">
        <v>3.98</v>
      </c>
    </row>
    <row r="203" spans="1:56" x14ac:dyDescent="0.25">
      <c r="A203" s="29" t="s">
        <v>282</v>
      </c>
      <c r="B203" s="3" t="s">
        <v>473</v>
      </c>
      <c r="C203" s="3" t="s">
        <v>483</v>
      </c>
      <c r="D203" s="3" t="s">
        <v>521</v>
      </c>
      <c r="E203" s="30" t="s">
        <v>348</v>
      </c>
      <c r="F203" s="30" t="s">
        <v>95</v>
      </c>
      <c r="G203" s="44">
        <v>1</v>
      </c>
      <c r="I203" s="58"/>
      <c r="J203" s="44">
        <v>1</v>
      </c>
      <c r="K203" s="44">
        <v>1</v>
      </c>
      <c r="M203" s="44">
        <v>1</v>
      </c>
      <c r="N203" s="44"/>
      <c r="O203" s="44">
        <v>1</v>
      </c>
      <c r="P203" s="44">
        <v>1</v>
      </c>
      <c r="Q203" s="44">
        <v>1</v>
      </c>
      <c r="T203" s="44">
        <v>1</v>
      </c>
      <c r="U203" s="44">
        <v>1</v>
      </c>
      <c r="V203" s="44">
        <v>1</v>
      </c>
      <c r="W203" s="44">
        <v>1</v>
      </c>
      <c r="X203" s="44">
        <v>1</v>
      </c>
      <c r="Y203" s="44">
        <v>1</v>
      </c>
      <c r="Z203" s="44">
        <v>1</v>
      </c>
      <c r="AA203" s="44">
        <v>1</v>
      </c>
      <c r="AB203" s="44">
        <v>1</v>
      </c>
      <c r="AC203" s="44">
        <v>1</v>
      </c>
      <c r="AD203" s="44">
        <v>1</v>
      </c>
      <c r="AE203"/>
      <c r="AF203" s="44">
        <v>1</v>
      </c>
      <c r="AG203" s="44">
        <v>1</v>
      </c>
      <c r="AH203" s="44">
        <v>1</v>
      </c>
      <c r="AI203" s="44">
        <v>1</v>
      </c>
      <c r="AJ203" s="44">
        <v>1</v>
      </c>
      <c r="AK203" s="44">
        <v>1</v>
      </c>
      <c r="AL203" s="44">
        <v>1</v>
      </c>
      <c r="AM203"/>
      <c r="AN203" s="44">
        <v>1</v>
      </c>
      <c r="AO203" s="44">
        <v>1</v>
      </c>
      <c r="AP203" s="44">
        <v>1</v>
      </c>
      <c r="AQ203" s="44">
        <v>1</v>
      </c>
      <c r="AR203"/>
      <c r="AS203" s="44">
        <v>1</v>
      </c>
      <c r="AT203"/>
      <c r="AU203"/>
      <c r="AV203" s="44">
        <v>1</v>
      </c>
    </row>
    <row r="204" spans="1:56" x14ac:dyDescent="0.25">
      <c r="A204" s="29" t="s">
        <v>283</v>
      </c>
      <c r="B204" s="3" t="s">
        <v>473</v>
      </c>
      <c r="C204" s="3" t="s">
        <v>483</v>
      </c>
      <c r="D204" s="3" t="s">
        <v>521</v>
      </c>
      <c r="E204" s="30" t="s">
        <v>360</v>
      </c>
      <c r="F204" s="30" t="s">
        <v>359</v>
      </c>
      <c r="G204" s="44">
        <v>8.3333333333333331E-5</v>
      </c>
      <c r="I204" s="58"/>
      <c r="J204" s="44">
        <v>8.3333333333333331E-5</v>
      </c>
      <c r="K204" s="44">
        <v>8.3333333333333331E-5</v>
      </c>
      <c r="M204" s="44">
        <v>8.3333333333333331E-5</v>
      </c>
      <c r="N204" s="44"/>
      <c r="O204" s="44">
        <v>8.3333333333333331E-5</v>
      </c>
      <c r="P204" s="44">
        <v>8.3333333333333331E-5</v>
      </c>
      <c r="Q204" s="44">
        <v>8.3333333333333331E-5</v>
      </c>
      <c r="T204" s="44">
        <v>8.3333333333333331E-5</v>
      </c>
      <c r="U204" s="44">
        <v>8.3333333333333331E-5</v>
      </c>
      <c r="V204" s="44">
        <v>8.3333333333333331E-5</v>
      </c>
      <c r="W204" s="44">
        <v>8.3333333333333331E-5</v>
      </c>
      <c r="X204" s="44">
        <v>8.3333333333333331E-5</v>
      </c>
      <c r="Y204" s="44">
        <v>8.3333333333333331E-5</v>
      </c>
      <c r="Z204" s="44">
        <v>8.3333333333333331E-5</v>
      </c>
      <c r="AA204" s="44">
        <v>8.3333333333333331E-5</v>
      </c>
      <c r="AB204" s="44">
        <v>8.3333333333333331E-5</v>
      </c>
      <c r="AC204" s="44">
        <v>8.3333333333333331E-5</v>
      </c>
      <c r="AD204" s="44">
        <v>8.3333333333333331E-5</v>
      </c>
      <c r="AE204"/>
      <c r="AF204" s="44">
        <v>8.3333333333333331E-5</v>
      </c>
      <c r="AG204" s="44">
        <v>8.3333333333333331E-5</v>
      </c>
      <c r="AH204" s="44">
        <v>8.3333333333333331E-5</v>
      </c>
      <c r="AI204" s="44">
        <v>8.3333333333333331E-5</v>
      </c>
      <c r="AJ204" s="44">
        <v>8.3333333333333331E-5</v>
      </c>
      <c r="AK204" s="44">
        <v>8.3333333333333331E-5</v>
      </c>
      <c r="AL204" s="44">
        <v>8.3333333333333331E-5</v>
      </c>
      <c r="AM204"/>
      <c r="AN204" s="44">
        <v>8.3333333333333331E-5</v>
      </c>
      <c r="AO204" s="44">
        <v>8.3333333333333331E-5</v>
      </c>
      <c r="AP204" s="44">
        <v>8.3333333333333331E-5</v>
      </c>
      <c r="AQ204" s="44">
        <v>8.3333333333333331E-5</v>
      </c>
      <c r="AR204"/>
      <c r="AS204" s="44">
        <v>8.3333333333333331E-5</v>
      </c>
      <c r="AT204"/>
      <c r="AU204"/>
      <c r="AV204" s="44">
        <v>8.3333333333333331E-5</v>
      </c>
    </row>
    <row r="205" spans="1:56" x14ac:dyDescent="0.25">
      <c r="A205" s="47" t="s">
        <v>361</v>
      </c>
      <c r="B205" s="48" t="s">
        <v>473</v>
      </c>
      <c r="C205" s="48" t="s">
        <v>483</v>
      </c>
      <c r="D205" s="3" t="s">
        <v>521</v>
      </c>
      <c r="E205" s="49" t="s">
        <v>203</v>
      </c>
      <c r="F205" s="49" t="s">
        <v>91</v>
      </c>
      <c r="G205" s="44" t="s">
        <v>89</v>
      </c>
      <c r="I205" s="58"/>
      <c r="J205" s="44" t="s">
        <v>89</v>
      </c>
      <c r="K205" s="44" t="s">
        <v>89</v>
      </c>
      <c r="M205" s="44" t="s">
        <v>89</v>
      </c>
      <c r="N205" s="44"/>
      <c r="O205" s="44" t="s">
        <v>89</v>
      </c>
      <c r="P205" s="44" t="s">
        <v>89</v>
      </c>
      <c r="Q205" s="44" t="s">
        <v>89</v>
      </c>
      <c r="T205" s="44" t="s">
        <v>89</v>
      </c>
      <c r="U205" s="44" t="s">
        <v>89</v>
      </c>
      <c r="V205" s="44" t="s">
        <v>89</v>
      </c>
      <c r="W205" s="44" t="s">
        <v>89</v>
      </c>
      <c r="X205" s="44" t="s">
        <v>89</v>
      </c>
      <c r="Y205" s="44" t="s">
        <v>89</v>
      </c>
      <c r="Z205" s="44" t="s">
        <v>89</v>
      </c>
      <c r="AA205" s="44" t="s">
        <v>89</v>
      </c>
      <c r="AB205" s="44" t="s">
        <v>89</v>
      </c>
      <c r="AC205" s="44" t="s">
        <v>89</v>
      </c>
      <c r="AD205" s="44" t="s">
        <v>89</v>
      </c>
      <c r="AE205"/>
      <c r="AF205" s="44" t="s">
        <v>89</v>
      </c>
      <c r="AG205" s="44" t="s">
        <v>89</v>
      </c>
      <c r="AH205" s="44" t="s">
        <v>89</v>
      </c>
      <c r="AI205" s="44" t="s">
        <v>89</v>
      </c>
      <c r="AJ205" s="44" t="s">
        <v>89</v>
      </c>
      <c r="AK205" s="44" t="s">
        <v>89</v>
      </c>
      <c r="AL205" s="44" t="s">
        <v>89</v>
      </c>
      <c r="AM205"/>
      <c r="AN205" s="44" t="s">
        <v>89</v>
      </c>
      <c r="AO205" s="44" t="s">
        <v>89</v>
      </c>
      <c r="AP205" s="44" t="s">
        <v>89</v>
      </c>
      <c r="AQ205" s="44" t="s">
        <v>89</v>
      </c>
      <c r="AR205"/>
      <c r="AS205" s="44" t="s">
        <v>89</v>
      </c>
      <c r="AT205"/>
      <c r="AU205"/>
      <c r="AV205" s="44" t="s">
        <v>89</v>
      </c>
    </row>
    <row r="206" spans="1:56" x14ac:dyDescent="0.25">
      <c r="A206" s="2" t="s">
        <v>534</v>
      </c>
      <c r="B206" s="3" t="s">
        <v>473</v>
      </c>
      <c r="C206" s="3" t="s">
        <v>580</v>
      </c>
      <c r="D206" s="3" t="s">
        <v>581</v>
      </c>
      <c r="E206" s="30" t="s">
        <v>537</v>
      </c>
      <c r="F206" s="30" t="s">
        <v>536</v>
      </c>
      <c r="G206" s="44">
        <f>0.00002</f>
        <v>2.0000000000000002E-5</v>
      </c>
      <c r="I206" s="58"/>
      <c r="J206" s="44">
        <f>0.0000005*0.4285*10/2.028*4</f>
        <v>4.2258382642998024E-6</v>
      </c>
      <c r="K206" s="44">
        <f>0.0000005*0.4285*10/2.028*4</f>
        <v>4.2258382642998024E-6</v>
      </c>
      <c r="M206" s="44">
        <f>0.0000005*0.4285*10/2.028*4</f>
        <v>4.2258382642998024E-6</v>
      </c>
      <c r="N206" s="44"/>
      <c r="O206" s="44">
        <f t="shared" ref="O206:AV206" si="13">0.00002</f>
        <v>2.0000000000000002E-5</v>
      </c>
      <c r="P206" s="44">
        <f t="shared" si="13"/>
        <v>2.0000000000000002E-5</v>
      </c>
      <c r="Q206" s="44">
        <f t="shared" si="13"/>
        <v>2.0000000000000002E-5</v>
      </c>
      <c r="T206" s="44">
        <f t="shared" si="13"/>
        <v>2.0000000000000002E-5</v>
      </c>
      <c r="U206" s="44">
        <f t="shared" si="13"/>
        <v>2.0000000000000002E-5</v>
      </c>
      <c r="V206" s="44">
        <f t="shared" si="13"/>
        <v>2.0000000000000002E-5</v>
      </c>
      <c r="W206" s="44">
        <f t="shared" si="13"/>
        <v>2.0000000000000002E-5</v>
      </c>
      <c r="X206" s="44">
        <f t="shared" si="13"/>
        <v>2.0000000000000002E-5</v>
      </c>
      <c r="Y206" s="44">
        <f t="shared" si="13"/>
        <v>2.0000000000000002E-5</v>
      </c>
      <c r="Z206" s="44">
        <f t="shared" si="13"/>
        <v>2.0000000000000002E-5</v>
      </c>
      <c r="AA206" s="44">
        <f t="shared" si="13"/>
        <v>2.0000000000000002E-5</v>
      </c>
      <c r="AB206" s="44">
        <f t="shared" si="13"/>
        <v>2.0000000000000002E-5</v>
      </c>
      <c r="AC206" s="44">
        <f t="shared" si="13"/>
        <v>2.0000000000000002E-5</v>
      </c>
      <c r="AD206" s="44">
        <f t="shared" si="13"/>
        <v>2.0000000000000002E-5</v>
      </c>
      <c r="AE206"/>
      <c r="AF206" s="44">
        <f t="shared" si="13"/>
        <v>2.0000000000000002E-5</v>
      </c>
      <c r="AG206" s="44">
        <f t="shared" si="13"/>
        <v>2.0000000000000002E-5</v>
      </c>
      <c r="AH206" s="44">
        <f t="shared" si="13"/>
        <v>2.0000000000000002E-5</v>
      </c>
      <c r="AI206" s="44">
        <f t="shared" si="13"/>
        <v>2.0000000000000002E-5</v>
      </c>
      <c r="AJ206" s="44">
        <f t="shared" si="13"/>
        <v>2.0000000000000002E-5</v>
      </c>
      <c r="AK206" s="44">
        <f t="shared" si="13"/>
        <v>2.0000000000000002E-5</v>
      </c>
      <c r="AL206" s="44">
        <f t="shared" si="13"/>
        <v>2.0000000000000002E-5</v>
      </c>
      <c r="AM206"/>
      <c r="AN206" s="44">
        <f t="shared" si="13"/>
        <v>2.0000000000000002E-5</v>
      </c>
      <c r="AO206" s="44">
        <f t="shared" si="13"/>
        <v>2.0000000000000002E-5</v>
      </c>
      <c r="AP206" s="44">
        <f t="shared" si="13"/>
        <v>2.0000000000000002E-5</v>
      </c>
      <c r="AQ206" s="44">
        <f t="shared" si="13"/>
        <v>2.0000000000000002E-5</v>
      </c>
      <c r="AR206"/>
      <c r="AS206" s="44">
        <f t="shared" si="13"/>
        <v>2.0000000000000002E-5</v>
      </c>
      <c r="AT206"/>
      <c r="AU206"/>
      <c r="AV206" s="44">
        <f t="shared" si="13"/>
        <v>2.0000000000000002E-5</v>
      </c>
      <c r="AW206" s="1"/>
      <c r="AX206" s="1"/>
      <c r="AY206" s="1"/>
      <c r="AZ206" s="1"/>
      <c r="BA206" s="1"/>
      <c r="BB206" s="1"/>
      <c r="BC206" s="1"/>
      <c r="BD206" s="1"/>
    </row>
    <row r="207" spans="1:56" x14ac:dyDescent="0.25">
      <c r="A207" s="2" t="s">
        <v>533</v>
      </c>
      <c r="B207" s="3" t="s">
        <v>473</v>
      </c>
      <c r="C207" s="3" t="s">
        <v>580</v>
      </c>
      <c r="D207" s="3" t="s">
        <v>581</v>
      </c>
      <c r="E207" s="30" t="s">
        <v>538</v>
      </c>
      <c r="F207" s="30" t="s">
        <v>539</v>
      </c>
      <c r="G207" s="44">
        <v>0.3</v>
      </c>
      <c r="I207" s="58"/>
      <c r="J207" s="44">
        <v>0.25</v>
      </c>
      <c r="K207" s="44">
        <v>0.25</v>
      </c>
      <c r="M207" s="44">
        <v>0.25</v>
      </c>
      <c r="N207" s="44"/>
      <c r="O207" s="44">
        <v>0.3</v>
      </c>
      <c r="P207" s="44">
        <v>0.3</v>
      </c>
      <c r="Q207" s="44">
        <v>0.3</v>
      </c>
      <c r="T207" s="44">
        <v>0.3</v>
      </c>
      <c r="U207" s="44">
        <v>0.3</v>
      </c>
      <c r="V207" s="44">
        <v>0.3</v>
      </c>
      <c r="W207" s="44">
        <v>0.3</v>
      </c>
      <c r="X207" s="44">
        <v>0.3</v>
      </c>
      <c r="Y207" s="44">
        <v>0.3</v>
      </c>
      <c r="Z207" s="44">
        <v>0.3</v>
      </c>
      <c r="AA207" s="44">
        <v>0.3</v>
      </c>
      <c r="AB207" s="44">
        <v>0.3</v>
      </c>
      <c r="AC207" s="44">
        <v>0.3</v>
      </c>
      <c r="AD207" s="44">
        <v>0.3</v>
      </c>
      <c r="AE207"/>
      <c r="AF207" s="44">
        <v>0.3</v>
      </c>
      <c r="AG207" s="44">
        <v>0.3</v>
      </c>
      <c r="AH207" s="44">
        <v>0.3</v>
      </c>
      <c r="AI207" s="44">
        <v>0.3</v>
      </c>
      <c r="AJ207" s="44">
        <v>0.15</v>
      </c>
      <c r="AK207" s="44">
        <v>0.15</v>
      </c>
      <c r="AL207" s="44">
        <v>0.15</v>
      </c>
      <c r="AM207"/>
      <c r="AN207" s="44">
        <v>0.15</v>
      </c>
      <c r="AO207" s="44">
        <v>0.15</v>
      </c>
      <c r="AP207" s="44">
        <v>0.15</v>
      </c>
      <c r="AQ207" s="44">
        <v>0.15</v>
      </c>
      <c r="AR207"/>
      <c r="AS207" s="44">
        <v>0.15</v>
      </c>
      <c r="AT207"/>
      <c r="AU207"/>
      <c r="AV207" s="44">
        <v>0.3</v>
      </c>
      <c r="AW207" s="51"/>
      <c r="AX207" s="51"/>
      <c r="AY207" s="51"/>
      <c r="AZ207" s="51"/>
      <c r="BA207" s="51"/>
      <c r="BB207" s="51"/>
      <c r="BC207" s="51"/>
      <c r="BD207" s="51"/>
    </row>
    <row r="208" spans="1:56" x14ac:dyDescent="0.25">
      <c r="A208" s="2" t="s">
        <v>535</v>
      </c>
      <c r="B208" s="3" t="s">
        <v>473</v>
      </c>
      <c r="C208" s="3" t="s">
        <v>580</v>
      </c>
      <c r="D208" s="3" t="s">
        <v>581</v>
      </c>
      <c r="E208" s="50" t="s">
        <v>488</v>
      </c>
      <c r="F208" s="50" t="s">
        <v>487</v>
      </c>
      <c r="G208" s="44">
        <f t="shared" ref="G208:AV208" si="14">0.00002 / 14</f>
        <v>1.4285714285714286E-6</v>
      </c>
      <c r="I208" s="58"/>
      <c r="J208" s="44">
        <f t="shared" si="14"/>
        <v>1.4285714285714286E-6</v>
      </c>
      <c r="K208" s="44">
        <f t="shared" si="14"/>
        <v>1.4285714285714286E-6</v>
      </c>
      <c r="M208" s="44">
        <f t="shared" si="14"/>
        <v>1.4285714285714286E-6</v>
      </c>
      <c r="N208" s="44"/>
      <c r="O208" s="44">
        <f t="shared" si="14"/>
        <v>1.4285714285714286E-6</v>
      </c>
      <c r="P208" s="44">
        <v>2E-3</v>
      </c>
      <c r="Q208" s="44">
        <f t="shared" si="14"/>
        <v>1.4285714285714286E-6</v>
      </c>
      <c r="T208" s="44">
        <f t="shared" si="14"/>
        <v>1.4285714285714286E-6</v>
      </c>
      <c r="U208" s="44">
        <f t="shared" si="14"/>
        <v>1.4285714285714286E-6</v>
      </c>
      <c r="V208" s="44">
        <f t="shared" si="14"/>
        <v>1.4285714285714286E-6</v>
      </c>
      <c r="W208" s="44">
        <f t="shared" si="14"/>
        <v>1.4285714285714286E-6</v>
      </c>
      <c r="X208" s="44">
        <f t="shared" si="14"/>
        <v>1.4285714285714286E-6</v>
      </c>
      <c r="Y208" s="44">
        <f t="shared" si="14"/>
        <v>1.4285714285714286E-6</v>
      </c>
      <c r="Z208" s="44">
        <f t="shared" si="14"/>
        <v>1.4285714285714286E-6</v>
      </c>
      <c r="AA208" s="44">
        <f t="shared" si="14"/>
        <v>1.4285714285714286E-6</v>
      </c>
      <c r="AB208" s="44">
        <f t="shared" si="14"/>
        <v>1.4285714285714286E-6</v>
      </c>
      <c r="AC208" s="44">
        <f t="shared" si="14"/>
        <v>1.4285714285714286E-6</v>
      </c>
      <c r="AD208" s="44">
        <f t="shared" si="14"/>
        <v>1.4285714285714286E-6</v>
      </c>
      <c r="AE208"/>
      <c r="AF208" s="44">
        <f t="shared" si="14"/>
        <v>1.4285714285714286E-6</v>
      </c>
      <c r="AG208" s="44">
        <f t="shared" si="14"/>
        <v>1.4285714285714286E-6</v>
      </c>
      <c r="AH208" s="44">
        <f t="shared" si="14"/>
        <v>1.4285714285714286E-6</v>
      </c>
      <c r="AI208" s="44">
        <f t="shared" si="14"/>
        <v>1.4285714285714286E-6</v>
      </c>
      <c r="AJ208" s="44">
        <f t="shared" si="14"/>
        <v>1.4285714285714286E-6</v>
      </c>
      <c r="AK208" s="44">
        <f t="shared" si="14"/>
        <v>1.4285714285714286E-6</v>
      </c>
      <c r="AL208" s="44">
        <f t="shared" si="14"/>
        <v>1.4285714285714286E-6</v>
      </c>
      <c r="AM208"/>
      <c r="AN208" s="44">
        <f t="shared" si="14"/>
        <v>1.4285714285714286E-6</v>
      </c>
      <c r="AO208" s="44">
        <f t="shared" si="14"/>
        <v>1.4285714285714286E-6</v>
      </c>
      <c r="AP208" s="44">
        <f t="shared" si="14"/>
        <v>1.4285714285714286E-6</v>
      </c>
      <c r="AQ208" s="44">
        <f t="shared" si="14"/>
        <v>1.4285714285714286E-6</v>
      </c>
      <c r="AR208"/>
      <c r="AS208" s="44">
        <v>2E-3</v>
      </c>
      <c r="AT208"/>
      <c r="AU208"/>
      <c r="AV208" s="44">
        <f t="shared" si="14"/>
        <v>1.4285714285714286E-6</v>
      </c>
      <c r="AW208" s="37"/>
      <c r="AX208" s="37"/>
      <c r="AY208" s="37"/>
      <c r="AZ208" s="37"/>
      <c r="BA208" s="37"/>
      <c r="BB208" s="37"/>
      <c r="BC208" s="37"/>
      <c r="BD208" s="37"/>
    </row>
    <row r="209" spans="1:56" x14ac:dyDescent="0.25">
      <c r="A209" s="2" t="s">
        <v>489</v>
      </c>
      <c r="B209" s="3" t="s">
        <v>473</v>
      </c>
      <c r="C209" s="3" t="s">
        <v>580</v>
      </c>
      <c r="D209" s="3" t="s">
        <v>581</v>
      </c>
      <c r="E209" s="50" t="s">
        <v>490</v>
      </c>
      <c r="F209" s="50" t="s">
        <v>491</v>
      </c>
      <c r="G209" s="44" t="s">
        <v>485</v>
      </c>
      <c r="I209" s="58"/>
      <c r="J209" s="44" t="s">
        <v>485</v>
      </c>
      <c r="K209" s="44" t="s">
        <v>485</v>
      </c>
      <c r="M209" s="44" t="s">
        <v>485</v>
      </c>
      <c r="N209" s="44"/>
      <c r="O209" s="44" t="s">
        <v>485</v>
      </c>
      <c r="P209" s="44">
        <v>0.1</v>
      </c>
      <c r="Q209" s="44" t="s">
        <v>485</v>
      </c>
      <c r="T209" s="44" t="s">
        <v>485</v>
      </c>
      <c r="U209" s="44" t="s">
        <v>485</v>
      </c>
      <c r="V209" s="44" t="s">
        <v>485</v>
      </c>
      <c r="W209" s="44" t="s">
        <v>485</v>
      </c>
      <c r="X209" s="44" t="s">
        <v>485</v>
      </c>
      <c r="Y209" s="44" t="s">
        <v>485</v>
      </c>
      <c r="Z209" s="44" t="s">
        <v>485</v>
      </c>
      <c r="AA209" s="44" t="s">
        <v>485</v>
      </c>
      <c r="AB209" s="44" t="s">
        <v>485</v>
      </c>
      <c r="AC209" s="44" t="s">
        <v>485</v>
      </c>
      <c r="AD209" s="44" t="s">
        <v>485</v>
      </c>
      <c r="AE209"/>
      <c r="AF209" s="44" t="s">
        <v>485</v>
      </c>
      <c r="AG209" s="44" t="s">
        <v>485</v>
      </c>
      <c r="AH209" s="44" t="s">
        <v>485</v>
      </c>
      <c r="AI209" s="44" t="s">
        <v>485</v>
      </c>
      <c r="AJ209" s="44" t="s">
        <v>485</v>
      </c>
      <c r="AK209" s="44" t="s">
        <v>485</v>
      </c>
      <c r="AL209" s="44" t="s">
        <v>485</v>
      </c>
      <c r="AM209"/>
      <c r="AN209" s="44" t="s">
        <v>485</v>
      </c>
      <c r="AO209" s="44" t="s">
        <v>485</v>
      </c>
      <c r="AP209" s="44" t="s">
        <v>485</v>
      </c>
      <c r="AQ209" s="44" t="s">
        <v>485</v>
      </c>
      <c r="AR209"/>
      <c r="AS209" s="44">
        <v>0.1</v>
      </c>
      <c r="AT209"/>
      <c r="AU209"/>
      <c r="AV209" s="44" t="s">
        <v>485</v>
      </c>
      <c r="AW209" s="37"/>
      <c r="AX209" s="37"/>
      <c r="AY209" s="37"/>
      <c r="AZ209" s="37"/>
      <c r="BA209" s="37"/>
      <c r="BB209" s="37"/>
      <c r="BC209" s="37"/>
      <c r="BD209" s="37"/>
    </row>
    <row r="210" spans="1:56" x14ac:dyDescent="0.25">
      <c r="A210" s="2" t="s">
        <v>492</v>
      </c>
      <c r="B210" s="3" t="s">
        <v>473</v>
      </c>
      <c r="C210" s="3" t="s">
        <v>580</v>
      </c>
      <c r="D210" s="3" t="s">
        <v>581</v>
      </c>
      <c r="E210" s="50" t="s">
        <v>493</v>
      </c>
      <c r="F210" s="50" t="s">
        <v>491</v>
      </c>
      <c r="G210" s="44">
        <v>0</v>
      </c>
      <c r="I210" s="58"/>
      <c r="J210" s="44">
        <v>0</v>
      </c>
      <c r="K210" s="44">
        <v>0</v>
      </c>
      <c r="M210" s="44">
        <v>0</v>
      </c>
      <c r="N210" s="44"/>
      <c r="O210" s="44">
        <v>0</v>
      </c>
      <c r="P210" s="44">
        <v>0.04</v>
      </c>
      <c r="Q210" s="44">
        <v>0</v>
      </c>
      <c r="T210" s="44">
        <v>0</v>
      </c>
      <c r="U210" s="44">
        <v>0</v>
      </c>
      <c r="V210" s="44">
        <v>0</v>
      </c>
      <c r="W210" s="44">
        <v>0</v>
      </c>
      <c r="X210" s="44">
        <v>0</v>
      </c>
      <c r="Y210" s="44">
        <v>0</v>
      </c>
      <c r="Z210" s="44">
        <v>0</v>
      </c>
      <c r="AA210" s="44">
        <v>0</v>
      </c>
      <c r="AB210" s="44">
        <v>0</v>
      </c>
      <c r="AC210" s="44">
        <v>0</v>
      </c>
      <c r="AD210" s="44">
        <v>0</v>
      </c>
      <c r="AE210"/>
      <c r="AF210" s="44">
        <v>0</v>
      </c>
      <c r="AG210" s="44">
        <v>0</v>
      </c>
      <c r="AH210" s="44">
        <v>0</v>
      </c>
      <c r="AI210" s="44">
        <v>0</v>
      </c>
      <c r="AJ210" s="44">
        <v>0</v>
      </c>
      <c r="AK210" s="44">
        <v>0</v>
      </c>
      <c r="AL210" s="44">
        <v>0</v>
      </c>
      <c r="AM210"/>
      <c r="AN210" s="44">
        <v>0</v>
      </c>
      <c r="AO210" s="44">
        <v>0</v>
      </c>
      <c r="AP210" s="44">
        <v>0</v>
      </c>
      <c r="AQ210" s="44">
        <v>0</v>
      </c>
      <c r="AR210"/>
      <c r="AS210" s="44">
        <v>0.04</v>
      </c>
      <c r="AT210"/>
      <c r="AU210"/>
      <c r="AV210" s="44">
        <v>0</v>
      </c>
      <c r="AW210" s="37"/>
      <c r="AX210" s="37"/>
      <c r="AY210" s="37"/>
      <c r="AZ210" s="37"/>
      <c r="BA210" s="37"/>
      <c r="BB210" s="37"/>
      <c r="BC210" s="37"/>
      <c r="BD210" s="37"/>
    </row>
    <row r="211" spans="1:56" x14ac:dyDescent="0.25">
      <c r="A211" s="2" t="s">
        <v>494</v>
      </c>
      <c r="B211" s="3" t="s">
        <v>473</v>
      </c>
      <c r="C211" s="3" t="s">
        <v>580</v>
      </c>
      <c r="D211" s="3" t="s">
        <v>581</v>
      </c>
      <c r="E211" s="50" t="s">
        <v>495</v>
      </c>
      <c r="F211" s="50" t="s">
        <v>491</v>
      </c>
      <c r="G211" s="44">
        <v>1E-3</v>
      </c>
      <c r="I211" s="58"/>
      <c r="J211" s="44">
        <v>1E-3</v>
      </c>
      <c r="K211" s="44">
        <v>1E-3</v>
      </c>
      <c r="M211" s="44">
        <v>1E-3</v>
      </c>
      <c r="N211" s="44"/>
      <c r="O211" s="44">
        <v>1E-3</v>
      </c>
      <c r="P211" s="44">
        <v>1E-3</v>
      </c>
      <c r="Q211" s="44">
        <v>1E-3</v>
      </c>
      <c r="T211" s="44">
        <v>1E-3</v>
      </c>
      <c r="U211" s="44">
        <v>1E-3</v>
      </c>
      <c r="V211" s="44">
        <v>1E-3</v>
      </c>
      <c r="W211" s="44">
        <v>1E-3</v>
      </c>
      <c r="X211" s="44">
        <v>1E-3</v>
      </c>
      <c r="Y211" s="44">
        <v>1E-3</v>
      </c>
      <c r="Z211" s="44">
        <v>1E-3</v>
      </c>
      <c r="AA211" s="44">
        <v>1E-3</v>
      </c>
      <c r="AB211" s="44">
        <v>1E-3</v>
      </c>
      <c r="AC211" s="44">
        <v>1E-3</v>
      </c>
      <c r="AD211" s="44">
        <v>1E-3</v>
      </c>
      <c r="AE211"/>
      <c r="AF211" s="44">
        <v>1E-3</v>
      </c>
      <c r="AG211" s="44">
        <v>1E-3</v>
      </c>
      <c r="AH211" s="44">
        <v>1E-3</v>
      </c>
      <c r="AI211" s="44">
        <v>1E-3</v>
      </c>
      <c r="AJ211" s="44">
        <v>1E-3</v>
      </c>
      <c r="AK211" s="44">
        <v>1E-3</v>
      </c>
      <c r="AL211" s="44">
        <v>1E-3</v>
      </c>
      <c r="AM211"/>
      <c r="AN211" s="44">
        <v>1E-3</v>
      </c>
      <c r="AO211" s="44">
        <v>1E-3</v>
      </c>
      <c r="AP211" s="44">
        <v>1E-3</v>
      </c>
      <c r="AQ211" s="44">
        <v>1E-3</v>
      </c>
      <c r="AR211"/>
      <c r="AS211" s="44">
        <v>1E-3</v>
      </c>
      <c r="AT211"/>
      <c r="AU211"/>
      <c r="AV211" s="44">
        <v>1E-3</v>
      </c>
      <c r="AW211" s="37"/>
      <c r="AX211" s="37"/>
      <c r="AY211" s="37"/>
      <c r="AZ211" s="37"/>
      <c r="BA211" s="37"/>
      <c r="BB211" s="37"/>
      <c r="BC211" s="37"/>
      <c r="BD211" s="37"/>
    </row>
    <row r="212" spans="1:56" x14ac:dyDescent="0.25">
      <c r="A212" s="2" t="s">
        <v>496</v>
      </c>
      <c r="B212" s="3" t="s">
        <v>473</v>
      </c>
      <c r="C212" s="3" t="s">
        <v>483</v>
      </c>
      <c r="D212" s="3" t="s">
        <v>521</v>
      </c>
      <c r="E212" s="50" t="s">
        <v>497</v>
      </c>
      <c r="F212" s="50" t="s">
        <v>498</v>
      </c>
      <c r="G212" s="44">
        <f>1.25*0.000001</f>
        <v>1.2499999999999999E-6</v>
      </c>
      <c r="I212" s="58"/>
      <c r="J212" s="44">
        <f t="shared" ref="J212:AV212" si="15">1250*0.000001/5</f>
        <v>2.5000000000000001E-4</v>
      </c>
      <c r="K212" s="44">
        <f>1250*0.000001/5 /2</f>
        <v>1.25E-4</v>
      </c>
      <c r="L212" s="1" t="s">
        <v>595</v>
      </c>
      <c r="M212" s="44">
        <f t="shared" si="15"/>
        <v>2.5000000000000001E-4</v>
      </c>
      <c r="N212" s="44"/>
      <c r="O212" s="44">
        <f t="shared" si="15"/>
        <v>2.5000000000000001E-4</v>
      </c>
      <c r="P212" s="44">
        <f t="shared" si="15"/>
        <v>2.5000000000000001E-4</v>
      </c>
      <c r="Q212" s="44">
        <f t="shared" si="15"/>
        <v>2.5000000000000001E-4</v>
      </c>
      <c r="T212" s="44">
        <f t="shared" si="15"/>
        <v>2.5000000000000001E-4</v>
      </c>
      <c r="U212" s="44">
        <f t="shared" si="15"/>
        <v>2.5000000000000001E-4</v>
      </c>
      <c r="V212" s="44">
        <f t="shared" si="15"/>
        <v>2.5000000000000001E-4</v>
      </c>
      <c r="W212" s="44">
        <f t="shared" si="15"/>
        <v>2.5000000000000001E-4</v>
      </c>
      <c r="X212" s="44">
        <f t="shared" si="15"/>
        <v>2.5000000000000001E-4</v>
      </c>
      <c r="Y212" s="44">
        <f t="shared" si="15"/>
        <v>2.5000000000000001E-4</v>
      </c>
      <c r="Z212" s="44">
        <f t="shared" si="15"/>
        <v>2.5000000000000001E-4</v>
      </c>
      <c r="AA212" s="44">
        <f t="shared" si="15"/>
        <v>2.5000000000000001E-4</v>
      </c>
      <c r="AB212" s="44">
        <f t="shared" si="15"/>
        <v>2.5000000000000001E-4</v>
      </c>
      <c r="AC212" s="44">
        <f t="shared" si="15"/>
        <v>2.5000000000000001E-4</v>
      </c>
      <c r="AD212" s="44">
        <f t="shared" si="15"/>
        <v>2.5000000000000001E-4</v>
      </c>
      <c r="AE212"/>
      <c r="AF212" s="44">
        <f t="shared" si="15"/>
        <v>2.5000000000000001E-4</v>
      </c>
      <c r="AG212" s="44">
        <f t="shared" si="15"/>
        <v>2.5000000000000001E-4</v>
      </c>
      <c r="AH212" s="44">
        <f t="shared" si="15"/>
        <v>2.5000000000000001E-4</v>
      </c>
      <c r="AI212" s="44">
        <f t="shared" si="15"/>
        <v>2.5000000000000001E-4</v>
      </c>
      <c r="AJ212" s="44">
        <f t="shared" si="15"/>
        <v>2.5000000000000001E-4</v>
      </c>
      <c r="AK212" s="44">
        <f t="shared" si="15"/>
        <v>2.5000000000000001E-4</v>
      </c>
      <c r="AL212" s="44">
        <f t="shared" si="15"/>
        <v>2.5000000000000001E-4</v>
      </c>
      <c r="AM212"/>
      <c r="AN212" s="44">
        <f t="shared" si="15"/>
        <v>2.5000000000000001E-4</v>
      </c>
      <c r="AO212" s="44">
        <f t="shared" si="15"/>
        <v>2.5000000000000001E-4</v>
      </c>
      <c r="AP212" s="44">
        <f t="shared" si="15"/>
        <v>2.5000000000000001E-4</v>
      </c>
      <c r="AQ212" s="44">
        <f t="shared" si="15"/>
        <v>2.5000000000000001E-4</v>
      </c>
      <c r="AR212"/>
      <c r="AS212" s="44">
        <f t="shared" si="15"/>
        <v>2.5000000000000001E-4</v>
      </c>
      <c r="AT212"/>
      <c r="AU212"/>
      <c r="AV212" s="44">
        <f t="shared" si="15"/>
        <v>2.5000000000000001E-4</v>
      </c>
      <c r="AW212" s="51"/>
      <c r="AX212" s="51"/>
      <c r="AY212" s="51"/>
      <c r="AZ212" s="51"/>
      <c r="BA212" s="51"/>
      <c r="BB212" s="51"/>
      <c r="BC212" s="51"/>
      <c r="BD212" s="51"/>
    </row>
    <row r="213" spans="1:56" x14ac:dyDescent="0.25">
      <c r="A213" s="2" t="s">
        <v>499</v>
      </c>
      <c r="B213" s="3" t="s">
        <v>473</v>
      </c>
      <c r="C213" s="3" t="s">
        <v>483</v>
      </c>
      <c r="D213" s="3" t="s">
        <v>521</v>
      </c>
      <c r="E213" s="50" t="s">
        <v>500</v>
      </c>
      <c r="F213" s="50" t="s">
        <v>501</v>
      </c>
      <c r="G213" s="44">
        <v>2.0000000000000001E-4</v>
      </c>
      <c r="I213" s="58"/>
      <c r="J213" s="44">
        <v>2.0000000000000001E-4</v>
      </c>
      <c r="K213" s="44">
        <v>2.0000000000000001E-4</v>
      </c>
      <c r="M213" s="44">
        <v>2.0000000000000001E-4</v>
      </c>
      <c r="N213" s="44"/>
      <c r="O213" s="44">
        <v>2.0000000000000001E-4</v>
      </c>
      <c r="P213" s="44">
        <v>2.0000000000000001E-4</v>
      </c>
      <c r="Q213" s="44">
        <v>2.0000000000000001E-4</v>
      </c>
      <c r="R213" s="1">
        <f>44.4365413894298/21.9053373</f>
        <v>2.0285714290019081</v>
      </c>
      <c r="T213" s="44">
        <v>2.0000000000000001E-4</v>
      </c>
      <c r="U213" s="44">
        <v>2.0000000000000001E-4</v>
      </c>
      <c r="V213" s="44">
        <v>2.0000000000000001E-4</v>
      </c>
      <c r="W213" s="44">
        <v>2.0000000000000001E-4</v>
      </c>
      <c r="X213" s="44">
        <v>2.0000000000000001E-4</v>
      </c>
      <c r="Y213" s="44">
        <v>2.0000000000000001E-4</v>
      </c>
      <c r="Z213" s="44">
        <v>2.0000000000000001E-4</v>
      </c>
      <c r="AA213" s="44">
        <v>2.0000000000000001E-4</v>
      </c>
      <c r="AB213" s="44">
        <v>2.0000000000000001E-4</v>
      </c>
      <c r="AC213" s="44">
        <v>2.0000000000000001E-4</v>
      </c>
      <c r="AD213" s="44">
        <v>2.0000000000000001E-4</v>
      </c>
      <c r="AE213"/>
      <c r="AF213" s="44">
        <v>2.0000000000000001E-4</v>
      </c>
      <c r="AG213" s="44">
        <v>2.0000000000000001E-4</v>
      </c>
      <c r="AH213" s="44">
        <v>2.0000000000000001E-4</v>
      </c>
      <c r="AI213" s="44">
        <v>2.0000000000000001E-4</v>
      </c>
      <c r="AJ213" s="44">
        <v>2.0000000000000001E-4</v>
      </c>
      <c r="AK213" s="44">
        <v>2.0000000000000001E-4</v>
      </c>
      <c r="AL213" s="44">
        <v>2.0000000000000001E-4</v>
      </c>
      <c r="AM213"/>
      <c r="AN213" s="44">
        <v>2.0000000000000001E-4</v>
      </c>
      <c r="AO213" s="44">
        <v>2.0000000000000001E-4</v>
      </c>
      <c r="AP213" s="44">
        <v>2.0000000000000001E-4</v>
      </c>
      <c r="AQ213" s="44">
        <v>2.0000000000000001E-4</v>
      </c>
      <c r="AR213"/>
      <c r="AS213" s="44">
        <v>2.0000000000000001E-4</v>
      </c>
      <c r="AT213"/>
      <c r="AU213"/>
      <c r="AV213" s="44">
        <v>2.0000000000000001E-4</v>
      </c>
      <c r="AW213" s="51"/>
      <c r="AX213" s="51"/>
      <c r="AY213" s="51"/>
      <c r="AZ213" s="51"/>
      <c r="BA213" s="51"/>
      <c r="BB213" s="51"/>
      <c r="BC213" s="51"/>
      <c r="BD213" s="51"/>
    </row>
    <row r="214" spans="1:56" x14ac:dyDescent="0.25">
      <c r="A214" s="2" t="s">
        <v>502</v>
      </c>
      <c r="B214" s="3" t="s">
        <v>473</v>
      </c>
      <c r="C214" s="3" t="s">
        <v>483</v>
      </c>
      <c r="D214" s="3" t="s">
        <v>521</v>
      </c>
      <c r="E214" s="50" t="s">
        <v>503</v>
      </c>
      <c r="F214" s="50" t="s">
        <v>504</v>
      </c>
      <c r="G214" s="44">
        <v>2.4999999999999998E-12</v>
      </c>
      <c r="I214" s="44">
        <f xml:space="preserve"> 0.0000000000025 * 10</f>
        <v>2.4999999999999998E-11</v>
      </c>
      <c r="J214" s="44">
        <f>0.0000000000025/50</f>
        <v>4.9999999999999995E-14</v>
      </c>
      <c r="K214" s="44">
        <f>0.0000000000025/10</f>
        <v>2.4999999999999999E-13</v>
      </c>
      <c r="L214" s="1" t="s">
        <v>600</v>
      </c>
      <c r="M214" s="44">
        <f>0.0000000000025/50</f>
        <v>4.9999999999999995E-14</v>
      </c>
      <c r="N214" s="44"/>
      <c r="O214" s="44">
        <v>2.4999999999999999E-13</v>
      </c>
      <c r="P214" s="44">
        <v>2.4999999999999999E-13</v>
      </c>
      <c r="Q214" s="44">
        <v>2.4999999999999999E-13</v>
      </c>
      <c r="T214" s="44">
        <v>2.4999999999999999E-13</v>
      </c>
      <c r="U214" s="44">
        <v>2.4999999999999999E-13</v>
      </c>
      <c r="V214" s="44">
        <v>2.4999999999999999E-13</v>
      </c>
      <c r="W214" s="44">
        <v>2.4999999999999999E-13</v>
      </c>
      <c r="X214" s="44">
        <v>2.4999999999999999E-13</v>
      </c>
      <c r="Y214" s="44">
        <v>2.4999999999999999E-13</v>
      </c>
      <c r="Z214" s="44">
        <v>2.4999999999999999E-13</v>
      </c>
      <c r="AA214" s="44">
        <v>2.4999999999999999E-13</v>
      </c>
      <c r="AB214" s="44">
        <v>2.4999999999999999E-13</v>
      </c>
      <c r="AC214" s="44">
        <v>2.4999999999999999E-13</v>
      </c>
      <c r="AD214" s="44">
        <v>2.4999999999999999E-13</v>
      </c>
      <c r="AE214"/>
      <c r="AF214" s="44">
        <v>2.4999999999999999E-13</v>
      </c>
      <c r="AG214" s="44">
        <v>2.4999999999999999E-13</v>
      </c>
      <c r="AH214" s="44">
        <v>2.4999999999999999E-13</v>
      </c>
      <c r="AI214" s="44">
        <v>2.4999999999999999E-13</v>
      </c>
      <c r="AJ214" s="44">
        <v>2.4999999999999999E-13</v>
      </c>
      <c r="AK214" s="44">
        <v>2.4999999999999999E-13</v>
      </c>
      <c r="AL214" s="44">
        <v>2.4999999999999999E-13</v>
      </c>
      <c r="AM214"/>
      <c r="AN214" s="44">
        <v>2.4999999999999999E-13</v>
      </c>
      <c r="AO214" s="44">
        <v>2.4999999999999999E-13</v>
      </c>
      <c r="AP214" s="44">
        <v>2.4999999999999999E-13</v>
      </c>
      <c r="AQ214" s="44">
        <v>2.4999999999999999E-13</v>
      </c>
      <c r="AR214"/>
      <c r="AS214" s="44">
        <v>2.4999999999999999E-13</v>
      </c>
      <c r="AT214"/>
      <c r="AU214"/>
      <c r="AV214" s="44">
        <v>2.4999999999999999E-13</v>
      </c>
      <c r="AW214" s="51"/>
      <c r="AX214" s="51"/>
      <c r="AY214" s="51"/>
      <c r="AZ214" s="51"/>
      <c r="BA214" s="51"/>
      <c r="BB214" s="51"/>
      <c r="BC214" s="51"/>
      <c r="BD214" s="51"/>
    </row>
    <row r="215" spans="1:56" x14ac:dyDescent="0.25">
      <c r="A215" s="2" t="s">
        <v>505</v>
      </c>
      <c r="B215" s="3" t="s">
        <v>473</v>
      </c>
      <c r="C215" s="3" t="s">
        <v>483</v>
      </c>
      <c r="D215" s="3" t="s">
        <v>521</v>
      </c>
      <c r="E215" s="50" t="s">
        <v>506</v>
      </c>
      <c r="F215" s="50" t="s">
        <v>504</v>
      </c>
      <c r="G215" s="44">
        <v>1.2E-8</v>
      </c>
      <c r="I215" s="58"/>
      <c r="J215" s="44">
        <f>0.00000000005*2 / 10 / 2</f>
        <v>5.0000000000000005E-12</v>
      </c>
      <c r="K215" s="44">
        <f>0.00000000005*2 / 10 / 2</f>
        <v>5.0000000000000005E-12</v>
      </c>
      <c r="M215" s="44">
        <f>0.00000000005*2 / 10 / 2</f>
        <v>5.0000000000000005E-12</v>
      </c>
      <c r="N215" s="44"/>
      <c r="O215" s="44">
        <f t="shared" ref="O215:AS216" si="16">0.00000012*100</f>
        <v>1.1999999999999999E-5</v>
      </c>
      <c r="P215" s="44">
        <f t="shared" si="16"/>
        <v>1.1999999999999999E-5</v>
      </c>
      <c r="Q215" s="44">
        <f t="shared" si="16"/>
        <v>1.1999999999999999E-5</v>
      </c>
      <c r="T215" s="44">
        <f t="shared" si="16"/>
        <v>1.1999999999999999E-5</v>
      </c>
      <c r="U215" s="44">
        <f t="shared" si="16"/>
        <v>1.1999999999999999E-5</v>
      </c>
      <c r="V215" s="44">
        <f t="shared" si="16"/>
        <v>1.1999999999999999E-5</v>
      </c>
      <c r="W215" s="44">
        <f t="shared" si="16"/>
        <v>1.1999999999999999E-5</v>
      </c>
      <c r="X215" s="44">
        <f t="shared" si="16"/>
        <v>1.1999999999999999E-5</v>
      </c>
      <c r="Y215" s="44">
        <f t="shared" si="16"/>
        <v>1.1999999999999999E-5</v>
      </c>
      <c r="Z215" s="44">
        <f t="shared" si="16"/>
        <v>1.1999999999999999E-5</v>
      </c>
      <c r="AA215" s="44">
        <f t="shared" si="16"/>
        <v>1.1999999999999999E-5</v>
      </c>
      <c r="AB215" s="44">
        <f t="shared" si="16"/>
        <v>1.1999999999999999E-5</v>
      </c>
      <c r="AC215" s="44">
        <f t="shared" si="16"/>
        <v>1.1999999999999999E-5</v>
      </c>
      <c r="AD215" s="44">
        <f t="shared" si="16"/>
        <v>1.1999999999999999E-5</v>
      </c>
      <c r="AE215"/>
      <c r="AF215" s="44">
        <f t="shared" si="16"/>
        <v>1.1999999999999999E-5</v>
      </c>
      <c r="AG215" s="44">
        <f t="shared" si="16"/>
        <v>1.1999999999999999E-5</v>
      </c>
      <c r="AH215" s="44">
        <f t="shared" si="16"/>
        <v>1.1999999999999999E-5</v>
      </c>
      <c r="AI215" s="44">
        <f t="shared" si="16"/>
        <v>1.1999999999999999E-5</v>
      </c>
      <c r="AJ215" s="44">
        <f t="shared" si="16"/>
        <v>1.1999999999999999E-5</v>
      </c>
      <c r="AK215" s="44">
        <f t="shared" si="16"/>
        <v>1.1999999999999999E-5</v>
      </c>
      <c r="AL215" s="44">
        <f t="shared" si="16"/>
        <v>1.1999999999999999E-5</v>
      </c>
      <c r="AM215"/>
      <c r="AN215" s="44">
        <f t="shared" si="16"/>
        <v>1.1999999999999999E-5</v>
      </c>
      <c r="AO215" s="44">
        <f t="shared" si="16"/>
        <v>1.1999999999999999E-5</v>
      </c>
      <c r="AP215" s="44">
        <f t="shared" si="16"/>
        <v>1.1999999999999999E-5</v>
      </c>
      <c r="AQ215" s="44">
        <f t="shared" si="16"/>
        <v>1.1999999999999999E-5</v>
      </c>
      <c r="AR215"/>
      <c r="AS215" s="44">
        <f t="shared" si="16"/>
        <v>1.1999999999999999E-5</v>
      </c>
      <c r="AT215"/>
      <c r="AU215"/>
      <c r="AV215" s="44">
        <f>0.00000012*100</f>
        <v>1.1999999999999999E-5</v>
      </c>
      <c r="AW215" s="51"/>
      <c r="AX215" s="51"/>
      <c r="AY215" s="51"/>
      <c r="AZ215" s="51"/>
      <c r="BA215" s="51"/>
      <c r="BB215" s="51"/>
      <c r="BC215" s="51"/>
      <c r="BD215" s="51"/>
    </row>
    <row r="216" spans="1:56" x14ac:dyDescent="0.25">
      <c r="A216" s="2" t="s">
        <v>598</v>
      </c>
      <c r="B216" s="3" t="s">
        <v>473</v>
      </c>
      <c r="C216" s="3" t="s">
        <v>483</v>
      </c>
      <c r="D216" s="3" t="s">
        <v>521</v>
      </c>
      <c r="E216" s="50" t="s">
        <v>506</v>
      </c>
      <c r="F216" s="50" t="s">
        <v>504</v>
      </c>
      <c r="G216" s="44">
        <v>1.2E-8</v>
      </c>
      <c r="I216" s="58"/>
      <c r="J216" s="44">
        <f>0.00000000005*2 / 10 / 2</f>
        <v>5.0000000000000005E-12</v>
      </c>
      <c r="K216" s="44">
        <f>K215</f>
        <v>5.0000000000000005E-12</v>
      </c>
      <c r="L216" s="1" t="s">
        <v>505</v>
      </c>
      <c r="M216" s="44">
        <f>0.00000000005*2 / 10 / 2</f>
        <v>5.0000000000000005E-12</v>
      </c>
      <c r="N216" s="44"/>
      <c r="O216" s="44">
        <f t="shared" si="16"/>
        <v>1.1999999999999999E-5</v>
      </c>
      <c r="P216" s="44">
        <f t="shared" si="16"/>
        <v>1.1999999999999999E-5</v>
      </c>
      <c r="Q216" s="44">
        <f t="shared" si="16"/>
        <v>1.1999999999999999E-5</v>
      </c>
      <c r="T216" s="44">
        <f t="shared" si="16"/>
        <v>1.1999999999999999E-5</v>
      </c>
      <c r="U216" s="44">
        <f t="shared" si="16"/>
        <v>1.1999999999999999E-5</v>
      </c>
      <c r="V216" s="44">
        <f t="shared" si="16"/>
        <v>1.1999999999999999E-5</v>
      </c>
      <c r="W216" s="44">
        <f t="shared" si="16"/>
        <v>1.1999999999999999E-5</v>
      </c>
      <c r="X216" s="44">
        <f t="shared" si="16"/>
        <v>1.1999999999999999E-5</v>
      </c>
      <c r="Y216" s="44">
        <f t="shared" si="16"/>
        <v>1.1999999999999999E-5</v>
      </c>
      <c r="Z216" s="44">
        <f t="shared" si="16"/>
        <v>1.1999999999999999E-5</v>
      </c>
      <c r="AA216" s="44">
        <f t="shared" si="16"/>
        <v>1.1999999999999999E-5</v>
      </c>
      <c r="AB216" s="44">
        <f t="shared" si="16"/>
        <v>1.1999999999999999E-5</v>
      </c>
      <c r="AC216" s="44">
        <f t="shared" si="16"/>
        <v>1.1999999999999999E-5</v>
      </c>
      <c r="AD216" s="44">
        <f t="shared" si="16"/>
        <v>1.1999999999999999E-5</v>
      </c>
      <c r="AE216"/>
      <c r="AF216" s="44">
        <f t="shared" si="16"/>
        <v>1.1999999999999999E-5</v>
      </c>
      <c r="AG216" s="44">
        <f t="shared" si="16"/>
        <v>1.1999999999999999E-5</v>
      </c>
      <c r="AH216" s="44">
        <f t="shared" si="16"/>
        <v>1.1999999999999999E-5</v>
      </c>
      <c r="AI216" s="44">
        <f t="shared" si="16"/>
        <v>1.1999999999999999E-5</v>
      </c>
      <c r="AJ216" s="44">
        <f t="shared" si="16"/>
        <v>1.1999999999999999E-5</v>
      </c>
      <c r="AK216" s="44">
        <f t="shared" si="16"/>
        <v>1.1999999999999999E-5</v>
      </c>
      <c r="AL216" s="44">
        <f t="shared" si="16"/>
        <v>1.1999999999999999E-5</v>
      </c>
      <c r="AM216"/>
      <c r="AN216" s="44">
        <f t="shared" si="16"/>
        <v>1.1999999999999999E-5</v>
      </c>
      <c r="AO216" s="44">
        <f t="shared" si="16"/>
        <v>1.1999999999999999E-5</v>
      </c>
      <c r="AP216" s="44">
        <f t="shared" si="16"/>
        <v>1.1999999999999999E-5</v>
      </c>
      <c r="AQ216" s="44">
        <f t="shared" si="16"/>
        <v>1.1999999999999999E-5</v>
      </c>
      <c r="AR216"/>
      <c r="AS216" s="44">
        <f t="shared" si="16"/>
        <v>1.1999999999999999E-5</v>
      </c>
      <c r="AT216"/>
      <c r="AU216"/>
      <c r="AV216" s="44">
        <f>0.00000012*100</f>
        <v>1.1999999999999999E-5</v>
      </c>
      <c r="AW216" s="51"/>
      <c r="AX216" s="51"/>
      <c r="AY216" s="51"/>
      <c r="AZ216" s="51"/>
      <c r="BA216" s="51"/>
      <c r="BB216" s="51"/>
      <c r="BC216" s="51"/>
      <c r="BD216" s="51"/>
    </row>
    <row r="217" spans="1:56" x14ac:dyDescent="0.25">
      <c r="A217" s="2" t="s">
        <v>573</v>
      </c>
      <c r="B217" s="3" t="s">
        <v>473</v>
      </c>
      <c r="C217" s="3" t="s">
        <v>483</v>
      </c>
      <c r="D217" s="3" t="s">
        <v>521</v>
      </c>
      <c r="E217" s="50" t="s">
        <v>506</v>
      </c>
      <c r="F217" s="50" t="s">
        <v>511</v>
      </c>
      <c r="G217" s="44"/>
      <c r="I217" s="58"/>
      <c r="J217" s="44">
        <f>0</f>
        <v>0</v>
      </c>
      <c r="K217" s="44">
        <f>0</f>
        <v>0</v>
      </c>
      <c r="M217" s="44">
        <f>0</f>
        <v>0</v>
      </c>
      <c r="N217" s="44"/>
      <c r="O217" s="44"/>
      <c r="P217" s="44"/>
      <c r="Q217" s="44"/>
      <c r="T217" s="44"/>
      <c r="U217" s="44"/>
      <c r="V217" s="44"/>
      <c r="W217" s="44"/>
      <c r="X217" s="44"/>
      <c r="Y217" s="44"/>
      <c r="Z217" s="44"/>
      <c r="AA217" s="44"/>
      <c r="AB217" s="44"/>
      <c r="AC217" s="44"/>
      <c r="AD217" s="44"/>
      <c r="AE217"/>
      <c r="AF217" s="44"/>
      <c r="AG217" s="44"/>
      <c r="AH217" s="44"/>
      <c r="AI217" s="44"/>
      <c r="AJ217" s="44"/>
      <c r="AK217" s="44"/>
      <c r="AL217" s="44"/>
      <c r="AM217"/>
      <c r="AN217" s="44"/>
      <c r="AO217" s="44"/>
      <c r="AP217" s="44"/>
      <c r="AQ217" s="44"/>
      <c r="AR217"/>
      <c r="AS217" s="44"/>
      <c r="AT217"/>
      <c r="AU217"/>
      <c r="AV217" s="44"/>
      <c r="AW217" s="51"/>
      <c r="AX217" s="51"/>
      <c r="AY217" s="51"/>
      <c r="AZ217" s="51"/>
      <c r="BA217" s="51"/>
      <c r="BB217" s="51"/>
      <c r="BC217" s="51"/>
      <c r="BD217" s="51"/>
    </row>
    <row r="218" spans="1:56" x14ac:dyDescent="0.25">
      <c r="A218" s="2" t="s">
        <v>574</v>
      </c>
      <c r="B218" s="3" t="s">
        <v>473</v>
      </c>
      <c r="C218" s="3" t="s">
        <v>483</v>
      </c>
      <c r="D218" s="3" t="s">
        <v>521</v>
      </c>
      <c r="E218" s="50" t="s">
        <v>577</v>
      </c>
      <c r="F218" s="50" t="s">
        <v>487</v>
      </c>
      <c r="G218" s="44"/>
      <c r="I218" s="58"/>
      <c r="J218" s="44">
        <f>100</f>
        <v>100</v>
      </c>
      <c r="K218" s="44">
        <f>100</f>
        <v>100</v>
      </c>
      <c r="M218" s="44">
        <f>100</f>
        <v>100</v>
      </c>
      <c r="N218" s="44"/>
      <c r="O218" s="44"/>
      <c r="P218" s="44"/>
      <c r="Q218" s="44"/>
      <c r="T218" s="44"/>
      <c r="U218" s="44"/>
      <c r="V218" s="44"/>
      <c r="W218" s="44"/>
      <c r="X218" s="44"/>
      <c r="Y218" s="44"/>
      <c r="Z218" s="44"/>
      <c r="AA218" s="44"/>
      <c r="AB218" s="44"/>
      <c r="AC218" s="44"/>
      <c r="AD218" s="44"/>
      <c r="AE218"/>
      <c r="AF218" s="44"/>
      <c r="AG218" s="44"/>
      <c r="AH218" s="44"/>
      <c r="AI218" s="44"/>
      <c r="AJ218" s="44"/>
      <c r="AK218" s="44"/>
      <c r="AL218" s="44"/>
      <c r="AM218"/>
      <c r="AN218" s="44"/>
      <c r="AO218" s="44"/>
      <c r="AP218" s="44"/>
      <c r="AQ218" s="44"/>
      <c r="AR218"/>
      <c r="AS218" s="44"/>
      <c r="AT218"/>
      <c r="AU218"/>
      <c r="AV218" s="44"/>
      <c r="AW218" s="51"/>
      <c r="AX218" s="51"/>
      <c r="AY218" s="51"/>
      <c r="AZ218" s="51"/>
      <c r="BA218" s="51"/>
      <c r="BB218" s="51"/>
      <c r="BC218" s="51"/>
      <c r="BD218" s="51"/>
    </row>
    <row r="219" spans="1:56" x14ac:dyDescent="0.25">
      <c r="A219" s="2" t="s">
        <v>591</v>
      </c>
      <c r="B219" s="3" t="s">
        <v>473</v>
      </c>
      <c r="C219" s="3" t="s">
        <v>483</v>
      </c>
      <c r="D219" s="3" t="s">
        <v>521</v>
      </c>
      <c r="E219" s="50" t="s">
        <v>507</v>
      </c>
      <c r="F219" s="50" t="s">
        <v>508</v>
      </c>
      <c r="G219" s="44">
        <v>9.9999999999999995E-8</v>
      </c>
      <c r="I219" s="44">
        <f>0.000001 / 10000 / 4 / 10</f>
        <v>2.4999999999999998E-12</v>
      </c>
      <c r="J219" s="44">
        <f>0.000001 / 10000 *2 * 3</f>
        <v>6E-10</v>
      </c>
      <c r="K219" s="44">
        <f>0.000001 / 10000 *2 * 3/100/10/100</f>
        <v>6.0000000000000005E-15</v>
      </c>
      <c r="M219" s="44">
        <f>0.000001 / 10000 *2 * 3</f>
        <v>6E-10</v>
      </c>
      <c r="N219" s="44"/>
      <c r="O219" s="44">
        <v>9.9999999999999995E-7</v>
      </c>
      <c r="P219" s="44">
        <v>9.9999999999999995E-7</v>
      </c>
      <c r="Q219" s="44">
        <v>9.9999999999999995E-7</v>
      </c>
      <c r="T219" s="44">
        <v>9.9999999999999995E-7</v>
      </c>
      <c r="U219" s="44">
        <v>9.9999999999999995E-7</v>
      </c>
      <c r="V219" s="44">
        <v>9.9999999999999995E-7</v>
      </c>
      <c r="W219" s="44">
        <v>9.9999999999999995E-7</v>
      </c>
      <c r="X219" s="44">
        <v>9.9999999999999995E-7</v>
      </c>
      <c r="Y219" s="44">
        <v>9.9999999999999995E-7</v>
      </c>
      <c r="Z219" s="44">
        <v>9.9999999999999995E-7</v>
      </c>
      <c r="AA219" s="44">
        <v>9.9999999999999995E-7</v>
      </c>
      <c r="AB219" s="44">
        <v>9.9999999999999995E-7</v>
      </c>
      <c r="AC219" s="44">
        <v>9.9999999999999995E-7</v>
      </c>
      <c r="AD219" s="44">
        <v>9.9999999999999995E-7</v>
      </c>
      <c r="AE219"/>
      <c r="AF219" s="44">
        <v>9.9999999999999995E-7</v>
      </c>
      <c r="AG219" s="44">
        <v>9.9999999999999995E-7</v>
      </c>
      <c r="AH219" s="44">
        <v>9.9999999999999995E-7</v>
      </c>
      <c r="AI219" s="44">
        <v>9.9999999999999995E-7</v>
      </c>
      <c r="AJ219" s="44">
        <v>9.9999999999999995E-7</v>
      </c>
      <c r="AK219" s="44">
        <v>9.9999999999999995E-7</v>
      </c>
      <c r="AL219" s="44">
        <v>9.9999999999999995E-7</v>
      </c>
      <c r="AM219"/>
      <c r="AN219" s="44">
        <v>9.9999999999999995E-7</v>
      </c>
      <c r="AO219" s="44">
        <v>9.9999999999999995E-7</v>
      </c>
      <c r="AP219" s="44">
        <v>9.9999999999999995E-7</v>
      </c>
      <c r="AQ219" s="44">
        <v>9.9999999999999995E-7</v>
      </c>
      <c r="AR219"/>
      <c r="AS219" s="44">
        <v>9.9999999999999995E-7</v>
      </c>
      <c r="AT219"/>
      <c r="AU219"/>
      <c r="AV219" s="44">
        <v>9.9999999999999995E-7</v>
      </c>
      <c r="AW219" s="51"/>
      <c r="AX219" s="51"/>
      <c r="AY219" s="51"/>
      <c r="AZ219" s="51"/>
      <c r="BA219" s="51"/>
      <c r="BB219" s="51"/>
      <c r="BC219" s="51"/>
      <c r="BD219" s="51"/>
    </row>
    <row r="220" spans="1:56" x14ac:dyDescent="0.25">
      <c r="A220" s="2" t="s">
        <v>592</v>
      </c>
      <c r="B220" s="3" t="s">
        <v>473</v>
      </c>
      <c r="C220" s="3" t="s">
        <v>483</v>
      </c>
      <c r="D220" s="3" t="s">
        <v>521</v>
      </c>
      <c r="E220" s="50" t="s">
        <v>507</v>
      </c>
      <c r="F220" s="50" t="s">
        <v>508</v>
      </c>
      <c r="G220" s="44">
        <v>9.9999999999999995E-8</v>
      </c>
      <c r="I220" s="44">
        <f>0.000001 / 10000 / 4 / 10</f>
        <v>2.4999999999999998E-12</v>
      </c>
      <c r="J220" s="44">
        <f>0.000001 / 10000 / 4 / 10</f>
        <v>2.4999999999999998E-12</v>
      </c>
      <c r="K220" s="44">
        <f>0.000001 / 10000 / 4 / 10/10/1000</f>
        <v>2.5000000000000002E-16</v>
      </c>
      <c r="M220" s="44">
        <f>0.000001 / 10000 / 4 / 10</f>
        <v>2.4999999999999998E-12</v>
      </c>
      <c r="N220" s="44"/>
      <c r="O220" s="44">
        <v>9.9999999999999995E-7</v>
      </c>
      <c r="P220" s="44">
        <v>9.9999999999999995E-7</v>
      </c>
      <c r="Q220" s="44">
        <v>9.9999999999999995E-7</v>
      </c>
      <c r="T220" s="44">
        <v>9.9999999999999995E-7</v>
      </c>
      <c r="U220" s="44">
        <v>9.9999999999999995E-7</v>
      </c>
      <c r="V220" s="44">
        <v>9.9999999999999995E-7</v>
      </c>
      <c r="W220" s="44">
        <v>9.9999999999999995E-7</v>
      </c>
      <c r="X220" s="44">
        <v>9.9999999999999995E-7</v>
      </c>
      <c r="Y220" s="44">
        <v>9.9999999999999995E-7</v>
      </c>
      <c r="Z220" s="44">
        <v>9.9999999999999995E-7</v>
      </c>
      <c r="AA220" s="44">
        <v>9.9999999999999995E-7</v>
      </c>
      <c r="AB220" s="44">
        <v>9.9999999999999995E-7</v>
      </c>
      <c r="AC220" s="44">
        <v>9.9999999999999995E-7</v>
      </c>
      <c r="AD220" s="44">
        <v>9.9999999999999995E-7</v>
      </c>
      <c r="AE220"/>
      <c r="AF220" s="44">
        <v>9.9999999999999995E-7</v>
      </c>
      <c r="AG220" s="44">
        <v>9.9999999999999995E-7</v>
      </c>
      <c r="AH220" s="44">
        <v>9.9999999999999995E-7</v>
      </c>
      <c r="AI220" s="44">
        <v>9.9999999999999995E-7</v>
      </c>
      <c r="AJ220" s="44">
        <v>9.9999999999999995E-7</v>
      </c>
      <c r="AK220" s="44">
        <v>9.9999999999999995E-7</v>
      </c>
      <c r="AL220" s="44">
        <v>9.9999999999999995E-7</v>
      </c>
      <c r="AM220"/>
      <c r="AN220" s="44">
        <v>9.9999999999999995E-7</v>
      </c>
      <c r="AO220" s="44">
        <v>9.9999999999999995E-7</v>
      </c>
      <c r="AP220" s="44">
        <v>9.9999999999999995E-7</v>
      </c>
      <c r="AQ220" s="44">
        <v>9.9999999999999995E-7</v>
      </c>
      <c r="AR220"/>
      <c r="AS220" s="44">
        <v>9.9999999999999995E-7</v>
      </c>
      <c r="AT220"/>
      <c r="AU220"/>
      <c r="AV220" s="44">
        <v>9.9999999999999995E-7</v>
      </c>
      <c r="AW220" s="51"/>
      <c r="AX220" s="51"/>
      <c r="AY220" s="51"/>
      <c r="AZ220" s="51"/>
      <c r="BA220" s="51"/>
      <c r="BB220" s="51"/>
      <c r="BC220" s="51"/>
      <c r="BD220" s="51"/>
    </row>
    <row r="221" spans="1:56" x14ac:dyDescent="0.25">
      <c r="A221" s="2" t="s">
        <v>509</v>
      </c>
      <c r="B221" s="3" t="s">
        <v>473</v>
      </c>
      <c r="C221" s="3" t="s">
        <v>483</v>
      </c>
      <c r="D221" s="3" t="s">
        <v>521</v>
      </c>
      <c r="E221" s="50" t="s">
        <v>510</v>
      </c>
      <c r="F221" s="50" t="s">
        <v>511</v>
      </c>
      <c r="G221" s="44">
        <f>2*0.00001</f>
        <v>2.0000000000000002E-5</v>
      </c>
      <c r="I221" s="44">
        <f>0.00001</f>
        <v>1.0000000000000001E-5</v>
      </c>
      <c r="J221" s="44">
        <f>0.00001 / 10/2/4</f>
        <v>1.2500000000000002E-7</v>
      </c>
      <c r="K221" s="44">
        <v>0</v>
      </c>
      <c r="M221" s="44">
        <f>0.00001 / 10/2/4</f>
        <v>1.2500000000000002E-7</v>
      </c>
      <c r="N221" s="44"/>
      <c r="O221" s="44">
        <v>2E-8</v>
      </c>
      <c r="P221" s="44">
        <v>2E-8</v>
      </c>
      <c r="Q221" s="44">
        <v>2E-8</v>
      </c>
      <c r="T221" s="44">
        <v>5.0000000000000002E-5</v>
      </c>
      <c r="U221" s="44">
        <v>5.0000000000000002E-5</v>
      </c>
      <c r="V221" s="44">
        <v>5.0000000000000002E-5</v>
      </c>
      <c r="W221" s="44">
        <v>5.0000000000000002E-5</v>
      </c>
      <c r="X221" s="44">
        <v>2.0000000000000002E-5</v>
      </c>
      <c r="Y221" s="44">
        <v>1.0000000000000001E-5</v>
      </c>
      <c r="Z221" s="44">
        <v>5.0000000000000004E-6</v>
      </c>
      <c r="AA221" s="44">
        <v>1.9999999999999999E-6</v>
      </c>
      <c r="AB221" s="44">
        <v>9.9999999999999995E-7</v>
      </c>
      <c r="AC221" s="44">
        <v>4.9999999999999998E-7</v>
      </c>
      <c r="AD221" s="44">
        <v>1.9999999999999999E-7</v>
      </c>
      <c r="AE221"/>
      <c r="AF221" s="44">
        <v>2.0000000000000002E-5</v>
      </c>
      <c r="AG221" s="44">
        <v>1.0000000000000001E-5</v>
      </c>
      <c r="AH221" s="44">
        <v>5.0000000000000004E-6</v>
      </c>
      <c r="AI221" s="44">
        <v>1.9999999999999999E-6</v>
      </c>
      <c r="AJ221" s="44">
        <v>9.9999999999999995E-7</v>
      </c>
      <c r="AK221" s="44">
        <v>4.9999999999999998E-7</v>
      </c>
      <c r="AL221" s="44">
        <v>1.9999999999999999E-7</v>
      </c>
      <c r="AM221"/>
      <c r="AN221" s="44">
        <v>2E-8</v>
      </c>
      <c r="AO221" s="44">
        <v>2E-8</v>
      </c>
      <c r="AP221" s="44">
        <v>2.0000000000000001E-9</v>
      </c>
      <c r="AQ221" s="44">
        <v>2.0000000000000001E-9</v>
      </c>
      <c r="AR221"/>
      <c r="AS221" s="44">
        <v>9.9999999999999995E-7</v>
      </c>
      <c r="AT221"/>
      <c r="AU221"/>
      <c r="AV221" s="44">
        <v>5.0000000000000002E-5</v>
      </c>
      <c r="AW221" s="51"/>
      <c r="AX221" s="51"/>
      <c r="AY221" s="51"/>
      <c r="AZ221" s="51"/>
      <c r="BA221" s="51"/>
      <c r="BB221" s="51"/>
      <c r="BC221" s="51"/>
      <c r="BD221" s="51"/>
    </row>
    <row r="222" spans="1:56" x14ac:dyDescent="0.25">
      <c r="A222" s="2" t="s">
        <v>571</v>
      </c>
      <c r="B222" s="3" t="s">
        <v>473</v>
      </c>
      <c r="C222" s="3" t="s">
        <v>483</v>
      </c>
      <c r="D222" s="3" t="s">
        <v>521</v>
      </c>
      <c r="E222" s="50" t="s">
        <v>572</v>
      </c>
      <c r="F222" s="50" t="s">
        <v>511</v>
      </c>
      <c r="G222" s="44"/>
      <c r="I222" s="44">
        <f xml:space="preserve"> 0.001 * 10</f>
        <v>0.01</v>
      </c>
      <c r="J222" s="44">
        <f xml:space="preserve"> 0.001 / 10</f>
        <v>1E-4</v>
      </c>
      <c r="K222" s="44">
        <f xml:space="preserve"> 0.001 / 10</f>
        <v>1E-4</v>
      </c>
      <c r="M222" s="44">
        <f xml:space="preserve"> 0.001 / 10</f>
        <v>1E-4</v>
      </c>
      <c r="N222" s="44"/>
      <c r="O222" s="44"/>
      <c r="P222" s="44"/>
      <c r="Q222" s="44"/>
      <c r="T222" s="44"/>
      <c r="U222" s="44"/>
      <c r="V222" s="44"/>
      <c r="W222" s="44"/>
      <c r="X222" s="44"/>
      <c r="Y222" s="44"/>
      <c r="Z222" s="44"/>
      <c r="AA222" s="44"/>
      <c r="AB222" s="44"/>
      <c r="AC222" s="44"/>
      <c r="AD222" s="44"/>
      <c r="AE222"/>
      <c r="AF222" s="44"/>
      <c r="AG222" s="44"/>
      <c r="AH222" s="44"/>
      <c r="AI222" s="44"/>
      <c r="AJ222" s="44"/>
      <c r="AK222" s="44"/>
      <c r="AL222" s="44"/>
      <c r="AM222"/>
      <c r="AN222" s="44"/>
      <c r="AO222" s="44"/>
      <c r="AP222" s="44"/>
      <c r="AQ222" s="44"/>
      <c r="AR222"/>
      <c r="AS222" s="44"/>
      <c r="AT222"/>
      <c r="AU222"/>
      <c r="AV222" s="44"/>
      <c r="AW222" s="51"/>
      <c r="AX222" s="51"/>
      <c r="AY222" s="51"/>
      <c r="AZ222" s="51"/>
      <c r="BA222" s="51"/>
      <c r="BB222" s="51"/>
      <c r="BC222" s="51"/>
      <c r="BD222" s="51"/>
    </row>
    <row r="223" spans="1:56" x14ac:dyDescent="0.25">
      <c r="A223" s="2" t="s">
        <v>575</v>
      </c>
      <c r="B223" s="3" t="s">
        <v>473</v>
      </c>
      <c r="C223" s="3" t="s">
        <v>483</v>
      </c>
      <c r="D223" s="3" t="s">
        <v>521</v>
      </c>
      <c r="E223" s="50" t="s">
        <v>576</v>
      </c>
      <c r="F223" s="50" t="s">
        <v>511</v>
      </c>
      <c r="G223" s="56">
        <v>1.0000000000000001E-5</v>
      </c>
      <c r="I223" s="44">
        <f>0.00001 /10/4/2</f>
        <v>1.2500000000000002E-7</v>
      </c>
      <c r="J223" s="44">
        <f>0.00001 /5 /2/4</f>
        <v>2.5000000000000004E-7</v>
      </c>
      <c r="K223" s="44">
        <v>0</v>
      </c>
      <c r="M223" s="44">
        <f>0.00001 /5 /2/4</f>
        <v>2.5000000000000004E-7</v>
      </c>
      <c r="N223" s="44"/>
      <c r="O223" s="44"/>
      <c r="P223" s="44"/>
      <c r="Q223" s="44"/>
      <c r="T223" s="44"/>
      <c r="U223" s="44"/>
      <c r="V223" s="44"/>
      <c r="W223" s="44"/>
      <c r="X223" s="44"/>
      <c r="Y223" s="44"/>
      <c r="Z223" s="44"/>
      <c r="AA223" s="44"/>
      <c r="AB223" s="44"/>
      <c r="AC223" s="44"/>
      <c r="AD223" s="44"/>
      <c r="AE223"/>
      <c r="AF223" s="44"/>
      <c r="AG223" s="44"/>
      <c r="AH223" s="44"/>
      <c r="AI223" s="44"/>
      <c r="AJ223" s="44"/>
      <c r="AK223" s="44"/>
      <c r="AL223" s="44"/>
      <c r="AM223"/>
      <c r="AN223" s="44"/>
      <c r="AO223" s="44"/>
      <c r="AP223" s="44"/>
      <c r="AQ223" s="44"/>
      <c r="AR223"/>
      <c r="AS223" s="44"/>
      <c r="AT223"/>
      <c r="AU223"/>
      <c r="AV223" s="44"/>
      <c r="AW223" s="51"/>
      <c r="AX223" s="51"/>
      <c r="AY223" s="51"/>
      <c r="AZ223" s="51"/>
      <c r="BA223" s="51"/>
      <c r="BB223" s="51"/>
      <c r="BC223" s="51"/>
      <c r="BD223" s="51"/>
    </row>
    <row r="224" spans="1:56" ht="14.25" customHeight="1" x14ac:dyDescent="0.25">
      <c r="A224" s="53" t="s">
        <v>517</v>
      </c>
      <c r="B224" s="3" t="s">
        <v>473</v>
      </c>
      <c r="C224" s="3" t="s">
        <v>518</v>
      </c>
      <c r="D224" s="3" t="s">
        <v>521</v>
      </c>
      <c r="E224" s="50" t="s">
        <v>519</v>
      </c>
      <c r="F224" s="50" t="s">
        <v>520</v>
      </c>
      <c r="G224" s="44">
        <v>9.9999999999999995E-8</v>
      </c>
      <c r="I224" s="58"/>
      <c r="J224" s="44">
        <f>0.0000001</f>
        <v>9.9999999999999995E-8</v>
      </c>
      <c r="K224" s="44">
        <f>0.0000001</f>
        <v>9.9999999999999995E-8</v>
      </c>
      <c r="M224" s="44">
        <f>0.0000001</f>
        <v>9.9999999999999995E-8</v>
      </c>
      <c r="N224" s="44"/>
      <c r="O224" s="44">
        <v>5.0000000000000003E-10</v>
      </c>
      <c r="P224" s="44">
        <v>5.0000000000000003E-10</v>
      </c>
      <c r="Q224" s="44">
        <v>9.9999999999999995E-8</v>
      </c>
      <c r="T224" s="44">
        <v>4.9999999999999998E-8</v>
      </c>
      <c r="U224" s="44">
        <v>2E-8</v>
      </c>
      <c r="V224" s="44">
        <v>1E-8</v>
      </c>
      <c r="W224" s="44">
        <v>1.0000000000000001E-9</v>
      </c>
      <c r="X224" s="44">
        <v>1E-8</v>
      </c>
      <c r="Y224" s="44">
        <v>1E-8</v>
      </c>
      <c r="Z224" s="44">
        <v>1E-8</v>
      </c>
      <c r="AA224" s="44">
        <v>1E-8</v>
      </c>
      <c r="AB224" s="44">
        <v>1E-8</v>
      </c>
      <c r="AC224" s="44">
        <v>1E-8</v>
      </c>
      <c r="AD224" s="44">
        <v>1E-8</v>
      </c>
      <c r="AE224"/>
      <c r="AF224" s="44">
        <v>1.0000000000000001E-9</v>
      </c>
      <c r="AG224" s="44">
        <v>1.0000000000000001E-9</v>
      </c>
      <c r="AH224" s="44">
        <v>1.0000000000000001E-9</v>
      </c>
      <c r="AI224" s="44">
        <v>1.0000000000000001E-9</v>
      </c>
      <c r="AJ224" s="44">
        <v>1.0000000000000001E-9</v>
      </c>
      <c r="AK224" s="44">
        <v>1.0000000000000001E-9</v>
      </c>
      <c r="AL224" s="44">
        <v>1.0000000000000001E-9</v>
      </c>
      <c r="AM224"/>
      <c r="AN224" s="44">
        <v>1E-8</v>
      </c>
      <c r="AO224" s="44">
        <v>1.0000000000000001E-9</v>
      </c>
      <c r="AP224" s="44">
        <v>1E-8</v>
      </c>
      <c r="AQ224" s="44">
        <v>1.0000000000000001E-9</v>
      </c>
      <c r="AR224"/>
      <c r="AS224" s="44">
        <v>1.0000000000000001E-9</v>
      </c>
      <c r="AT224"/>
      <c r="AU224"/>
      <c r="AV224" s="44">
        <v>9.9999999999999995E-8</v>
      </c>
    </row>
    <row r="225" spans="1:71" x14ac:dyDescent="0.25">
      <c r="A225" s="2" t="s">
        <v>523</v>
      </c>
      <c r="B225" s="3" t="s">
        <v>473</v>
      </c>
      <c r="C225" s="3" t="s">
        <v>483</v>
      </c>
      <c r="D225" s="3" t="s">
        <v>521</v>
      </c>
      <c r="E225" s="50" t="s">
        <v>524</v>
      </c>
      <c r="F225" s="50" t="s">
        <v>487</v>
      </c>
      <c r="G225" s="44">
        <v>0.2</v>
      </c>
      <c r="I225" s="58"/>
      <c r="J225" s="44">
        <v>0.2</v>
      </c>
      <c r="K225" s="44">
        <v>0.2</v>
      </c>
      <c r="M225" s="44">
        <v>0.2</v>
      </c>
      <c r="N225" s="44"/>
      <c r="O225" s="44">
        <v>0.2</v>
      </c>
      <c r="P225" s="44">
        <v>0.2</v>
      </c>
      <c r="Q225" s="44">
        <v>0.2</v>
      </c>
      <c r="T225" s="44">
        <v>0.2</v>
      </c>
      <c r="U225" s="44">
        <v>0.2</v>
      </c>
      <c r="V225" s="44">
        <v>0.2</v>
      </c>
      <c r="W225" s="44">
        <v>0.2</v>
      </c>
      <c r="X225" s="44">
        <v>0.2</v>
      </c>
      <c r="Y225" s="44">
        <v>0.2</v>
      </c>
      <c r="Z225" s="44">
        <v>0.2</v>
      </c>
      <c r="AA225" s="44">
        <v>0.2</v>
      </c>
      <c r="AB225" s="44">
        <v>0.2</v>
      </c>
      <c r="AC225" s="44">
        <v>0.2</v>
      </c>
      <c r="AD225" s="44">
        <v>0.2</v>
      </c>
      <c r="AE225"/>
      <c r="AF225" s="44">
        <v>0.2</v>
      </c>
      <c r="AG225" s="44">
        <v>0.2</v>
      </c>
      <c r="AH225" s="44">
        <v>0.2</v>
      </c>
      <c r="AI225" s="44">
        <v>0.2</v>
      </c>
      <c r="AJ225" s="44">
        <v>0.2</v>
      </c>
      <c r="AK225" s="44">
        <v>0.2</v>
      </c>
      <c r="AL225" s="44">
        <v>0.2</v>
      </c>
      <c r="AM225"/>
      <c r="AN225" s="44">
        <v>0.2</v>
      </c>
      <c r="AO225" s="44">
        <v>0.2</v>
      </c>
      <c r="AP225" s="44">
        <v>0.2</v>
      </c>
      <c r="AQ225" s="44">
        <v>0.2</v>
      </c>
      <c r="AR225"/>
      <c r="AS225" s="44">
        <v>0.2</v>
      </c>
      <c r="AT225"/>
      <c r="AU225"/>
      <c r="AV225" s="44">
        <v>0.2</v>
      </c>
      <c r="AW225" s="37"/>
      <c r="AX225" s="37"/>
      <c r="AY225" s="37"/>
      <c r="AZ225" s="37"/>
      <c r="BA225" s="37"/>
      <c r="BB225" s="37"/>
      <c r="BC225" s="37"/>
      <c r="BD225" s="37"/>
      <c r="BE225" s="37"/>
      <c r="BF225" s="37"/>
      <c r="BG225" s="37"/>
      <c r="BH225" s="37"/>
      <c r="BI225" s="37"/>
      <c r="BJ225" s="37"/>
      <c r="BK225" s="37"/>
      <c r="BL225" s="37"/>
      <c r="BM225" s="37"/>
      <c r="BN225" s="37"/>
      <c r="BO225" s="37"/>
      <c r="BP225" s="37"/>
      <c r="BQ225" s="37"/>
      <c r="BR225" s="37"/>
      <c r="BS225" s="37"/>
    </row>
    <row r="226" spans="1:71" x14ac:dyDescent="0.25">
      <c r="A226" s="2" t="s">
        <v>525</v>
      </c>
      <c r="B226" s="3" t="s">
        <v>473</v>
      </c>
      <c r="C226" s="3" t="s">
        <v>580</v>
      </c>
      <c r="D226" s="3" t="s">
        <v>581</v>
      </c>
      <c r="E226" s="50" t="s">
        <v>526</v>
      </c>
      <c r="F226" s="50" t="s">
        <v>491</v>
      </c>
      <c r="G226" s="44" t="s">
        <v>485</v>
      </c>
      <c r="I226" s="58"/>
      <c r="J226" s="44" t="s">
        <v>485</v>
      </c>
      <c r="K226" s="44" t="s">
        <v>485</v>
      </c>
      <c r="M226" s="44" t="s">
        <v>485</v>
      </c>
      <c r="N226" s="44"/>
      <c r="O226" s="44" t="s">
        <v>485</v>
      </c>
      <c r="P226" s="44" t="s">
        <v>485</v>
      </c>
      <c r="Q226" s="44" t="s">
        <v>485</v>
      </c>
      <c r="T226" s="44" t="s">
        <v>485</v>
      </c>
      <c r="U226" s="44" t="s">
        <v>485</v>
      </c>
      <c r="V226" s="44" t="s">
        <v>485</v>
      </c>
      <c r="W226" s="44" t="s">
        <v>485</v>
      </c>
      <c r="X226" s="44" t="s">
        <v>485</v>
      </c>
      <c r="Y226" s="44" t="s">
        <v>485</v>
      </c>
      <c r="Z226" s="44" t="s">
        <v>485</v>
      </c>
      <c r="AA226" s="44" t="s">
        <v>485</v>
      </c>
      <c r="AB226" s="44" t="s">
        <v>485</v>
      </c>
      <c r="AC226" s="44" t="s">
        <v>485</v>
      </c>
      <c r="AD226" s="44" t="s">
        <v>485</v>
      </c>
      <c r="AE226"/>
      <c r="AF226" s="44" t="s">
        <v>485</v>
      </c>
      <c r="AG226" s="44" t="s">
        <v>485</v>
      </c>
      <c r="AH226" s="44" t="s">
        <v>485</v>
      </c>
      <c r="AI226" s="44" t="s">
        <v>485</v>
      </c>
      <c r="AJ226" s="44" t="s">
        <v>485</v>
      </c>
      <c r="AK226" s="44" t="s">
        <v>485</v>
      </c>
      <c r="AL226" s="44" t="s">
        <v>485</v>
      </c>
      <c r="AM226"/>
      <c r="AN226" s="44" t="s">
        <v>485</v>
      </c>
      <c r="AO226" s="44" t="s">
        <v>485</v>
      </c>
      <c r="AP226" s="44" t="s">
        <v>485</v>
      </c>
      <c r="AQ226" s="44" t="s">
        <v>485</v>
      </c>
      <c r="AR226"/>
      <c r="AS226" s="44" t="s">
        <v>485</v>
      </c>
      <c r="AT226"/>
      <c r="AU226"/>
      <c r="AV226" s="44" t="s">
        <v>485</v>
      </c>
      <c r="AW226" s="37"/>
      <c r="AX226" s="37"/>
      <c r="AY226" s="37"/>
      <c r="AZ226" s="37"/>
      <c r="BA226" s="37"/>
      <c r="BB226" s="37"/>
      <c r="BC226" s="37"/>
      <c r="BD226" s="37"/>
      <c r="BE226" s="37"/>
      <c r="BF226" s="37"/>
      <c r="BG226" s="37"/>
      <c r="BH226" s="37"/>
      <c r="BI226" s="37"/>
      <c r="BJ226" s="37"/>
      <c r="BK226" s="37"/>
      <c r="BL226" s="37"/>
      <c r="BM226" s="37"/>
      <c r="BN226" s="37"/>
      <c r="BO226" s="37"/>
      <c r="BP226" s="37"/>
      <c r="BQ226" s="37"/>
      <c r="BR226" s="37"/>
      <c r="BS226" s="37"/>
    </row>
    <row r="227" spans="1:71" x14ac:dyDescent="0.25">
      <c r="A227" s="2" t="s">
        <v>527</v>
      </c>
      <c r="B227" s="3" t="s">
        <v>473</v>
      </c>
      <c r="C227" s="3" t="s">
        <v>580</v>
      </c>
      <c r="D227" s="3" t="s">
        <v>581</v>
      </c>
      <c r="E227" s="50" t="s">
        <v>528</v>
      </c>
      <c r="F227" s="50" t="s">
        <v>491</v>
      </c>
      <c r="G227" s="44">
        <f t="shared" ref="G227:AV227" si="17">2*0.1</f>
        <v>0.2</v>
      </c>
      <c r="I227" s="58"/>
      <c r="J227" s="44">
        <f t="shared" si="17"/>
        <v>0.2</v>
      </c>
      <c r="K227" s="44">
        <f t="shared" si="17"/>
        <v>0.2</v>
      </c>
      <c r="M227" s="44">
        <f t="shared" si="17"/>
        <v>0.2</v>
      </c>
      <c r="N227" s="44"/>
      <c r="O227" s="44">
        <f t="shared" si="17"/>
        <v>0.2</v>
      </c>
      <c r="P227" s="44">
        <f t="shared" si="17"/>
        <v>0.2</v>
      </c>
      <c r="Q227" s="44">
        <f t="shared" si="17"/>
        <v>0.2</v>
      </c>
      <c r="T227" s="44">
        <f t="shared" si="17"/>
        <v>0.2</v>
      </c>
      <c r="U227" s="44">
        <f t="shared" si="17"/>
        <v>0.2</v>
      </c>
      <c r="V227" s="44">
        <f t="shared" si="17"/>
        <v>0.2</v>
      </c>
      <c r="W227" s="44">
        <f t="shared" si="17"/>
        <v>0.2</v>
      </c>
      <c r="X227" s="44">
        <f t="shared" si="17"/>
        <v>0.2</v>
      </c>
      <c r="Y227" s="44">
        <f t="shared" si="17"/>
        <v>0.2</v>
      </c>
      <c r="Z227" s="44">
        <f t="shared" si="17"/>
        <v>0.2</v>
      </c>
      <c r="AA227" s="44">
        <f t="shared" si="17"/>
        <v>0.2</v>
      </c>
      <c r="AB227" s="44">
        <f t="shared" si="17"/>
        <v>0.2</v>
      </c>
      <c r="AC227" s="44">
        <f t="shared" si="17"/>
        <v>0.2</v>
      </c>
      <c r="AD227" s="44">
        <f t="shared" si="17"/>
        <v>0.2</v>
      </c>
      <c r="AE227"/>
      <c r="AF227" s="44">
        <f t="shared" si="17"/>
        <v>0.2</v>
      </c>
      <c r="AG227" s="44">
        <f t="shared" si="17"/>
        <v>0.2</v>
      </c>
      <c r="AH227" s="44">
        <f t="shared" si="17"/>
        <v>0.2</v>
      </c>
      <c r="AI227" s="44">
        <f t="shared" si="17"/>
        <v>0.2</v>
      </c>
      <c r="AJ227" s="44">
        <f t="shared" si="17"/>
        <v>0.2</v>
      </c>
      <c r="AK227" s="44">
        <f t="shared" si="17"/>
        <v>0.2</v>
      </c>
      <c r="AL227" s="44">
        <f t="shared" si="17"/>
        <v>0.2</v>
      </c>
      <c r="AM227"/>
      <c r="AN227" s="44">
        <f t="shared" si="17"/>
        <v>0.2</v>
      </c>
      <c r="AO227" s="44">
        <f t="shared" si="17"/>
        <v>0.2</v>
      </c>
      <c r="AP227" s="44">
        <f t="shared" si="17"/>
        <v>0.2</v>
      </c>
      <c r="AQ227" s="44">
        <f t="shared" si="17"/>
        <v>0.2</v>
      </c>
      <c r="AR227"/>
      <c r="AS227" s="44">
        <f t="shared" si="17"/>
        <v>0.2</v>
      </c>
      <c r="AT227"/>
      <c r="AU227"/>
      <c r="AV227" s="44">
        <f t="shared" si="17"/>
        <v>0.2</v>
      </c>
      <c r="AW227" s="37"/>
      <c r="AX227" s="37"/>
      <c r="AY227" s="37"/>
      <c r="AZ227" s="37"/>
      <c r="BA227" s="37"/>
      <c r="BB227" s="37"/>
      <c r="BC227" s="37"/>
      <c r="BD227" s="37"/>
      <c r="BE227" s="37"/>
      <c r="BF227" s="37"/>
      <c r="BG227" s="37"/>
      <c r="BH227" s="37"/>
      <c r="BI227" s="37"/>
      <c r="BJ227" s="37"/>
      <c r="BK227" s="37"/>
      <c r="BL227" s="37"/>
      <c r="BM227" s="37"/>
      <c r="BN227" s="37"/>
      <c r="BO227" s="37"/>
      <c r="BP227" s="37"/>
      <c r="BQ227" s="37"/>
      <c r="BR227" s="37"/>
      <c r="BS227" s="37"/>
    </row>
    <row r="228" spans="1:71" x14ac:dyDescent="0.25">
      <c r="A228" s="2" t="s">
        <v>529</v>
      </c>
      <c r="B228" s="3" t="s">
        <v>473</v>
      </c>
      <c r="C228" s="3" t="s">
        <v>580</v>
      </c>
      <c r="D228" s="3" t="s">
        <v>581</v>
      </c>
      <c r="E228" s="50" t="s">
        <v>530</v>
      </c>
      <c r="F228" s="50" t="s">
        <v>491</v>
      </c>
      <c r="G228" s="44">
        <v>1E-3</v>
      </c>
      <c r="I228" s="58"/>
      <c r="J228" s="44">
        <v>1E-3</v>
      </c>
      <c r="K228" s="44">
        <v>1E-3</v>
      </c>
      <c r="M228" s="44">
        <v>1E-3</v>
      </c>
      <c r="N228" s="44"/>
      <c r="O228" s="44">
        <v>1E-3</v>
      </c>
      <c r="P228" s="44">
        <v>1E-3</v>
      </c>
      <c r="Q228" s="44">
        <v>1E-3</v>
      </c>
      <c r="T228" s="44">
        <v>1E-3</v>
      </c>
      <c r="U228" s="44">
        <v>1E-3</v>
      </c>
      <c r="V228" s="44">
        <v>1E-3</v>
      </c>
      <c r="W228" s="44">
        <v>1E-3</v>
      </c>
      <c r="X228" s="44">
        <v>1E-3</v>
      </c>
      <c r="Y228" s="44">
        <v>1E-3</v>
      </c>
      <c r="Z228" s="44">
        <v>1E-3</v>
      </c>
      <c r="AA228" s="44">
        <v>1E-3</v>
      </c>
      <c r="AB228" s="44">
        <v>1E-3</v>
      </c>
      <c r="AC228" s="44">
        <v>1E-3</v>
      </c>
      <c r="AD228" s="44">
        <v>1E-3</v>
      </c>
      <c r="AE228"/>
      <c r="AF228" s="44">
        <v>1E-3</v>
      </c>
      <c r="AG228" s="44">
        <v>1E-3</v>
      </c>
      <c r="AH228" s="44">
        <v>1E-3</v>
      </c>
      <c r="AI228" s="44">
        <v>1E-3</v>
      </c>
      <c r="AJ228" s="44">
        <v>1E-3</v>
      </c>
      <c r="AK228" s="44">
        <v>1E-3</v>
      </c>
      <c r="AL228" s="44">
        <v>1E-3</v>
      </c>
      <c r="AM228"/>
      <c r="AN228" s="44">
        <v>1E-3</v>
      </c>
      <c r="AO228" s="44">
        <v>1E-3</v>
      </c>
      <c r="AP228" s="44">
        <v>1E-3</v>
      </c>
      <c r="AQ228" s="44">
        <v>1E-3</v>
      </c>
      <c r="AR228"/>
      <c r="AS228" s="44">
        <v>1E-3</v>
      </c>
      <c r="AT228"/>
      <c r="AU228"/>
      <c r="AV228" s="44">
        <v>1E-3</v>
      </c>
      <c r="AW228" s="37"/>
      <c r="AX228" s="37"/>
      <c r="AY228" s="37"/>
      <c r="AZ228" s="37"/>
      <c r="BA228" s="37"/>
      <c r="BB228" s="37"/>
      <c r="BC228" s="37"/>
      <c r="BD228" s="37"/>
      <c r="BE228" s="37"/>
      <c r="BF228" s="37"/>
      <c r="BG228" s="37"/>
      <c r="BH228" s="37"/>
      <c r="BI228" s="37"/>
      <c r="BJ228" s="37"/>
      <c r="BK228" s="37"/>
      <c r="BL228" s="37"/>
      <c r="BM228" s="37"/>
      <c r="BN228" s="37"/>
      <c r="BO228" s="37"/>
      <c r="BP228" s="37"/>
      <c r="BQ228" s="37"/>
      <c r="BR228" s="37"/>
      <c r="BS228" s="37"/>
    </row>
    <row r="229" spans="1:71" x14ac:dyDescent="0.25">
      <c r="A229" s="2" t="s">
        <v>531</v>
      </c>
      <c r="B229" s="3" t="s">
        <v>473</v>
      </c>
      <c r="C229" s="3" t="s">
        <v>483</v>
      </c>
      <c r="D229" s="3" t="s">
        <v>521</v>
      </c>
      <c r="E229" s="50" t="s">
        <v>532</v>
      </c>
      <c r="F229" s="50" t="s">
        <v>561</v>
      </c>
      <c r="G229" s="44">
        <v>1.0000000000000001E-5</v>
      </c>
      <c r="I229" s="58"/>
      <c r="J229" s="44">
        <f>0.00001 / 2</f>
        <v>5.0000000000000004E-6</v>
      </c>
      <c r="K229" s="44">
        <f>0.00001 / 2</f>
        <v>5.0000000000000004E-6</v>
      </c>
      <c r="M229" s="44">
        <f>0.00001 / 2</f>
        <v>5.0000000000000004E-6</v>
      </c>
      <c r="N229" s="44"/>
      <c r="O229" s="44">
        <v>1.0000000000000001E-5</v>
      </c>
      <c r="P229" s="44">
        <v>1.0000000000000001E-5</v>
      </c>
      <c r="Q229" s="44">
        <v>1.0000000000000001E-5</v>
      </c>
      <c r="T229" s="44">
        <v>1.0000000000000001E-5</v>
      </c>
      <c r="U229" s="44">
        <v>1.0000000000000001E-5</v>
      </c>
      <c r="V229" s="44">
        <v>1.0000000000000001E-5</v>
      </c>
      <c r="W229" s="44">
        <v>1.0000000000000001E-5</v>
      </c>
      <c r="X229" s="44">
        <v>1.0000000000000001E-5</v>
      </c>
      <c r="Y229" s="44">
        <v>1.0000000000000001E-5</v>
      </c>
      <c r="Z229" s="44">
        <v>1.0000000000000001E-5</v>
      </c>
      <c r="AA229" s="44">
        <v>1.0000000000000001E-5</v>
      </c>
      <c r="AB229" s="44">
        <v>1.0000000000000001E-5</v>
      </c>
      <c r="AC229" s="44">
        <v>1.0000000000000001E-5</v>
      </c>
      <c r="AD229" s="44">
        <v>1.0000000000000001E-5</v>
      </c>
      <c r="AE229"/>
      <c r="AF229" s="44">
        <v>1.0000000000000001E-5</v>
      </c>
      <c r="AG229" s="44">
        <v>1.0000000000000001E-5</v>
      </c>
      <c r="AH229" s="44">
        <v>1.0000000000000001E-5</v>
      </c>
      <c r="AI229" s="44">
        <v>1.0000000000000001E-5</v>
      </c>
      <c r="AJ229" s="44">
        <v>1.0000000000000001E-5</v>
      </c>
      <c r="AK229" s="44">
        <v>1.0000000000000001E-5</v>
      </c>
      <c r="AL229" s="44">
        <v>1.0000000000000001E-5</v>
      </c>
      <c r="AM229"/>
      <c r="AN229" s="44">
        <v>1.0000000000000001E-5</v>
      </c>
      <c r="AO229" s="44">
        <v>1.0000000000000001E-5</v>
      </c>
      <c r="AP229" s="44">
        <v>1.0000000000000001E-5</v>
      </c>
      <c r="AQ229" s="44">
        <v>1.0000000000000001E-5</v>
      </c>
      <c r="AR229"/>
      <c r="AS229" s="44">
        <v>1.0000000000000001E-5</v>
      </c>
      <c r="AT229"/>
      <c r="AU229"/>
      <c r="AV229" s="44">
        <v>1.0000000000000001E-5</v>
      </c>
      <c r="AW229" s="52"/>
      <c r="AX229" s="52"/>
      <c r="AY229" s="52"/>
      <c r="AZ229" s="52"/>
      <c r="BA229" s="52"/>
      <c r="BB229" s="52"/>
      <c r="BC229" s="52"/>
      <c r="BD229" s="52"/>
      <c r="BE229" s="52"/>
      <c r="BF229" s="52"/>
      <c r="BG229" s="52"/>
      <c r="BH229" s="1"/>
      <c r="BI229" s="52"/>
      <c r="BJ229" s="52"/>
      <c r="BK229" s="52"/>
      <c r="BL229" s="52"/>
      <c r="BM229" s="52"/>
      <c r="BN229" s="52"/>
      <c r="BO229" s="52"/>
      <c r="BP229" s="52"/>
      <c r="BQ229" s="52"/>
      <c r="BR229" s="52"/>
      <c r="BS229" s="52"/>
    </row>
    <row r="230" spans="1:71" x14ac:dyDescent="0.25">
      <c r="A230" s="2" t="s">
        <v>578</v>
      </c>
      <c r="B230" s="3" t="s">
        <v>473</v>
      </c>
      <c r="C230" s="3" t="s">
        <v>483</v>
      </c>
      <c r="D230" s="3" t="s">
        <v>521</v>
      </c>
      <c r="E230" s="50" t="s">
        <v>579</v>
      </c>
      <c r="F230" s="50" t="s">
        <v>491</v>
      </c>
      <c r="G230" s="57">
        <v>1.0000000000000001E-5</v>
      </c>
      <c r="I230" s="58"/>
      <c r="J230" s="44">
        <f t="shared" ref="J230:M230" si="18">0.000000005 / 5</f>
        <v>1.0000000000000001E-9</v>
      </c>
      <c r="K230" s="44">
        <f t="shared" si="18"/>
        <v>1.0000000000000001E-9</v>
      </c>
      <c r="M230" s="44">
        <f t="shared" si="18"/>
        <v>1.0000000000000001E-9</v>
      </c>
      <c r="N230" s="44"/>
      <c r="O230" s="44"/>
      <c r="P230" s="44"/>
      <c r="Q230" s="44"/>
      <c r="T230" s="44"/>
      <c r="U230" s="44"/>
      <c r="V230" s="44"/>
      <c r="W230" s="44"/>
      <c r="X230" s="44"/>
      <c r="Y230" s="44"/>
      <c r="Z230" s="44"/>
      <c r="AA230" s="44"/>
      <c r="AB230" s="44"/>
      <c r="AC230" s="44"/>
      <c r="AD230" s="44"/>
      <c r="AE230"/>
      <c r="AF230" s="44"/>
      <c r="AG230" s="44"/>
      <c r="AH230" s="44"/>
      <c r="AI230" s="44"/>
      <c r="AJ230" s="44"/>
      <c r="AK230" s="44"/>
      <c r="AL230" s="44"/>
      <c r="AM230"/>
      <c r="AN230" s="44"/>
      <c r="AO230" s="44"/>
      <c r="AP230" s="44"/>
      <c r="AQ230" s="44"/>
      <c r="AR230"/>
      <c r="AS230" s="44"/>
      <c r="AT230"/>
      <c r="AU230"/>
      <c r="AV230" s="44"/>
      <c r="AW230" s="52"/>
      <c r="AX230" s="52"/>
      <c r="AY230" s="52"/>
      <c r="AZ230" s="52"/>
      <c r="BA230" s="52"/>
      <c r="BB230" s="52"/>
      <c r="BC230" s="52"/>
      <c r="BD230" s="52"/>
      <c r="BE230" s="52"/>
      <c r="BF230" s="52"/>
      <c r="BG230" s="52"/>
      <c r="BH230" s="1"/>
      <c r="BI230" s="52"/>
      <c r="BJ230" s="52"/>
      <c r="BK230" s="52"/>
      <c r="BL230" s="52"/>
      <c r="BM230" s="52"/>
      <c r="BN230" s="52"/>
      <c r="BO230" s="52"/>
      <c r="BP230" s="52"/>
      <c r="BQ230" s="52"/>
      <c r="BR230" s="52"/>
      <c r="BS230" s="52"/>
    </row>
    <row r="231" spans="1:71" x14ac:dyDescent="0.25">
      <c r="A231" s="2" t="s">
        <v>540</v>
      </c>
      <c r="B231" s="3" t="s">
        <v>473</v>
      </c>
      <c r="C231" s="3" t="s">
        <v>483</v>
      </c>
      <c r="D231" s="3" t="s">
        <v>521</v>
      </c>
      <c r="E231" s="30" t="s">
        <v>537</v>
      </c>
      <c r="F231" s="30" t="s">
        <v>536</v>
      </c>
      <c r="G231" s="44">
        <f t="shared" ref="G231:AV232" si="19">0.00002 / 14 / 5</f>
        <v>2.8571428571428575E-7</v>
      </c>
      <c r="I231" s="58"/>
      <c r="J231" s="44">
        <v>0</v>
      </c>
      <c r="K231" s="44">
        <v>0</v>
      </c>
      <c r="M231" s="44">
        <v>0</v>
      </c>
      <c r="N231" s="44"/>
      <c r="O231" s="44">
        <f t="shared" si="19"/>
        <v>2.8571428571428575E-7</v>
      </c>
      <c r="P231" s="44">
        <f t="shared" si="19"/>
        <v>2.8571428571428575E-7</v>
      </c>
      <c r="Q231" s="44">
        <f t="shared" si="19"/>
        <v>2.8571428571428575E-7</v>
      </c>
      <c r="T231" s="44">
        <f t="shared" si="19"/>
        <v>2.8571428571428575E-7</v>
      </c>
      <c r="U231" s="44">
        <f t="shared" si="19"/>
        <v>2.8571428571428575E-7</v>
      </c>
      <c r="V231" s="44">
        <f t="shared" si="19"/>
        <v>2.8571428571428575E-7</v>
      </c>
      <c r="W231" s="44">
        <f t="shared" si="19"/>
        <v>2.8571428571428575E-7</v>
      </c>
      <c r="X231" s="44">
        <f t="shared" si="19"/>
        <v>2.8571428571428575E-7</v>
      </c>
      <c r="Y231" s="44">
        <f t="shared" si="19"/>
        <v>2.8571428571428575E-7</v>
      </c>
      <c r="Z231" s="44">
        <f t="shared" si="19"/>
        <v>2.8571428571428575E-7</v>
      </c>
      <c r="AA231" s="44">
        <f t="shared" si="19"/>
        <v>2.8571428571428575E-7</v>
      </c>
      <c r="AB231" s="44">
        <f t="shared" si="19"/>
        <v>2.8571428571428575E-7</v>
      </c>
      <c r="AC231" s="44">
        <f t="shared" si="19"/>
        <v>2.8571428571428575E-7</v>
      </c>
      <c r="AD231" s="44">
        <f t="shared" si="19"/>
        <v>2.8571428571428575E-7</v>
      </c>
      <c r="AE231"/>
      <c r="AF231" s="44">
        <f t="shared" si="19"/>
        <v>2.8571428571428575E-7</v>
      </c>
      <c r="AG231" s="44">
        <f t="shared" si="19"/>
        <v>2.8571428571428575E-7</v>
      </c>
      <c r="AH231" s="44">
        <f t="shared" si="19"/>
        <v>2.8571428571428575E-7</v>
      </c>
      <c r="AI231" s="44">
        <f t="shared" si="19"/>
        <v>2.8571428571428575E-7</v>
      </c>
      <c r="AJ231" s="44">
        <f t="shared" si="19"/>
        <v>2.8571428571428575E-7</v>
      </c>
      <c r="AK231" s="44">
        <f t="shared" si="19"/>
        <v>2.8571428571428575E-7</v>
      </c>
      <c r="AL231" s="44">
        <f t="shared" si="19"/>
        <v>2.8571428571428575E-7</v>
      </c>
      <c r="AM231"/>
      <c r="AN231" s="44">
        <f t="shared" si="19"/>
        <v>2.8571428571428575E-7</v>
      </c>
      <c r="AO231" s="44">
        <f t="shared" si="19"/>
        <v>2.8571428571428575E-7</v>
      </c>
      <c r="AP231" s="44">
        <f t="shared" si="19"/>
        <v>2.8571428571428575E-7</v>
      </c>
      <c r="AQ231" s="44">
        <f t="shared" si="19"/>
        <v>2.8571428571428575E-7</v>
      </c>
      <c r="AR231"/>
      <c r="AS231" s="44">
        <f t="shared" si="19"/>
        <v>2.8571428571428575E-7</v>
      </c>
      <c r="AT231"/>
      <c r="AU231"/>
      <c r="AV231" s="44">
        <f t="shared" si="19"/>
        <v>2.8571428571428575E-7</v>
      </c>
      <c r="AW231" s="1"/>
      <c r="AX231" s="1"/>
      <c r="AY231" s="1"/>
      <c r="AZ231" s="1"/>
      <c r="BA231" s="1"/>
      <c r="BB231" s="1"/>
      <c r="BC231" s="1"/>
      <c r="BD231" s="1"/>
    </row>
    <row r="232" spans="1:71" x14ac:dyDescent="0.25">
      <c r="A232" s="2" t="s">
        <v>541</v>
      </c>
      <c r="B232" s="3" t="s">
        <v>473</v>
      </c>
      <c r="C232" s="3" t="s">
        <v>483</v>
      </c>
      <c r="D232" s="3" t="s">
        <v>521</v>
      </c>
      <c r="E232" s="30" t="s">
        <v>537</v>
      </c>
      <c r="F232" s="30" t="s">
        <v>536</v>
      </c>
      <c r="G232" s="44">
        <f t="shared" ref="G232:AS232" si="20">0.00002 / 14 / 5 /10</f>
        <v>2.8571428571428575E-8</v>
      </c>
      <c r="I232" s="58"/>
      <c r="J232" s="44">
        <v>0</v>
      </c>
      <c r="K232" s="44">
        <v>0</v>
      </c>
      <c r="M232" s="44">
        <v>0</v>
      </c>
      <c r="N232" s="44"/>
      <c r="O232" s="44">
        <f t="shared" si="20"/>
        <v>2.8571428571428575E-8</v>
      </c>
      <c r="P232" s="44">
        <f t="shared" si="20"/>
        <v>2.8571428571428575E-8</v>
      </c>
      <c r="Q232" s="44">
        <f t="shared" si="20"/>
        <v>2.8571428571428575E-8</v>
      </c>
      <c r="T232" s="44">
        <f t="shared" si="20"/>
        <v>2.8571428571428575E-8</v>
      </c>
      <c r="U232" s="44">
        <f t="shared" si="20"/>
        <v>2.8571428571428575E-8</v>
      </c>
      <c r="V232" s="44">
        <f t="shared" si="20"/>
        <v>2.8571428571428575E-8</v>
      </c>
      <c r="W232" s="44">
        <f t="shared" si="20"/>
        <v>2.8571428571428575E-8</v>
      </c>
      <c r="X232" s="44">
        <f t="shared" si="20"/>
        <v>2.8571428571428575E-8</v>
      </c>
      <c r="Y232" s="44">
        <f t="shared" si="20"/>
        <v>2.8571428571428575E-8</v>
      </c>
      <c r="Z232" s="44">
        <f t="shared" si="20"/>
        <v>2.8571428571428575E-8</v>
      </c>
      <c r="AA232" s="44">
        <f t="shared" si="20"/>
        <v>2.8571428571428575E-8</v>
      </c>
      <c r="AB232" s="44">
        <f t="shared" si="20"/>
        <v>2.8571428571428575E-8</v>
      </c>
      <c r="AC232" s="44">
        <f t="shared" si="20"/>
        <v>2.8571428571428575E-8</v>
      </c>
      <c r="AD232" s="44">
        <f t="shared" si="20"/>
        <v>2.8571428571428575E-8</v>
      </c>
      <c r="AE232"/>
      <c r="AF232" s="44">
        <f t="shared" si="20"/>
        <v>2.8571428571428575E-8</v>
      </c>
      <c r="AG232" s="44">
        <f t="shared" si="20"/>
        <v>2.8571428571428575E-8</v>
      </c>
      <c r="AH232" s="44">
        <f t="shared" si="20"/>
        <v>2.8571428571428575E-8</v>
      </c>
      <c r="AI232" s="44">
        <f t="shared" si="20"/>
        <v>2.8571428571428575E-8</v>
      </c>
      <c r="AJ232" s="44">
        <f t="shared" si="20"/>
        <v>2.8571428571428575E-8</v>
      </c>
      <c r="AK232" s="44">
        <f t="shared" si="20"/>
        <v>2.8571428571428575E-8</v>
      </c>
      <c r="AL232" s="44">
        <f t="shared" si="20"/>
        <v>2.8571428571428575E-8</v>
      </c>
      <c r="AM232"/>
      <c r="AN232" s="44">
        <f t="shared" si="20"/>
        <v>2.8571428571428575E-8</v>
      </c>
      <c r="AO232" s="44">
        <f t="shared" si="20"/>
        <v>2.8571428571428575E-8</v>
      </c>
      <c r="AP232" s="44">
        <f t="shared" si="20"/>
        <v>2.8571428571428575E-8</v>
      </c>
      <c r="AQ232" s="44">
        <f t="shared" si="20"/>
        <v>2.8571428571428575E-8</v>
      </c>
      <c r="AR232"/>
      <c r="AS232" s="44">
        <f t="shared" si="20"/>
        <v>2.8571428571428575E-8</v>
      </c>
      <c r="AT232"/>
      <c r="AU232"/>
      <c r="AV232" s="44">
        <f t="shared" si="19"/>
        <v>2.8571428571428575E-7</v>
      </c>
      <c r="AW232" s="1"/>
      <c r="AX232" s="1"/>
      <c r="AY232" s="1"/>
      <c r="AZ232" s="1"/>
      <c r="BA232" s="1"/>
      <c r="BB232" s="1"/>
      <c r="BC232" s="1"/>
      <c r="BD232" s="1"/>
    </row>
    <row r="233" spans="1:71" x14ac:dyDescent="0.25">
      <c r="A233" s="1" t="s">
        <v>583</v>
      </c>
      <c r="B233" s="3" t="s">
        <v>473</v>
      </c>
      <c r="C233" s="3" t="s">
        <v>483</v>
      </c>
      <c r="D233" s="3" t="s">
        <v>521</v>
      </c>
      <c r="E233" s="30" t="s">
        <v>584</v>
      </c>
      <c r="F233" s="30" t="s">
        <v>486</v>
      </c>
      <c r="G233" s="44">
        <v>-1</v>
      </c>
      <c r="I233" s="58"/>
      <c r="J233" s="44" t="s">
        <v>86</v>
      </c>
      <c r="K233" s="44" t="s">
        <v>86</v>
      </c>
      <c r="M233" s="44" t="s">
        <v>86</v>
      </c>
      <c r="N233" s="44"/>
      <c r="O233" s="44">
        <v>-1</v>
      </c>
      <c r="P233" s="44">
        <v>-1</v>
      </c>
      <c r="Q233" s="44">
        <v>-1</v>
      </c>
      <c r="T233" s="44">
        <v>-1</v>
      </c>
      <c r="U233" s="44">
        <v>-1</v>
      </c>
      <c r="V233" s="44">
        <v>-1</v>
      </c>
      <c r="W233" s="44">
        <v>-1</v>
      </c>
      <c r="X233" s="44">
        <v>-1</v>
      </c>
      <c r="Y233" s="44">
        <v>-1</v>
      </c>
      <c r="Z233" s="44">
        <v>-1</v>
      </c>
      <c r="AA233" s="44">
        <v>-1</v>
      </c>
      <c r="AB233" s="44">
        <v>-1</v>
      </c>
      <c r="AC233" s="44">
        <v>-1</v>
      </c>
      <c r="AD233" s="44">
        <v>-1</v>
      </c>
      <c r="AE233" s="44">
        <v>-1</v>
      </c>
      <c r="AF233" s="44">
        <v>-1</v>
      </c>
      <c r="AG233" s="44">
        <v>-1</v>
      </c>
      <c r="AH233" s="44">
        <v>-1</v>
      </c>
      <c r="AI233" s="44">
        <v>-1</v>
      </c>
      <c r="AJ233" s="44">
        <v>-1</v>
      </c>
      <c r="AK233" s="44">
        <v>-1</v>
      </c>
      <c r="AL233" s="44">
        <v>-1</v>
      </c>
      <c r="AM233" s="44">
        <v>-1</v>
      </c>
      <c r="AN233" s="44">
        <v>-1</v>
      </c>
      <c r="AO233" s="44">
        <v>-1</v>
      </c>
      <c r="AP233" s="44">
        <v>-1</v>
      </c>
      <c r="AQ233" s="44">
        <v>-1</v>
      </c>
      <c r="AR233" s="44">
        <v>-1</v>
      </c>
      <c r="AS233" s="44">
        <v>-1</v>
      </c>
      <c r="AT233" s="44">
        <v>-1</v>
      </c>
      <c r="AU233" s="44">
        <v>-1</v>
      </c>
      <c r="AV233" s="44">
        <v>-1</v>
      </c>
      <c r="AW233" s="1"/>
      <c r="AX233" s="1"/>
      <c r="AY233" s="1"/>
      <c r="AZ233" s="1"/>
      <c r="BA233" s="1"/>
      <c r="BB233" s="1"/>
      <c r="BC233" s="1"/>
      <c r="BD233" s="1"/>
    </row>
    <row r="234" spans="1:71" x14ac:dyDescent="0.25">
      <c r="A234" s="21" t="s">
        <v>588</v>
      </c>
      <c r="B234" s="3" t="s">
        <v>473</v>
      </c>
      <c r="C234" s="3" t="s">
        <v>483</v>
      </c>
      <c r="D234" s="3" t="s">
        <v>521</v>
      </c>
      <c r="E234" s="22" t="s">
        <v>589</v>
      </c>
      <c r="F234" s="22" t="s">
        <v>590</v>
      </c>
      <c r="G234" s="44">
        <v>1.0000000000000001E-9</v>
      </c>
      <c r="I234" s="58"/>
      <c r="J234" s="44">
        <f>J128* (6 * 12 / 0.44) * 0.015 / 14 / 1.4 /2/2/2</f>
        <v>5.8702458256029672E-17</v>
      </c>
      <c r="K234" s="44">
        <f>K128* (6 * 12 / 0.44) * 0.015 / 14 / 1.4</f>
        <v>4.6961966604823737E-16</v>
      </c>
      <c r="L234" s="1" t="s">
        <v>599</v>
      </c>
      <c r="M234" s="44">
        <f>M128* 6 * 12 / 0.44 * 0.015 / 14 / 1.4 /2/2/2</f>
        <v>5.8702458256029672E-17</v>
      </c>
      <c r="N234" s="44"/>
      <c r="O234" s="44">
        <v>4.9999999999999999E-13</v>
      </c>
      <c r="P234" s="44">
        <v>4.9999999999999999E-13</v>
      </c>
      <c r="Q234" s="44">
        <v>4.9999999999999999E-13</v>
      </c>
      <c r="T234" s="44">
        <v>4.9999999999999999E-13</v>
      </c>
      <c r="U234" s="44">
        <v>4.9999999999999999E-13</v>
      </c>
      <c r="V234" s="44">
        <v>4.9999999999999999E-13</v>
      </c>
      <c r="W234" s="44">
        <v>4.9999999999999999E-13</v>
      </c>
      <c r="X234" s="44">
        <v>4.9999999999999999E-13</v>
      </c>
      <c r="Y234" s="44">
        <v>4.9999999999999999E-13</v>
      </c>
      <c r="Z234" s="44">
        <v>4.9999999999999999E-13</v>
      </c>
      <c r="AA234" s="44">
        <v>4.9999999999999999E-13</v>
      </c>
      <c r="AB234" s="44">
        <v>4.9999999999999999E-13</v>
      </c>
      <c r="AC234" s="44">
        <v>4.9999999999999999E-13</v>
      </c>
      <c r="AD234" s="44">
        <v>4.9999999999999999E-13</v>
      </c>
      <c r="AE234"/>
      <c r="AF234" s="44">
        <v>4.9999999999999999E-13</v>
      </c>
      <c r="AG234" s="44">
        <v>4.9999999999999999E-13</v>
      </c>
      <c r="AH234" s="44">
        <v>4.9999999999999999E-13</v>
      </c>
      <c r="AI234" s="44">
        <v>4.9999999999999999E-13</v>
      </c>
      <c r="AJ234" s="44">
        <v>4.9999999999999999E-13</v>
      </c>
      <c r="AK234" s="44">
        <v>4.9999999999999999E-13</v>
      </c>
      <c r="AL234" s="44">
        <v>4.9999999999999999E-13</v>
      </c>
      <c r="AM234"/>
      <c r="AN234" s="44">
        <v>4.9999999999999999E-13</v>
      </c>
      <c r="AO234" s="44">
        <v>4.9999999999999999E-13</v>
      </c>
      <c r="AP234" s="44">
        <v>4.9999999999999999E-13</v>
      </c>
      <c r="AQ234" s="44">
        <v>4.9999999999999999E-13</v>
      </c>
      <c r="AR234"/>
      <c r="AS234" s="44">
        <v>4.9999999999999999E-13</v>
      </c>
      <c r="AT234"/>
      <c r="AU234"/>
      <c r="AV234" s="44">
        <v>4.9999999999999999E-13</v>
      </c>
    </row>
  </sheetData>
  <phoneticPr fontId="19" type="noConversion"/>
  <conditionalFormatting sqref="G224">
    <cfRule type="colorScale" priority="47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27:K127">
    <cfRule type="colorScale" priority="47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34:K134">
    <cfRule type="colorScale" priority="47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6:K206">
    <cfRule type="colorScale" priority="47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7:K207">
    <cfRule type="colorScale" priority="47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4:K214">
    <cfRule type="colorScale" priority="47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5:K216">
    <cfRule type="colorScale" priority="47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7:K218">
    <cfRule type="colorScale" priority="47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9:K220">
    <cfRule type="colorScale" priority="47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1:K221">
    <cfRule type="colorScale" priority="47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2:K222">
    <cfRule type="colorScale" priority="47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3:K223">
    <cfRule type="colorScale" priority="47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9:K229">
    <cfRule type="colorScale" priority="47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0:K230">
    <cfRule type="colorScale" priority="47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33:K233">
    <cfRule type="colorScale" priority="47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3:N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3:N24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127:N127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134:N134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06:N206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07:N207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12:N213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14:N214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15:N216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17:N218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19:N220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21:N221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22:N222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23:N223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25:N228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29:N229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30:N230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31:N23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33:N2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24:Q224 AV224 I224:K224">
    <cfRule type="colorScale" priority="33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08">
    <cfRule type="colorScale" priority="1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09">
    <cfRule type="colorScale" priority="1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10">
    <cfRule type="colorScale" priority="1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11">
    <cfRule type="colorScale" priority="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08">
    <cfRule type="colorScale" priority="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09"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10">
    <cfRule type="colorScale" priority="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11">
    <cfRule type="colorScale" priority="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:W2 AV2 G2 M2:Q2 I2:K2">
    <cfRule type="colorScale" priority="29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3:W4 AV3:AV4 G3:G4 O3:Q4 I3:K4">
    <cfRule type="colorScale" priority="29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5:W5 AV5 G5 M5:Q5 I5:K5">
    <cfRule type="colorScale" priority="29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6:W6 AV6 G6 M6:Q6 I6:K6">
    <cfRule type="colorScale" priority="29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7:W7 AV7 G7 M7:Q7 I7:K7">
    <cfRule type="colorScale" priority="29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8:W8 AV8 G8 M8:Q8 I8:K8">
    <cfRule type="colorScale" priority="29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9:W9 AV9 G9 M9:Q9 I9:K9">
    <cfRule type="colorScale" priority="29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0:W10 AV10 G10 M10:Q10 I10:K10">
    <cfRule type="colorScale" priority="29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1:W11 AV11 G11 M11:Q11 I11:K11">
    <cfRule type="colorScale" priority="29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2:W12 AV12 G12 M12:Q12 I12:K12">
    <cfRule type="colorScale" priority="29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3:W13 AV13 G13 M13:Q13 I13:K13">
    <cfRule type="colorScale" priority="29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4:W14 AV14 G14 M14:Q14 I14:K14">
    <cfRule type="colorScale" priority="29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5:W15 AV15 G15 M15:Q15 I15:K15">
    <cfRule type="colorScale" priority="29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6:W16 AV16 G16 M16:Q16 I16:K16">
    <cfRule type="colorScale" priority="29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7:W17 AV17 G17 M17:Q17 I17:K17">
    <cfRule type="colorScale" priority="29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8:W18 AV18 G18 M18:Q18 I18:K18">
    <cfRule type="colorScale" priority="29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9:W19 AV19 G19 M19:Q19 I19:K19">
    <cfRule type="colorScale" priority="29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0:W20 AV20 G20 M20:Q20 I20:K20">
    <cfRule type="colorScale" priority="29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1:W21 AV21 G21 M21:Q21 I21:K21">
    <cfRule type="colorScale" priority="29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2:W22 AV22 G22 M22:Q22 I22:K22">
    <cfRule type="colorScale" priority="29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5:W25 AV25 G25 M25:Q25 I25:K25">
    <cfRule type="colorScale" priority="29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6:W26 AV26 G26 M26:Q26 I26:K26">
    <cfRule type="colorScale" priority="29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7:W27 AV27 G27 M27:Q27 I27:K27">
    <cfRule type="colorScale" priority="29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8:W28 AV28 G28 M28:Q28 I28:K28">
    <cfRule type="colorScale" priority="29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9:W29 AV29 G29 M29:Q29 I29:K29">
    <cfRule type="colorScale" priority="29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30:W30 AV30 G30 M30:Q30 I30:K30">
    <cfRule type="colorScale" priority="29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31:W31 AV31 G31 M31:Q31 I31:K31">
    <cfRule type="colorScale" priority="29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32:W32 AV32 G32 M32:Q32 I32:K32">
    <cfRule type="colorScale" priority="29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33:W33 AV33 G33 M33:Q33 I33:K33">
    <cfRule type="colorScale" priority="29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34:W34 AV34 G34 M34:Q34 I34:K34">
    <cfRule type="colorScale" priority="29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35:W35 AV35 G35 M35:Q35 I35:K35">
    <cfRule type="colorScale" priority="29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36:W36 AV36 G36 M36:Q36 I36:K36">
    <cfRule type="colorScale" priority="29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37:W37 AV37 G37 M37:Q37 I37:K37">
    <cfRule type="colorScale" priority="29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38:W38 AV38 G38 M38:Q38 I38:K38">
    <cfRule type="colorScale" priority="29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39:W39 AV39 G39 M39:Q39 I39:K39">
    <cfRule type="colorScale" priority="29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40:W40 AV40 G40 M40:Q40 I40:K40">
    <cfRule type="colorScale" priority="29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41:W41 AV41 G41 M41:Q41 I41:K41">
    <cfRule type="colorScale" priority="29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42:W42 AV42 G42 M42:Q42 I42:K42">
    <cfRule type="colorScale" priority="29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43:W43 AV43 G43 M43:Q43 I43:K43">
    <cfRule type="colorScale" priority="29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44:W44 AV44 G44 M44:Q44 I44:K44">
    <cfRule type="colorScale" priority="29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45:W45 AV45 G45 M45:Q45 I45:K45">
    <cfRule type="colorScale" priority="29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46:W46 AV46 G46 M46:Q46 I46:K46">
    <cfRule type="colorScale" priority="30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47:W47 AV47 G47 M47:Q47 I47:K47">
    <cfRule type="colorScale" priority="30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48:W48 AV48 G48 M48:Q48 I48:K48">
    <cfRule type="colorScale" priority="30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49:W49 AV49 G49 M49:Q49 I49:K49">
    <cfRule type="colorScale" priority="30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50:W50 AV50 G50 M50:Q50 I50:K50">
    <cfRule type="colorScale" priority="30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51:W51 AV51 G51 M51:Q51 I51:K51">
    <cfRule type="colorScale" priority="30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52:W52 AV52 G52 M52:Q52 I52:K52">
    <cfRule type="colorScale" priority="30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53:W53 AV53 G53 M53:Q53 I53:K53">
    <cfRule type="colorScale" priority="30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54:W54 AV54 G54 M54:Q54 I54:K54">
    <cfRule type="colorScale" priority="30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55:W55 AV55 G55 M55:Q55 I55:K55">
    <cfRule type="colorScale" priority="30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56:W56 AV56 G56 M56:Q56 I56:K56">
    <cfRule type="colorScale" priority="30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57:W57 AV57 G57 M57:Q57 I57:K57">
    <cfRule type="colorScale" priority="30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58:W58 AV58 G58 M58:Q58 I58:K58">
    <cfRule type="colorScale" priority="30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59:W59 AV59 G59 M59:Q59 I59:K59">
    <cfRule type="colorScale" priority="30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60:W60 AV60 G60 M60:Q60 I60:K60">
    <cfRule type="colorScale" priority="30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61:W61 AV61 G61 M61:Q61 I61:K61">
    <cfRule type="colorScale" priority="30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62:W62 AV62 G62 M62:Q62 I62:K62">
    <cfRule type="colorScale" priority="30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63:W63 AV63 G63 M63:Q63 I63:K63">
    <cfRule type="colorScale" priority="30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64:W64 AV64 G64 M64:Q64 I64:K64">
    <cfRule type="colorScale" priority="30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65:W65 AV65 G65 M65:Q65 I65:K65">
    <cfRule type="colorScale" priority="30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66:W66 AV66 G66 M66:Q66 I66:K66">
    <cfRule type="colorScale" priority="30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67:W67 AV67 G67 M67:Q67 I67:K67">
    <cfRule type="colorScale" priority="30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68:W68 AV68 G68 M68:Q68 I68:K68">
    <cfRule type="colorScale" priority="30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69:W69 AV69 G69 M69:Q69 I69:K69">
    <cfRule type="colorScale" priority="30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70:W70 AV70 G70 M70:Q70 I70:K70">
    <cfRule type="colorScale" priority="30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71:W71 AV71 G71 M71:Q71 I71:K71">
    <cfRule type="colorScale" priority="30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72:W72 AV72 G72 M72:Q72 I72:K72">
    <cfRule type="colorScale" priority="30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73:W73 AV73 G73 M73:Q73 I73:K73">
    <cfRule type="colorScale" priority="30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74:W74 AV74 G74 M74:Q74 I74:K74">
    <cfRule type="colorScale" priority="30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75:W75 AV75 G75 M75:Q75 I75:K75">
    <cfRule type="colorScale" priority="30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76:W76 AV76 G76 M76:Q76 I76:K76">
    <cfRule type="colorScale" priority="30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77:W77 AV77 G77 M77:Q77 I77:K77">
    <cfRule type="colorScale" priority="30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78:W78 AV78 G78 M78:Q78 I78:K78">
    <cfRule type="colorScale" priority="30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79:W79 AV79 G79 M79:Q79 I79:K79">
    <cfRule type="colorScale" priority="30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80:W80 AV80 G80 M80:Q80 I80:K80">
    <cfRule type="colorScale" priority="30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81:W81 AV81 G81 M81:Q81 I81:K81">
    <cfRule type="colorScale" priority="30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82:W82 AV82 G82 M82:Q82 I82:K82">
    <cfRule type="colorScale" priority="30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83:W83 AV83 G83 M83:Q83 I83:K83">
    <cfRule type="colorScale" priority="30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84:W84 AV84 G84 M84:Q84 I84:K84">
    <cfRule type="colorScale" priority="30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85:W85 AV85 G85 M85:Q85 I85:K85">
    <cfRule type="colorScale" priority="30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86:W86 AV86 G86 M86:Q86 I86:K86">
    <cfRule type="colorScale" priority="30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87:W87 AV87 G87 M87:Q87 I87:K87">
    <cfRule type="colorScale" priority="30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88:W88 AV88 G88 M88:Q88 I88:K88">
    <cfRule type="colorScale" priority="30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89:W89 AV89 G89 M89:Q89 I89:K89">
    <cfRule type="colorScale" priority="30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90:W90 AV90 G90 M90:Q90 I90:K90">
    <cfRule type="colorScale" priority="30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91:W91 AV91 G91 M91:Q91 I91:K91">
    <cfRule type="colorScale" priority="30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92:W92 AV92 G92 M92:Q92 I92:K92">
    <cfRule type="colorScale" priority="30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93:W93 AV93 G93 M93:Q93 I93:K93">
    <cfRule type="colorScale" priority="30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94:W94 AV94 G94 M94:Q94 I94:K94">
    <cfRule type="colorScale" priority="30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95:W95 AV95 G95 M95:Q95 I95:K95">
    <cfRule type="colorScale" priority="30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96:W96 AV96 G96 M96:Q96 I96:K96">
    <cfRule type="colorScale" priority="31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97:W97 AV97 G97 M97:Q97 I97:K97">
    <cfRule type="colorScale" priority="31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98:W98 AV98 G98 M98:Q98 I98:K98">
    <cfRule type="colorScale" priority="31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99:W99 AV99 G99 M99:Q99 I99:K99">
    <cfRule type="colorScale" priority="3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00:W100 AV100 G100 M100:Q100 I100:K100">
    <cfRule type="colorScale" priority="3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01:W101 AV101 G101 M101:Q101 I101:K101">
    <cfRule type="colorScale" priority="31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02:W102 AV102 G102 M102:Q102 I102:K102">
    <cfRule type="colorScale" priority="3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03:W103 AV103 G103 M103:Q103 I103:K103">
    <cfRule type="colorScale" priority="3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04:W104 AV104 G104 M104:Q104 I104:K104">
    <cfRule type="colorScale" priority="31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05:W105 AV105 G105 M105:Q105 I105:K105">
    <cfRule type="colorScale" priority="31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06:W106 AV106 G106 M106:Q106 I106:K106">
    <cfRule type="colorScale" priority="3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07:W107 AV107 G107 M107:Q107 I107:K107">
    <cfRule type="colorScale" priority="31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08:W108 AV108 G108 M108:Q108 I108:K108">
    <cfRule type="colorScale" priority="31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09:W109 AV109 G109 M109:Q109 I109:K109">
    <cfRule type="colorScale" priority="31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10:W110 AV110 G110 M110:Q110 I110:K110">
    <cfRule type="colorScale" priority="3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11:W111 AV111 G111 M111:Q111 I111:K111">
    <cfRule type="colorScale" priority="3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12:W112 AV112 G112 M112:Q112 I112:K112">
    <cfRule type="colorScale" priority="3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13:W113 AV113 G113 M113:Q113 I113:K113">
    <cfRule type="colorScale" priority="3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14:W114 AV114 G114 M114:Q114 I114:K114">
    <cfRule type="colorScale" priority="3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15:W115 AV115 G115 M115:Q115 I115:K115">
    <cfRule type="colorScale" priority="3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16:W116 AV116 G116 M116:Q116 I116:K116">
    <cfRule type="colorScale" priority="3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17:W117 AV117 G117 M117:Q117 I117:K117">
    <cfRule type="colorScale" priority="31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18:W118 AV118 G118 M118:Q118 I118:K118">
    <cfRule type="colorScale" priority="3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19:W119 AV119 G119 M119:Q119 I119:K119">
    <cfRule type="colorScale" priority="3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20:W120 AV120 G120 M120:Q120 I120:K120">
    <cfRule type="colorScale" priority="31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21:W121 AV121 G121 M121:Q121 I121:K121">
    <cfRule type="colorScale" priority="31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22:W122 AV122 G122 M122:Q122 I122:K122">
    <cfRule type="colorScale" priority="31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23:W123 AV123 G123 M123:Q123 I123:K123">
    <cfRule type="colorScale" priority="31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24:W124 AV124 G124 M124:Q124 I124:K124">
    <cfRule type="colorScale" priority="3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25:W125 AV125 G125 M125:Q125 I125:K125">
    <cfRule type="colorScale" priority="31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26:W126 AV126 G126 M126:Q126 I126:K126">
    <cfRule type="colorScale" priority="31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27:W127 AV127 G127 O127:Q127">
    <cfRule type="colorScale" priority="31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28:W128 AV128 G128 M128:Q128 I128:K128">
    <cfRule type="colorScale" priority="31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29:W129 AV129 G129 M129:Q129 I129:K129">
    <cfRule type="colorScale" priority="31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30:W130 AV130 G130 M130:Q130 I130:K130">
    <cfRule type="colorScale" priority="31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31:W131 AV131 G131 M131:Q131 I131:K131">
    <cfRule type="colorScale" priority="31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32:W132 AV132 G132 M132:Q132 I132:K132">
    <cfRule type="colorScale" priority="31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33:W133 AV133 G133 M133:Q133 I133:K133">
    <cfRule type="colorScale" priority="31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34:W134 AV134 G134 O134:Q134">
    <cfRule type="colorScale" priority="31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35:W135 AV135 G135 M135:Q135 I135:K135">
    <cfRule type="colorScale" priority="31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36:W136 AV136 G136 M136:Q136 I136:K136">
    <cfRule type="colorScale" priority="31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37:W137 AV137 G137 M137:Q137 I137:K137">
    <cfRule type="colorScale" priority="31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38:W138 AV138 G138 M138:Q138 I138:K138">
    <cfRule type="colorScale" priority="31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39:W139 AV139 G139 M139:Q139 I139:K139">
    <cfRule type="colorScale" priority="31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40:W140 AV140 G140 M140:Q140 I140:K140">
    <cfRule type="colorScale" priority="31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41:W141 AV141 G141 M141:Q141 I141:K141">
    <cfRule type="colorScale" priority="31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42:W142 AV142 G142 M142:Q142 I142:K142">
    <cfRule type="colorScale" priority="31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43:W143 AV143 G143 M143:Q143 I143:K143">
    <cfRule type="colorScale" priority="31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44:W144 AV144 G144 M144:Q144 I144:K144">
    <cfRule type="colorScale" priority="31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45:W145 AV145 G145 M145:Q145 I145:K145">
    <cfRule type="colorScale" priority="31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46:W146 AV146 G146 M146:Q146 I146:K146">
    <cfRule type="colorScale" priority="31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47:W147 AV147 G147 M147:Q147 I147:K147">
    <cfRule type="colorScale" priority="32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48:W148 AV148 G148 M148:Q148 I148:K148">
    <cfRule type="colorScale" priority="32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49:W149 AV149 G149 M149:Q149 I149:K149">
    <cfRule type="colorScale" priority="32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50:W150 AV150 G150 M150:Q150 I150:K150">
    <cfRule type="colorScale" priority="32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51:W151 AV151 G151 M151:Q151 I151:K151">
    <cfRule type="colorScale" priority="3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52:W152 AV152 G152 M152:Q152 I152:K152">
    <cfRule type="colorScale" priority="32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53:W153 AV153 G153 M153:Q153 I153:K153">
    <cfRule type="colorScale" priority="32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54:W154 AV154 G154 M154:Q154 I154:K154">
    <cfRule type="colorScale" priority="32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55:W155 AV155 G155 M155:Q155 I155:K155">
    <cfRule type="colorScale" priority="32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56:W156 AV156 G156 M156:Q156 I156:K156">
    <cfRule type="colorScale" priority="32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57:W157 AV157 G157 M157:Q157 I157:K157">
    <cfRule type="colorScale" priority="32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58:W158 AV158 G158 M158:Q158 I158:K158">
    <cfRule type="colorScale" priority="32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59:W159 AV159 G159 M159:Q159 I159:K159">
    <cfRule type="colorScale" priority="32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60:W160 AV160 G160 M160:Q160 I160:K160">
    <cfRule type="colorScale" priority="32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61:W161 AV161 G161 M161:Q161 I161:K161">
    <cfRule type="colorScale" priority="32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62:W162 AV162 G162 M162:Q162 I162:K162">
    <cfRule type="colorScale" priority="32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63:W163 AV163 G163 M163:Q163 I163:K163">
    <cfRule type="colorScale" priority="3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64:W164 AV164 G164 M164:Q164 I164:K164">
    <cfRule type="colorScale" priority="32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65:W165 AV165 G165 M165:Q165 I165:K165">
    <cfRule type="colorScale" priority="32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66:W166 AV166 G166 M166:Q166 I166:K166">
    <cfRule type="colorScale" priority="32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67:W167 AV167 G167 M167:Q167 I167:K167">
    <cfRule type="colorScale" priority="3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68:W168 AV168 G168 M168:Q168 I168:K168">
    <cfRule type="colorScale" priority="32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69:W169 AV169 G169 M169:Q169 I169:K169">
    <cfRule type="colorScale" priority="32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70:W170 AV170 G170 M170:Q170 I170:K170">
    <cfRule type="colorScale" priority="32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71:W171 AV171 G171 M171:Q171 I171:K171">
    <cfRule type="colorScale" priority="32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72:W172 AV172 G172 M172:Q172 I172:K172">
    <cfRule type="colorScale" priority="32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73:W173 AV173 G173 M173:Q173 I173:K173">
    <cfRule type="colorScale" priority="32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74:W174 AV174 G174 M174:Q174 I174:K174">
    <cfRule type="colorScale" priority="32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75:W175 AV175 G175 M175:Q175 I175:K175">
    <cfRule type="colorScale" priority="32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76:W176 AV176 G176 M176:Q176 I176:K176">
    <cfRule type="colorScale" priority="32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77:W177 AV177 G177 M177:Q177 I177:K177">
    <cfRule type="colorScale" priority="32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78:W178 AV178 G178 M178:Q178 I178:K178">
    <cfRule type="colorScale" priority="32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79:W179 AV179 G179 M179:Q179 I179:K179">
    <cfRule type="colorScale" priority="32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80:W180 AV180 G180 M180:Q180 I180:K180">
    <cfRule type="colorScale" priority="32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81:W181 AV181 G181 M181:Q181 I181:K181">
    <cfRule type="colorScale" priority="32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82:W182 AV182 G182 M182:Q182 I182:K182">
    <cfRule type="colorScale" priority="32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83:W183 AV183 G183 M183:Q183 I183:K183">
    <cfRule type="colorScale" priority="32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84:W184 AV184 G184 M184:Q184 I184:K184">
    <cfRule type="colorScale" priority="32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85:W185 AV185 G185 M185:Q185 I185:K185">
    <cfRule type="colorScale" priority="32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86:W186 AV186 G186 M186:Q186 I186:K186">
    <cfRule type="colorScale" priority="32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87:W187 AV187 G187 M187:Q187 I187:K187">
    <cfRule type="colorScale" priority="32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88:W188 AV188 G188 M188:Q188 I188:K188">
    <cfRule type="colorScale" priority="32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89:W189 AV189 G189 M189:Q189 I189:K189">
    <cfRule type="colorScale" priority="32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90:W190 AV190 G190 M190:Q190 I190:K190">
    <cfRule type="colorScale" priority="32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91:W191 AV191 G191 M191:Q191 I191:K191">
    <cfRule type="colorScale" priority="32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92:W192 AV192 G192 M192:Q192 I192:K192">
    <cfRule type="colorScale" priority="3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93:W193 AV193 G193 M193:Q193 I193:K193">
    <cfRule type="colorScale" priority="32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94:W194 AV194 G194 M194:Q194 I194:K194">
    <cfRule type="colorScale" priority="32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95:W195 AV195 G195 M195:Q195 I195:K195">
    <cfRule type="colorScale" priority="32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96:W196 AV196 G196 M196:Q196 I196:K196">
    <cfRule type="colorScale" priority="32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97:W197 AV197 G197 M197:Q197 I197:K197">
    <cfRule type="colorScale" priority="33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98:W198 AV198 G198 M198:Q198 I198:K198">
    <cfRule type="colorScale" priority="33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99:W199 AV199 G199 M199:Q199 I199:K199">
    <cfRule type="colorScale" priority="33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00:W200 AV200 G200 M200:Q200 I200:K200">
    <cfRule type="colorScale" priority="33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01:W201 AV201 G201 M201:Q201 I201:K201">
    <cfRule type="colorScale" priority="33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02:W202 AV202 G202 M202:Q202 I202:K202">
    <cfRule type="colorScale" priority="33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03:W203 AV203 G203 M203:Q203 I203:K203">
    <cfRule type="colorScale" priority="33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04:W204 AV204 G204 M204:Q204 I204:K204">
    <cfRule type="colorScale" priority="33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05:W205 AV205 G205 M205:Q205 I205:K205">
    <cfRule type="colorScale" priority="33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06:W206 AV206 G206 O206:Q206">
    <cfRule type="colorScale" priority="33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07:W207 AV207 G207 O207:Q207">
    <cfRule type="colorScale" priority="33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08:W208 AV208 G208 M208:O208 I208:K208">
    <cfRule type="colorScale" priority="33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09:W209 AV209 G209 M209:O209 I209:K209">
    <cfRule type="colorScale" priority="33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10:W210 AV210 G210 M210:O210 I210:K210">
    <cfRule type="colorScale" priority="33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11:W211 AV211 G211 M211:O211 I211:K211">
    <cfRule type="colorScale" priority="33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12:W212">
    <cfRule type="colorScale" priority="33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13:W213 AV213 G213 O213:Q213">
    <cfRule type="colorScale" priority="33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14:W214 AV214 G214 O214:Q214">
    <cfRule type="colorScale" priority="33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15:W218 AV215:AV218 G215:G218 O215:Q218">
    <cfRule type="colorScale" priority="33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19:W220 AV219:AV220 G219:G220 O219:Q220">
    <cfRule type="colorScale" priority="33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21:W223 AV221:AV223 G221:G222 O221:Q223">
    <cfRule type="colorScale" priority="33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24:W224">
    <cfRule type="colorScale" priority="33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34:W234 AV234 G234 M234:Q234 I234:K234"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3:X24">
    <cfRule type="colorScale" priority="1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25:X230">
    <cfRule type="colorScale" priority="15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31:X232">
    <cfRule type="colorScale" priority="15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:AD2">
    <cfRule type="colorScale" priority="11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:AD4">
    <cfRule type="colorScale" priority="11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5:AD5">
    <cfRule type="colorScale" priority="11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6:AD6">
    <cfRule type="colorScale" priority="11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7:AD7">
    <cfRule type="colorScale" priority="11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8:AD8">
    <cfRule type="colorScale" priority="11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9:AD9">
    <cfRule type="colorScale" priority="11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0:AD10">
    <cfRule type="colorScale" priority="11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1:AD11">
    <cfRule type="colorScale" priority="11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2:AD12">
    <cfRule type="colorScale" priority="11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3:AD13">
    <cfRule type="colorScale" priority="1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4:AD14">
    <cfRule type="colorScale" priority="11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5:AD15">
    <cfRule type="colorScale" priority="11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6:AD16">
    <cfRule type="colorScale" priority="11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7:AD17">
    <cfRule type="colorScale" priority="11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8:AD18">
    <cfRule type="colorScale" priority="11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9:AD19">
    <cfRule type="colorScale" priority="11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0:AD20">
    <cfRule type="colorScale" priority="11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1:AD21">
    <cfRule type="colorScale" priority="11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2:AD22">
    <cfRule type="colorScale" priority="11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5:AD25">
    <cfRule type="colorScale" priority="11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6:AD26">
    <cfRule type="colorScale" priority="11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7:AD27">
    <cfRule type="colorScale" priority="11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8:AD28">
    <cfRule type="colorScale" priority="11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9:AD29">
    <cfRule type="colorScale" priority="11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0:AD30">
    <cfRule type="colorScale" priority="11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1:AD31">
    <cfRule type="colorScale" priority="11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2:AD32">
    <cfRule type="colorScale" priority="11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3:AD33">
    <cfRule type="colorScale" priority="11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4:AD34">
    <cfRule type="colorScale" priority="11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5:AD35">
    <cfRule type="colorScale" priority="11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6:AD36">
    <cfRule type="colorScale" priority="12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7:AD37">
    <cfRule type="colorScale" priority="12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8:AD38">
    <cfRule type="colorScale" priority="12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39:AD39">
    <cfRule type="colorScale" priority="12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0:AD40">
    <cfRule type="colorScale" priority="12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1:AD41">
    <cfRule type="colorScale" priority="1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2:AD42">
    <cfRule type="colorScale" priority="12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3:AD43">
    <cfRule type="colorScale" priority="12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4:AD44">
    <cfRule type="colorScale" priority="12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5:AD45">
    <cfRule type="colorScale" priority="12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6:AD46">
    <cfRule type="colorScale" priority="12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7:AD47">
    <cfRule type="colorScale" priority="12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8:AD48">
    <cfRule type="colorScale" priority="12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9:AD49">
    <cfRule type="colorScale" priority="12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50:AD50">
    <cfRule type="colorScale" priority="12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51:AD51">
    <cfRule type="colorScale" priority="12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52:AD52">
    <cfRule type="colorScale" priority="12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53:AD53">
    <cfRule type="colorScale" priority="1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54:AD54">
    <cfRule type="colorScale" priority="12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55:AD55">
    <cfRule type="colorScale" priority="12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56:AD56">
    <cfRule type="colorScale" priority="12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57:AD57">
    <cfRule type="colorScale" priority="12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58:AD58">
    <cfRule type="colorScale" priority="12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59:AD59">
    <cfRule type="colorScale" priority="12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60:AD60">
    <cfRule type="colorScale" priority="12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61:AD61">
    <cfRule type="colorScale" priority="12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62:AD62">
    <cfRule type="colorScale" priority="12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63:AD63">
    <cfRule type="colorScale" priority="12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64:AD64">
    <cfRule type="colorScale" priority="12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65:AD65">
    <cfRule type="colorScale" priority="12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66:AD66">
    <cfRule type="colorScale" priority="12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67:AD67">
    <cfRule type="colorScale" priority="12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68:AD68">
    <cfRule type="colorScale" priority="12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69:AD69">
    <cfRule type="colorScale" priority="12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70:AD70">
    <cfRule type="colorScale" priority="12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71:AD71">
    <cfRule type="colorScale" priority="12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72:AD72">
    <cfRule type="colorScale" priority="12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73:AD73">
    <cfRule type="colorScale" priority="12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74:AD74">
    <cfRule type="colorScale" priority="12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75:AD75">
    <cfRule type="colorScale" priority="12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76:AD76">
    <cfRule type="colorScale" priority="12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77:AD77">
    <cfRule type="colorScale" priority="12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78:AD78">
    <cfRule type="colorScale" priority="12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79:AD79">
    <cfRule type="colorScale" priority="12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80:AD80">
    <cfRule type="colorScale" priority="12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81:AD81">
    <cfRule type="colorScale" priority="12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82:AD82">
    <cfRule type="colorScale" priority="1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83:AD83">
    <cfRule type="colorScale" priority="12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84:AD84">
    <cfRule type="colorScale" priority="12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85:AD85">
    <cfRule type="colorScale" priority="12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86:AD86">
    <cfRule type="colorScale" priority="13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87:AD87">
    <cfRule type="colorScale" priority="13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88:AD88">
    <cfRule type="colorScale" priority="13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89:AD89">
    <cfRule type="colorScale" priority="13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90:AD90">
    <cfRule type="colorScale" priority="1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91:AD91">
    <cfRule type="colorScale" priority="13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92:AD92">
    <cfRule type="colorScale" priority="13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93:AD93">
    <cfRule type="colorScale" priority="13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94:AD94">
    <cfRule type="colorScale" priority="13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95:AD95">
    <cfRule type="colorScale" priority="13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96:AD96">
    <cfRule type="colorScale" priority="13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97:AD97">
    <cfRule type="colorScale" priority="13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98:AD98">
    <cfRule type="colorScale" priority="13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99:AD99">
    <cfRule type="colorScale" priority="13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00:AD100">
    <cfRule type="colorScale" priority="13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01:AD101">
    <cfRule type="colorScale" priority="13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02:AD102">
    <cfRule type="colorScale" priority="13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03:AD103">
    <cfRule type="colorScale" priority="13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04:AD104">
    <cfRule type="colorScale" priority="13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05:AD105">
    <cfRule type="colorScale" priority="13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06:AD106">
    <cfRule type="colorScale" priority="13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07:AD107">
    <cfRule type="colorScale" priority="13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08:AD108">
    <cfRule type="colorScale" priority="13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09:AD109">
    <cfRule type="colorScale" priority="13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10:AD110">
    <cfRule type="colorScale" priority="13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11:AD111">
    <cfRule type="colorScale" priority="13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12:AD112">
    <cfRule type="colorScale" priority="13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13:AD113">
    <cfRule type="colorScale" priority="13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14:AD114">
    <cfRule type="colorScale" priority="13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15:AD115">
    <cfRule type="colorScale" priority="13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16:AD116">
    <cfRule type="colorScale" priority="13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17:AD117">
    <cfRule type="colorScale" priority="13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18:AD118">
    <cfRule type="colorScale" priority="13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19:AD119">
    <cfRule type="colorScale" priority="13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20:AD120">
    <cfRule type="colorScale" priority="13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21:AD121">
    <cfRule type="colorScale" priority="13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22:AD122">
    <cfRule type="colorScale" priority="13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23:AD123">
    <cfRule type="colorScale" priority="13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24:AD124">
    <cfRule type="colorScale" priority="13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25:AD125">
    <cfRule type="colorScale" priority="13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26:AD126">
    <cfRule type="colorScale" priority="13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27:AD127">
    <cfRule type="colorScale" priority="13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28:AD128">
    <cfRule type="colorScale" priority="13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29:AD129">
    <cfRule type="colorScale" priority="13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30:AD130">
    <cfRule type="colorScale" priority="13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31:AD131">
    <cfRule type="colorScale" priority="13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32:AD132">
    <cfRule type="colorScale" priority="13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33:AD133">
    <cfRule type="colorScale" priority="13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34:AD134">
    <cfRule type="colorScale" priority="13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35:AD135">
    <cfRule type="colorScale" priority="13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36:AD136">
    <cfRule type="colorScale" priority="14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37:AD137">
    <cfRule type="colorScale" priority="14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38:AD138">
    <cfRule type="colorScale" priority="14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39:AD139">
    <cfRule type="colorScale" priority="14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40:AD140">
    <cfRule type="colorScale" priority="14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41:AD141">
    <cfRule type="colorScale" priority="14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42:AD142">
    <cfRule type="colorScale" priority="14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43:AD143">
    <cfRule type="colorScale" priority="14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44:AD144">
    <cfRule type="colorScale" priority="14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45:AD145">
    <cfRule type="colorScale" priority="14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46:AD146">
    <cfRule type="colorScale" priority="14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47:AD147">
    <cfRule type="colorScale" priority="14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48:AD148">
    <cfRule type="colorScale" priority="14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49:AD149">
    <cfRule type="colorScale" priority="14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50:AD150">
    <cfRule type="colorScale" priority="14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51:AD151">
    <cfRule type="colorScale" priority="14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52:AD152">
    <cfRule type="colorScale" priority="14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53:AD153">
    <cfRule type="colorScale" priority="14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54:AD154">
    <cfRule type="colorScale" priority="14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55:AD155">
    <cfRule type="colorScale" priority="14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56:AD156">
    <cfRule type="colorScale" priority="14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57:AD157">
    <cfRule type="colorScale" priority="14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58:AD158">
    <cfRule type="colorScale" priority="14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59:AD159">
    <cfRule type="colorScale" priority="14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60:AD160">
    <cfRule type="colorScale" priority="14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61:AD161">
    <cfRule type="colorScale" priority="14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62:AD162">
    <cfRule type="colorScale" priority="14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63:AD163">
    <cfRule type="colorScale" priority="14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64:AD164">
    <cfRule type="colorScale" priority="14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65:AD165">
    <cfRule type="colorScale" priority="14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66:AD166">
    <cfRule type="colorScale" priority="14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67:AD167">
    <cfRule type="colorScale" priority="14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68:AD168">
    <cfRule type="colorScale" priority="14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69:AD169">
    <cfRule type="colorScale" priority="14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70:AD170">
    <cfRule type="colorScale" priority="14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71:AD171">
    <cfRule type="colorScale" priority="14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72:AD172">
    <cfRule type="colorScale" priority="14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73:AD173">
    <cfRule type="colorScale" priority="14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74:AD174">
    <cfRule type="colorScale" priority="14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75:AD175">
    <cfRule type="colorScale" priority="14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76:AD176">
    <cfRule type="colorScale" priority="14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77:AD177">
    <cfRule type="colorScale" priority="14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78:AD178">
    <cfRule type="colorScale" priority="14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79:AD179">
    <cfRule type="colorScale" priority="14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80:AD180">
    <cfRule type="colorScale" priority="14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81:AD181">
    <cfRule type="colorScale" priority="14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82:AD182">
    <cfRule type="colorScale" priority="14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83:AD183">
    <cfRule type="colorScale" priority="14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84:AD184">
    <cfRule type="colorScale" priority="14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85:AD185">
    <cfRule type="colorScale" priority="14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86:AD186">
    <cfRule type="colorScale" priority="14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87:AD187">
    <cfRule type="colorScale" priority="15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88:AD188">
    <cfRule type="colorScale" priority="15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89:AD189">
    <cfRule type="colorScale" priority="15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90:AD190">
    <cfRule type="colorScale" priority="15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91:AD191">
    <cfRule type="colorScale" priority="15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92:AD192">
    <cfRule type="colorScale" priority="15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93:AD193">
    <cfRule type="colorScale" priority="15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94:AD194">
    <cfRule type="colorScale" priority="15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95:AD195">
    <cfRule type="colorScale" priority="15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96:AD196">
    <cfRule type="colorScale" priority="15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97:AD197">
    <cfRule type="colorScale" priority="15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98:AD198">
    <cfRule type="colorScale" priority="15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99:AD199">
    <cfRule type="colorScale" priority="15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00:AD200">
    <cfRule type="colorScale" priority="15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01:AD201">
    <cfRule type="colorScale" priority="15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02:AD202">
    <cfRule type="colorScale" priority="15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03:AD203">
    <cfRule type="colorScale" priority="15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04:AD204">
    <cfRule type="colorScale" priority="15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05:AD205">
    <cfRule type="colorScale" priority="15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06:AD206">
    <cfRule type="colorScale" priority="15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07:AD207">
    <cfRule type="colorScale" priority="15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08:AD208">
    <cfRule type="colorScale" priority="15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09:AD209">
    <cfRule type="colorScale" priority="15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10:AD210">
    <cfRule type="colorScale" priority="15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11:AD211">
    <cfRule type="colorScale" priority="15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12:AD212">
    <cfRule type="colorScale" priority="15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13:AD213">
    <cfRule type="colorScale" priority="15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14:AD214">
    <cfRule type="colorScale" priority="15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15:AD218">
    <cfRule type="colorScale" priority="15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19:AD220">
    <cfRule type="colorScale" priority="15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21:AD223">
    <cfRule type="colorScale" priority="15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24:AD224">
    <cfRule type="colorScale" priority="15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34:AD234">
    <cfRule type="colorScale" priority="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3:Y24">
    <cfRule type="colorScale" priority="1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25:Y230">
    <cfRule type="colorScale" priority="11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31:Y232">
    <cfRule type="colorScale" priority="11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3:Z24">
    <cfRule type="colorScale" priority="1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25:Z230">
    <cfRule type="colorScale" priority="11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31:Z232">
    <cfRule type="colorScale" priority="1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3:AA24">
    <cfRule type="colorScale" priority="11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25:AA230">
    <cfRule type="colorScale" priority="1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31:AA232">
    <cfRule type="colorScale" priority="11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3:AB24">
    <cfRule type="colorScale" priority="11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25:AB230">
    <cfRule type="colorScale" priority="11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31:AB232">
    <cfRule type="colorScale" priority="11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3:AC24">
    <cfRule type="colorScale" priority="11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25:AC230">
    <cfRule type="colorScale" priority="1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31:AC232">
    <cfRule type="colorScale" priority="11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3:AD24">
    <cfRule type="colorScale" priority="10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25:AD230">
    <cfRule type="colorScale" priority="1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31:AD232">
    <cfRule type="colorScale" priority="11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3:AF24">
    <cfRule type="colorScale" priority="6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4">
    <cfRule type="colorScale" priority="6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5:AF230">
    <cfRule type="colorScale" priority="10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31:AF232">
    <cfRule type="colorScale" priority="10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:AL2 AN2:AQ2">
    <cfRule type="colorScale" priority="37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3:AL4 AN3:AQ4">
    <cfRule type="colorScale" priority="38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5:AL5 AN5:AQ5">
    <cfRule type="colorScale" priority="38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6:AL6 AN6:AQ6">
    <cfRule type="colorScale" priority="38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7:AL7 AN7:AQ7">
    <cfRule type="colorScale" priority="38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8:AL8 AN8:AQ8">
    <cfRule type="colorScale" priority="38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9:AL9 AN9:AQ9">
    <cfRule type="colorScale" priority="38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0:AL10 AN10:AQ10">
    <cfRule type="colorScale" priority="38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1:AL11 AN11:AQ11">
    <cfRule type="colorScale" priority="38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2:AL12 AN12:AQ12">
    <cfRule type="colorScale" priority="38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3:AL13 AN13:AQ13">
    <cfRule type="colorScale" priority="38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4:AL14 AN14:AQ14">
    <cfRule type="colorScale" priority="38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5:AL15 AN15:AQ15">
    <cfRule type="colorScale" priority="38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6:AL16 AN16:AQ16">
    <cfRule type="colorScale" priority="38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7:AL17 AN17:AQ17">
    <cfRule type="colorScale" priority="38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8:AL18 AN18:AQ18">
    <cfRule type="colorScale" priority="38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9:AL19 AN19:AQ19">
    <cfRule type="colorScale" priority="38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0:AL20 AN20:AQ20">
    <cfRule type="colorScale" priority="38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1:AL21 AN21:AQ21">
    <cfRule type="colorScale" priority="38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:AL22 AN22:AQ22">
    <cfRule type="colorScale" priority="38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5:AL25 AN25:AQ25">
    <cfRule type="colorScale" priority="38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6:AL26 AN26:AQ26">
    <cfRule type="colorScale" priority="38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7:AL27 AN27:AQ27">
    <cfRule type="colorScale" priority="38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8:AL28 AN28:AQ28">
    <cfRule type="colorScale" priority="38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9:AL29 AN29:AQ29">
    <cfRule type="colorScale" priority="38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30:AL30 AN30:AQ30">
    <cfRule type="colorScale" priority="38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31:AL31 AN31:AQ31">
    <cfRule type="colorScale" priority="39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32:AL32 AN32:AQ32">
    <cfRule type="colorScale" priority="39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33:AL33 AN33:AQ33">
    <cfRule type="colorScale" priority="39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34:AL34 AN34:AQ34">
    <cfRule type="colorScale" priority="39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35:AL35 AN35:AQ35">
    <cfRule type="colorScale" priority="39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36:AL36 AN36:AQ36">
    <cfRule type="colorScale" priority="39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37:AL37 AN37:AQ37">
    <cfRule type="colorScale" priority="39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38:AL38 AN38:AQ38">
    <cfRule type="colorScale" priority="39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39:AL39 AN39:AQ39">
    <cfRule type="colorScale" priority="39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40:AL40 AN40:AQ40">
    <cfRule type="colorScale" priority="39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41:AL41 AN41:AQ41">
    <cfRule type="colorScale" priority="39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42:AL42 AN42:AQ42">
    <cfRule type="colorScale" priority="39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43:AL43 AN43:AQ43">
    <cfRule type="colorScale" priority="39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44:AL44 AN44:AQ44">
    <cfRule type="colorScale" priority="39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45:AL45 AN45:AQ45">
    <cfRule type="colorScale" priority="39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46:AL46 AN46:AQ46">
    <cfRule type="colorScale" priority="39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47:AL47 AN47:AQ47">
    <cfRule type="colorScale" priority="39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48:AL48 AN48:AQ48">
    <cfRule type="colorScale" priority="39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49:AL49 AN49:AQ49">
    <cfRule type="colorScale" priority="39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50:AL50 AN50:AQ50">
    <cfRule type="colorScale" priority="39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51:AL51 AN51:AQ51">
    <cfRule type="colorScale" priority="39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52:AL52 AN52:AQ52">
    <cfRule type="colorScale" priority="39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53:AL53 AN53:AQ53">
    <cfRule type="colorScale" priority="39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54:AL54 AN54:AQ54">
    <cfRule type="colorScale" priority="39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55:AL55 AN55:AQ55">
    <cfRule type="colorScale" priority="39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56:AL56 AN56:AQ56">
    <cfRule type="colorScale" priority="40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57:AL57 AN57:AQ57">
    <cfRule type="colorScale" priority="40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58:AL58 AN58:AQ58">
    <cfRule type="colorScale" priority="40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59:AL59 AN59:AQ59">
    <cfRule type="colorScale" priority="40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60:AL60 AN60:AQ60">
    <cfRule type="colorScale" priority="40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61:AL61 AN61:AQ61">
    <cfRule type="colorScale" priority="40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62:AL62 AN62:AQ62">
    <cfRule type="colorScale" priority="40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63:AL63 AN63:AQ63">
    <cfRule type="colorScale" priority="40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64:AL64 AN64:AQ64">
    <cfRule type="colorScale" priority="40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65:AL65 AN65:AQ65">
    <cfRule type="colorScale" priority="40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66:AL66 AN66:AQ66">
    <cfRule type="colorScale" priority="40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67:AL67 AN67:AQ67">
    <cfRule type="colorScale" priority="40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68:AL68 AN68:AQ68">
    <cfRule type="colorScale" priority="40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69:AL69 AN69:AQ69">
    <cfRule type="colorScale" priority="40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70:AL70 AN70:AQ70">
    <cfRule type="colorScale" priority="40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71:AL71 AN71:AQ71">
    <cfRule type="colorScale" priority="40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72:AL72 AN72:AQ72">
    <cfRule type="colorScale" priority="40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73:AL73 AN73:AQ73">
    <cfRule type="colorScale" priority="40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74:AL74 AN74:AQ74">
    <cfRule type="colorScale" priority="40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75:AL75 AN75:AQ75">
    <cfRule type="colorScale" priority="40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76:AL76 AN76:AQ76">
    <cfRule type="colorScale" priority="40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77:AL77 AN77:AQ77">
    <cfRule type="colorScale" priority="40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78:AL78 AN78:AQ78">
    <cfRule type="colorScale" priority="40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79:AL79 AN79:AQ79">
    <cfRule type="colorScale" priority="40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80:AL80 AN80:AQ80">
    <cfRule type="colorScale" priority="40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81:AL81 AN81:AQ81">
    <cfRule type="colorScale" priority="4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82:AL82 AN82:AQ82">
    <cfRule type="colorScale" priority="4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83:AL83 AN83:AQ83">
    <cfRule type="colorScale" priority="41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84:AL84 AN84:AQ84">
    <cfRule type="colorScale" priority="4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85:AL85 AN85:AQ85">
    <cfRule type="colorScale" priority="41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86:AL86 AN86:AQ86">
    <cfRule type="colorScale" priority="41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87:AL87 AN87:AQ87">
    <cfRule type="colorScale" priority="41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88:AL88 AN88:AQ88">
    <cfRule type="colorScale" priority="4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89:AL89 AN89:AQ89">
    <cfRule type="colorScale" priority="4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90:AL90 AN90:AQ90">
    <cfRule type="colorScale" priority="4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91:AL91 AN91:AQ91">
    <cfRule type="colorScale" priority="41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92:AL92 AN92:AQ92">
    <cfRule type="colorScale" priority="4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93:AL93 AN93:AQ93">
    <cfRule type="colorScale" priority="41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94:AL94 AN94:AQ94">
    <cfRule type="colorScale" priority="41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95:AL95 AN95:AQ95">
    <cfRule type="colorScale" priority="4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96:AL96 AN96:AQ96">
    <cfRule type="colorScale" priority="41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97:AL97 AN97:AQ97">
    <cfRule type="colorScale" priority="41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98:AL98 AN98:AQ98">
    <cfRule type="colorScale" priority="41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99:AL99 AN99:AQ99">
    <cfRule type="colorScale" priority="41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00:AL100 AN100:AQ100">
    <cfRule type="colorScale" priority="41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01:AL101 AN101:AQ101">
    <cfRule type="colorScale" priority="41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02:AL102 AN102:AQ102">
    <cfRule type="colorScale" priority="41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03:AL103 AN103:AQ103">
    <cfRule type="colorScale" priority="41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04:AL104 AN104:AQ104">
    <cfRule type="colorScale" priority="41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05:AL105 AN105:AQ105">
    <cfRule type="colorScale" priority="41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06:AL106 AN106:AQ106">
    <cfRule type="colorScale" priority="42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07:AL107 AN107:AQ107">
    <cfRule type="colorScale" priority="42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08:AL108 AN108:AQ108">
    <cfRule type="colorScale" priority="4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09:AL109 AN109:AQ109">
    <cfRule type="colorScale" priority="42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10:AL110 AN110:AQ110">
    <cfRule type="colorScale" priority="42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11:AL111 AN111:AQ111">
    <cfRule type="colorScale" priority="42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12:AL112 AN112:AQ112">
    <cfRule type="colorScale" priority="42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13:AL113 AN113:AQ113">
    <cfRule type="colorScale" priority="42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14:AL114 AN114:AQ114">
    <cfRule type="colorScale" priority="4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15:AL115 AN115:AQ115">
    <cfRule type="colorScale" priority="42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16:AL116 AN116:AQ116">
    <cfRule type="colorScale" priority="4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17:AL117 AN117:AQ117">
    <cfRule type="colorScale" priority="42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18:AL118 AN118:AQ118">
    <cfRule type="colorScale" priority="42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19:AL119 AN119:AQ119">
    <cfRule type="colorScale" priority="42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20:AL120 AN120:AQ120">
    <cfRule type="colorScale" priority="42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21:AL121 AN121:AQ121">
    <cfRule type="colorScale" priority="42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22:AL122 AN122:AQ122">
    <cfRule type="colorScale" priority="42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23:AL123 AN123:AQ123">
    <cfRule type="colorScale" priority="42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24:AL124 AN124:AQ124">
    <cfRule type="colorScale" priority="42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25:AL125 AN125:AQ125">
    <cfRule type="colorScale" priority="42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26:AL126 AN126:AQ126">
    <cfRule type="colorScale" priority="42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27:AL127 AN127:AQ127">
    <cfRule type="colorScale" priority="42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28:AL128 AN128:AQ128">
    <cfRule type="colorScale" priority="42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29:AL129 AN129:AQ129">
    <cfRule type="colorScale" priority="42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30:AL130 AN130:AQ130">
    <cfRule type="colorScale" priority="42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31:AL131 AN131:AQ131">
    <cfRule type="colorScale" priority="43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32:AL132 AN132:AQ132">
    <cfRule type="colorScale" priority="43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33:AL133 AN133:AQ133">
    <cfRule type="colorScale" priority="43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34:AL134 AN134:AQ134">
    <cfRule type="colorScale" priority="43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35:AL135 AN135:AQ135">
    <cfRule type="colorScale" priority="43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36:AL136 AN136:AQ136">
    <cfRule type="colorScale" priority="43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37:AL137 AN137:AQ137">
    <cfRule type="colorScale" priority="43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38:AL138 AN138:AQ138">
    <cfRule type="colorScale" priority="43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39:AL139 AN139:AQ139">
    <cfRule type="colorScale" priority="43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40:AL140 AN140:AQ140">
    <cfRule type="colorScale" priority="43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41:AL141 AN141:AQ141">
    <cfRule type="colorScale" priority="43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42:AL142 AN142:AQ142">
    <cfRule type="colorScale" priority="43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43:AL143 AN143:AQ143">
    <cfRule type="colorScale" priority="43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44:AL144 AN144:AQ144">
    <cfRule type="colorScale" priority="43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45:AL145 AN145:AQ145">
    <cfRule type="colorScale" priority="43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46:AL146 AN146:AQ146">
    <cfRule type="colorScale" priority="43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47:AL147 AN147:AQ147">
    <cfRule type="colorScale" priority="43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48:AL148 AN148:AQ148">
    <cfRule type="colorScale" priority="43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49:AL149 AN149:AQ149">
    <cfRule type="colorScale" priority="43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50:AL150 AN150:AQ150">
    <cfRule type="colorScale" priority="43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51:AL151 AN151:AQ151">
    <cfRule type="colorScale" priority="43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52:AL152 AN152:AQ152">
    <cfRule type="colorScale" priority="43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53:AL153 AN153:AQ153">
    <cfRule type="colorScale" priority="43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54:AL154 AN154:AQ154">
    <cfRule type="colorScale" priority="43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55:AL155 AN155:AQ155">
    <cfRule type="colorScale" priority="43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56:AL156 AN156:AQ156">
    <cfRule type="colorScale" priority="44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57:AL157 AN157:AQ157">
    <cfRule type="colorScale" priority="44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58:AL158 AN158:AQ158">
    <cfRule type="colorScale" priority="44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59:AL159 AN159:AQ159">
    <cfRule type="colorScale" priority="44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60:AL160 AN160:AQ160">
    <cfRule type="colorScale" priority="44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61:AL161 AN161:AQ161">
    <cfRule type="colorScale" priority="44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62:AL162 AN162:AQ162">
    <cfRule type="colorScale" priority="44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63:AL163 AN163:AQ163">
    <cfRule type="colorScale" priority="44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64:AL164 AN164:AQ164">
    <cfRule type="colorScale" priority="44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65:AL165 AN165:AQ165">
    <cfRule type="colorScale" priority="44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66:AL166 AN166:AQ166">
    <cfRule type="colorScale" priority="44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67:AL167 AN167:AQ167">
    <cfRule type="colorScale" priority="44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68:AL168 AN168:AQ168">
    <cfRule type="colorScale" priority="44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69:AL169 AN169:AQ169">
    <cfRule type="colorScale" priority="44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70:AL170 AN170:AQ170">
    <cfRule type="colorScale" priority="44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71:AL171 AN171:AQ171">
    <cfRule type="colorScale" priority="44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72:AL172 AN172:AQ172">
    <cfRule type="colorScale" priority="44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73:AL173 AN173:AQ173">
    <cfRule type="colorScale" priority="44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74:AL174 AN174:AQ174">
    <cfRule type="colorScale" priority="44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75:AL175 AN175:AQ175">
    <cfRule type="colorScale" priority="44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76:AL176 AN176:AQ176">
    <cfRule type="colorScale" priority="44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77:AL177 AN177:AQ177">
    <cfRule type="colorScale" priority="44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78:AL178 AN178:AQ178">
    <cfRule type="colorScale" priority="44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79:AL179 AN179:AQ179">
    <cfRule type="colorScale" priority="44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80:AL180 AN180:AQ180">
    <cfRule type="colorScale" priority="44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81:AL181 AN181:AQ181">
    <cfRule type="colorScale" priority="45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82:AL182 AN182:AQ182">
    <cfRule type="colorScale" priority="45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83:AL183 AN183:AQ183">
    <cfRule type="colorScale" priority="45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84:AL184 AN184:AQ184">
    <cfRule type="colorScale" priority="45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85:AL185 AN185:AQ185">
    <cfRule type="colorScale" priority="45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86:AL186 AN186:AQ186">
    <cfRule type="colorScale" priority="45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87:AL187 AN187:AQ187">
    <cfRule type="colorScale" priority="45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88:AL188 AN188:AQ188">
    <cfRule type="colorScale" priority="45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89:AL189 AN189:AQ189">
    <cfRule type="colorScale" priority="45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90:AL190 AN190:AQ190">
    <cfRule type="colorScale" priority="45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91:AL191 AN191:AQ191">
    <cfRule type="colorScale" priority="45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92:AL192 AN192:AQ192">
    <cfRule type="colorScale" priority="45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93:AL193 AN193:AQ193">
    <cfRule type="colorScale" priority="45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94:AL194 AN194:AQ194">
    <cfRule type="colorScale" priority="45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95:AL195 AN195:AQ195">
    <cfRule type="colorScale" priority="45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96:AL196 AN196:AQ196">
    <cfRule type="colorScale" priority="45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97:AL197 AN197:AQ197">
    <cfRule type="colorScale" priority="45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98:AL198 AN198:AQ198">
    <cfRule type="colorScale" priority="45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99:AL199 AN199:AQ199">
    <cfRule type="colorScale" priority="45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00:AL200 AN200:AQ200">
    <cfRule type="colorScale" priority="45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01:AL201 AN201:AQ201">
    <cfRule type="colorScale" priority="45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02:AL202 AN202:AQ202">
    <cfRule type="colorScale" priority="45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03:AL203 AN203:AQ203">
    <cfRule type="colorScale" priority="45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04:AL204 AN204:AQ204">
    <cfRule type="colorScale" priority="45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05:AL205 AN205:AQ205">
    <cfRule type="colorScale" priority="45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06:AL206 AN206:AQ206">
    <cfRule type="colorScale" priority="46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07:AL207 AN207:AQ207">
    <cfRule type="colorScale" priority="46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08:AL208">
    <cfRule type="colorScale" priority="46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09:AL209 AN209:AQ209">
    <cfRule type="colorScale" priority="46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10:AL210 AN210:AQ210">
    <cfRule type="colorScale" priority="46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11:AL211 AN211:AQ211">
    <cfRule type="colorScale" priority="46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12:AL212">
    <cfRule type="colorScale" priority="46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13:AL213 AN213:AQ213">
    <cfRule type="colorScale" priority="46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14:AL214 AN214:AQ214">
    <cfRule type="colorScale" priority="46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15:AL218 AN215:AQ218">
    <cfRule type="colorScale" priority="46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19:AL220 AN219:AQ220">
    <cfRule type="colorScale" priority="46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1:AL223 AN221:AQ223">
    <cfRule type="colorScale" priority="46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4:AL224">
    <cfRule type="colorScale" priority="46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34:AL234 AN234:AQ234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3:AG24">
    <cfRule type="colorScale" priority="6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4">
    <cfRule type="colorScale" priority="6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5:AG230">
    <cfRule type="colorScale" priority="6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31:AG232">
    <cfRule type="colorScale" priority="6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3:AH24">
    <cfRule type="colorScale" priority="6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4">
    <cfRule type="colorScale" priority="6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5:AH230">
    <cfRule type="colorScale" priority="6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31:AH232">
    <cfRule type="colorScale" priority="6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3:AI24">
    <cfRule type="colorScale" priority="6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4">
    <cfRule type="colorScale" priority="6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5:AI230">
    <cfRule type="colorScale" priority="6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31:AI232">
    <cfRule type="colorScale" priority="6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3:AJ24">
    <cfRule type="colorScale" priority="6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4">
    <cfRule type="colorScale" priority="6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5:AJ230">
    <cfRule type="colorScale" priority="6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31:AJ232">
    <cfRule type="colorScale" priority="6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3:AK24">
    <cfRule type="colorScale" priority="6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4">
    <cfRule type="colorScale" priority="6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5:AK230">
    <cfRule type="colorScale" priority="6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31:AK232">
    <cfRule type="colorScale" priority="6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3:AL24">
    <cfRule type="colorScale" priority="6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25:AL230">
    <cfRule type="colorScale" priority="6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31:AL232">
    <cfRule type="colorScale" priority="6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3:AQ24">
    <cfRule type="colorScale" priority="1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08:AQ208">
    <cfRule type="colorScale" priority="46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12:AQ212">
    <cfRule type="colorScale" priority="46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4:AQ224">
    <cfRule type="colorScale" priority="46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5:AQ230">
    <cfRule type="colorScale" priority="1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31:AQ232">
    <cfRule type="colorScale" priority="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">
    <cfRule type="colorScale" priority="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3:AS4">
    <cfRule type="colorScale" priority="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5">
    <cfRule type="colorScale" priority="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6">
    <cfRule type="colorScale" priority="1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7">
    <cfRule type="colorScale" priority="1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8">
    <cfRule type="colorScale" priority="1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9">
    <cfRule type="colorScale" priority="1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0">
    <cfRule type="colorScale" priority="1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1">
    <cfRule type="colorScale" priority="1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2">
    <cfRule type="colorScale" priority="1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3"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4">
    <cfRule type="colorScale" priority="1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5">
    <cfRule type="colorScale" priority="1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6">
    <cfRule type="colorScale" priority="1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7">
    <cfRule type="colorScale" priority="1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8">
    <cfRule type="colorScale" priority="1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9">
    <cfRule type="colorScale" priority="1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0">
    <cfRule type="colorScale" priority="1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1">
    <cfRule type="colorScale" priority="1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2">
    <cfRule type="colorScale" priority="1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3:AS24">
    <cfRule type="colorScale" priority="1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5">
    <cfRule type="colorScale" priority="1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6">
    <cfRule type="colorScale" priority="1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7">
    <cfRule type="colorScale" priority="1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8">
    <cfRule type="colorScale" priority="1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9">
    <cfRule type="colorScale" priority="1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30">
    <cfRule type="colorScale" priority="1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31">
    <cfRule type="colorScale" priority="1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32">
    <cfRule type="colorScale" priority="1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33">
    <cfRule type="colorScale" priority="1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34">
    <cfRule type="colorScale" priority="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35">
    <cfRule type="colorScale" priority="1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36">
    <cfRule type="colorScale" priority="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37">
    <cfRule type="colorScale" priority="1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38">
    <cfRule type="colorScale" priority="2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39"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40"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41"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42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43"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44">
    <cfRule type="colorScale" priority="2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45">
    <cfRule type="colorScale" priority="2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46">
    <cfRule type="colorScale" priority="2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47">
    <cfRule type="colorScale" priority="2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48"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49">
    <cfRule type="colorScale" priority="2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50">
    <cfRule type="colorScale" priority="2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51">
    <cfRule type="colorScale" priority="2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52">
    <cfRule type="colorScale" priority="2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53">
    <cfRule type="colorScale" priority="2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54">
    <cfRule type="colorScale" priority="2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55">
    <cfRule type="colorScale" priority="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56">
    <cfRule type="colorScale" priority="2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57">
    <cfRule type="colorScale" priority="2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58">
    <cfRule type="colorScale" priority="2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59">
    <cfRule type="colorScale" priority="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60">
    <cfRule type="colorScale" priority="2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61">
    <cfRule type="colorScale" priority="2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62">
    <cfRule type="colorScale" priority="2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63">
    <cfRule type="colorScale" priority="2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64">
    <cfRule type="colorScale" priority="2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65">
    <cfRule type="colorScale" priority="2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66">
    <cfRule type="colorScale" priority="2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67">
    <cfRule type="colorScale" priority="2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68">
    <cfRule type="colorScale" priority="2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69">
    <cfRule type="colorScale" priority="2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70">
    <cfRule type="colorScale" priority="2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71">
    <cfRule type="colorScale" priority="2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72">
    <cfRule type="colorScale" priority="2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73">
    <cfRule type="colorScale" priority="2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74">
    <cfRule type="colorScale" priority="2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75">
    <cfRule type="colorScale" priority="2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76">
    <cfRule type="colorScale" priority="2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77">
    <cfRule type="colorScale" priority="2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78">
    <cfRule type="colorScale" priority="2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79">
    <cfRule type="colorScale" priority="2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80">
    <cfRule type="colorScale" priority="2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81">
    <cfRule type="colorScale" priority="2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82">
    <cfRule type="colorScale" priority="2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83">
    <cfRule type="colorScale" priority="2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84">
    <cfRule type="colorScale" priority="2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85">
    <cfRule type="colorScale" priority="2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86">
    <cfRule type="colorScale" priority="2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87">
    <cfRule type="colorScale" priority="2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88">
    <cfRule type="colorScale" priority="2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89">
    <cfRule type="colorScale" priority="3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90">
    <cfRule type="colorScale" priority="3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91">
    <cfRule type="colorScale" priority="3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92">
    <cfRule type="colorScale" priority="3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93">
    <cfRule type="colorScale" priority="3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94">
    <cfRule type="colorScale" priority="3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95">
    <cfRule type="colorScale" priority="3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96">
    <cfRule type="colorScale" priority="3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97">
    <cfRule type="colorScale" priority="3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98">
    <cfRule type="colorScale" priority="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99">
    <cfRule type="colorScale" priority="3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00">
    <cfRule type="colorScale" priority="3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01">
    <cfRule type="colorScale" priority="3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02">
    <cfRule type="colorScale" priority="3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03">
    <cfRule type="colorScale" priority="3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04">
    <cfRule type="colorScale" priority="3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05">
    <cfRule type="colorScale" priority="3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06">
    <cfRule type="colorScale" priority="3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07">
    <cfRule type="colorScale" priority="3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08">
    <cfRule type="colorScale" priority="3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09">
    <cfRule type="colorScale" priority="3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10">
    <cfRule type="colorScale" priority="3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11">
    <cfRule type="colorScale" priority="3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12">
    <cfRule type="colorScale" priority="3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13">
    <cfRule type="colorScale" priority="3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14">
    <cfRule type="colorScale" priority="3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15">
    <cfRule type="colorScale" priority="3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16">
    <cfRule type="colorScale" priority="3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17">
    <cfRule type="colorScale" priority="3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18">
    <cfRule type="colorScale" priority="3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19">
    <cfRule type="colorScale" priority="3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20">
    <cfRule type="colorScale" priority="3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21">
    <cfRule type="colorScale" priority="3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22">
    <cfRule type="colorScale" priority="3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23">
    <cfRule type="colorScale" priority="3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24">
    <cfRule type="colorScale" priority="3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25">
    <cfRule type="colorScale" priority="3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26">
    <cfRule type="colorScale" priority="3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27">
    <cfRule type="colorScale" priority="3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28">
    <cfRule type="colorScale" priority="3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29">
    <cfRule type="colorScale" priority="3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30">
    <cfRule type="colorScale" priority="3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31">
    <cfRule type="colorScale" priority="3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32">
    <cfRule type="colorScale" priority="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33">
    <cfRule type="colorScale" priority="3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34">
    <cfRule type="colorScale" priority="3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35">
    <cfRule type="colorScale" priority="3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36">
    <cfRule type="colorScale" priority="3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37">
    <cfRule type="colorScale" priority="3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38">
    <cfRule type="colorScale" priority="4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39">
    <cfRule type="colorScale" priority="4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40">
    <cfRule type="colorScale" priority="4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41">
    <cfRule type="colorScale" priority="4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42">
    <cfRule type="colorScale" priority="4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43">
    <cfRule type="colorScale" priority="4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44">
    <cfRule type="colorScale" priority="4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45">
    <cfRule type="colorScale" priority="4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46">
    <cfRule type="colorScale" priority="4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47">
    <cfRule type="colorScale" priority="4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48">
    <cfRule type="colorScale" priority="4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49">
    <cfRule type="colorScale" priority="4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50">
    <cfRule type="colorScale" priority="4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51">
    <cfRule type="colorScale" priority="4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52">
    <cfRule type="colorScale" priority="4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53">
    <cfRule type="colorScale" priority="4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54">
    <cfRule type="colorScale" priority="4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55">
    <cfRule type="colorScale" priority="4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56">
    <cfRule type="colorScale" priority="4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57">
    <cfRule type="colorScale" priority="4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58">
    <cfRule type="colorScale" priority="4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59">
    <cfRule type="colorScale" priority="4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60">
    <cfRule type="colorScale" priority="4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61">
    <cfRule type="colorScale" priority="4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62">
    <cfRule type="colorScale" priority="4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63">
    <cfRule type="colorScale" priority="4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64">
    <cfRule type="colorScale" priority="4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65">
    <cfRule type="colorScale" priority="4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66">
    <cfRule type="colorScale" priority="4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67">
    <cfRule type="colorScale" priority="4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68">
    <cfRule type="colorScale" priority="4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69">
    <cfRule type="colorScale" priority="4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70">
    <cfRule type="colorScale" priority="4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71">
    <cfRule type="colorScale" priority="4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72">
    <cfRule type="colorScale" priority="4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73">
    <cfRule type="colorScale" priority="4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74">
    <cfRule type="colorScale" priority="4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75">
    <cfRule type="colorScale" priority="4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76">
    <cfRule type="colorScale" priority="4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77">
    <cfRule type="colorScale" priority="4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78">
    <cfRule type="colorScale" priority="4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79">
    <cfRule type="colorScale" priority="4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80">
    <cfRule type="colorScale" priority="4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81">
    <cfRule type="colorScale" priority="4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82">
    <cfRule type="colorScale" priority="4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83">
    <cfRule type="colorScale" priority="4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84">
    <cfRule type="colorScale" priority="4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85">
    <cfRule type="colorScale" priority="4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86">
    <cfRule type="colorScale" priority="4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87">
    <cfRule type="colorScale" priority="4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88">
    <cfRule type="colorScale" priority="4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89">
    <cfRule type="colorScale" priority="5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90">
    <cfRule type="colorScale" priority="5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91">
    <cfRule type="colorScale" priority="5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92">
    <cfRule type="colorScale" priority="5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93">
    <cfRule type="colorScale" priority="5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94">
    <cfRule type="colorScale" priority="5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95">
    <cfRule type="colorScale" priority="5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96">
    <cfRule type="colorScale" priority="5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97">
    <cfRule type="colorScale" priority="5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98">
    <cfRule type="colorScale" priority="5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199">
    <cfRule type="colorScale" priority="5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00">
    <cfRule type="colorScale" priority="5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01">
    <cfRule type="colorScale" priority="5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02">
    <cfRule type="colorScale" priority="5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03">
    <cfRule type="colorScale" priority="5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04">
    <cfRule type="colorScale" priority="5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05">
    <cfRule type="colorScale" priority="5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06">
    <cfRule type="colorScale" priority="5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07">
    <cfRule type="colorScale" priority="5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08">
    <cfRule type="colorScale" priority="5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09">
    <cfRule type="colorScale" priority="5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10">
    <cfRule type="colorScale" priority="5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11">
    <cfRule type="colorScale" priority="5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12">
    <cfRule type="colorScale" priority="5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13">
    <cfRule type="colorScale" priority="5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14">
    <cfRule type="colorScale" priority="5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15:AS218">
    <cfRule type="colorScale" priority="5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19:AS220">
    <cfRule type="colorScale" priority="5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21:AS223">
    <cfRule type="colorScale" priority="5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24">
    <cfRule type="colorScale" priority="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25:AS230">
    <cfRule type="colorScale" priority="1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31:AS232">
    <cfRule type="colorScale" priority="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34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23:AV24 T23:W24 G23:G24 O23:Q24 I23:K24">
    <cfRule type="colorScale" priority="29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212 G212 O212:Q212 I212:K213">
    <cfRule type="colorScale" priority="33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225:AV230 T225:W230 G225:G229 O225:Q230 I225:K228">
    <cfRule type="colorScale" priority="46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231:AV232 T231:W232 G231:G233 O231:Q233 T233:AV233 I233 I231:K232">
    <cfRule type="colorScale" priority="33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defaultColWidth="11.42578125" defaultRowHeight="15" x14ac:dyDescent="0.25"/>
  <cols>
    <col min="1" max="2" width="35.7109375" customWidth="1"/>
    <col min="3" max="3" width="49.5703125" customWidth="1"/>
  </cols>
  <sheetData>
    <row r="1" spans="1:3" s="1" customFormat="1" x14ac:dyDescent="0.25">
      <c r="A1" s="1" t="s">
        <v>285</v>
      </c>
      <c r="B1" s="1" t="s">
        <v>286</v>
      </c>
      <c r="C1" s="1" t="s">
        <v>287</v>
      </c>
    </row>
    <row r="2" spans="1:3" x14ac:dyDescent="0.25">
      <c r="A2" t="s">
        <v>205</v>
      </c>
      <c r="B2" t="s">
        <v>2</v>
      </c>
      <c r="C2" t="str">
        <f>IF(ISNA(VLOOKUP(A2,$B$2:$B$170,1,FALSE)),A2,"")</f>
        <v>pi</v>
      </c>
    </row>
    <row r="3" spans="1:3" x14ac:dyDescent="0.25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25">
      <c r="A4" t="s">
        <v>39</v>
      </c>
      <c r="B4" t="s">
        <v>4</v>
      </c>
      <c r="C4" t="str">
        <f t="shared" si="0"/>
        <v/>
      </c>
    </row>
    <row r="5" spans="1:3" x14ac:dyDescent="0.25">
      <c r="A5" t="s">
        <v>206</v>
      </c>
      <c r="B5" t="s">
        <v>5</v>
      </c>
      <c r="C5" t="str">
        <f t="shared" si="0"/>
        <v/>
      </c>
    </row>
    <row r="6" spans="1:3" x14ac:dyDescent="0.25">
      <c r="A6" t="s">
        <v>41</v>
      </c>
      <c r="B6" t="s">
        <v>20</v>
      </c>
      <c r="C6" t="str">
        <f t="shared" si="0"/>
        <v/>
      </c>
    </row>
    <row r="7" spans="1:3" x14ac:dyDescent="0.25">
      <c r="A7" t="s">
        <v>40</v>
      </c>
      <c r="B7" t="s">
        <v>0</v>
      </c>
      <c r="C7" t="str">
        <f t="shared" si="0"/>
        <v/>
      </c>
    </row>
    <row r="8" spans="1:3" x14ac:dyDescent="0.25">
      <c r="A8" t="s">
        <v>44</v>
      </c>
      <c r="B8" t="s">
        <v>1</v>
      </c>
      <c r="C8" t="str">
        <f t="shared" si="0"/>
        <v/>
      </c>
    </row>
    <row r="9" spans="1:3" x14ac:dyDescent="0.25">
      <c r="A9" t="s">
        <v>49</v>
      </c>
      <c r="B9" t="s">
        <v>6</v>
      </c>
      <c r="C9" t="str">
        <f t="shared" si="0"/>
        <v/>
      </c>
    </row>
    <row r="10" spans="1:3" x14ac:dyDescent="0.25">
      <c r="A10" t="s">
        <v>47</v>
      </c>
      <c r="B10" t="s">
        <v>7</v>
      </c>
      <c r="C10" t="str">
        <f t="shared" si="0"/>
        <v/>
      </c>
    </row>
    <row r="11" spans="1:3" x14ac:dyDescent="0.25">
      <c r="A11" t="s">
        <v>48</v>
      </c>
      <c r="B11" t="s">
        <v>8</v>
      </c>
      <c r="C11" t="str">
        <f t="shared" si="0"/>
        <v/>
      </c>
    </row>
    <row r="12" spans="1:3" x14ac:dyDescent="0.25">
      <c r="A12" t="s">
        <v>46</v>
      </c>
      <c r="B12" t="s">
        <v>9</v>
      </c>
      <c r="C12" t="str">
        <f t="shared" si="0"/>
        <v/>
      </c>
    </row>
    <row r="13" spans="1:3" x14ac:dyDescent="0.25">
      <c r="A13" t="s">
        <v>45</v>
      </c>
      <c r="B13" t="s">
        <v>10</v>
      </c>
      <c r="C13" t="str">
        <f t="shared" si="0"/>
        <v/>
      </c>
    </row>
    <row r="14" spans="1:3" x14ac:dyDescent="0.25">
      <c r="A14" t="s">
        <v>90</v>
      </c>
      <c r="B14" t="s">
        <v>11</v>
      </c>
      <c r="C14" t="str">
        <f t="shared" si="0"/>
        <v/>
      </c>
    </row>
    <row r="15" spans="1:3" x14ac:dyDescent="0.25">
      <c r="A15" t="s">
        <v>42</v>
      </c>
      <c r="B15" t="s">
        <v>12</v>
      </c>
      <c r="C15" t="str">
        <f t="shared" si="0"/>
        <v/>
      </c>
    </row>
    <row r="16" spans="1:3" x14ac:dyDescent="0.25">
      <c r="A16" t="s">
        <v>207</v>
      </c>
      <c r="B16" t="s">
        <v>13</v>
      </c>
      <c r="C16" t="str">
        <f t="shared" si="0"/>
        <v/>
      </c>
    </row>
    <row r="17" spans="1:3" x14ac:dyDescent="0.25">
      <c r="A17" t="s">
        <v>43</v>
      </c>
      <c r="B17" t="s">
        <v>14</v>
      </c>
      <c r="C17" t="str">
        <f t="shared" si="0"/>
        <v/>
      </c>
    </row>
    <row r="18" spans="1:3" x14ac:dyDescent="0.25">
      <c r="A18" t="s">
        <v>50</v>
      </c>
      <c r="B18" t="s">
        <v>15</v>
      </c>
      <c r="C18" t="str">
        <f t="shared" si="0"/>
        <v/>
      </c>
    </row>
    <row r="19" spans="1:3" x14ac:dyDescent="0.25">
      <c r="A19" t="s">
        <v>204</v>
      </c>
      <c r="B19" t="s">
        <v>16</v>
      </c>
      <c r="C19" t="str">
        <f t="shared" si="0"/>
        <v/>
      </c>
    </row>
    <row r="20" spans="1:3" x14ac:dyDescent="0.25">
      <c r="A20" t="s">
        <v>51</v>
      </c>
      <c r="B20" t="s">
        <v>17</v>
      </c>
      <c r="C20" t="str">
        <f t="shared" si="0"/>
        <v/>
      </c>
    </row>
    <row r="21" spans="1:3" x14ac:dyDescent="0.25">
      <c r="A21" t="s">
        <v>52</v>
      </c>
      <c r="B21" t="s">
        <v>18</v>
      </c>
      <c r="C21" t="str">
        <f t="shared" si="0"/>
        <v/>
      </c>
    </row>
    <row r="22" spans="1:3" x14ac:dyDescent="0.25">
      <c r="A22" t="s">
        <v>53</v>
      </c>
      <c r="B22" t="s">
        <v>19</v>
      </c>
      <c r="C22" t="str">
        <f t="shared" si="0"/>
        <v/>
      </c>
    </row>
    <row r="23" spans="1:3" x14ac:dyDescent="0.25">
      <c r="A23" t="s">
        <v>55</v>
      </c>
      <c r="B23" t="s">
        <v>21</v>
      </c>
      <c r="C23" t="str">
        <f t="shared" si="0"/>
        <v/>
      </c>
    </row>
    <row r="24" spans="1:3" x14ac:dyDescent="0.25">
      <c r="A24" t="s">
        <v>54</v>
      </c>
      <c r="B24" t="s">
        <v>22</v>
      </c>
      <c r="C24" t="str">
        <f t="shared" si="0"/>
        <v/>
      </c>
    </row>
    <row r="25" spans="1:3" x14ac:dyDescent="0.25">
      <c r="A25" t="s">
        <v>60</v>
      </c>
      <c r="B25" t="s">
        <v>23</v>
      </c>
      <c r="C25" t="str">
        <f t="shared" si="0"/>
        <v/>
      </c>
    </row>
    <row r="26" spans="1:3" x14ac:dyDescent="0.25">
      <c r="A26" t="s">
        <v>208</v>
      </c>
      <c r="B26" t="s">
        <v>24</v>
      </c>
      <c r="C26" t="str">
        <f t="shared" si="0"/>
        <v/>
      </c>
    </row>
    <row r="27" spans="1:3" x14ac:dyDescent="0.25">
      <c r="A27" t="s">
        <v>209</v>
      </c>
      <c r="B27" t="s">
        <v>25</v>
      </c>
      <c r="C27" t="str">
        <f t="shared" si="0"/>
        <v>root_growth_T_ref</v>
      </c>
    </row>
    <row r="28" spans="1:3" x14ac:dyDescent="0.25">
      <c r="A28" t="s">
        <v>210</v>
      </c>
      <c r="B28" t="s">
        <v>26</v>
      </c>
      <c r="C28" t="str">
        <f t="shared" si="0"/>
        <v>root_growth_A</v>
      </c>
    </row>
    <row r="29" spans="1:3" x14ac:dyDescent="0.25">
      <c r="A29" t="s">
        <v>211</v>
      </c>
      <c r="B29" t="s">
        <v>27</v>
      </c>
      <c r="C29" t="str">
        <f t="shared" si="0"/>
        <v>root_growth_B</v>
      </c>
    </row>
    <row r="30" spans="1:3" x14ac:dyDescent="0.25">
      <c r="A30" t="s">
        <v>212</v>
      </c>
      <c r="B30" t="s">
        <v>28</v>
      </c>
      <c r="C30" t="str">
        <f t="shared" si="0"/>
        <v>root_growth_C</v>
      </c>
    </row>
    <row r="31" spans="1:3" x14ac:dyDescent="0.25">
      <c r="A31" t="s">
        <v>213</v>
      </c>
      <c r="B31" t="s">
        <v>29</v>
      </c>
      <c r="C31" t="str">
        <f t="shared" si="0"/>
        <v/>
      </c>
    </row>
    <row r="32" spans="1:3" x14ac:dyDescent="0.25">
      <c r="A32" t="s">
        <v>214</v>
      </c>
      <c r="B32" t="s">
        <v>30</v>
      </c>
      <c r="C32" t="str">
        <f t="shared" si="0"/>
        <v/>
      </c>
    </row>
    <row r="33" spans="1:3" x14ac:dyDescent="0.25">
      <c r="A33" t="s">
        <v>215</v>
      </c>
      <c r="B33" t="s">
        <v>31</v>
      </c>
      <c r="C33" t="str">
        <f t="shared" si="0"/>
        <v/>
      </c>
    </row>
    <row r="34" spans="1:3" x14ac:dyDescent="0.25">
      <c r="A34" t="s">
        <v>216</v>
      </c>
      <c r="B34" t="s">
        <v>32</v>
      </c>
      <c r="C34" t="str">
        <f t="shared" si="0"/>
        <v/>
      </c>
    </row>
    <row r="35" spans="1:3" x14ac:dyDescent="0.25">
      <c r="A35" t="s">
        <v>217</v>
      </c>
      <c r="B35" t="s">
        <v>33</v>
      </c>
      <c r="C35" t="str">
        <f t="shared" si="0"/>
        <v/>
      </c>
    </row>
    <row r="36" spans="1:3" x14ac:dyDescent="0.25">
      <c r="A36" t="s">
        <v>61</v>
      </c>
      <c r="B36" t="s">
        <v>34</v>
      </c>
      <c r="C36" t="str">
        <f t="shared" si="0"/>
        <v/>
      </c>
    </row>
    <row r="37" spans="1:3" x14ac:dyDescent="0.25">
      <c r="A37" t="s">
        <v>75</v>
      </c>
      <c r="B37" t="s">
        <v>35</v>
      </c>
      <c r="C37" t="str">
        <f t="shared" si="0"/>
        <v/>
      </c>
    </row>
    <row r="38" spans="1:3" x14ac:dyDescent="0.25">
      <c r="A38" t="s">
        <v>218</v>
      </c>
      <c r="B38" t="s">
        <v>36</v>
      </c>
      <c r="C38" t="str">
        <f t="shared" si="0"/>
        <v/>
      </c>
    </row>
    <row r="39" spans="1:3" x14ac:dyDescent="0.25">
      <c r="A39" t="s">
        <v>219</v>
      </c>
      <c r="B39" t="s">
        <v>37</v>
      </c>
      <c r="C39" t="str">
        <f t="shared" si="0"/>
        <v/>
      </c>
    </row>
    <row r="40" spans="1:3" x14ac:dyDescent="0.25">
      <c r="A40" t="s">
        <v>220</v>
      </c>
      <c r="B40" t="s">
        <v>38</v>
      </c>
      <c r="C40" t="str">
        <f t="shared" si="0"/>
        <v/>
      </c>
    </row>
    <row r="41" spans="1:3" x14ac:dyDescent="0.25">
      <c r="A41" t="s">
        <v>221</v>
      </c>
      <c r="B41" t="s">
        <v>39</v>
      </c>
      <c r="C41" t="str">
        <f t="shared" si="0"/>
        <v/>
      </c>
    </row>
    <row r="42" spans="1:3" x14ac:dyDescent="0.25">
      <c r="A42" t="s">
        <v>76</v>
      </c>
      <c r="B42" t="s">
        <v>40</v>
      </c>
      <c r="C42" t="str">
        <f t="shared" si="0"/>
        <v/>
      </c>
    </row>
    <row r="43" spans="1:3" x14ac:dyDescent="0.25">
      <c r="A43" t="s">
        <v>222</v>
      </c>
      <c r="B43" t="s">
        <v>206</v>
      </c>
      <c r="C43" t="str">
        <f t="shared" si="0"/>
        <v>expected_C_sucrose_root</v>
      </c>
    </row>
    <row r="44" spans="1:3" x14ac:dyDescent="0.25">
      <c r="A44" t="s">
        <v>223</v>
      </c>
      <c r="B44" t="s">
        <v>41</v>
      </c>
      <c r="C44" t="str">
        <f t="shared" si="0"/>
        <v>expected_C_hexose_root</v>
      </c>
    </row>
    <row r="45" spans="1:3" x14ac:dyDescent="0.25">
      <c r="A45" t="s">
        <v>224</v>
      </c>
      <c r="B45" t="s">
        <v>90</v>
      </c>
      <c r="C45" t="str">
        <f t="shared" si="0"/>
        <v>expected_C_hexose_soil</v>
      </c>
    </row>
    <row r="46" spans="1:3" x14ac:dyDescent="0.25">
      <c r="A46" t="s">
        <v>225</v>
      </c>
      <c r="B46" t="s">
        <v>42</v>
      </c>
      <c r="C46" t="str">
        <f t="shared" si="0"/>
        <v>expected_C_hexose_reserve</v>
      </c>
    </row>
    <row r="47" spans="1:3" x14ac:dyDescent="0.25">
      <c r="A47" t="s">
        <v>65</v>
      </c>
      <c r="B47" t="s">
        <v>43</v>
      </c>
      <c r="C47" t="str">
        <f t="shared" si="0"/>
        <v/>
      </c>
    </row>
    <row r="48" spans="1:3" x14ac:dyDescent="0.25">
      <c r="A48" t="s">
        <v>77</v>
      </c>
      <c r="B48" t="s">
        <v>44</v>
      </c>
      <c r="C48" t="str">
        <f t="shared" si="0"/>
        <v/>
      </c>
    </row>
    <row r="49" spans="1:3" x14ac:dyDescent="0.25">
      <c r="A49" t="s">
        <v>226</v>
      </c>
      <c r="B49" t="s">
        <v>45</v>
      </c>
      <c r="C49" t="str">
        <f t="shared" si="0"/>
        <v>surfacic_unloading_rate_reference</v>
      </c>
    </row>
    <row r="50" spans="1:3" x14ac:dyDescent="0.25">
      <c r="A50" t="s">
        <v>227</v>
      </c>
      <c r="B50" t="s">
        <v>207</v>
      </c>
      <c r="C50" t="str">
        <f t="shared" si="0"/>
        <v>surfacic_unloading_rate_primordium</v>
      </c>
    </row>
    <row r="51" spans="1:3" x14ac:dyDescent="0.25">
      <c r="A51" t="s">
        <v>66</v>
      </c>
      <c r="B51" t="s">
        <v>46</v>
      </c>
      <c r="C51" t="str">
        <f t="shared" si="0"/>
        <v/>
      </c>
    </row>
    <row r="52" spans="1:3" x14ac:dyDescent="0.25">
      <c r="A52" t="s">
        <v>228</v>
      </c>
      <c r="B52" t="s">
        <v>47</v>
      </c>
      <c r="C52" t="str">
        <f t="shared" si="0"/>
        <v/>
      </c>
    </row>
    <row r="53" spans="1:3" x14ac:dyDescent="0.25">
      <c r="A53" t="s">
        <v>229</v>
      </c>
      <c r="B53" t="s">
        <v>48</v>
      </c>
      <c r="C53" t="str">
        <f t="shared" si="0"/>
        <v/>
      </c>
    </row>
    <row r="54" spans="1:3" x14ac:dyDescent="0.25">
      <c r="A54" t="s">
        <v>230</v>
      </c>
      <c r="B54" t="s">
        <v>49</v>
      </c>
      <c r="C54" t="str">
        <f t="shared" si="0"/>
        <v/>
      </c>
    </row>
    <row r="55" spans="1:3" x14ac:dyDescent="0.25">
      <c r="A55" t="s">
        <v>231</v>
      </c>
      <c r="B55" t="s">
        <v>50</v>
      </c>
      <c r="C55" t="str">
        <f t="shared" si="0"/>
        <v/>
      </c>
    </row>
    <row r="56" spans="1:3" x14ac:dyDescent="0.25">
      <c r="A56" t="s">
        <v>68</v>
      </c>
      <c r="B56" t="s">
        <v>204</v>
      </c>
      <c r="C56" t="str">
        <f t="shared" si="0"/>
        <v/>
      </c>
    </row>
    <row r="57" spans="1:3" x14ac:dyDescent="0.25">
      <c r="A57" t="s">
        <v>232</v>
      </c>
      <c r="B57" t="s">
        <v>51</v>
      </c>
      <c r="C57" t="str">
        <f t="shared" si="0"/>
        <v/>
      </c>
    </row>
    <row r="58" spans="1:3" x14ac:dyDescent="0.25">
      <c r="A58" t="s">
        <v>233</v>
      </c>
      <c r="B58" t="s">
        <v>52</v>
      </c>
      <c r="C58" t="str">
        <f t="shared" si="0"/>
        <v/>
      </c>
    </row>
    <row r="59" spans="1:3" x14ac:dyDescent="0.25">
      <c r="A59" t="s">
        <v>234</v>
      </c>
      <c r="B59" t="s">
        <v>53</v>
      </c>
      <c r="C59" t="str">
        <f t="shared" si="0"/>
        <v/>
      </c>
    </row>
    <row r="60" spans="1:3" x14ac:dyDescent="0.25">
      <c r="A60" t="s">
        <v>235</v>
      </c>
      <c r="B60" t="s">
        <v>54</v>
      </c>
      <c r="C60" t="str">
        <f t="shared" si="0"/>
        <v/>
      </c>
    </row>
    <row r="61" spans="1:3" x14ac:dyDescent="0.25">
      <c r="A61" t="s">
        <v>67</v>
      </c>
      <c r="B61" t="s">
        <v>55</v>
      </c>
      <c r="C61" t="str">
        <f t="shared" si="0"/>
        <v/>
      </c>
    </row>
    <row r="62" spans="1:3" x14ac:dyDescent="0.25">
      <c r="A62" t="s">
        <v>70</v>
      </c>
      <c r="B62" t="s">
        <v>213</v>
      </c>
      <c r="C62" t="str">
        <f t="shared" si="0"/>
        <v/>
      </c>
    </row>
    <row r="63" spans="1:3" x14ac:dyDescent="0.25">
      <c r="A63" t="s">
        <v>69</v>
      </c>
      <c r="B63" t="s">
        <v>214</v>
      </c>
      <c r="C63" t="str">
        <f t="shared" si="0"/>
        <v/>
      </c>
    </row>
    <row r="64" spans="1:3" x14ac:dyDescent="0.25">
      <c r="A64" t="s">
        <v>57</v>
      </c>
      <c r="B64" t="s">
        <v>215</v>
      </c>
      <c r="C64" t="str">
        <f t="shared" si="0"/>
        <v/>
      </c>
    </row>
    <row r="65" spans="1:3" x14ac:dyDescent="0.25">
      <c r="A65" t="s">
        <v>56</v>
      </c>
      <c r="B65" t="s">
        <v>216</v>
      </c>
      <c r="C65" t="str">
        <f t="shared" si="0"/>
        <v/>
      </c>
    </row>
    <row r="66" spans="1:3" x14ac:dyDescent="0.25">
      <c r="A66" t="s">
        <v>58</v>
      </c>
      <c r="B66" t="s">
        <v>217</v>
      </c>
      <c r="C66" t="str">
        <f t="shared" si="0"/>
        <v/>
      </c>
    </row>
    <row r="67" spans="1:3" x14ac:dyDescent="0.25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25">
      <c r="A68" t="s">
        <v>236</v>
      </c>
      <c r="B68" t="s">
        <v>83</v>
      </c>
      <c r="C68" t="str">
        <f t="shared" si="1"/>
        <v/>
      </c>
    </row>
    <row r="69" spans="1:3" x14ac:dyDescent="0.25">
      <c r="A69" t="s">
        <v>237</v>
      </c>
      <c r="B69" t="s">
        <v>84</v>
      </c>
      <c r="C69" t="str">
        <f t="shared" si="1"/>
        <v/>
      </c>
    </row>
    <row r="70" spans="1:3" x14ac:dyDescent="0.25">
      <c r="A70" t="s">
        <v>238</v>
      </c>
      <c r="B70" t="s">
        <v>85</v>
      </c>
      <c r="C70" t="str">
        <f t="shared" si="1"/>
        <v/>
      </c>
    </row>
    <row r="71" spans="1:3" x14ac:dyDescent="0.25">
      <c r="A71" t="s">
        <v>239</v>
      </c>
      <c r="B71" t="s">
        <v>60</v>
      </c>
      <c r="C71" t="str">
        <f t="shared" si="1"/>
        <v/>
      </c>
    </row>
    <row r="72" spans="1:3" x14ac:dyDescent="0.25">
      <c r="A72" t="s">
        <v>72</v>
      </c>
      <c r="B72" t="s">
        <v>208</v>
      </c>
      <c r="C72" t="str">
        <f t="shared" si="1"/>
        <v/>
      </c>
    </row>
    <row r="73" spans="1:3" x14ac:dyDescent="0.25">
      <c r="A73" t="s">
        <v>73</v>
      </c>
      <c r="B73" t="s">
        <v>59</v>
      </c>
      <c r="C73" t="str">
        <f t="shared" si="1"/>
        <v/>
      </c>
    </row>
    <row r="74" spans="1:3" x14ac:dyDescent="0.25">
      <c r="A74" t="s">
        <v>240</v>
      </c>
      <c r="B74" t="s">
        <v>61</v>
      </c>
      <c r="C74" t="str">
        <f t="shared" si="1"/>
        <v/>
      </c>
    </row>
    <row r="75" spans="1:3" x14ac:dyDescent="0.25">
      <c r="A75" t="s">
        <v>241</v>
      </c>
      <c r="B75" t="s">
        <v>62</v>
      </c>
      <c r="C75" t="str">
        <f t="shared" si="1"/>
        <v/>
      </c>
    </row>
    <row r="76" spans="1:3" x14ac:dyDescent="0.25">
      <c r="A76" t="s">
        <v>242</v>
      </c>
      <c r="B76" t="s">
        <v>63</v>
      </c>
      <c r="C76" t="str">
        <f t="shared" si="1"/>
        <v/>
      </c>
    </row>
    <row r="77" spans="1:3" x14ac:dyDescent="0.25">
      <c r="A77" t="s">
        <v>243</v>
      </c>
      <c r="B77" t="s">
        <v>64</v>
      </c>
      <c r="C77" t="str">
        <f t="shared" si="1"/>
        <v/>
      </c>
    </row>
    <row r="78" spans="1:3" x14ac:dyDescent="0.25">
      <c r="A78" t="s">
        <v>74</v>
      </c>
      <c r="B78" t="s">
        <v>65</v>
      </c>
      <c r="C78" t="str">
        <f t="shared" si="1"/>
        <v/>
      </c>
    </row>
    <row r="79" spans="1:3" x14ac:dyDescent="0.25">
      <c r="A79" t="s">
        <v>244</v>
      </c>
      <c r="B79" t="s">
        <v>66</v>
      </c>
      <c r="C79" t="str">
        <f t="shared" si="1"/>
        <v>expected_exudation_efflux</v>
      </c>
    </row>
    <row r="80" spans="1:3" x14ac:dyDescent="0.25">
      <c r="A80" t="s">
        <v>78</v>
      </c>
      <c r="B80" t="s">
        <v>228</v>
      </c>
      <c r="C80" t="str">
        <f t="shared" si="1"/>
        <v/>
      </c>
    </row>
    <row r="81" spans="1:3" x14ac:dyDescent="0.25">
      <c r="A81" t="s">
        <v>245</v>
      </c>
      <c r="B81" t="s">
        <v>229</v>
      </c>
      <c r="C81" t="str">
        <f t="shared" si="1"/>
        <v/>
      </c>
    </row>
    <row r="82" spans="1:3" x14ac:dyDescent="0.25">
      <c r="A82" t="s">
        <v>246</v>
      </c>
      <c r="B82" t="s">
        <v>230</v>
      </c>
      <c r="C82" t="str">
        <f t="shared" si="1"/>
        <v/>
      </c>
    </row>
    <row r="83" spans="1:3" x14ac:dyDescent="0.25">
      <c r="A83" t="s">
        <v>247</v>
      </c>
      <c r="B83" t="s">
        <v>231</v>
      </c>
      <c r="C83" t="str">
        <f t="shared" si="1"/>
        <v/>
      </c>
    </row>
    <row r="84" spans="1:3" x14ac:dyDescent="0.25">
      <c r="A84" t="s">
        <v>248</v>
      </c>
      <c r="B84" t="s">
        <v>67</v>
      </c>
      <c r="C84" t="str">
        <f t="shared" si="1"/>
        <v/>
      </c>
    </row>
    <row r="85" spans="1:3" x14ac:dyDescent="0.25">
      <c r="A85" t="s">
        <v>79</v>
      </c>
      <c r="B85" t="s">
        <v>68</v>
      </c>
      <c r="C85" t="str">
        <f t="shared" si="1"/>
        <v/>
      </c>
    </row>
    <row r="86" spans="1:3" x14ac:dyDescent="0.25">
      <c r="A86" t="s">
        <v>80</v>
      </c>
      <c r="B86" t="s">
        <v>232</v>
      </c>
      <c r="C86" t="str">
        <f t="shared" si="1"/>
        <v/>
      </c>
    </row>
    <row r="87" spans="1:3" x14ac:dyDescent="0.25">
      <c r="A87" t="s">
        <v>249</v>
      </c>
      <c r="B87" t="s">
        <v>233</v>
      </c>
      <c r="C87" t="str">
        <f t="shared" si="1"/>
        <v/>
      </c>
    </row>
    <row r="88" spans="1:3" x14ac:dyDescent="0.25">
      <c r="A88" t="s">
        <v>250</v>
      </c>
      <c r="B88" t="s">
        <v>234</v>
      </c>
      <c r="C88" t="str">
        <f t="shared" si="1"/>
        <v/>
      </c>
    </row>
    <row r="89" spans="1:3" x14ac:dyDescent="0.25">
      <c r="A89" t="s">
        <v>251</v>
      </c>
      <c r="B89" t="s">
        <v>235</v>
      </c>
      <c r="C89" t="str">
        <f t="shared" si="1"/>
        <v/>
      </c>
    </row>
    <row r="90" spans="1:3" x14ac:dyDescent="0.25">
      <c r="A90" t="s">
        <v>252</v>
      </c>
      <c r="B90" t="s">
        <v>69</v>
      </c>
      <c r="C90" t="str">
        <f t="shared" si="1"/>
        <v/>
      </c>
    </row>
    <row r="91" spans="1:3" x14ac:dyDescent="0.25">
      <c r="A91" t="s">
        <v>81</v>
      </c>
      <c r="B91" t="s">
        <v>70</v>
      </c>
      <c r="C91" t="str">
        <f t="shared" si="1"/>
        <v/>
      </c>
    </row>
    <row r="92" spans="1:3" x14ac:dyDescent="0.25">
      <c r="A92" t="s">
        <v>253</v>
      </c>
      <c r="B92" t="s">
        <v>56</v>
      </c>
      <c r="C92" t="str">
        <f t="shared" si="1"/>
        <v/>
      </c>
    </row>
    <row r="93" spans="1:3" x14ac:dyDescent="0.25">
      <c r="A93" t="s">
        <v>254</v>
      </c>
      <c r="B93" t="s">
        <v>57</v>
      </c>
      <c r="C93" t="str">
        <f t="shared" si="1"/>
        <v/>
      </c>
    </row>
    <row r="94" spans="1:3" x14ac:dyDescent="0.25">
      <c r="A94" t="s">
        <v>255</v>
      </c>
      <c r="B94" t="s">
        <v>58</v>
      </c>
      <c r="C94" t="str">
        <f t="shared" si="1"/>
        <v/>
      </c>
    </row>
    <row r="95" spans="1:3" x14ac:dyDescent="0.25">
      <c r="A95" t="s">
        <v>256</v>
      </c>
      <c r="B95" t="s">
        <v>71</v>
      </c>
      <c r="C95" t="str">
        <f t="shared" si="1"/>
        <v/>
      </c>
    </row>
    <row r="96" spans="1:3" x14ac:dyDescent="0.25">
      <c r="A96" t="s">
        <v>257</v>
      </c>
      <c r="B96" t="s">
        <v>236</v>
      </c>
      <c r="C96" t="str">
        <f t="shared" si="1"/>
        <v/>
      </c>
    </row>
    <row r="97" spans="1:3" x14ac:dyDescent="0.25">
      <c r="A97" t="s">
        <v>258</v>
      </c>
      <c r="B97" t="s">
        <v>237</v>
      </c>
      <c r="C97" t="str">
        <f t="shared" si="1"/>
        <v/>
      </c>
    </row>
    <row r="98" spans="1:3" x14ac:dyDescent="0.25">
      <c r="A98" t="s">
        <v>259</v>
      </c>
      <c r="B98" t="s">
        <v>238</v>
      </c>
      <c r="C98" t="str">
        <f t="shared" si="1"/>
        <v/>
      </c>
    </row>
    <row r="99" spans="1:3" x14ac:dyDescent="0.25">
      <c r="A99" t="s">
        <v>260</v>
      </c>
      <c r="B99" t="s">
        <v>239</v>
      </c>
      <c r="C99" t="str">
        <f t="shared" si="1"/>
        <v/>
      </c>
    </row>
    <row r="100" spans="1:3" x14ac:dyDescent="0.25">
      <c r="A100" t="s">
        <v>261</v>
      </c>
      <c r="B100" t="s">
        <v>72</v>
      </c>
      <c r="C100" t="str">
        <f t="shared" si="1"/>
        <v/>
      </c>
    </row>
    <row r="101" spans="1:3" x14ac:dyDescent="0.25">
      <c r="A101" t="s">
        <v>262</v>
      </c>
      <c r="B101" t="s">
        <v>73</v>
      </c>
      <c r="C101" t="str">
        <f t="shared" si="1"/>
        <v/>
      </c>
    </row>
    <row r="102" spans="1:3" x14ac:dyDescent="0.25">
      <c r="A102" t="s">
        <v>263</v>
      </c>
      <c r="B102" t="s">
        <v>240</v>
      </c>
      <c r="C102" t="str">
        <f t="shared" si="1"/>
        <v/>
      </c>
    </row>
    <row r="103" spans="1:3" x14ac:dyDescent="0.25">
      <c r="A103" t="s">
        <v>264</v>
      </c>
      <c r="B103" t="s">
        <v>241</v>
      </c>
      <c r="C103" t="str">
        <f t="shared" si="1"/>
        <v/>
      </c>
    </row>
    <row r="104" spans="1:3" x14ac:dyDescent="0.25">
      <c r="A104" t="s">
        <v>265</v>
      </c>
      <c r="B104" t="s">
        <v>242</v>
      </c>
      <c r="C104" t="str">
        <f t="shared" si="1"/>
        <v/>
      </c>
    </row>
    <row r="105" spans="1:3" x14ac:dyDescent="0.25">
      <c r="A105" t="s">
        <v>266</v>
      </c>
      <c r="B105" t="s">
        <v>243</v>
      </c>
      <c r="C105" t="str">
        <f t="shared" si="1"/>
        <v/>
      </c>
    </row>
    <row r="106" spans="1:3" x14ac:dyDescent="0.25">
      <c r="A106" t="s">
        <v>267</v>
      </c>
      <c r="B106" t="s">
        <v>74</v>
      </c>
      <c r="C106" t="str">
        <f t="shared" si="1"/>
        <v/>
      </c>
    </row>
    <row r="107" spans="1:3" x14ac:dyDescent="0.25">
      <c r="A107" t="s">
        <v>268</v>
      </c>
      <c r="B107" t="s">
        <v>75</v>
      </c>
      <c r="C107" t="str">
        <f t="shared" si="1"/>
        <v/>
      </c>
    </row>
    <row r="108" spans="1:3" x14ac:dyDescent="0.25">
      <c r="A108" t="s">
        <v>269</v>
      </c>
      <c r="B108" t="s">
        <v>218</v>
      </c>
      <c r="C108" t="str">
        <f t="shared" si="1"/>
        <v/>
      </c>
    </row>
    <row r="109" spans="1:3" x14ac:dyDescent="0.25">
      <c r="A109" t="s">
        <v>270</v>
      </c>
      <c r="B109" t="s">
        <v>219</v>
      </c>
      <c r="C109" t="str">
        <f t="shared" si="1"/>
        <v/>
      </c>
    </row>
    <row r="110" spans="1:3" x14ac:dyDescent="0.25">
      <c r="A110" t="s">
        <v>271</v>
      </c>
      <c r="B110" t="s">
        <v>220</v>
      </c>
      <c r="C110" t="str">
        <f t="shared" si="1"/>
        <v/>
      </c>
    </row>
    <row r="111" spans="1:3" x14ac:dyDescent="0.25">
      <c r="A111" t="s">
        <v>272</v>
      </c>
      <c r="B111" t="s">
        <v>221</v>
      </c>
      <c r="C111" t="str">
        <f t="shared" si="1"/>
        <v/>
      </c>
    </row>
    <row r="112" spans="1:3" x14ac:dyDescent="0.25">
      <c r="A112" t="s">
        <v>273</v>
      </c>
      <c r="B112" t="s">
        <v>76</v>
      </c>
      <c r="C112" t="str">
        <f t="shared" si="1"/>
        <v/>
      </c>
    </row>
    <row r="113" spans="1:3" x14ac:dyDescent="0.25">
      <c r="A113" t="s">
        <v>274</v>
      </c>
      <c r="B113" t="s">
        <v>77</v>
      </c>
      <c r="C113" t="str">
        <f t="shared" si="1"/>
        <v/>
      </c>
    </row>
    <row r="114" spans="1:3" x14ac:dyDescent="0.25">
      <c r="A114" t="s">
        <v>275</v>
      </c>
      <c r="B114" t="s">
        <v>78</v>
      </c>
      <c r="C114" t="str">
        <f t="shared" si="1"/>
        <v/>
      </c>
    </row>
    <row r="115" spans="1:3" x14ac:dyDescent="0.25">
      <c r="A115" t="s">
        <v>276</v>
      </c>
      <c r="B115" t="s">
        <v>245</v>
      </c>
      <c r="C115" t="str">
        <f t="shared" si="1"/>
        <v/>
      </c>
    </row>
    <row r="116" spans="1:3" x14ac:dyDescent="0.25">
      <c r="A116" t="s">
        <v>277</v>
      </c>
      <c r="B116" t="s">
        <v>246</v>
      </c>
      <c r="C116" t="str">
        <f t="shared" si="1"/>
        <v/>
      </c>
    </row>
    <row r="117" spans="1:3" x14ac:dyDescent="0.25">
      <c r="A117" t="s">
        <v>278</v>
      </c>
      <c r="B117" t="s">
        <v>247</v>
      </c>
      <c r="C117" t="str">
        <f t="shared" si="1"/>
        <v/>
      </c>
    </row>
    <row r="118" spans="1:3" x14ac:dyDescent="0.25">
      <c r="A118" t="s">
        <v>279</v>
      </c>
      <c r="B118" t="s">
        <v>248</v>
      </c>
      <c r="C118" t="str">
        <f t="shared" si="1"/>
        <v/>
      </c>
    </row>
    <row r="119" spans="1:3" x14ac:dyDescent="0.25">
      <c r="A119" t="s">
        <v>280</v>
      </c>
      <c r="B119" t="s">
        <v>79</v>
      </c>
      <c r="C119" t="str">
        <f t="shared" si="1"/>
        <v/>
      </c>
    </row>
    <row r="120" spans="1:3" x14ac:dyDescent="0.25">
      <c r="A120" t="s">
        <v>281</v>
      </c>
      <c r="B120" t="s">
        <v>80</v>
      </c>
      <c r="C120" t="str">
        <f t="shared" si="1"/>
        <v/>
      </c>
    </row>
    <row r="121" spans="1:3" x14ac:dyDescent="0.25">
      <c r="A121" t="s">
        <v>282</v>
      </c>
      <c r="B121" t="s">
        <v>249</v>
      </c>
      <c r="C121" t="str">
        <f t="shared" si="1"/>
        <v/>
      </c>
    </row>
    <row r="122" spans="1:3" x14ac:dyDescent="0.25">
      <c r="A122" t="s">
        <v>283</v>
      </c>
      <c r="B122" t="s">
        <v>250</v>
      </c>
      <c r="C122" t="str">
        <f t="shared" si="1"/>
        <v/>
      </c>
    </row>
    <row r="123" spans="1:3" x14ac:dyDescent="0.25">
      <c r="A123" t="s">
        <v>59</v>
      </c>
      <c r="B123" t="s">
        <v>251</v>
      </c>
      <c r="C123" t="str">
        <f t="shared" si="1"/>
        <v/>
      </c>
    </row>
    <row r="124" spans="1:3" x14ac:dyDescent="0.25">
      <c r="A124" t="s">
        <v>62</v>
      </c>
      <c r="B124" t="s">
        <v>252</v>
      </c>
      <c r="C124" t="str">
        <f t="shared" si="1"/>
        <v/>
      </c>
    </row>
    <row r="125" spans="1:3" x14ac:dyDescent="0.25">
      <c r="A125" t="s">
        <v>64</v>
      </c>
      <c r="B125" t="s">
        <v>81</v>
      </c>
      <c r="C125" t="str">
        <f t="shared" si="1"/>
        <v/>
      </c>
    </row>
    <row r="126" spans="1:3" x14ac:dyDescent="0.25">
      <c r="A126" t="s">
        <v>63</v>
      </c>
      <c r="B126" t="s">
        <v>253</v>
      </c>
      <c r="C126" t="str">
        <f t="shared" si="1"/>
        <v/>
      </c>
    </row>
    <row r="127" spans="1:3" x14ac:dyDescent="0.25">
      <c r="A127" t="s">
        <v>82</v>
      </c>
      <c r="B127" t="s">
        <v>254</v>
      </c>
      <c r="C127" t="str">
        <f t="shared" si="1"/>
        <v/>
      </c>
    </row>
    <row r="128" spans="1:3" x14ac:dyDescent="0.25">
      <c r="A128" t="s">
        <v>83</v>
      </c>
      <c r="B128" t="s">
        <v>255</v>
      </c>
      <c r="C128" t="str">
        <f t="shared" si="1"/>
        <v/>
      </c>
    </row>
    <row r="129" spans="1:3" x14ac:dyDescent="0.25">
      <c r="A129" t="s">
        <v>85</v>
      </c>
      <c r="B129" t="s">
        <v>256</v>
      </c>
      <c r="C129" t="str">
        <f t="shared" si="1"/>
        <v/>
      </c>
    </row>
    <row r="130" spans="1:3" x14ac:dyDescent="0.25">
      <c r="A130" t="s">
        <v>84</v>
      </c>
      <c r="B130" t="s">
        <v>257</v>
      </c>
      <c r="C130" t="str">
        <f t="shared" si="1"/>
        <v/>
      </c>
    </row>
    <row r="131" spans="1:3" x14ac:dyDescent="0.25">
      <c r="A131" t="s">
        <v>2</v>
      </c>
      <c r="B131" t="s">
        <v>258</v>
      </c>
      <c r="C131" t="str">
        <f t="shared" ref="C131:C169" si="2">IF(ISNA(VLOOKUP(A131,$B$2:$B$170,1,FALSE)),A131,"")</f>
        <v/>
      </c>
    </row>
    <row r="132" spans="1:3" x14ac:dyDescent="0.25">
      <c r="A132" t="s">
        <v>4</v>
      </c>
      <c r="B132" t="s">
        <v>259</v>
      </c>
      <c r="C132" t="str">
        <f t="shared" si="2"/>
        <v/>
      </c>
    </row>
    <row r="133" spans="1:3" x14ac:dyDescent="0.25">
      <c r="A133" t="s">
        <v>5</v>
      </c>
      <c r="B133" t="s">
        <v>260</v>
      </c>
      <c r="C133" t="str">
        <f t="shared" si="2"/>
        <v/>
      </c>
    </row>
    <row r="134" spans="1:3" x14ac:dyDescent="0.25">
      <c r="A134" t="s">
        <v>20</v>
      </c>
      <c r="B134" t="s">
        <v>261</v>
      </c>
      <c r="C134" t="str">
        <f t="shared" si="2"/>
        <v/>
      </c>
    </row>
    <row r="135" spans="1:3" x14ac:dyDescent="0.25">
      <c r="A135" t="s">
        <v>0</v>
      </c>
      <c r="B135" t="s">
        <v>262</v>
      </c>
      <c r="C135" t="str">
        <f t="shared" si="2"/>
        <v/>
      </c>
    </row>
    <row r="136" spans="1:3" x14ac:dyDescent="0.25">
      <c r="A136" t="s">
        <v>1</v>
      </c>
      <c r="B136" t="s">
        <v>263</v>
      </c>
      <c r="C136" t="str">
        <f t="shared" si="2"/>
        <v/>
      </c>
    </row>
    <row r="137" spans="1:3" x14ac:dyDescent="0.25">
      <c r="A137" t="s">
        <v>6</v>
      </c>
      <c r="B137" t="s">
        <v>264</v>
      </c>
      <c r="C137" t="str">
        <f t="shared" si="2"/>
        <v/>
      </c>
    </row>
    <row r="138" spans="1:3" x14ac:dyDescent="0.25">
      <c r="A138" t="s">
        <v>7</v>
      </c>
      <c r="B138" t="s">
        <v>265</v>
      </c>
      <c r="C138" t="str">
        <f t="shared" si="2"/>
        <v/>
      </c>
    </row>
    <row r="139" spans="1:3" x14ac:dyDescent="0.25">
      <c r="A139" t="s">
        <v>8</v>
      </c>
      <c r="B139" t="s">
        <v>266</v>
      </c>
      <c r="C139" t="str">
        <f t="shared" si="2"/>
        <v/>
      </c>
    </row>
    <row r="140" spans="1:3" x14ac:dyDescent="0.25">
      <c r="A140" t="s">
        <v>9</v>
      </c>
      <c r="B140" t="s">
        <v>267</v>
      </c>
      <c r="C140" t="str">
        <f t="shared" si="2"/>
        <v/>
      </c>
    </row>
    <row r="141" spans="1:3" x14ac:dyDescent="0.25">
      <c r="A141" t="s">
        <v>10</v>
      </c>
      <c r="B141" t="s">
        <v>268</v>
      </c>
      <c r="C141" t="str">
        <f t="shared" si="2"/>
        <v/>
      </c>
    </row>
    <row r="142" spans="1:3" x14ac:dyDescent="0.25">
      <c r="A142" t="s">
        <v>11</v>
      </c>
      <c r="B142" t="s">
        <v>269</v>
      </c>
      <c r="C142" t="str">
        <f t="shared" si="2"/>
        <v/>
      </c>
    </row>
    <row r="143" spans="1:3" x14ac:dyDescent="0.25">
      <c r="A143" t="s">
        <v>12</v>
      </c>
      <c r="B143" t="s">
        <v>270</v>
      </c>
      <c r="C143" t="str">
        <f t="shared" si="2"/>
        <v/>
      </c>
    </row>
    <row r="144" spans="1:3" x14ac:dyDescent="0.25">
      <c r="A144" t="s">
        <v>13</v>
      </c>
      <c r="B144" t="s">
        <v>271</v>
      </c>
      <c r="C144" t="str">
        <f t="shared" si="2"/>
        <v/>
      </c>
    </row>
    <row r="145" spans="1:3" x14ac:dyDescent="0.25">
      <c r="A145" t="s">
        <v>14</v>
      </c>
      <c r="B145" t="s">
        <v>272</v>
      </c>
      <c r="C145" t="str">
        <f t="shared" si="2"/>
        <v/>
      </c>
    </row>
    <row r="146" spans="1:3" x14ac:dyDescent="0.25">
      <c r="A146" t="s">
        <v>15</v>
      </c>
      <c r="B146" t="s">
        <v>273</v>
      </c>
      <c r="C146" t="str">
        <f t="shared" si="2"/>
        <v/>
      </c>
    </row>
    <row r="147" spans="1:3" x14ac:dyDescent="0.25">
      <c r="A147" t="s">
        <v>16</v>
      </c>
      <c r="B147" t="s">
        <v>274</v>
      </c>
      <c r="C147" t="str">
        <f t="shared" si="2"/>
        <v/>
      </c>
    </row>
    <row r="148" spans="1:3" x14ac:dyDescent="0.25">
      <c r="A148" t="s">
        <v>17</v>
      </c>
      <c r="B148" t="s">
        <v>275</v>
      </c>
      <c r="C148" t="str">
        <f t="shared" si="2"/>
        <v/>
      </c>
    </row>
    <row r="149" spans="1:3" x14ac:dyDescent="0.25">
      <c r="A149" t="s">
        <v>18</v>
      </c>
      <c r="B149" t="s">
        <v>276</v>
      </c>
      <c r="C149" t="str">
        <f t="shared" si="2"/>
        <v/>
      </c>
    </row>
    <row r="150" spans="1:3" x14ac:dyDescent="0.25">
      <c r="A150" t="s">
        <v>19</v>
      </c>
      <c r="B150" t="s">
        <v>277</v>
      </c>
      <c r="C150" t="str">
        <f t="shared" si="2"/>
        <v/>
      </c>
    </row>
    <row r="151" spans="1:3" x14ac:dyDescent="0.25">
      <c r="A151" t="s">
        <v>21</v>
      </c>
      <c r="B151" t="s">
        <v>278</v>
      </c>
      <c r="C151" t="str">
        <f t="shared" si="2"/>
        <v/>
      </c>
    </row>
    <row r="152" spans="1:3" x14ac:dyDescent="0.25">
      <c r="A152" t="s">
        <v>22</v>
      </c>
      <c r="B152" t="s">
        <v>279</v>
      </c>
      <c r="C152" t="str">
        <f t="shared" si="2"/>
        <v/>
      </c>
    </row>
    <row r="153" spans="1:3" x14ac:dyDescent="0.25">
      <c r="A153" t="s">
        <v>23</v>
      </c>
      <c r="B153" t="s">
        <v>280</v>
      </c>
      <c r="C153" t="str">
        <f t="shared" si="2"/>
        <v/>
      </c>
    </row>
    <row r="154" spans="1:3" x14ac:dyDescent="0.25">
      <c r="A154" t="s">
        <v>24</v>
      </c>
      <c r="B154" t="s">
        <v>281</v>
      </c>
      <c r="C154" t="str">
        <f t="shared" si="2"/>
        <v/>
      </c>
    </row>
    <row r="155" spans="1:3" x14ac:dyDescent="0.25">
      <c r="A155" t="s">
        <v>25</v>
      </c>
      <c r="B155" t="s">
        <v>282</v>
      </c>
      <c r="C155" t="str">
        <f t="shared" si="2"/>
        <v/>
      </c>
    </row>
    <row r="156" spans="1:3" x14ac:dyDescent="0.25">
      <c r="A156" t="s">
        <v>26</v>
      </c>
      <c r="B156" t="s">
        <v>283</v>
      </c>
      <c r="C156" t="str">
        <f t="shared" si="2"/>
        <v/>
      </c>
    </row>
    <row r="157" spans="1:3" x14ac:dyDescent="0.25">
      <c r="A157" t="s">
        <v>27</v>
      </c>
      <c r="B157" t="s">
        <v>361</v>
      </c>
      <c r="C157" t="str">
        <f t="shared" si="2"/>
        <v/>
      </c>
    </row>
    <row r="158" spans="1:3" x14ac:dyDescent="0.25">
      <c r="A158" t="s">
        <v>28</v>
      </c>
      <c r="C158" t="str">
        <f t="shared" si="2"/>
        <v/>
      </c>
    </row>
    <row r="159" spans="1:3" x14ac:dyDescent="0.25">
      <c r="A159" t="s">
        <v>29</v>
      </c>
      <c r="C159" t="str">
        <f t="shared" si="2"/>
        <v/>
      </c>
    </row>
    <row r="160" spans="1:3" x14ac:dyDescent="0.25">
      <c r="A160" t="s">
        <v>30</v>
      </c>
      <c r="C160" t="str">
        <f t="shared" si="2"/>
        <v/>
      </c>
    </row>
    <row r="161" spans="1:3" x14ac:dyDescent="0.25">
      <c r="A161" t="s">
        <v>31</v>
      </c>
      <c r="C161" t="str">
        <f t="shared" si="2"/>
        <v/>
      </c>
    </row>
    <row r="162" spans="1:3" x14ac:dyDescent="0.25">
      <c r="A162" t="s">
        <v>32</v>
      </c>
      <c r="C162" t="str">
        <f t="shared" si="2"/>
        <v/>
      </c>
    </row>
    <row r="163" spans="1:3" x14ac:dyDescent="0.25">
      <c r="A163" t="s">
        <v>33</v>
      </c>
      <c r="C163" t="str">
        <f t="shared" si="2"/>
        <v/>
      </c>
    </row>
    <row r="164" spans="1:3" x14ac:dyDescent="0.25">
      <c r="A164" t="s">
        <v>34</v>
      </c>
      <c r="C164" t="str">
        <f t="shared" si="2"/>
        <v/>
      </c>
    </row>
    <row r="165" spans="1:3" x14ac:dyDescent="0.25">
      <c r="A165" t="s">
        <v>35</v>
      </c>
      <c r="C165" t="str">
        <f t="shared" si="2"/>
        <v/>
      </c>
    </row>
    <row r="166" spans="1:3" x14ac:dyDescent="0.25">
      <c r="A166" t="s">
        <v>36</v>
      </c>
      <c r="C166" t="str">
        <f t="shared" si="2"/>
        <v/>
      </c>
    </row>
    <row r="167" spans="1:3" x14ac:dyDescent="0.25">
      <c r="A167" t="s">
        <v>37</v>
      </c>
      <c r="C167" t="str">
        <f t="shared" si="2"/>
        <v/>
      </c>
    </row>
    <row r="168" spans="1:3" x14ac:dyDescent="0.25">
      <c r="A168" t="s">
        <v>38</v>
      </c>
      <c r="C168" t="str">
        <f t="shared" si="2"/>
        <v/>
      </c>
    </row>
    <row r="169" spans="1:3" x14ac:dyDescent="0.25">
      <c r="A169" t="s">
        <v>361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scenarios_as_columns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2025-10-14T08:41:14Z</dcterms:modified>
</cp:coreProperties>
</file>