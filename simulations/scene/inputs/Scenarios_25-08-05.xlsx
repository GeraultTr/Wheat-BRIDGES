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02590\home\torisuten\package\Wheat-BRIDGES\simulations\scene\inputs\"/>
    </mc:Choice>
  </mc:AlternateContent>
  <xr:revisionPtr revIDLastSave="0" documentId="13_ncr:1_{B524201B-0B57-4529-BC5F-1AF6BDA9E8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9" i="2" l="1"/>
  <c r="L236" i="2"/>
  <c r="L216" i="2"/>
  <c r="L217" i="2"/>
  <c r="L213" i="2"/>
  <c r="L119" i="2"/>
  <c r="L235" i="2"/>
  <c r="N128" i="2"/>
  <c r="L128" i="2"/>
  <c r="K128" i="2"/>
  <c r="J128" i="2"/>
  <c r="N236" i="2"/>
  <c r="K236" i="2"/>
  <c r="J236" i="2"/>
  <c r="L221" i="2" l="1"/>
  <c r="L220" i="2"/>
  <c r="L215" i="2"/>
  <c r="K231" i="2"/>
  <c r="K230" i="2"/>
  <c r="K228" i="2"/>
  <c r="K225" i="2"/>
  <c r="K223" i="2"/>
  <c r="K221" i="2"/>
  <c r="K220" i="2"/>
  <c r="K219" i="2"/>
  <c r="K218" i="2"/>
  <c r="K216" i="2"/>
  <c r="K217" i="2" s="1"/>
  <c r="K215" i="2"/>
  <c r="K213" i="2"/>
  <c r="K209" i="2"/>
  <c r="K207" i="2"/>
  <c r="K129" i="2"/>
  <c r="K235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5" i="2"/>
  <c r="J216" i="2"/>
  <c r="AW217" i="2"/>
  <c r="AT217" i="2"/>
  <c r="AR217" i="2"/>
  <c r="AQ217" i="2"/>
  <c r="AP217" i="2"/>
  <c r="AO217" i="2"/>
  <c r="AM217" i="2"/>
  <c r="AL217" i="2"/>
  <c r="AK217" i="2"/>
  <c r="AJ217" i="2"/>
  <c r="AI217" i="2"/>
  <c r="AH217" i="2"/>
  <c r="AG217" i="2"/>
  <c r="AE217" i="2"/>
  <c r="AD217" i="2"/>
  <c r="AC217" i="2"/>
  <c r="AB217" i="2"/>
  <c r="AA217" i="2"/>
  <c r="Z217" i="2"/>
  <c r="Y217" i="2"/>
  <c r="X217" i="2"/>
  <c r="W217" i="2"/>
  <c r="V217" i="2"/>
  <c r="U217" i="2"/>
  <c r="R217" i="2"/>
  <c r="Q217" i="2"/>
  <c r="P217" i="2"/>
  <c r="N217" i="2"/>
  <c r="J217" i="2"/>
  <c r="L231" i="2"/>
  <c r="L230" i="2"/>
  <c r="L228" i="2"/>
  <c r="L223" i="2"/>
  <c r="L219" i="2"/>
  <c r="L218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N231" i="2"/>
  <c r="N230" i="2"/>
  <c r="N228" i="2"/>
  <c r="N225" i="2"/>
  <c r="N224" i="2"/>
  <c r="N223" i="2"/>
  <c r="N222" i="2"/>
  <c r="N221" i="2"/>
  <c r="N220" i="2"/>
  <c r="N219" i="2"/>
  <c r="N218" i="2"/>
  <c r="N216" i="2"/>
  <c r="N215" i="2"/>
  <c r="N213" i="2"/>
  <c r="N209" i="2"/>
  <c r="N207" i="2"/>
  <c r="N129" i="2"/>
  <c r="N235" i="2" s="1"/>
  <c r="N125" i="2"/>
  <c r="N119" i="2"/>
  <c r="N115" i="2"/>
  <c r="N112" i="2"/>
  <c r="N109" i="2"/>
  <c r="N108" i="2"/>
  <c r="N107" i="2"/>
  <c r="N106" i="2"/>
  <c r="N105" i="2"/>
  <c r="N104" i="2"/>
  <c r="N103" i="2"/>
  <c r="N102" i="2"/>
  <c r="J215" i="2"/>
  <c r="J129" i="2"/>
  <c r="J235" i="2" s="1"/>
  <c r="J119" i="2"/>
  <c r="I119" i="2"/>
  <c r="J224" i="2"/>
  <c r="J222" i="2"/>
  <c r="J220" i="2"/>
  <c r="J207" i="2" l="1"/>
  <c r="J223" i="2" l="1"/>
  <c r="J221" i="2"/>
  <c r="I223" i="2"/>
  <c r="I215" i="2" l="1"/>
  <c r="I221" i="2" l="1"/>
  <c r="I220" i="2" l="1"/>
  <c r="S214" i="2" l="1"/>
  <c r="J231" i="2"/>
  <c r="J230" i="2"/>
  <c r="J228" i="2"/>
  <c r="J225" i="2"/>
  <c r="J219" i="2"/>
  <c r="J218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4" i="2"/>
  <c r="I222" i="2"/>
  <c r="P233" i="2" l="1"/>
  <c r="P232" i="2"/>
  <c r="P228" i="2"/>
  <c r="P216" i="2"/>
  <c r="P213" i="2"/>
  <c r="P209" i="2"/>
  <c r="P207" i="2"/>
  <c r="P125" i="2"/>
  <c r="P115" i="2"/>
  <c r="P112" i="2"/>
  <c r="P109" i="2"/>
  <c r="P108" i="2"/>
  <c r="P107" i="2"/>
  <c r="P106" i="2"/>
  <c r="P105" i="2"/>
  <c r="P104" i="2"/>
  <c r="P103" i="2"/>
  <c r="P102" i="2"/>
  <c r="R233" i="2"/>
  <c r="R232" i="2"/>
  <c r="R228" i="2"/>
  <c r="R216" i="2"/>
  <c r="R213" i="2"/>
  <c r="R209" i="2"/>
  <c r="R207" i="2"/>
  <c r="R125" i="2"/>
  <c r="R115" i="2"/>
  <c r="R112" i="2"/>
  <c r="R109" i="2"/>
  <c r="R108" i="2"/>
  <c r="R107" i="2"/>
  <c r="R106" i="2"/>
  <c r="R105" i="2"/>
  <c r="R104" i="2"/>
  <c r="R103" i="2"/>
  <c r="R102" i="2"/>
  <c r="Q233" i="2"/>
  <c r="Q232" i="2"/>
  <c r="Q228" i="2"/>
  <c r="Q216" i="2"/>
  <c r="Q213" i="2"/>
  <c r="Q207" i="2"/>
  <c r="Q125" i="2"/>
  <c r="Q115" i="2"/>
  <c r="Q112" i="2"/>
  <c r="Q109" i="2"/>
  <c r="Q108" i="2"/>
  <c r="Q107" i="2"/>
  <c r="Q106" i="2"/>
  <c r="Q105" i="2"/>
  <c r="Q104" i="2"/>
  <c r="Q103" i="2"/>
  <c r="Q102" i="2"/>
  <c r="AR233" i="2"/>
  <c r="AQ233" i="2"/>
  <c r="AR232" i="2"/>
  <c r="AQ232" i="2"/>
  <c r="AR228" i="2"/>
  <c r="AQ228" i="2"/>
  <c r="AR216" i="2"/>
  <c r="AQ216" i="2"/>
  <c r="AR213" i="2"/>
  <c r="AQ213" i="2"/>
  <c r="AR209" i="2"/>
  <c r="AQ209" i="2"/>
  <c r="AR207" i="2"/>
  <c r="AQ207" i="2"/>
  <c r="AR125" i="2"/>
  <c r="AQ125" i="2"/>
  <c r="AR115" i="2"/>
  <c r="AQ115" i="2"/>
  <c r="AR112" i="2"/>
  <c r="AQ112" i="2"/>
  <c r="AR109" i="2"/>
  <c r="AQ109" i="2"/>
  <c r="AR108" i="2"/>
  <c r="AQ108" i="2"/>
  <c r="AR107" i="2"/>
  <c r="AQ107" i="2"/>
  <c r="AR106" i="2"/>
  <c r="AQ106" i="2"/>
  <c r="AR105" i="2"/>
  <c r="AQ105" i="2"/>
  <c r="AR104" i="2"/>
  <c r="AQ104" i="2"/>
  <c r="AR103" i="2"/>
  <c r="AQ103" i="2"/>
  <c r="AR102" i="2"/>
  <c r="AQ102" i="2"/>
  <c r="AP233" i="2"/>
  <c r="AP232" i="2"/>
  <c r="AP228" i="2"/>
  <c r="AP216" i="2"/>
  <c r="AP213" i="2"/>
  <c r="AP209" i="2"/>
  <c r="AP207" i="2"/>
  <c r="AP125" i="2"/>
  <c r="AP115" i="2"/>
  <c r="AP112" i="2"/>
  <c r="AP109" i="2"/>
  <c r="AP108" i="2"/>
  <c r="AP107" i="2"/>
  <c r="AP106" i="2"/>
  <c r="AP105" i="2"/>
  <c r="AP104" i="2"/>
  <c r="AP103" i="2"/>
  <c r="AP102" i="2"/>
  <c r="AO233" i="2"/>
  <c r="AO232" i="2"/>
  <c r="AO228" i="2"/>
  <c r="AO216" i="2"/>
  <c r="AO213" i="2"/>
  <c r="AO209" i="2"/>
  <c r="AO207" i="2"/>
  <c r="AO125" i="2"/>
  <c r="AO115" i="2"/>
  <c r="AO112" i="2"/>
  <c r="AO109" i="2"/>
  <c r="AO108" i="2"/>
  <c r="AO107" i="2"/>
  <c r="AO106" i="2"/>
  <c r="AO105" i="2"/>
  <c r="AO104" i="2"/>
  <c r="AO103" i="2"/>
  <c r="AO102" i="2"/>
  <c r="AT233" i="2"/>
  <c r="AT232" i="2"/>
  <c r="AT228" i="2"/>
  <c r="AT216" i="2"/>
  <c r="AT213" i="2"/>
  <c r="AT207" i="2"/>
  <c r="AT125" i="2"/>
  <c r="AT115" i="2"/>
  <c r="AT112" i="2"/>
  <c r="AT109" i="2"/>
  <c r="AT108" i="2"/>
  <c r="AT107" i="2"/>
  <c r="AT106" i="2"/>
  <c r="AT105" i="2"/>
  <c r="AT104" i="2"/>
  <c r="AT103" i="2"/>
  <c r="AT102" i="2"/>
  <c r="AM233" i="2"/>
  <c r="AL233" i="2"/>
  <c r="AK233" i="2"/>
  <c r="AJ233" i="2"/>
  <c r="AI233" i="2"/>
  <c r="AH233" i="2"/>
  <c r="AG233" i="2"/>
  <c r="AM232" i="2"/>
  <c r="AL232" i="2"/>
  <c r="AK232" i="2"/>
  <c r="AJ232" i="2"/>
  <c r="AI232" i="2"/>
  <c r="AH232" i="2"/>
  <c r="AG232" i="2"/>
  <c r="AM228" i="2"/>
  <c r="AL228" i="2"/>
  <c r="AK228" i="2"/>
  <c r="AJ228" i="2"/>
  <c r="AI228" i="2"/>
  <c r="AH228" i="2"/>
  <c r="AG228" i="2"/>
  <c r="AM216" i="2"/>
  <c r="AL216" i="2"/>
  <c r="AK216" i="2"/>
  <c r="AJ216" i="2"/>
  <c r="AI216" i="2"/>
  <c r="AH216" i="2"/>
  <c r="AG216" i="2"/>
  <c r="AM213" i="2"/>
  <c r="AL213" i="2"/>
  <c r="AK213" i="2"/>
  <c r="AJ213" i="2"/>
  <c r="AI213" i="2"/>
  <c r="AH213" i="2"/>
  <c r="AG213" i="2"/>
  <c r="AM209" i="2"/>
  <c r="AL209" i="2"/>
  <c r="AK209" i="2"/>
  <c r="AJ209" i="2"/>
  <c r="AI209" i="2"/>
  <c r="AH209" i="2"/>
  <c r="AG209" i="2"/>
  <c r="AM207" i="2"/>
  <c r="AL207" i="2"/>
  <c r="AK207" i="2"/>
  <c r="AJ207" i="2"/>
  <c r="AI207" i="2"/>
  <c r="AH207" i="2"/>
  <c r="AG207" i="2"/>
  <c r="AM125" i="2"/>
  <c r="AL125" i="2"/>
  <c r="AK125" i="2"/>
  <c r="AJ125" i="2"/>
  <c r="AI125" i="2"/>
  <c r="AH125" i="2"/>
  <c r="AG125" i="2"/>
  <c r="AM115" i="2"/>
  <c r="AL115" i="2"/>
  <c r="AK115" i="2"/>
  <c r="AJ115" i="2"/>
  <c r="AI115" i="2"/>
  <c r="AH115" i="2"/>
  <c r="AG115" i="2"/>
  <c r="AM112" i="2"/>
  <c r="AL112" i="2"/>
  <c r="AK112" i="2"/>
  <c r="AJ112" i="2"/>
  <c r="AI112" i="2"/>
  <c r="AH112" i="2"/>
  <c r="AG112" i="2"/>
  <c r="AM109" i="2"/>
  <c r="AL109" i="2"/>
  <c r="AK109" i="2"/>
  <c r="AJ109" i="2"/>
  <c r="AI109" i="2"/>
  <c r="AH109" i="2"/>
  <c r="AG109" i="2"/>
  <c r="AM108" i="2"/>
  <c r="AL108" i="2"/>
  <c r="AK108" i="2"/>
  <c r="AJ108" i="2"/>
  <c r="AI108" i="2"/>
  <c r="AH108" i="2"/>
  <c r="AG108" i="2"/>
  <c r="AM107" i="2"/>
  <c r="AL107" i="2"/>
  <c r="AK107" i="2"/>
  <c r="AJ107" i="2"/>
  <c r="AI107" i="2"/>
  <c r="AH107" i="2"/>
  <c r="AG107" i="2"/>
  <c r="AM106" i="2"/>
  <c r="AL106" i="2"/>
  <c r="AK106" i="2"/>
  <c r="AJ106" i="2"/>
  <c r="AI106" i="2"/>
  <c r="AH106" i="2"/>
  <c r="AG106" i="2"/>
  <c r="AM105" i="2"/>
  <c r="AL105" i="2"/>
  <c r="AK105" i="2"/>
  <c r="AJ105" i="2"/>
  <c r="AI105" i="2"/>
  <c r="AH105" i="2"/>
  <c r="AG105" i="2"/>
  <c r="AM104" i="2"/>
  <c r="AL104" i="2"/>
  <c r="AK104" i="2"/>
  <c r="AJ104" i="2"/>
  <c r="AI104" i="2"/>
  <c r="AH104" i="2"/>
  <c r="AG104" i="2"/>
  <c r="AM103" i="2"/>
  <c r="AL103" i="2"/>
  <c r="AK103" i="2"/>
  <c r="AJ103" i="2"/>
  <c r="AI103" i="2"/>
  <c r="AH103" i="2"/>
  <c r="AG103" i="2"/>
  <c r="AM102" i="2"/>
  <c r="AL102" i="2"/>
  <c r="AK102" i="2"/>
  <c r="AJ102" i="2"/>
  <c r="AI102" i="2"/>
  <c r="AH102" i="2"/>
  <c r="AG102" i="2"/>
  <c r="AE233" i="2"/>
  <c r="AE232" i="2"/>
  <c r="AE228" i="2"/>
  <c r="AE216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3" i="2"/>
  <c r="AD232" i="2"/>
  <c r="AD228" i="2"/>
  <c r="AD216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32" i="2"/>
  <c r="AC228" i="2"/>
  <c r="AC216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B232" i="2"/>
  <c r="AB228" i="2"/>
  <c r="AB216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AA233" i="2"/>
  <c r="AA232" i="2"/>
  <c r="AA228" i="2"/>
  <c r="AA216" i="2"/>
  <c r="AA213" i="2"/>
  <c r="AA209" i="2"/>
  <c r="AA207" i="2"/>
  <c r="AA125" i="2"/>
  <c r="AA115" i="2"/>
  <c r="AA112" i="2"/>
  <c r="AA109" i="2"/>
  <c r="AA108" i="2"/>
  <c r="AA107" i="2"/>
  <c r="AA106" i="2"/>
  <c r="AA105" i="2"/>
  <c r="AA104" i="2"/>
  <c r="AA103" i="2"/>
  <c r="AA102" i="2"/>
  <c r="Z233" i="2"/>
  <c r="Z232" i="2"/>
  <c r="Z228" i="2"/>
  <c r="Z216" i="2"/>
  <c r="Z213" i="2"/>
  <c r="Z209" i="2"/>
  <c r="Z207" i="2"/>
  <c r="Z125" i="2"/>
  <c r="Z115" i="2"/>
  <c r="Z112" i="2"/>
  <c r="Z109" i="2"/>
  <c r="Z108" i="2"/>
  <c r="Z107" i="2"/>
  <c r="Z106" i="2"/>
  <c r="Z105" i="2"/>
  <c r="Z104" i="2"/>
  <c r="Z103" i="2"/>
  <c r="Z102" i="2"/>
  <c r="Y233" i="2"/>
  <c r="Y232" i="2"/>
  <c r="Y228" i="2"/>
  <c r="Y216" i="2"/>
  <c r="Y213" i="2"/>
  <c r="Y209" i="2"/>
  <c r="Y207" i="2"/>
  <c r="Y125" i="2"/>
  <c r="Y115" i="2"/>
  <c r="Y112" i="2"/>
  <c r="Y109" i="2"/>
  <c r="Y108" i="2"/>
  <c r="Y107" i="2"/>
  <c r="Y106" i="2"/>
  <c r="Y105" i="2"/>
  <c r="Y104" i="2"/>
  <c r="Y103" i="2"/>
  <c r="Y102" i="2"/>
  <c r="X233" i="2"/>
  <c r="W233" i="2"/>
  <c r="V233" i="2"/>
  <c r="U233" i="2"/>
  <c r="G233" i="2"/>
  <c r="X232" i="2" l="1"/>
  <c r="X228" i="2"/>
  <c r="X216" i="2"/>
  <c r="X213" i="2"/>
  <c r="X209" i="2"/>
  <c r="X207" i="2"/>
  <c r="X125" i="2"/>
  <c r="X115" i="2"/>
  <c r="X112" i="2"/>
  <c r="X109" i="2"/>
  <c r="X108" i="2"/>
  <c r="X107" i="2"/>
  <c r="X106" i="2"/>
  <c r="X105" i="2"/>
  <c r="X104" i="2"/>
  <c r="X103" i="2"/>
  <c r="X102" i="2"/>
  <c r="W232" i="2"/>
  <c r="W228" i="2"/>
  <c r="W216" i="2"/>
  <c r="W213" i="2"/>
  <c r="W209" i="2"/>
  <c r="W207" i="2"/>
  <c r="W125" i="2"/>
  <c r="W115" i="2"/>
  <c r="W112" i="2"/>
  <c r="W109" i="2"/>
  <c r="W108" i="2"/>
  <c r="W107" i="2"/>
  <c r="W106" i="2"/>
  <c r="W105" i="2"/>
  <c r="W104" i="2"/>
  <c r="W103" i="2"/>
  <c r="W102" i="2"/>
  <c r="V232" i="2"/>
  <c r="V228" i="2"/>
  <c r="V216" i="2"/>
  <c r="V213" i="2"/>
  <c r="V209" i="2"/>
  <c r="V207" i="2"/>
  <c r="V125" i="2"/>
  <c r="V115" i="2"/>
  <c r="V112" i="2"/>
  <c r="V109" i="2"/>
  <c r="V108" i="2"/>
  <c r="V107" i="2"/>
  <c r="V106" i="2"/>
  <c r="V105" i="2"/>
  <c r="V104" i="2"/>
  <c r="V103" i="2"/>
  <c r="V102" i="2"/>
  <c r="U232" i="2"/>
  <c r="U228" i="2"/>
  <c r="U216" i="2"/>
  <c r="U213" i="2"/>
  <c r="U209" i="2"/>
  <c r="U207" i="2"/>
  <c r="U125" i="2"/>
  <c r="U115" i="2"/>
  <c r="U112" i="2"/>
  <c r="U109" i="2"/>
  <c r="U108" i="2"/>
  <c r="U107" i="2"/>
  <c r="U106" i="2"/>
  <c r="U105" i="2"/>
  <c r="U104" i="2"/>
  <c r="U103" i="2"/>
  <c r="U102" i="2"/>
  <c r="AW233" i="2"/>
  <c r="AW232" i="2"/>
  <c r="AW228" i="2"/>
  <c r="AW216" i="2"/>
  <c r="AW213" i="2"/>
  <c r="AW209" i="2"/>
  <c r="AW207" i="2"/>
  <c r="AW125" i="2"/>
  <c r="AW115" i="2"/>
  <c r="AW112" i="2"/>
  <c r="AW109" i="2"/>
  <c r="AW108" i="2"/>
  <c r="AW107" i="2"/>
  <c r="AW106" i="2"/>
  <c r="AW105" i="2"/>
  <c r="AW104" i="2"/>
  <c r="AW103" i="2"/>
  <c r="AW102" i="2"/>
  <c r="G207" i="2" l="1"/>
  <c r="G232" i="2"/>
  <c r="G209" i="2" l="1"/>
  <c r="G228" i="2"/>
  <c r="G125" i="2" l="1"/>
  <c r="G105" i="2" l="1"/>
  <c r="G104" i="2"/>
  <c r="G103" i="2"/>
  <c r="G102" i="2"/>
  <c r="G222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<sst xmlns="http://schemas.openxmlformats.org/spreadsheetml/2006/main" count="2875" uniqueCount="608">
  <si>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</si>
  <si>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</si>
  <si>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</si>
  <si>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</si>
  <si>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</si>
  <si>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</si>
  <si>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</si>
  <si>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</si>
  <si>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</si>
  <si>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</si>
  <si>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</si>
  <si>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</si>
  <si>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</si>
  <si>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</si>
  <si>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</si>
  <si>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</si>
  <si>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</si>
  <si>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</si>
  <si>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</si>
  <si>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</si>
  <si>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</si>
  <si>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</si>
  <si>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</si>
  <si>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</si>
  <si>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</si>
  <si>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</si>
  <si>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</si>
  <si>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</si>
  <si>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</si>
  <si>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</si>
  <si>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</si>
  <si>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</si>
  <si>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</si>
  <si>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</si>
  <si>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</si>
  <si>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</si>
  <si>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</si>
  <si>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</si>
  <si>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</si>
  <si>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</si>
  <si>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</si>
  <si>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</si>
  <si>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</si>
  <si>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</si>
  <si>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</si>
  <si>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</si>
  <si>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</si>
  <si>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</si>
  <si>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</si>
  <si>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</si>
  <si>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</si>
  <si>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</si>
  <si>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</si>
  <si>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</si>
  <si>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</si>
  <si>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</si>
  <si>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</si>
  <si>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</si>
  <si>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</si>
  <si>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</si>
  <si>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</si>
  <si>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</si>
  <si>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</si>
  <si>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</si>
  <si>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</si>
  <si>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</si>
  <si>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</si>
  <si>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</si>
  <si>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</si>
  <si>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</si>
  <si>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</si>
  <si>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</si>
  <si>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</si>
  <si>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</si>
  <si>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</si>
  <si>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</si>
  <si>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</si>
  <si>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</si>
  <si>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</si>
  <si>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</si>
  <si>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</si>
  <si>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</si>
  <si>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</si>
  <si>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</si>
  <si>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</si>
  <si>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</si>
  <si>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</si>
  <si>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</si>
  <si>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</si>
  <si>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</si>
  <si>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</si>
  <si>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</si>
  <si>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</si>
  <si>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</si>
  <si>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</si>
  <si>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</si>
  <si>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</si>
  <si>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</si>
  <si>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</si>
  <si>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</si>
  <si>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</si>
  <si>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</si>
  <si>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</si>
  <si>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</si>
  <si>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</si>
  <si>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</si>
  <si>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</si>
  <si>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</si>
  <si>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</si>
  <si>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</si>
  <si>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</si>
  <si>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</si>
  <si>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</si>
  <si>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</si>
  <si>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</si>
  <si>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</si>
  <si>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</si>
  <si>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</si>
  <si>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</si>
  <si>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</si>
  <si>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</si>
  <si>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</si>
  <si>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</si>
  <si>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</si>
  <si>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</si>
  <si>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</si>
  <si>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</si>
  <si>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</si>
  <si>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</si>
  <si>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</si>
  <si>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</si>
  <si>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</si>
  <si>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</si>
  <si>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</si>
  <si>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</si>
  <si>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</si>
  <si>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</si>
  <si>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</si>
  <si>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</si>
  <si>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</si>
  <si>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</si>
  <si>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</si>
  <si>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</si>
  <si>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</si>
  <si>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</si>
  <si>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</si>
  <si>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</si>
  <si>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</si>
  <si>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</si>
  <si>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</si>
  <si>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</si>
  <si>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</si>
  <si>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</si>
  <si>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</si>
  <si>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</si>
  <si>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</si>
  <si>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</si>
  <si>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</si>
  <si>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</si>
  <si>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</si>
  <si>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</si>
  <si>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</si>
  <si>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</si>
  <si>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</si>
  <si>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</si>
  <si>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</si>
  <si>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</si>
  <si>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</si>
  <si>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</si>
  <si>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</si>
  <si>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</si>
  <si>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</si>
  <si>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</si>
  <si>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</si>
  <si>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</si>
  <si>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</si>
  <si>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</si>
  <si>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</si>
  <si>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</si>
  <si>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</si>
  <si>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</si>
  <si>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</si>
  <si>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</si>
  <si>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</si>
  <si>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</si>
  <si>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</si>
  <si>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</si>
  <si>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</si>
  <si>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</si>
  <si>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</si>
  <si>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</si>
  <si>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</si>
  <si>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</si>
  <si>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</si>
  <si>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</si>
  <si>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</si>
  <si>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</si>
  <si>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</si>
  <si>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</si>
  <si>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</si>
  <si>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</si>
  <si>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</si>
  <si>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</si>
  <si>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</si>
  <si>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</si>
  <si>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</si>
  <si>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</si>
  <si>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</si>
  <si>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</si>
  <si>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</si>
  <si>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</si>
  <si>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</si>
  <si>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</si>
  <si>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</si>
  <si>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</si>
  <si>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</si>
  <si>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</si>
  <si>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</si>
  <si>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</si>
  <si>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</si>
  <si>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</si>
  <si>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</si>
  <si>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</si>
  <si>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</si>
  <si>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</si>
  <si>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</si>
  <si>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</si>
  <si>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</si>
  <si>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</si>
  <si>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</si>
  <si>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</si>
  <si>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</si>
  <si>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</si>
  <si>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</si>
  <si>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</si>
  <si>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</si>
  <si>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</si>
  <si>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</si>
  <si>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</si>
  <si>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</si>
  <si>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</si>
  <si>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</si>
  <si>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</si>
  <si>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</si>
  <si>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</si>
  <si>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</si>
  <si>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</si>
  <si>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</si>
  <si>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</si>
  <si>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</si>
  <si>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</si>
  <si>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</si>
  <si>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</si>
  <si>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</si>
  <si>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</si>
  <si>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</si>
  <si>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</si>
  <si>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</si>
  <si>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</si>
  <si>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</si>
  <si>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</si>
  <si>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</si>
  <si>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</si>
  <si>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</si>
  <si>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</si>
  <si>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</si>
  <si>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</si>
  <si>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</si>
  <si>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</si>
  <si>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</si>
  <si>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</si>
  <si>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</si>
  <si>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</si>
  <si>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</si>
  <si>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</si>
  <si>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</si>
  <si>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</si>
  <si>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</si>
  <si>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</si>
  <si>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</si>
  <si>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</si>
  <si>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</si>
  <si>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</si>
  <si>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</si>
  <si>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</si>
  <si>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</si>
  <si>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</si>
  <si>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</si>
  <si>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</si>
  <si>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</si>
  <si>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</si>
  <si>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</si>
  <si>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</si>
  <si>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</si>
  <si>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</si>
  <si>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</si>
  <si>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</si>
  <si>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</si>
  <si>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</si>
  <si>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</si>
  <si>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</si>
  <si>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</si>
  <si>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</si>
  <si>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</si>
  <si>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</si>
  <si>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</si>
  <si>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</si>
  <si>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</si>
  <si>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</si>
  <si>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</si>
  <si>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</si>
  <si>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</si>
  <si>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</si>
  <si>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</si>
  <si>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</si>
  <si>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</si>
  <si>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</si>
  <si>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</si>
  <si>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</si>
  <si>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</si>
  <si>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</si>
  <si>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</si>
  <si>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</si>
  <si>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</si>
  <si>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</si>
  <si>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</si>
  <si>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</si>
  <si>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</si>
  <si>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</si>
  <si>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</si>
  <si>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</si>
  <si>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</si>
  <si>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</si>
  <si>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</si>
  <si>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</si>
  <si>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</si>
  <si>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</si>
  <si>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</si>
  <si>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</si>
  <si>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</si>
  <si>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</si>
  <si>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</si>
  <si>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</si>
  <si>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</si>
  <si>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</si>
  <si>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</si>
  <si>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</si>
  <si>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</si>
  <si>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</si>
  <si>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</si>
  <si>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</si>
  <si>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</si>
  <si>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</si>
  <si>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</si>
  <si>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</si>
  <si>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</si>
  <si>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</si>
  <si>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</si>
  <si>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</si>
  <si>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</si>
  <si>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</si>
  <si>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</si>
  <si>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</si>
  <si>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</si>
  <si>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</si>
  <si>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</si>
  <si>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</si>
  <si>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</si>
  <si>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</si>
  <si>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</si>
  <si>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</si>
  <si>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</si>
  <si>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</si>
  <si>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</si>
  <si>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</si>
  <si>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</si>
  <si>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</si>
  <si>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</si>
  <si>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</si>
  <si>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</si>
  <si>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</si>
  <si>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</si>
  <si>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</si>
  <si>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</si>
  <si>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</si>
  <si>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</si>
  <si>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</si>
  <si>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</si>
  <si>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</si>
  <si>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</si>
  <si>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</si>
  <si>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</si>
  <si>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</si>
  <si>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</si>
  <si>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</si>
  <si>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</si>
  <si>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</si>
  <si>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</si>
  <si>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</si>
  <si>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</si>
  <si>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</si>
  <si>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</si>
  <si>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</si>
  <si>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</si>
  <si>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</si>
  <si>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</si>
  <si>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</si>
  <si>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</si>
  <si>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</si>
  <si>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</si>
  <si>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</si>
  <si>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</si>
  <si>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</si>
  <si>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</si>
  <si>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</si>
  <si>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</si>
  <si>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</si>
  <si>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</si>
  <si>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</si>
  <si>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</si>
  <si>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</si>
  <si>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</si>
  <si>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</si>
  <si>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</si>
  <si>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</si>
  <si>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</si>
  <si>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</si>
  <si>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</si>
  <si>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</si>
  <si>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</si>
  <si>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</si>
  <si>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</si>
  <si>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</si>
  <si>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</si>
  <si>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</si>
  <si>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</si>
  <si>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</si>
  <si>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</si>
  <si>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</si>
  <si>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</si>
  <si>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</si>
  <si>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</si>
  <si>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</si>
  <si>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</si>
  <si>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</si>
  <si>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</si>
  <si>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</si>
  <si>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</si>
  <si>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</si>
  <si>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</si>
  <si>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</si>
  <si>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</si>
  <si>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</si>
  <si>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</si>
  <si>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</si>
  <si>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</si>
  <si>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</si>
  <si>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</si>
  <si>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</si>
  <si>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</si>
  <si>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</si>
  <si>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</si>
  <si>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</si>
  <si>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</si>
  <si>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</si>
  <si>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</si>
  <si>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</si>
  <si>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</si>
  <si>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</si>
  <si>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</si>
  <si>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</si>
  <si>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</si>
  <si>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</si>
  <si>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</si>
  <si>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</si>
  <si>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</si>
  <si>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</si>
  <si>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</si>
  <si>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</si>
  <si>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</si>
  <si>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</si>
  <si>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</si>
  <si>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</si>
  <si>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</si>
  <si>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</si>
  <si>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</si>
  <si>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</si>
  <si>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</si>
  <si>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</si>
  <si>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</si>
  <si>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</si>
  <si>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</si>
  <si>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</si>
  <si>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</si>
  <si>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</si>
  <si>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</si>
  <si>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</si>
  <si>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</si>
  <si>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</si>
  <si>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</si>
  <si>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</si>
  <si>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</si>
  <si>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</si>
  <si>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</si>
  <si>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</si>
  <si>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</si>
  <si>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</si>
  <si>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</si>
  <si>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</si>
  <si>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</si>
  <si>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</si>
  <si>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</si>
  <si>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</si>
  <si>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</si>
  <si>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</si>
  <si>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</si>
  <si>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</si>
  <si>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</si>
  <si>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</si>
  <si>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</si>
  <si>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</si>
  <si>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</si>
  <si>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</si>
  <si>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</si>
  <si>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</si>
  <si>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</si>
  <si>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</si>
  <si>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</si>
  <si>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</si>
  <si>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</si>
  <si>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</si>
  <si>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</si>
  <si>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</si>
  <si>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</si>
  <si>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</si>
  <si>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</si>
  <si>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</si>
  <si>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</si>
  <si>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</si>
  <si>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</si>
  <si>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</si>
  <si>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</si>
  <si>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</si>
  <si>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</si>
  <si>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</si>
  <si>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</si>
  <si>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</si>
  <si>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</si>
  <si>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</si>
  <si>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</si>
  <si>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</si>
  <si>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</si>
  <si>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</si>
  <si>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</si>
  <si>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</si>
  <si>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</si>
  <si>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</si>
  <si>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</si>
  <si>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</si>
  <si>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</si>
  <si>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</si>
  <si>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</si>
  <si>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</si>
  <si>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</si>
  <si>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</si>
  <si>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</si>
  <si>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</si>
  <si>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</si>
  <si>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</si>
  <si>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</si>
  <si>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</si>
  <si>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</si>
  <si>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</si>
  <si>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</si>
  <si>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</si>
  <si>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</si>
  <si>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</si>
  <si>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</si>
  <si>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</si>
  <si>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</si>
  <si>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</si>
  <si>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</si>
  <si>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</si>
  <si>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</si>
  <si>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</si>
  <si>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</si>
  <si>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</si>
  <si>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</si>
  <si>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</si>
  <si>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</si>
  <si>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</si>
  <si>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</si>
  <si>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</si>
  <si>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</si>
  <si>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</si>
  <si>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</si>
  <si>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</si>
  <si>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</si>
  <si>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</si>
  <si>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</si>
  <si>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>Pmax/50</t>
  </si>
  <si>
    <t xml:space="preserve"> </t>
  </si>
  <si>
    <t>WB_debug_backup</t>
  </si>
  <si>
    <t>/100</t>
  </si>
  <si>
    <t>/4</t>
  </si>
  <si>
    <t>massic_reference_rate_of_AA_consumption_by_growth</t>
  </si>
  <si>
    <t>massic_reference_rate_of_hexose_consumption_by_growth</t>
  </si>
  <si>
    <t>molar so higher gradient than sucrose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</si>
</sst>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T236"/>
  <sheetViews>
    <sheetView tabSelected="1" zoomScale="79" zoomScaleNormal="100" workbookViewId="0">
      <pane xSplit="6" ySplit="1" topLeftCell="G193" activePane="bottomRight" state="frozen"/>
      <selection pane="topRight" activeCell="G1" sqref="G1"/>
      <selection pane="bottomLeft" activeCell="A2" sqref="A2"/>
      <selection pane="bottomRight" activeCell="L216" sqref="L216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9" width="21.5703125" style="1" customWidth="1"/>
  </cols>
  <sheetData>
    <row r="1" spans="1:49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602</v>
      </c>
      <c r="L1" s="54" t="s">
        <v>597</v>
      </c>
      <c r="N1" s="54" t="s">
        <v>596</v>
      </c>
      <c r="O1" s="54"/>
      <c r="P1" s="54" t="s">
        <v>570</v>
      </c>
      <c r="Q1" s="54" t="s">
        <v>568</v>
      </c>
      <c r="R1" s="54" t="s">
        <v>569</v>
      </c>
      <c r="T1" s="1" t="s">
        <v>567</v>
      </c>
      <c r="U1" s="36" t="s">
        <v>543</v>
      </c>
      <c r="V1" s="36" t="s">
        <v>544</v>
      </c>
      <c r="W1" s="36" t="s">
        <v>545</v>
      </c>
      <c r="X1" s="36" t="s">
        <v>546</v>
      </c>
      <c r="Y1" s="36" t="s">
        <v>547</v>
      </c>
      <c r="Z1" s="36" t="s">
        <v>548</v>
      </c>
      <c r="AA1" s="36" t="s">
        <v>549</v>
      </c>
      <c r="AB1" s="36" t="s">
        <v>550</v>
      </c>
      <c r="AC1" s="36" t="s">
        <v>551</v>
      </c>
      <c r="AD1" s="36" t="s">
        <v>552</v>
      </c>
      <c r="AE1" s="36" t="s">
        <v>553</v>
      </c>
      <c r="AF1"/>
      <c r="AG1" s="36" t="s">
        <v>554</v>
      </c>
      <c r="AH1" s="36" t="s">
        <v>555</v>
      </c>
      <c r="AI1" s="36" t="s">
        <v>556</v>
      </c>
      <c r="AJ1" s="36" t="s">
        <v>557</v>
      </c>
      <c r="AK1" s="36" t="s">
        <v>558</v>
      </c>
      <c r="AL1" s="36" t="s">
        <v>559</v>
      </c>
      <c r="AM1" s="36" t="s">
        <v>560</v>
      </c>
      <c r="AN1"/>
      <c r="AO1" s="36" t="s">
        <v>563</v>
      </c>
      <c r="AP1" s="36" t="s">
        <v>564</v>
      </c>
      <c r="AQ1" s="36" t="s">
        <v>565</v>
      </c>
      <c r="AR1" s="36" t="s">
        <v>566</v>
      </c>
      <c r="AS1"/>
      <c r="AT1" s="36" t="s">
        <v>562</v>
      </c>
      <c r="AU1"/>
      <c r="AV1"/>
      <c r="AW1" s="36" t="s">
        <v>542</v>
      </c>
    </row>
    <row r="2" spans="1:49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N2" s="44" t="s">
        <v>478</v>
      </c>
      <c r="O2" s="44"/>
      <c r="P2" s="44" t="s">
        <v>478</v>
      </c>
      <c r="Q2" s="44" t="s">
        <v>478</v>
      </c>
      <c r="R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/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 s="44" t="s">
        <v>478</v>
      </c>
      <c r="AM2" s="44" t="s">
        <v>478</v>
      </c>
      <c r="AN2"/>
      <c r="AO2" s="44" t="s">
        <v>478</v>
      </c>
      <c r="AP2" s="44" t="s">
        <v>478</v>
      </c>
      <c r="AQ2" s="44" t="s">
        <v>478</v>
      </c>
      <c r="AR2" s="44" t="s">
        <v>478</v>
      </c>
      <c r="AS2"/>
      <c r="AT2" s="44" t="s">
        <v>478</v>
      </c>
      <c r="AU2"/>
      <c r="AV2"/>
      <c r="AW2" s="44" t="s">
        <v>478</v>
      </c>
    </row>
    <row r="3" spans="1:49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N3" s="44" t="s">
        <v>476</v>
      </c>
      <c r="O3" s="44"/>
      <c r="P3" s="44" t="s">
        <v>476</v>
      </c>
      <c r="Q3" s="44" t="s">
        <v>476</v>
      </c>
      <c r="R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/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 s="44" t="s">
        <v>476</v>
      </c>
      <c r="AM3" s="44" t="s">
        <v>476</v>
      </c>
      <c r="AN3"/>
      <c r="AO3" s="44" t="s">
        <v>476</v>
      </c>
      <c r="AP3" s="44" t="s">
        <v>476</v>
      </c>
      <c r="AQ3" s="44" t="s">
        <v>476</v>
      </c>
      <c r="AR3" s="44" t="s">
        <v>476</v>
      </c>
      <c r="AS3"/>
      <c r="AT3" s="44" t="s">
        <v>476</v>
      </c>
      <c r="AU3"/>
      <c r="AV3"/>
      <c r="AW3" s="44" t="s">
        <v>476</v>
      </c>
    </row>
    <row r="4" spans="1:49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N4" s="44" t="s">
        <v>476</v>
      </c>
      <c r="O4" s="44"/>
      <c r="P4" s="44" t="s">
        <v>476</v>
      </c>
      <c r="Q4" s="44" t="s">
        <v>476</v>
      </c>
      <c r="R4" s="44" t="s">
        <v>476</v>
      </c>
      <c r="U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/>
      <c r="AG4" s="44" t="s">
        <v>476</v>
      </c>
      <c r="AH4" s="44" t="s">
        <v>476</v>
      </c>
      <c r="AI4" s="44" t="s">
        <v>476</v>
      </c>
      <c r="AJ4" s="44" t="s">
        <v>476</v>
      </c>
      <c r="AK4" s="44" t="s">
        <v>476</v>
      </c>
      <c r="AL4" s="44" t="s">
        <v>476</v>
      </c>
      <c r="AM4" s="44" t="s">
        <v>476</v>
      </c>
      <c r="AN4"/>
      <c r="AO4" s="44" t="s">
        <v>476</v>
      </c>
      <c r="AP4" s="44" t="s">
        <v>476</v>
      </c>
      <c r="AQ4" s="44" t="s">
        <v>476</v>
      </c>
      <c r="AR4" s="44" t="s">
        <v>476</v>
      </c>
      <c r="AS4"/>
      <c r="AT4" s="44" t="s">
        <v>476</v>
      </c>
      <c r="AU4"/>
      <c r="AV4"/>
      <c r="AW4" s="44" t="s">
        <v>476</v>
      </c>
    </row>
    <row r="5" spans="1:49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N5" s="44" t="s">
        <v>86</v>
      </c>
      <c r="O5" s="44"/>
      <c r="P5" s="44" t="s">
        <v>86</v>
      </c>
      <c r="Q5" s="44" t="s">
        <v>86</v>
      </c>
      <c r="R5" s="44" t="s">
        <v>86</v>
      </c>
      <c r="U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/>
      <c r="AG5" s="44" t="s">
        <v>86</v>
      </c>
      <c r="AH5" s="44" t="s">
        <v>86</v>
      </c>
      <c r="AI5" s="44" t="s">
        <v>86</v>
      </c>
      <c r="AJ5" s="44" t="s">
        <v>86</v>
      </c>
      <c r="AK5" s="44" t="s">
        <v>86</v>
      </c>
      <c r="AL5" s="44" t="s">
        <v>86</v>
      </c>
      <c r="AM5" s="44" t="s">
        <v>86</v>
      </c>
      <c r="AN5"/>
      <c r="AO5" s="44" t="s">
        <v>86</v>
      </c>
      <c r="AP5" s="44" t="s">
        <v>86</v>
      </c>
      <c r="AQ5" s="44" t="s">
        <v>86</v>
      </c>
      <c r="AR5" s="44" t="s">
        <v>86</v>
      </c>
      <c r="AS5"/>
      <c r="AT5" s="44" t="s">
        <v>86</v>
      </c>
      <c r="AU5"/>
      <c r="AV5"/>
      <c r="AW5" s="44" t="s">
        <v>86</v>
      </c>
    </row>
    <row r="6" spans="1:49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N6" s="44">
        <v>1</v>
      </c>
      <c r="O6" s="44"/>
      <c r="P6" s="44">
        <v>1</v>
      </c>
      <c r="Q6" s="44">
        <v>1</v>
      </c>
      <c r="R6" s="44">
        <v>1</v>
      </c>
      <c r="U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/>
      <c r="AG6" s="44">
        <v>1</v>
      </c>
      <c r="AH6" s="44">
        <v>1</v>
      </c>
      <c r="AI6" s="44">
        <v>1</v>
      </c>
      <c r="AJ6" s="44">
        <v>1</v>
      </c>
      <c r="AK6" s="44">
        <v>1</v>
      </c>
      <c r="AL6" s="44">
        <v>1</v>
      </c>
      <c r="AM6" s="44">
        <v>1</v>
      </c>
      <c r="AN6"/>
      <c r="AO6" s="44">
        <v>1</v>
      </c>
      <c r="AP6" s="44">
        <v>1</v>
      </c>
      <c r="AQ6" s="44">
        <v>1</v>
      </c>
      <c r="AR6" s="44">
        <v>1</v>
      </c>
      <c r="AS6"/>
      <c r="AT6" s="44">
        <v>1</v>
      </c>
      <c r="AU6"/>
      <c r="AV6"/>
      <c r="AW6" s="44">
        <v>1</v>
      </c>
    </row>
    <row r="7" spans="1:49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N7" s="44">
        <v>180</v>
      </c>
      <c r="O7" s="44"/>
      <c r="P7" s="44">
        <v>180</v>
      </c>
      <c r="Q7" s="44">
        <v>180</v>
      </c>
      <c r="R7" s="44">
        <v>180</v>
      </c>
      <c r="U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/>
      <c r="AG7" s="44">
        <v>180</v>
      </c>
      <c r="AH7" s="44">
        <v>180</v>
      </c>
      <c r="AI7" s="44">
        <v>180</v>
      </c>
      <c r="AJ7" s="44">
        <v>180</v>
      </c>
      <c r="AK7" s="44">
        <v>180</v>
      </c>
      <c r="AL7" s="44">
        <v>180</v>
      </c>
      <c r="AM7" s="44">
        <v>180</v>
      </c>
      <c r="AN7"/>
      <c r="AO7" s="44">
        <v>180</v>
      </c>
      <c r="AP7" s="44">
        <v>180</v>
      </c>
      <c r="AQ7" s="44">
        <v>180</v>
      </c>
      <c r="AR7" s="44">
        <v>180</v>
      </c>
      <c r="AS7"/>
      <c r="AT7" s="44">
        <v>180</v>
      </c>
      <c r="AU7"/>
      <c r="AV7"/>
      <c r="AW7" s="44">
        <v>180</v>
      </c>
    </row>
    <row r="8" spans="1:49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N8" s="44">
        <v>4.1666666999999998E-2</v>
      </c>
      <c r="O8" s="44"/>
      <c r="P8" s="44">
        <v>4.1666666999999998E-2</v>
      </c>
      <c r="Q8" s="44">
        <v>4.1666666999999998E-2</v>
      </c>
      <c r="R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/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 s="44">
        <v>4.1666666999999998E-2</v>
      </c>
      <c r="AN8"/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/>
      <c r="AT8" s="44">
        <v>4.1666666999999998E-2</v>
      </c>
      <c r="AU8"/>
      <c r="AV8"/>
      <c r="AW8" s="44">
        <v>4.1666666999999998E-2</v>
      </c>
    </row>
    <row r="9" spans="1:49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N9" s="44">
        <v>4.1666666999999998E-2</v>
      </c>
      <c r="O9" s="44"/>
      <c r="P9" s="44">
        <v>4.1666666999999998E-2</v>
      </c>
      <c r="Q9" s="44">
        <v>4.1666666999999998E-2</v>
      </c>
      <c r="R9" s="44">
        <v>4.1666666999999998E-2</v>
      </c>
      <c r="U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/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 s="44">
        <v>4.1666666999999998E-2</v>
      </c>
      <c r="AM9" s="44">
        <v>4.1666666999999998E-2</v>
      </c>
      <c r="AN9"/>
      <c r="AO9" s="44">
        <v>4.1666666999999998E-2</v>
      </c>
      <c r="AP9" s="44">
        <v>4.1666666999999998E-2</v>
      </c>
      <c r="AQ9" s="44">
        <v>4.1666666999999998E-2</v>
      </c>
      <c r="AR9" s="44">
        <v>4.1666666999999998E-2</v>
      </c>
      <c r="AS9"/>
      <c r="AT9" s="44">
        <v>4.1666666999999998E-2</v>
      </c>
      <c r="AU9"/>
      <c r="AV9"/>
      <c r="AW9" s="44">
        <v>4.1666666999999998E-2</v>
      </c>
    </row>
    <row r="10" spans="1:49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N10" s="44">
        <v>1</v>
      </c>
      <c r="O10" s="44"/>
      <c r="P10" s="44">
        <v>1</v>
      </c>
      <c r="Q10" s="44">
        <v>1</v>
      </c>
      <c r="R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/>
      <c r="AG10" s="44">
        <v>1</v>
      </c>
      <c r="AH10" s="44">
        <v>1</v>
      </c>
      <c r="AI10" s="44">
        <v>1</v>
      </c>
      <c r="AJ10" s="44">
        <v>1</v>
      </c>
      <c r="AK10" s="44">
        <v>1</v>
      </c>
      <c r="AL10" s="44">
        <v>1</v>
      </c>
      <c r="AM10" s="44">
        <v>1</v>
      </c>
      <c r="AN10"/>
      <c r="AO10" s="44">
        <v>1</v>
      </c>
      <c r="AP10" s="44">
        <v>1</v>
      </c>
      <c r="AQ10" s="44">
        <v>1</v>
      </c>
      <c r="AR10" s="44">
        <v>1</v>
      </c>
      <c r="AS10"/>
      <c r="AT10" s="44">
        <v>1</v>
      </c>
      <c r="AU10"/>
      <c r="AV10"/>
      <c r="AW10" s="44">
        <v>1</v>
      </c>
    </row>
    <row r="11" spans="1:49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N11" s="44">
        <v>0</v>
      </c>
      <c r="O11" s="44"/>
      <c r="P11" s="44">
        <v>0</v>
      </c>
      <c r="Q11" s="44">
        <v>0</v>
      </c>
      <c r="R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/>
      <c r="AG11" s="44">
        <v>0</v>
      </c>
      <c r="AH11" s="44">
        <v>0</v>
      </c>
      <c r="AI11" s="44">
        <v>0</v>
      </c>
      <c r="AJ11" s="44">
        <v>0</v>
      </c>
      <c r="AK11" s="44">
        <v>0</v>
      </c>
      <c r="AL11" s="44">
        <v>0</v>
      </c>
      <c r="AM11" s="44">
        <v>0</v>
      </c>
      <c r="AN11"/>
      <c r="AO11" s="44">
        <v>0</v>
      </c>
      <c r="AP11" s="44">
        <v>0</v>
      </c>
      <c r="AQ11" s="44">
        <v>0</v>
      </c>
      <c r="AR11" s="44">
        <v>0</v>
      </c>
      <c r="AS11"/>
      <c r="AT11" s="44">
        <v>0</v>
      </c>
      <c r="AU11"/>
      <c r="AV11"/>
      <c r="AW11" s="44">
        <v>0</v>
      </c>
    </row>
    <row r="12" spans="1:49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N12" s="44" t="s">
        <v>87</v>
      </c>
      <c r="O12" s="44"/>
      <c r="P12" s="44" t="s">
        <v>87</v>
      </c>
      <c r="Q12" s="44" t="s">
        <v>87</v>
      </c>
      <c r="R12" s="44" t="s">
        <v>87</v>
      </c>
      <c r="U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/>
      <c r="AG12" s="44" t="s">
        <v>87</v>
      </c>
      <c r="AH12" s="44" t="s">
        <v>87</v>
      </c>
      <c r="AI12" s="44" t="s">
        <v>87</v>
      </c>
      <c r="AJ12" s="44" t="s">
        <v>87</v>
      </c>
      <c r="AK12" s="44" t="s">
        <v>87</v>
      </c>
      <c r="AL12" s="44" t="s">
        <v>87</v>
      </c>
      <c r="AM12" s="44" t="s">
        <v>87</v>
      </c>
      <c r="AN12"/>
      <c r="AO12" s="44" t="s">
        <v>87</v>
      </c>
      <c r="AP12" s="44" t="s">
        <v>87</v>
      </c>
      <c r="AQ12" s="44" t="s">
        <v>87</v>
      </c>
      <c r="AR12" s="44" t="s">
        <v>87</v>
      </c>
      <c r="AS12"/>
      <c r="AT12" s="44" t="s">
        <v>87</v>
      </c>
      <c r="AU12"/>
      <c r="AV12"/>
      <c r="AW12" s="44" t="s">
        <v>87</v>
      </c>
    </row>
    <row r="13" spans="1:49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N13" s="44">
        <v>5.0000000000000001E-9</v>
      </c>
      <c r="O13" s="44"/>
      <c r="P13" s="44">
        <v>5.0000000000000001E-9</v>
      </c>
      <c r="Q13" s="44">
        <v>5.0000000000000001E-9</v>
      </c>
      <c r="R13" s="44">
        <v>5.0000000000000001E-9</v>
      </c>
      <c r="U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/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 s="44">
        <v>5.0000000000000001E-9</v>
      </c>
      <c r="AM13" s="44">
        <v>5.0000000000000001E-9</v>
      </c>
      <c r="AN13"/>
      <c r="AO13" s="44">
        <v>5.0000000000000001E-9</v>
      </c>
      <c r="AP13" s="44">
        <v>5.0000000000000001E-9</v>
      </c>
      <c r="AQ13" s="44">
        <v>5.0000000000000001E-9</v>
      </c>
      <c r="AR13" s="44">
        <v>5.0000000000000001E-9</v>
      </c>
      <c r="AS13"/>
      <c r="AT13" s="44">
        <v>5.0000000000000001E-9</v>
      </c>
      <c r="AU13"/>
      <c r="AV13"/>
      <c r="AW13" s="44">
        <v>5.0000000000000001E-9</v>
      </c>
    </row>
    <row r="14" spans="1:49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N14" s="44">
        <v>10</v>
      </c>
      <c r="O14" s="44"/>
      <c r="P14" s="44">
        <v>10</v>
      </c>
      <c r="Q14" s="44">
        <v>10</v>
      </c>
      <c r="R14" s="44">
        <v>10</v>
      </c>
      <c r="U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/>
      <c r="AG14" s="44">
        <v>10</v>
      </c>
      <c r="AH14" s="44">
        <v>10</v>
      </c>
      <c r="AI14" s="44">
        <v>10</v>
      </c>
      <c r="AJ14" s="44">
        <v>10</v>
      </c>
      <c r="AK14" s="44">
        <v>10</v>
      </c>
      <c r="AL14" s="44">
        <v>10</v>
      </c>
      <c r="AM14" s="44">
        <v>10</v>
      </c>
      <c r="AN14"/>
      <c r="AO14" s="44">
        <v>10</v>
      </c>
      <c r="AP14" s="44">
        <v>10</v>
      </c>
      <c r="AQ14" s="44">
        <v>10</v>
      </c>
      <c r="AR14" s="44">
        <v>10</v>
      </c>
      <c r="AS14"/>
      <c r="AT14" s="44">
        <v>10</v>
      </c>
      <c r="AU14"/>
      <c r="AV14"/>
      <c r="AW14" s="44">
        <v>10</v>
      </c>
    </row>
    <row r="15" spans="1:49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N15" s="44" t="s">
        <v>87</v>
      </c>
      <c r="O15" s="44"/>
      <c r="P15" s="44" t="s">
        <v>87</v>
      </c>
      <c r="Q15" s="44" t="s">
        <v>87</v>
      </c>
      <c r="R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/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 s="44" t="s">
        <v>87</v>
      </c>
      <c r="AM15" s="44" t="s">
        <v>87</v>
      </c>
      <c r="AN15"/>
      <c r="AO15" s="44" t="s">
        <v>87</v>
      </c>
      <c r="AP15" s="44" t="s">
        <v>87</v>
      </c>
      <c r="AQ15" s="44" t="s">
        <v>87</v>
      </c>
      <c r="AR15" s="44" t="s">
        <v>87</v>
      </c>
      <c r="AS15"/>
      <c r="AT15" s="44" t="s">
        <v>87</v>
      </c>
      <c r="AU15"/>
      <c r="AV15"/>
      <c r="AW15" s="44" t="s">
        <v>87</v>
      </c>
    </row>
    <row r="16" spans="1:49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N16" s="44" t="s">
        <v>87</v>
      </c>
      <c r="O16" s="44"/>
      <c r="P16" s="44" t="s">
        <v>87</v>
      </c>
      <c r="Q16" s="44" t="s">
        <v>87</v>
      </c>
      <c r="R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/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 s="44" t="s">
        <v>87</v>
      </c>
      <c r="AM16" s="44" t="s">
        <v>87</v>
      </c>
      <c r="AN16"/>
      <c r="AO16" s="44" t="s">
        <v>87</v>
      </c>
      <c r="AP16" s="44" t="s">
        <v>87</v>
      </c>
      <c r="AQ16" s="44" t="s">
        <v>87</v>
      </c>
      <c r="AR16" s="44" t="s">
        <v>87</v>
      </c>
      <c r="AS16"/>
      <c r="AT16" s="44" t="s">
        <v>87</v>
      </c>
      <c r="AU16"/>
      <c r="AV16"/>
      <c r="AW16" s="44" t="s">
        <v>87</v>
      </c>
    </row>
    <row r="17" spans="1:49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N17" s="44" t="s">
        <v>87</v>
      </c>
      <c r="O17" s="44"/>
      <c r="P17" s="44" t="s">
        <v>87</v>
      </c>
      <c r="Q17" s="44" t="s">
        <v>87</v>
      </c>
      <c r="R17" s="44" t="s">
        <v>87</v>
      </c>
      <c r="U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/>
      <c r="AG17" s="44" t="s">
        <v>87</v>
      </c>
      <c r="AH17" s="44" t="s">
        <v>87</v>
      </c>
      <c r="AI17" s="44" t="s">
        <v>87</v>
      </c>
      <c r="AJ17" s="44" t="s">
        <v>87</v>
      </c>
      <c r="AK17" s="44" t="s">
        <v>87</v>
      </c>
      <c r="AL17" s="44" t="s">
        <v>87</v>
      </c>
      <c r="AM17" s="44" t="s">
        <v>87</v>
      </c>
      <c r="AN17"/>
      <c r="AO17" s="44" t="s">
        <v>87</v>
      </c>
      <c r="AP17" s="44" t="s">
        <v>87</v>
      </c>
      <c r="AQ17" s="44" t="s">
        <v>87</v>
      </c>
      <c r="AR17" s="44" t="s">
        <v>87</v>
      </c>
      <c r="AS17"/>
      <c r="AT17" s="44" t="s">
        <v>87</v>
      </c>
      <c r="AU17"/>
      <c r="AV17"/>
      <c r="AW17" s="44" t="s">
        <v>87</v>
      </c>
    </row>
    <row r="18" spans="1:49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N18" s="44">
        <v>86400</v>
      </c>
      <c r="O18" s="44"/>
      <c r="P18" s="44">
        <v>86400</v>
      </c>
      <c r="Q18" s="44">
        <v>86400</v>
      </c>
      <c r="R18" s="44">
        <v>86400</v>
      </c>
      <c r="U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/>
      <c r="AG18" s="44">
        <v>86400</v>
      </c>
      <c r="AH18" s="44">
        <v>86400</v>
      </c>
      <c r="AI18" s="44">
        <v>86400</v>
      </c>
      <c r="AJ18" s="44">
        <v>86400</v>
      </c>
      <c r="AK18" s="44">
        <v>86400</v>
      </c>
      <c r="AL18" s="44">
        <v>86400</v>
      </c>
      <c r="AM18" s="44">
        <v>86400</v>
      </c>
      <c r="AN18"/>
      <c r="AO18" s="44">
        <v>86400</v>
      </c>
      <c r="AP18" s="44">
        <v>86400</v>
      </c>
      <c r="AQ18" s="44">
        <v>86400</v>
      </c>
      <c r="AR18" s="44">
        <v>86400</v>
      </c>
      <c r="AS18"/>
      <c r="AT18" s="44">
        <v>86400</v>
      </c>
      <c r="AU18"/>
      <c r="AV18"/>
      <c r="AW18" s="44">
        <v>86400</v>
      </c>
    </row>
    <row r="19" spans="1:49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N19" s="44" t="s">
        <v>86</v>
      </c>
      <c r="O19" s="44"/>
      <c r="P19" s="44" t="s">
        <v>86</v>
      </c>
      <c r="Q19" s="44" t="s">
        <v>86</v>
      </c>
      <c r="R19" s="44" t="s">
        <v>86</v>
      </c>
      <c r="U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/>
      <c r="AG19" s="44" t="s">
        <v>86</v>
      </c>
      <c r="AH19" s="44" t="s">
        <v>86</v>
      </c>
      <c r="AI19" s="44" t="s">
        <v>86</v>
      </c>
      <c r="AJ19" s="44" t="s">
        <v>86</v>
      </c>
      <c r="AK19" s="44" t="s">
        <v>86</v>
      </c>
      <c r="AL19" s="44" t="s">
        <v>86</v>
      </c>
      <c r="AM19" s="44" t="s">
        <v>86</v>
      </c>
      <c r="AN19"/>
      <c r="AO19" s="44" t="s">
        <v>86</v>
      </c>
      <c r="AP19" s="44" t="s">
        <v>86</v>
      </c>
      <c r="AQ19" s="44" t="s">
        <v>86</v>
      </c>
      <c r="AR19" s="44" t="s">
        <v>86</v>
      </c>
      <c r="AS19"/>
      <c r="AT19" s="44" t="s">
        <v>86</v>
      </c>
      <c r="AU19"/>
      <c r="AV19"/>
      <c r="AW19" s="44" t="s">
        <v>86</v>
      </c>
    </row>
    <row r="20" spans="1:49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N20" s="44">
        <v>3</v>
      </c>
      <c r="O20" s="44"/>
      <c r="P20" s="44">
        <v>3</v>
      </c>
      <c r="Q20" s="44">
        <v>3</v>
      </c>
      <c r="R20" s="44">
        <v>3</v>
      </c>
      <c r="U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/>
      <c r="AG20" s="44">
        <v>3</v>
      </c>
      <c r="AH20" s="44">
        <v>3</v>
      </c>
      <c r="AI20" s="44">
        <v>3</v>
      </c>
      <c r="AJ20" s="44">
        <v>3</v>
      </c>
      <c r="AK20" s="44">
        <v>3</v>
      </c>
      <c r="AL20" s="44">
        <v>3</v>
      </c>
      <c r="AM20" s="44">
        <v>3</v>
      </c>
      <c r="AN20"/>
      <c r="AO20" s="44">
        <v>3</v>
      </c>
      <c r="AP20" s="44">
        <v>3</v>
      </c>
      <c r="AQ20" s="44">
        <v>3</v>
      </c>
      <c r="AR20" s="44">
        <v>3</v>
      </c>
      <c r="AS20"/>
      <c r="AT20" s="44">
        <v>3</v>
      </c>
      <c r="AU20"/>
      <c r="AV20"/>
      <c r="AW20" s="44">
        <v>3</v>
      </c>
    </row>
    <row r="21" spans="1:49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N21" s="44" t="s">
        <v>87</v>
      </c>
      <c r="O21" s="44"/>
      <c r="P21" s="44" t="s">
        <v>87</v>
      </c>
      <c r="Q21" s="44" t="s">
        <v>87</v>
      </c>
      <c r="R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/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 s="44" t="s">
        <v>87</v>
      </c>
      <c r="AM21" s="44" t="s">
        <v>87</v>
      </c>
      <c r="AN21"/>
      <c r="AO21" s="44" t="s">
        <v>87</v>
      </c>
      <c r="AP21" s="44" t="s">
        <v>87</v>
      </c>
      <c r="AQ21" s="44" t="s">
        <v>87</v>
      </c>
      <c r="AR21" s="44" t="s">
        <v>87</v>
      </c>
      <c r="AS21"/>
      <c r="AT21" s="44" t="s">
        <v>87</v>
      </c>
      <c r="AU21"/>
      <c r="AV21"/>
      <c r="AW21" s="44" t="s">
        <v>87</v>
      </c>
    </row>
    <row r="22" spans="1:49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N22" s="44" t="s">
        <v>87</v>
      </c>
      <c r="O22" s="44"/>
      <c r="P22" s="44" t="s">
        <v>87</v>
      </c>
      <c r="Q22" s="44" t="s">
        <v>87</v>
      </c>
      <c r="R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/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 s="44" t="s">
        <v>87</v>
      </c>
      <c r="AM22" s="44" t="s">
        <v>87</v>
      </c>
      <c r="AN22"/>
      <c r="AO22" s="44" t="s">
        <v>87</v>
      </c>
      <c r="AP22" s="44" t="s">
        <v>87</v>
      </c>
      <c r="AQ22" s="44" t="s">
        <v>87</v>
      </c>
      <c r="AR22" s="44" t="s">
        <v>87</v>
      </c>
      <c r="AS22"/>
      <c r="AT22" s="44" t="s">
        <v>87</v>
      </c>
      <c r="AU22"/>
      <c r="AV22"/>
      <c r="AW22" s="44" t="s">
        <v>87</v>
      </c>
    </row>
    <row r="23" spans="1:49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N23" s="44" t="s">
        <v>87</v>
      </c>
      <c r="O23" s="44"/>
      <c r="P23" s="44" t="s">
        <v>87</v>
      </c>
      <c r="Q23" s="44" t="s">
        <v>87</v>
      </c>
      <c r="R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/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 s="44" t="s">
        <v>87</v>
      </c>
      <c r="AM23" s="44" t="s">
        <v>87</v>
      </c>
      <c r="AN23"/>
      <c r="AO23" s="44" t="s">
        <v>87</v>
      </c>
      <c r="AP23" s="44" t="s">
        <v>87</v>
      </c>
      <c r="AQ23" s="44" t="s">
        <v>87</v>
      </c>
      <c r="AR23" s="44" t="s">
        <v>87</v>
      </c>
      <c r="AS23"/>
      <c r="AT23" s="44" t="s">
        <v>87</v>
      </c>
      <c r="AU23"/>
      <c r="AV23"/>
      <c r="AW23" s="44" t="s">
        <v>87</v>
      </c>
    </row>
    <row r="24" spans="1:49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N24" s="44" t="s">
        <v>87</v>
      </c>
      <c r="O24" s="44"/>
      <c r="P24" s="44" t="s">
        <v>87</v>
      </c>
      <c r="Q24" s="44" t="s">
        <v>87</v>
      </c>
      <c r="R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/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 s="44" t="s">
        <v>87</v>
      </c>
      <c r="AM24" s="44" t="s">
        <v>87</v>
      </c>
      <c r="AN24"/>
      <c r="AO24" s="44" t="s">
        <v>87</v>
      </c>
      <c r="AP24" s="44" t="s">
        <v>87</v>
      </c>
      <c r="AQ24" s="44" t="s">
        <v>87</v>
      </c>
      <c r="AR24" s="44" t="s">
        <v>87</v>
      </c>
      <c r="AS24"/>
      <c r="AT24" s="44" t="s">
        <v>87</v>
      </c>
      <c r="AU24"/>
      <c r="AV24"/>
      <c r="AW24" s="44" t="s">
        <v>87</v>
      </c>
    </row>
    <row r="25" spans="1:49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N25" s="44" t="s">
        <v>87</v>
      </c>
      <c r="O25" s="44"/>
      <c r="P25" s="44" t="s">
        <v>87</v>
      </c>
      <c r="Q25" s="44" t="s">
        <v>87</v>
      </c>
      <c r="R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/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 s="44" t="s">
        <v>87</v>
      </c>
      <c r="AM25" s="44" t="s">
        <v>87</v>
      </c>
      <c r="AN25"/>
      <c r="AO25" s="44" t="s">
        <v>87</v>
      </c>
      <c r="AP25" s="44" t="s">
        <v>87</v>
      </c>
      <c r="AQ25" s="44" t="s">
        <v>87</v>
      </c>
      <c r="AR25" s="44" t="s">
        <v>87</v>
      </c>
      <c r="AS25"/>
      <c r="AT25" s="44" t="s">
        <v>87</v>
      </c>
      <c r="AU25"/>
      <c r="AV25"/>
      <c r="AW25" s="44" t="s">
        <v>87</v>
      </c>
    </row>
    <row r="26" spans="1:49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N26" s="44" t="s">
        <v>87</v>
      </c>
      <c r="O26" s="44"/>
      <c r="P26" s="44" t="s">
        <v>87</v>
      </c>
      <c r="Q26" s="44" t="s">
        <v>87</v>
      </c>
      <c r="R26" s="44" t="s">
        <v>87</v>
      </c>
      <c r="U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/>
      <c r="AG26" s="44" t="s">
        <v>87</v>
      </c>
      <c r="AH26" s="44" t="s">
        <v>87</v>
      </c>
      <c r="AI26" s="44" t="s">
        <v>87</v>
      </c>
      <c r="AJ26" s="44" t="s">
        <v>87</v>
      </c>
      <c r="AK26" s="44" t="s">
        <v>87</v>
      </c>
      <c r="AL26" s="44" t="s">
        <v>87</v>
      </c>
      <c r="AM26" s="44" t="s">
        <v>87</v>
      </c>
      <c r="AN26"/>
      <c r="AO26" s="44" t="s">
        <v>87</v>
      </c>
      <c r="AP26" s="44" t="s">
        <v>87</v>
      </c>
      <c r="AQ26" s="44" t="s">
        <v>87</v>
      </c>
      <c r="AR26" s="44" t="s">
        <v>87</v>
      </c>
      <c r="AS26"/>
      <c r="AT26" s="44" t="s">
        <v>87</v>
      </c>
      <c r="AU26"/>
      <c r="AV26"/>
      <c r="AW26" s="44" t="s">
        <v>87</v>
      </c>
    </row>
    <row r="27" spans="1:49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N27" s="44">
        <v>0.33</v>
      </c>
      <c r="O27" s="44"/>
      <c r="P27" s="44">
        <v>0.33</v>
      </c>
      <c r="Q27" s="44">
        <v>0.33</v>
      </c>
      <c r="R27" s="44">
        <v>0.33</v>
      </c>
      <c r="U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/>
      <c r="AG27" s="44">
        <v>0.33</v>
      </c>
      <c r="AH27" s="44">
        <v>0.33</v>
      </c>
      <c r="AI27" s="44">
        <v>0.33</v>
      </c>
      <c r="AJ27" s="44">
        <v>0.33</v>
      </c>
      <c r="AK27" s="44">
        <v>0.33</v>
      </c>
      <c r="AL27" s="44">
        <v>0.33</v>
      </c>
      <c r="AM27" s="44">
        <v>0.33</v>
      </c>
      <c r="AN27"/>
      <c r="AO27" s="44">
        <v>0.33</v>
      </c>
      <c r="AP27" s="44">
        <v>0.33</v>
      </c>
      <c r="AQ27" s="44">
        <v>0.33</v>
      </c>
      <c r="AR27" s="44">
        <v>0.33</v>
      </c>
      <c r="AS27"/>
      <c r="AT27" s="44">
        <v>0.33</v>
      </c>
      <c r="AU27"/>
      <c r="AV27"/>
      <c r="AW27" s="44">
        <v>0.33</v>
      </c>
    </row>
    <row r="28" spans="1:49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N28" s="44" t="s">
        <v>87</v>
      </c>
      <c r="O28" s="44"/>
      <c r="P28" s="44" t="s">
        <v>87</v>
      </c>
      <c r="Q28" s="44" t="s">
        <v>87</v>
      </c>
      <c r="R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/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 s="44" t="s">
        <v>87</v>
      </c>
      <c r="AM28" s="44" t="s">
        <v>87</v>
      </c>
      <c r="AN28"/>
      <c r="AO28" s="44" t="s">
        <v>87</v>
      </c>
      <c r="AP28" s="44" t="s">
        <v>87</v>
      </c>
      <c r="AQ28" s="44" t="s">
        <v>87</v>
      </c>
      <c r="AR28" s="44" t="s">
        <v>87</v>
      </c>
      <c r="AS28"/>
      <c r="AT28" s="44" t="s">
        <v>87</v>
      </c>
      <c r="AU28"/>
      <c r="AV28"/>
      <c r="AW28" s="44" t="s">
        <v>87</v>
      </c>
    </row>
    <row r="29" spans="1:49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N29" s="44" t="s">
        <v>87</v>
      </c>
      <c r="O29" s="44"/>
      <c r="P29" s="44" t="s">
        <v>87</v>
      </c>
      <c r="Q29" s="44" t="s">
        <v>87</v>
      </c>
      <c r="R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/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 s="44" t="s">
        <v>87</v>
      </c>
      <c r="AM29" s="44" t="s">
        <v>87</v>
      </c>
      <c r="AN29"/>
      <c r="AO29" s="44" t="s">
        <v>87</v>
      </c>
      <c r="AP29" s="44" t="s">
        <v>87</v>
      </c>
      <c r="AQ29" s="44" t="s">
        <v>87</v>
      </c>
      <c r="AR29" s="44" t="s">
        <v>87</v>
      </c>
      <c r="AS29"/>
      <c r="AT29" s="44" t="s">
        <v>87</v>
      </c>
      <c r="AU29"/>
      <c r="AV29"/>
      <c r="AW29" s="44" t="s">
        <v>87</v>
      </c>
    </row>
    <row r="30" spans="1:49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N30" s="44" t="s">
        <v>87</v>
      </c>
      <c r="O30" s="44"/>
      <c r="P30" s="44" t="s">
        <v>87</v>
      </c>
      <c r="Q30" s="44" t="s">
        <v>87</v>
      </c>
      <c r="R30" s="44" t="s">
        <v>87</v>
      </c>
      <c r="U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/>
      <c r="AG30" s="44" t="s">
        <v>87</v>
      </c>
      <c r="AH30" s="44" t="s">
        <v>87</v>
      </c>
      <c r="AI30" s="44" t="s">
        <v>87</v>
      </c>
      <c r="AJ30" s="44" t="s">
        <v>87</v>
      </c>
      <c r="AK30" s="44" t="s">
        <v>87</v>
      </c>
      <c r="AL30" s="44" t="s">
        <v>87</v>
      </c>
      <c r="AM30" s="44" t="s">
        <v>87</v>
      </c>
      <c r="AN30"/>
      <c r="AO30" s="44" t="s">
        <v>87</v>
      </c>
      <c r="AP30" s="44" t="s">
        <v>87</v>
      </c>
      <c r="AQ30" s="44" t="s">
        <v>87</v>
      </c>
      <c r="AR30" s="44" t="s">
        <v>87</v>
      </c>
      <c r="AS30"/>
      <c r="AT30" s="44" t="s">
        <v>87</v>
      </c>
      <c r="AU30"/>
      <c r="AV30"/>
      <c r="AW30" s="44" t="s">
        <v>87</v>
      </c>
    </row>
    <row r="31" spans="1:49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N31" s="44" t="s">
        <v>86</v>
      </c>
      <c r="O31" s="44"/>
      <c r="P31" s="44" t="s">
        <v>86</v>
      </c>
      <c r="Q31" s="44" t="s">
        <v>86</v>
      </c>
      <c r="R31" s="44" t="s">
        <v>86</v>
      </c>
      <c r="U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/>
      <c r="AG31" s="44" t="s">
        <v>86</v>
      </c>
      <c r="AH31" s="44" t="s">
        <v>86</v>
      </c>
      <c r="AI31" s="44" t="s">
        <v>86</v>
      </c>
      <c r="AJ31" s="44" t="s">
        <v>86</v>
      </c>
      <c r="AK31" s="44" t="s">
        <v>86</v>
      </c>
      <c r="AL31" s="44" t="s">
        <v>86</v>
      </c>
      <c r="AM31" s="44" t="s">
        <v>86</v>
      </c>
      <c r="AN31"/>
      <c r="AO31" s="44" t="s">
        <v>86</v>
      </c>
      <c r="AP31" s="44" t="s">
        <v>86</v>
      </c>
      <c r="AQ31" s="44" t="s">
        <v>86</v>
      </c>
      <c r="AR31" s="44" t="s">
        <v>86</v>
      </c>
      <c r="AS31"/>
      <c r="AT31" s="44" t="s">
        <v>86</v>
      </c>
      <c r="AU31"/>
      <c r="AV31"/>
      <c r="AW31" s="44" t="s">
        <v>86</v>
      </c>
    </row>
    <row r="32" spans="1:49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N32" s="45" t="s">
        <v>436</v>
      </c>
      <c r="O32" s="45"/>
      <c r="P32" s="45" t="s">
        <v>436</v>
      </c>
      <c r="Q32" s="45" t="s">
        <v>436</v>
      </c>
      <c r="R32" s="45" t="s">
        <v>436</v>
      </c>
      <c r="U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/>
      <c r="AG32" s="45" t="s">
        <v>436</v>
      </c>
      <c r="AH32" s="45" t="s">
        <v>436</v>
      </c>
      <c r="AI32" s="45" t="s">
        <v>436</v>
      </c>
      <c r="AJ32" s="45" t="s">
        <v>436</v>
      </c>
      <c r="AK32" s="45" t="s">
        <v>436</v>
      </c>
      <c r="AL32" s="45" t="s">
        <v>436</v>
      </c>
      <c r="AM32" s="45" t="s">
        <v>436</v>
      </c>
      <c r="AN32"/>
      <c r="AO32" s="45" t="s">
        <v>436</v>
      </c>
      <c r="AP32" s="45" t="s">
        <v>436</v>
      </c>
      <c r="AQ32" s="45" t="s">
        <v>436</v>
      </c>
      <c r="AR32" s="45" t="s">
        <v>436</v>
      </c>
      <c r="AS32"/>
      <c r="AT32" s="45" t="s">
        <v>436</v>
      </c>
      <c r="AU32"/>
      <c r="AV32"/>
      <c r="AW32" s="45" t="s">
        <v>436</v>
      </c>
    </row>
    <row r="33" spans="1:49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N33" s="44">
        <v>9.9999999999999995E-7</v>
      </c>
      <c r="O33" s="44"/>
      <c r="P33" s="44">
        <v>9.9999999999999995E-7</v>
      </c>
      <c r="Q33" s="44">
        <v>9.9999999999999995E-7</v>
      </c>
      <c r="R33" s="44">
        <v>9.9999999999999995E-7</v>
      </c>
      <c r="U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/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 s="44">
        <v>9.9999999999999995E-7</v>
      </c>
      <c r="AM33" s="44">
        <v>9.9999999999999995E-7</v>
      </c>
      <c r="AN33"/>
      <c r="AO33" s="44">
        <v>9.9999999999999995E-7</v>
      </c>
      <c r="AP33" s="44">
        <v>9.9999999999999995E-7</v>
      </c>
      <c r="AQ33" s="44">
        <v>9.9999999999999995E-7</v>
      </c>
      <c r="AR33" s="44">
        <v>9.9999999999999995E-7</v>
      </c>
      <c r="AS33"/>
      <c r="AT33" s="44">
        <v>9.9999999999999995E-7</v>
      </c>
      <c r="AU33"/>
      <c r="AV33"/>
      <c r="AW33" s="44">
        <v>9.9999999999999995E-7</v>
      </c>
    </row>
    <row r="34" spans="1:49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N34" s="44">
        <v>1E-3</v>
      </c>
      <c r="O34" s="44"/>
      <c r="P34" s="44">
        <v>1E-3</v>
      </c>
      <c r="Q34" s="44">
        <v>1E-3</v>
      </c>
      <c r="R34" s="44">
        <v>1E-3</v>
      </c>
      <c r="U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/>
      <c r="AG34" s="44">
        <v>1E-3</v>
      </c>
      <c r="AH34" s="44">
        <v>1E-3</v>
      </c>
      <c r="AI34" s="44">
        <v>1E-3</v>
      </c>
      <c r="AJ34" s="44">
        <v>1E-3</v>
      </c>
      <c r="AK34" s="44">
        <v>1E-3</v>
      </c>
      <c r="AL34" s="44">
        <v>1E-3</v>
      </c>
      <c r="AM34" s="44">
        <v>1E-3</v>
      </c>
      <c r="AN34"/>
      <c r="AO34" s="44">
        <v>1E-3</v>
      </c>
      <c r="AP34" s="44">
        <v>1E-3</v>
      </c>
      <c r="AQ34" s="44">
        <v>1E-3</v>
      </c>
      <c r="AR34" s="44">
        <v>1E-3</v>
      </c>
      <c r="AS34"/>
      <c r="AT34" s="44">
        <v>1E-3</v>
      </c>
      <c r="AU34"/>
      <c r="AV34"/>
      <c r="AW34" s="44">
        <v>1E-3</v>
      </c>
    </row>
    <row r="35" spans="1:49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N35" s="44" t="s">
        <v>86</v>
      </c>
      <c r="O35" s="44"/>
      <c r="P35" s="44" t="s">
        <v>86</v>
      </c>
      <c r="Q35" s="44" t="s">
        <v>86</v>
      </c>
      <c r="R35" s="44" t="s">
        <v>86</v>
      </c>
      <c r="U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/>
      <c r="AG35" s="44" t="s">
        <v>86</v>
      </c>
      <c r="AH35" s="44" t="s">
        <v>86</v>
      </c>
      <c r="AI35" s="44" t="s">
        <v>86</v>
      </c>
      <c r="AJ35" s="44" t="s">
        <v>86</v>
      </c>
      <c r="AK35" s="44" t="s">
        <v>86</v>
      </c>
      <c r="AL35" s="44" t="s">
        <v>86</v>
      </c>
      <c r="AM35" s="44" t="s">
        <v>86</v>
      </c>
      <c r="AN35"/>
      <c r="AO35" s="44" t="s">
        <v>86</v>
      </c>
      <c r="AP35" s="44" t="s">
        <v>86</v>
      </c>
      <c r="AQ35" s="44" t="s">
        <v>86</v>
      </c>
      <c r="AR35" s="44" t="s">
        <v>86</v>
      </c>
      <c r="AS35"/>
      <c r="AT35" s="44" t="s">
        <v>86</v>
      </c>
      <c r="AU35"/>
      <c r="AV35"/>
      <c r="AW35" s="44" t="s">
        <v>86</v>
      </c>
    </row>
    <row r="36" spans="1:49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N36" s="44" t="s">
        <v>88</v>
      </c>
      <c r="O36" s="44"/>
      <c r="P36" s="44" t="s">
        <v>88</v>
      </c>
      <c r="Q36" s="44" t="s">
        <v>88</v>
      </c>
      <c r="R36" s="44" t="s">
        <v>88</v>
      </c>
      <c r="U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/>
      <c r="AG36" s="44" t="s">
        <v>88</v>
      </c>
      <c r="AH36" s="44" t="s">
        <v>88</v>
      </c>
      <c r="AI36" s="44" t="s">
        <v>88</v>
      </c>
      <c r="AJ36" s="44" t="s">
        <v>88</v>
      </c>
      <c r="AK36" s="44" t="s">
        <v>88</v>
      </c>
      <c r="AL36" s="44" t="s">
        <v>88</v>
      </c>
      <c r="AM36" s="44" t="s">
        <v>88</v>
      </c>
      <c r="AN36"/>
      <c r="AO36" s="44" t="s">
        <v>88</v>
      </c>
      <c r="AP36" s="44" t="s">
        <v>88</v>
      </c>
      <c r="AQ36" s="44" t="s">
        <v>88</v>
      </c>
      <c r="AR36" s="44" t="s">
        <v>88</v>
      </c>
      <c r="AS36"/>
      <c r="AT36" s="44" t="s">
        <v>88</v>
      </c>
      <c r="AU36"/>
      <c r="AV36"/>
      <c r="AW36" s="44" t="s">
        <v>88</v>
      </c>
    </row>
    <row r="37" spans="1:49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N37" s="44" t="s">
        <v>86</v>
      </c>
      <c r="O37" s="44"/>
      <c r="P37" s="44" t="s">
        <v>86</v>
      </c>
      <c r="Q37" s="44" t="s">
        <v>86</v>
      </c>
      <c r="R37" s="44" t="s">
        <v>86</v>
      </c>
      <c r="U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/>
      <c r="AG37" s="44" t="s">
        <v>86</v>
      </c>
      <c r="AH37" s="44" t="s">
        <v>86</v>
      </c>
      <c r="AI37" s="44" t="s">
        <v>86</v>
      </c>
      <c r="AJ37" s="44" t="s">
        <v>86</v>
      </c>
      <c r="AK37" s="44" t="s">
        <v>86</v>
      </c>
      <c r="AL37" s="44" t="s">
        <v>86</v>
      </c>
      <c r="AM37" s="44" t="s">
        <v>86</v>
      </c>
      <c r="AN37"/>
      <c r="AO37" s="44" t="s">
        <v>86</v>
      </c>
      <c r="AP37" s="44" t="s">
        <v>86</v>
      </c>
      <c r="AQ37" s="44" t="s">
        <v>86</v>
      </c>
      <c r="AR37" s="44" t="s">
        <v>86</v>
      </c>
      <c r="AS37"/>
      <c r="AT37" s="44" t="s">
        <v>86</v>
      </c>
      <c r="AU37"/>
      <c r="AV37"/>
      <c r="AW37" s="44" t="s">
        <v>86</v>
      </c>
    </row>
    <row r="38" spans="1:49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N38" s="44" t="s">
        <v>87</v>
      </c>
      <c r="O38" s="44"/>
      <c r="P38" s="44" t="s">
        <v>87</v>
      </c>
      <c r="Q38" s="44" t="s">
        <v>87</v>
      </c>
      <c r="R38" s="44" t="s">
        <v>87</v>
      </c>
      <c r="U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/>
      <c r="AG38" s="44" t="s">
        <v>87</v>
      </c>
      <c r="AH38" s="44" t="s">
        <v>87</v>
      </c>
      <c r="AI38" s="44" t="s">
        <v>87</v>
      </c>
      <c r="AJ38" s="44" t="s">
        <v>87</v>
      </c>
      <c r="AK38" s="44" t="s">
        <v>87</v>
      </c>
      <c r="AL38" s="44" t="s">
        <v>87</v>
      </c>
      <c r="AM38" s="44" t="s">
        <v>87</v>
      </c>
      <c r="AN38"/>
      <c r="AO38" s="44" t="s">
        <v>87</v>
      </c>
      <c r="AP38" s="44" t="s">
        <v>87</v>
      </c>
      <c r="AQ38" s="44" t="s">
        <v>87</v>
      </c>
      <c r="AR38" s="44" t="s">
        <v>87</v>
      </c>
      <c r="AS38"/>
      <c r="AT38" s="44" t="s">
        <v>87</v>
      </c>
      <c r="AU38"/>
      <c r="AV38"/>
      <c r="AW38" s="44" t="s">
        <v>87</v>
      </c>
    </row>
    <row r="39" spans="1:49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N39" s="44">
        <v>120</v>
      </c>
      <c r="O39" s="44"/>
      <c r="P39" s="44">
        <v>120</v>
      </c>
      <c r="Q39" s="44">
        <v>120</v>
      </c>
      <c r="R39" s="44">
        <v>120</v>
      </c>
      <c r="U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/>
      <c r="AG39" s="44">
        <v>120</v>
      </c>
      <c r="AH39" s="44">
        <v>120</v>
      </c>
      <c r="AI39" s="44">
        <v>120</v>
      </c>
      <c r="AJ39" s="44">
        <v>120</v>
      </c>
      <c r="AK39" s="44">
        <v>120</v>
      </c>
      <c r="AL39" s="44">
        <v>120</v>
      </c>
      <c r="AM39" s="44">
        <v>120</v>
      </c>
      <c r="AN39"/>
      <c r="AO39" s="44">
        <v>120</v>
      </c>
      <c r="AP39" s="44">
        <v>120</v>
      </c>
      <c r="AQ39" s="44">
        <v>120</v>
      </c>
      <c r="AR39" s="44">
        <v>120</v>
      </c>
      <c r="AS39"/>
      <c r="AT39" s="44">
        <v>120</v>
      </c>
      <c r="AU39"/>
      <c r="AV39"/>
      <c r="AW39" s="44">
        <v>120</v>
      </c>
    </row>
    <row r="40" spans="1:49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N40" s="44">
        <v>0</v>
      </c>
      <c r="O40" s="44"/>
      <c r="P40" s="44">
        <v>0</v>
      </c>
      <c r="Q40" s="44">
        <v>0</v>
      </c>
      <c r="R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/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 s="44">
        <v>0</v>
      </c>
      <c r="AM40" s="44">
        <v>0</v>
      </c>
      <c r="AN40"/>
      <c r="AO40" s="44">
        <v>0</v>
      </c>
      <c r="AP40" s="44">
        <v>0</v>
      </c>
      <c r="AQ40" s="44">
        <v>0</v>
      </c>
      <c r="AR40" s="44">
        <v>0</v>
      </c>
      <c r="AS40"/>
      <c r="AT40" s="44">
        <v>0</v>
      </c>
      <c r="AU40"/>
      <c r="AV40"/>
      <c r="AW40" s="44">
        <v>0</v>
      </c>
    </row>
    <row r="41" spans="1:49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N41" s="44">
        <v>0</v>
      </c>
      <c r="O41" s="44"/>
      <c r="P41" s="44">
        <v>0</v>
      </c>
      <c r="Q41" s="44">
        <v>0</v>
      </c>
      <c r="R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/>
      <c r="AG41" s="44">
        <v>0</v>
      </c>
      <c r="AH41" s="44">
        <v>0</v>
      </c>
      <c r="AI41" s="44">
        <v>0</v>
      </c>
      <c r="AJ41" s="44">
        <v>0</v>
      </c>
      <c r="AK41" s="44">
        <v>0</v>
      </c>
      <c r="AL41" s="44">
        <v>0</v>
      </c>
      <c r="AM41" s="44">
        <v>0</v>
      </c>
      <c r="AN41"/>
      <c r="AO41" s="44">
        <v>0</v>
      </c>
      <c r="AP41" s="44">
        <v>0</v>
      </c>
      <c r="AQ41" s="44">
        <v>0</v>
      </c>
      <c r="AR41" s="44">
        <v>0</v>
      </c>
      <c r="AS41"/>
      <c r="AT41" s="44">
        <v>0</v>
      </c>
      <c r="AU41"/>
      <c r="AV41"/>
      <c r="AW41" s="44">
        <v>0</v>
      </c>
    </row>
    <row r="42" spans="1:49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N42" s="44">
        <v>-0.1</v>
      </c>
      <c r="O42" s="44"/>
      <c r="P42" s="44">
        <v>-0.1</v>
      </c>
      <c r="Q42" s="44">
        <v>-0.1</v>
      </c>
      <c r="R42" s="44">
        <v>-0.1</v>
      </c>
      <c r="U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/>
      <c r="AG42" s="44">
        <v>-0.1</v>
      </c>
      <c r="AH42" s="44">
        <v>-0.1</v>
      </c>
      <c r="AI42" s="44">
        <v>-0.1</v>
      </c>
      <c r="AJ42" s="44">
        <v>-0.1</v>
      </c>
      <c r="AK42" s="44">
        <v>-0.1</v>
      </c>
      <c r="AL42" s="44">
        <v>-0.1</v>
      </c>
      <c r="AM42" s="44">
        <v>-0.1</v>
      </c>
      <c r="AN42"/>
      <c r="AO42" s="44">
        <v>-0.1</v>
      </c>
      <c r="AP42" s="44">
        <v>-0.1</v>
      </c>
      <c r="AQ42" s="44">
        <v>-0.1</v>
      </c>
      <c r="AR42" s="44">
        <v>-0.1</v>
      </c>
      <c r="AS42"/>
      <c r="AT42" s="44">
        <v>-0.1</v>
      </c>
      <c r="AU42"/>
      <c r="AV42"/>
      <c r="AW42" s="44">
        <v>-0.1</v>
      </c>
    </row>
    <row r="43" spans="1:49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N43" s="44">
        <v>-0.2</v>
      </c>
      <c r="O43" s="44"/>
      <c r="P43" s="44">
        <v>-0.2</v>
      </c>
      <c r="Q43" s="44">
        <v>-0.2</v>
      </c>
      <c r="R43" s="44">
        <v>-0.2</v>
      </c>
      <c r="U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/>
      <c r="AG43" s="44">
        <v>-0.2</v>
      </c>
      <c r="AH43" s="44">
        <v>-0.2</v>
      </c>
      <c r="AI43" s="44">
        <v>-0.2</v>
      </c>
      <c r="AJ43" s="44">
        <v>-0.2</v>
      </c>
      <c r="AK43" s="44">
        <v>-0.2</v>
      </c>
      <c r="AL43" s="44">
        <v>-0.2</v>
      </c>
      <c r="AM43" s="44">
        <v>-0.2</v>
      </c>
      <c r="AN43"/>
      <c r="AO43" s="44">
        <v>-0.2</v>
      </c>
      <c r="AP43" s="44">
        <v>-0.2</v>
      </c>
      <c r="AQ43" s="44">
        <v>-0.2</v>
      </c>
      <c r="AR43" s="44">
        <v>-0.2</v>
      </c>
      <c r="AS43"/>
      <c r="AT43" s="44">
        <v>-0.2</v>
      </c>
      <c r="AU43"/>
      <c r="AV43"/>
      <c r="AW43" s="44">
        <v>-0.2</v>
      </c>
    </row>
    <row r="44" spans="1:49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N44" s="44">
        <v>0.4</v>
      </c>
      <c r="O44" s="44"/>
      <c r="P44" s="44">
        <v>0.4</v>
      </c>
      <c r="Q44" s="44">
        <v>0.4</v>
      </c>
      <c r="R44" s="44">
        <v>0.4</v>
      </c>
      <c r="U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/>
      <c r="AG44" s="44">
        <v>0.4</v>
      </c>
      <c r="AH44" s="44">
        <v>0.4</v>
      </c>
      <c r="AI44" s="44">
        <v>0.4</v>
      </c>
      <c r="AJ44" s="44">
        <v>0.4</v>
      </c>
      <c r="AK44" s="44">
        <v>0.4</v>
      </c>
      <c r="AL44" s="44">
        <v>0.4</v>
      </c>
      <c r="AM44" s="44">
        <v>0.4</v>
      </c>
      <c r="AN44"/>
      <c r="AO44" s="44">
        <v>0.4</v>
      </c>
      <c r="AP44" s="44">
        <v>0.4</v>
      </c>
      <c r="AQ44" s="44">
        <v>0.4</v>
      </c>
      <c r="AR44" s="44">
        <v>0.4</v>
      </c>
      <c r="AS44"/>
      <c r="AT44" s="44">
        <v>0.4</v>
      </c>
      <c r="AU44"/>
      <c r="AV44"/>
      <c r="AW44" s="44">
        <v>0.4</v>
      </c>
    </row>
    <row r="45" spans="1:49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N45" s="44">
        <v>0</v>
      </c>
      <c r="O45" s="44"/>
      <c r="P45" s="44">
        <v>0</v>
      </c>
      <c r="Q45" s="44">
        <v>0</v>
      </c>
      <c r="R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/>
      <c r="AG45" s="44">
        <v>0</v>
      </c>
      <c r="AH45" s="44">
        <v>0</v>
      </c>
      <c r="AI45" s="44">
        <v>0</v>
      </c>
      <c r="AJ45" s="44">
        <v>0</v>
      </c>
      <c r="AK45" s="44">
        <v>0</v>
      </c>
      <c r="AL45" s="44">
        <v>0</v>
      </c>
      <c r="AM45" s="44">
        <v>0</v>
      </c>
      <c r="AN45"/>
      <c r="AO45" s="44">
        <v>0</v>
      </c>
      <c r="AP45" s="44">
        <v>0</v>
      </c>
      <c r="AQ45" s="44">
        <v>0</v>
      </c>
      <c r="AR45" s="44">
        <v>0</v>
      </c>
      <c r="AS45"/>
      <c r="AT45" s="44">
        <v>0</v>
      </c>
      <c r="AU45"/>
      <c r="AV45"/>
      <c r="AW45" s="44">
        <v>0</v>
      </c>
    </row>
    <row r="46" spans="1:49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N46" s="44">
        <v>1200</v>
      </c>
      <c r="O46" s="44"/>
      <c r="P46" s="44">
        <v>1200</v>
      </c>
      <c r="Q46" s="44">
        <v>1200</v>
      </c>
      <c r="R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/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 s="44">
        <v>1200</v>
      </c>
      <c r="AM46" s="44">
        <v>1200</v>
      </c>
      <c r="AN46"/>
      <c r="AO46" s="44">
        <v>1200</v>
      </c>
      <c r="AP46" s="44">
        <v>1200</v>
      </c>
      <c r="AQ46" s="44">
        <v>1200</v>
      </c>
      <c r="AR46" s="44">
        <v>1200</v>
      </c>
      <c r="AS46"/>
      <c r="AT46" s="44">
        <v>1200</v>
      </c>
      <c r="AU46"/>
      <c r="AV46"/>
      <c r="AW46" s="44">
        <v>1200</v>
      </c>
    </row>
    <row r="47" spans="1:49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N47" s="44">
        <v>1200</v>
      </c>
      <c r="O47" s="44"/>
      <c r="P47" s="44">
        <v>1200</v>
      </c>
      <c r="Q47" s="44">
        <v>1200</v>
      </c>
      <c r="R47" s="44">
        <v>1200</v>
      </c>
      <c r="U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/>
      <c r="AG47" s="44">
        <v>1200</v>
      </c>
      <c r="AH47" s="44">
        <v>1200</v>
      </c>
      <c r="AI47" s="44">
        <v>1200</v>
      </c>
      <c r="AJ47" s="44">
        <v>1200</v>
      </c>
      <c r="AK47" s="44">
        <v>1200</v>
      </c>
      <c r="AL47" s="44">
        <v>1200</v>
      </c>
      <c r="AM47" s="44">
        <v>1200</v>
      </c>
      <c r="AN47"/>
      <c r="AO47" s="44">
        <v>1200</v>
      </c>
      <c r="AP47" s="44">
        <v>1200</v>
      </c>
      <c r="AQ47" s="44">
        <v>1200</v>
      </c>
      <c r="AR47" s="44">
        <v>1200</v>
      </c>
      <c r="AS47"/>
      <c r="AT47" s="44">
        <v>1200</v>
      </c>
      <c r="AU47"/>
      <c r="AV47"/>
      <c r="AW47" s="44">
        <v>1200</v>
      </c>
    </row>
    <row r="48" spans="1:49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N48" s="44" t="s">
        <v>462</v>
      </c>
      <c r="O48" s="44"/>
      <c r="P48" s="44" t="s">
        <v>462</v>
      </c>
      <c r="Q48" s="44" t="s">
        <v>462</v>
      </c>
      <c r="R48" s="44" t="s">
        <v>462</v>
      </c>
      <c r="U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/>
      <c r="AG48" s="44" t="s">
        <v>462</v>
      </c>
      <c r="AH48" s="44" t="s">
        <v>462</v>
      </c>
      <c r="AI48" s="44" t="s">
        <v>462</v>
      </c>
      <c r="AJ48" s="44" t="s">
        <v>462</v>
      </c>
      <c r="AK48" s="44" t="s">
        <v>462</v>
      </c>
      <c r="AL48" s="44" t="s">
        <v>462</v>
      </c>
      <c r="AM48" s="44" t="s">
        <v>462</v>
      </c>
      <c r="AN48"/>
      <c r="AO48" s="44" t="s">
        <v>462</v>
      </c>
      <c r="AP48" s="44" t="s">
        <v>462</v>
      </c>
      <c r="AQ48" s="44" t="s">
        <v>462</v>
      </c>
      <c r="AR48" s="44" t="s">
        <v>462</v>
      </c>
      <c r="AS48"/>
      <c r="AT48" s="44" t="s">
        <v>462</v>
      </c>
      <c r="AU48"/>
      <c r="AV48"/>
      <c r="AW48" s="44" t="s">
        <v>462</v>
      </c>
    </row>
    <row r="49" spans="1:49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N49" s="44" t="s">
        <v>86</v>
      </c>
      <c r="O49" s="44"/>
      <c r="P49" s="44" t="s">
        <v>86</v>
      </c>
      <c r="Q49" s="44" t="s">
        <v>86</v>
      </c>
      <c r="R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/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 s="44" t="s">
        <v>86</v>
      </c>
      <c r="AN49"/>
      <c r="AO49" s="44" t="s">
        <v>86</v>
      </c>
      <c r="AP49" s="44" t="s">
        <v>86</v>
      </c>
      <c r="AQ49" s="44" t="s">
        <v>86</v>
      </c>
      <c r="AR49" s="44" t="s">
        <v>86</v>
      </c>
      <c r="AS49"/>
      <c r="AT49" s="44" t="s">
        <v>86</v>
      </c>
      <c r="AU49"/>
      <c r="AV49"/>
      <c r="AW49" s="44" t="s">
        <v>86</v>
      </c>
    </row>
    <row r="50" spans="1:49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N50" s="44" t="s">
        <v>86</v>
      </c>
      <c r="O50" s="44"/>
      <c r="P50" s="44" t="s">
        <v>86</v>
      </c>
      <c r="Q50" s="44" t="s">
        <v>86</v>
      </c>
      <c r="R50" s="44" t="s">
        <v>86</v>
      </c>
      <c r="U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/>
      <c r="AG50" s="44" t="s">
        <v>86</v>
      </c>
      <c r="AH50" s="44" t="s">
        <v>86</v>
      </c>
      <c r="AI50" s="44" t="s">
        <v>86</v>
      </c>
      <c r="AJ50" s="44" t="s">
        <v>86</v>
      </c>
      <c r="AK50" s="44" t="s">
        <v>86</v>
      </c>
      <c r="AL50" s="44" t="s">
        <v>86</v>
      </c>
      <c r="AM50" s="44" t="s">
        <v>86</v>
      </c>
      <c r="AN50"/>
      <c r="AO50" s="44" t="s">
        <v>86</v>
      </c>
      <c r="AP50" s="44" t="s">
        <v>86</v>
      </c>
      <c r="AQ50" s="44" t="s">
        <v>86</v>
      </c>
      <c r="AR50" s="44" t="s">
        <v>86</v>
      </c>
      <c r="AS50"/>
      <c r="AT50" s="44" t="s">
        <v>86</v>
      </c>
      <c r="AU50"/>
      <c r="AV50"/>
      <c r="AW50" s="44" t="s">
        <v>86</v>
      </c>
    </row>
    <row r="51" spans="1:49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N51" s="44">
        <v>0</v>
      </c>
      <c r="O51" s="44"/>
      <c r="P51" s="44">
        <v>0</v>
      </c>
      <c r="Q51" s="44">
        <v>0</v>
      </c>
      <c r="R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/>
      <c r="AG51" s="44">
        <v>0</v>
      </c>
      <c r="AH51" s="44">
        <v>0</v>
      </c>
      <c r="AI51" s="44">
        <v>0</v>
      </c>
      <c r="AJ51" s="44">
        <v>0</v>
      </c>
      <c r="AK51" s="44">
        <v>0</v>
      </c>
      <c r="AL51" s="44">
        <v>0</v>
      </c>
      <c r="AM51" s="44">
        <v>0</v>
      </c>
      <c r="AN51"/>
      <c r="AO51" s="44">
        <v>0</v>
      </c>
      <c r="AP51" s="44">
        <v>0</v>
      </c>
      <c r="AQ51" s="44">
        <v>0</v>
      </c>
      <c r="AR51" s="44">
        <v>0</v>
      </c>
      <c r="AS51"/>
      <c r="AT51" s="44">
        <v>0</v>
      </c>
      <c r="AU51"/>
      <c r="AV51"/>
      <c r="AW51" s="44">
        <v>0</v>
      </c>
    </row>
    <row r="52" spans="1:49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N52" s="44">
        <v>0.5</v>
      </c>
      <c r="O52" s="44"/>
      <c r="P52" s="44">
        <v>0.5</v>
      </c>
      <c r="Q52" s="44">
        <v>0.5</v>
      </c>
      <c r="R52" s="44">
        <v>0.5</v>
      </c>
      <c r="U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/>
      <c r="AG52" s="44">
        <v>0.5</v>
      </c>
      <c r="AH52" s="44">
        <v>0.5</v>
      </c>
      <c r="AI52" s="44">
        <v>0.5</v>
      </c>
      <c r="AJ52" s="44">
        <v>0.5</v>
      </c>
      <c r="AK52" s="44">
        <v>0.5</v>
      </c>
      <c r="AL52" s="44">
        <v>0.5</v>
      </c>
      <c r="AM52" s="44">
        <v>0.5</v>
      </c>
      <c r="AN52"/>
      <c r="AO52" s="44">
        <v>0.5</v>
      </c>
      <c r="AP52" s="44">
        <v>0.5</v>
      </c>
      <c r="AQ52" s="44">
        <v>0.5</v>
      </c>
      <c r="AR52" s="44">
        <v>0.5</v>
      </c>
      <c r="AS52"/>
      <c r="AT52" s="44">
        <v>0.5</v>
      </c>
      <c r="AU52"/>
      <c r="AV52"/>
      <c r="AW52" s="44">
        <v>0.5</v>
      </c>
    </row>
    <row r="53" spans="1:49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N53" s="44">
        <v>0.05</v>
      </c>
      <c r="O53" s="44"/>
      <c r="P53" s="44">
        <v>0.05</v>
      </c>
      <c r="Q53" s="44">
        <v>0.05</v>
      </c>
      <c r="R53" s="44">
        <v>0.05</v>
      </c>
      <c r="U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/>
      <c r="AG53" s="44">
        <v>0.05</v>
      </c>
      <c r="AH53" s="44">
        <v>0.05</v>
      </c>
      <c r="AI53" s="44">
        <v>0.05</v>
      </c>
      <c r="AJ53" s="44">
        <v>0.05</v>
      </c>
      <c r="AK53" s="44">
        <v>0.05</v>
      </c>
      <c r="AL53" s="44">
        <v>0.05</v>
      </c>
      <c r="AM53" s="44">
        <v>0.05</v>
      </c>
      <c r="AN53"/>
      <c r="AO53" s="44">
        <v>0.05</v>
      </c>
      <c r="AP53" s="44">
        <v>0.05</v>
      </c>
      <c r="AQ53" s="44">
        <v>0.05</v>
      </c>
      <c r="AR53" s="44">
        <v>0.05</v>
      </c>
      <c r="AS53"/>
      <c r="AT53" s="44">
        <v>0.05</v>
      </c>
      <c r="AU53"/>
      <c r="AV53"/>
      <c r="AW53" s="44">
        <v>0.05</v>
      </c>
    </row>
    <row r="54" spans="1:49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N54" s="44">
        <v>1E-3</v>
      </c>
      <c r="O54" s="44"/>
      <c r="P54" s="44">
        <v>1E-3</v>
      </c>
      <c r="Q54" s="44">
        <v>1E-3</v>
      </c>
      <c r="R54" s="44">
        <v>1E-3</v>
      </c>
      <c r="U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/>
      <c r="AG54" s="44">
        <v>1E-3</v>
      </c>
      <c r="AH54" s="44">
        <v>1E-3</v>
      </c>
      <c r="AI54" s="44">
        <v>1E-3</v>
      </c>
      <c r="AJ54" s="44">
        <v>1E-3</v>
      </c>
      <c r="AK54" s="44">
        <v>1E-3</v>
      </c>
      <c r="AL54" s="44">
        <v>1E-3</v>
      </c>
      <c r="AM54" s="44">
        <v>1E-3</v>
      </c>
      <c r="AN54"/>
      <c r="AO54" s="44">
        <v>1E-3</v>
      </c>
      <c r="AP54" s="44">
        <v>1E-3</v>
      </c>
      <c r="AQ54" s="44">
        <v>1E-3</v>
      </c>
      <c r="AR54" s="44">
        <v>1E-3</v>
      </c>
      <c r="AS54"/>
      <c r="AT54" s="44">
        <v>1E-3</v>
      </c>
      <c r="AU54"/>
      <c r="AV54"/>
      <c r="AW54" s="44">
        <v>1E-3</v>
      </c>
    </row>
    <row r="55" spans="1:49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N55" s="44">
        <v>0</v>
      </c>
      <c r="O55" s="44"/>
      <c r="P55" s="44">
        <v>0</v>
      </c>
      <c r="Q55" s="44">
        <v>0</v>
      </c>
      <c r="R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/>
      <c r="AG55" s="44">
        <v>0</v>
      </c>
      <c r="AH55" s="44">
        <v>0</v>
      </c>
      <c r="AI55" s="44">
        <v>0</v>
      </c>
      <c r="AJ55" s="44">
        <v>0</v>
      </c>
      <c r="AK55" s="44">
        <v>0</v>
      </c>
      <c r="AL55" s="44">
        <v>0</v>
      </c>
      <c r="AM55" s="44">
        <v>0</v>
      </c>
      <c r="AN55"/>
      <c r="AO55" s="44">
        <v>0</v>
      </c>
      <c r="AP55" s="44">
        <v>0</v>
      </c>
      <c r="AQ55" s="44">
        <v>0</v>
      </c>
      <c r="AR55" s="44">
        <v>0</v>
      </c>
      <c r="AS55"/>
      <c r="AT55" s="44">
        <v>0</v>
      </c>
      <c r="AU55"/>
      <c r="AV55"/>
      <c r="AW55" s="44">
        <v>0</v>
      </c>
    </row>
    <row r="56" spans="1:49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N56" s="44">
        <v>1E-4</v>
      </c>
      <c r="O56" s="44"/>
      <c r="P56" s="44">
        <v>1E-4</v>
      </c>
      <c r="Q56" s="44">
        <v>1E-4</v>
      </c>
      <c r="R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/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 s="44">
        <v>1E-4</v>
      </c>
      <c r="AM56" s="44">
        <v>1E-4</v>
      </c>
      <c r="AN56"/>
      <c r="AO56" s="44">
        <v>1E-4</v>
      </c>
      <c r="AP56" s="44">
        <v>1E-4</v>
      </c>
      <c r="AQ56" s="44">
        <v>1E-4</v>
      </c>
      <c r="AR56" s="44">
        <v>1E-4</v>
      </c>
      <c r="AS56"/>
      <c r="AT56" s="44">
        <v>1E-4</v>
      </c>
      <c r="AU56"/>
      <c r="AV56"/>
      <c r="AW56" s="44">
        <v>1E-4</v>
      </c>
    </row>
    <row r="57" spans="1:49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N57" s="44">
        <v>1E-4</v>
      </c>
      <c r="O57" s="44"/>
      <c r="P57" s="44">
        <v>1E-4</v>
      </c>
      <c r="Q57" s="44">
        <v>1E-4</v>
      </c>
      <c r="R57" s="44">
        <v>1E-4</v>
      </c>
      <c r="U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/>
      <c r="AG57" s="44">
        <v>1E-4</v>
      </c>
      <c r="AH57" s="44">
        <v>1E-4</v>
      </c>
      <c r="AI57" s="44">
        <v>1E-4</v>
      </c>
      <c r="AJ57" s="44">
        <v>1E-4</v>
      </c>
      <c r="AK57" s="44">
        <v>1E-4</v>
      </c>
      <c r="AL57" s="44">
        <v>1E-4</v>
      </c>
      <c r="AM57" s="44">
        <v>1E-4</v>
      </c>
      <c r="AN57"/>
      <c r="AO57" s="44">
        <v>1E-4</v>
      </c>
      <c r="AP57" s="44">
        <v>1E-4</v>
      </c>
      <c r="AQ57" s="44">
        <v>1E-4</v>
      </c>
      <c r="AR57" s="44">
        <v>1E-4</v>
      </c>
      <c r="AS57"/>
      <c r="AT57" s="44">
        <v>1E-4</v>
      </c>
      <c r="AU57"/>
      <c r="AV57"/>
      <c r="AW57" s="44">
        <v>1E-4</v>
      </c>
    </row>
    <row r="58" spans="1:49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N58" s="44">
        <v>6.9999999999999999E-4</v>
      </c>
      <c r="O58" s="44"/>
      <c r="P58" s="44">
        <v>6.9999999999999999E-4</v>
      </c>
      <c r="Q58" s="44">
        <v>6.9999999999999999E-4</v>
      </c>
      <c r="R58" s="44">
        <v>6.9999999999999999E-4</v>
      </c>
      <c r="U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/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 s="44">
        <v>6.9999999999999999E-4</v>
      </c>
      <c r="AM58" s="44">
        <v>6.9999999999999999E-4</v>
      </c>
      <c r="AN58"/>
      <c r="AO58" s="44">
        <v>6.9999999999999999E-4</v>
      </c>
      <c r="AP58" s="44">
        <v>6.9999999999999999E-4</v>
      </c>
      <c r="AQ58" s="44">
        <v>6.9999999999999999E-4</v>
      </c>
      <c r="AR58" s="44">
        <v>6.9999999999999999E-4</v>
      </c>
      <c r="AS58"/>
      <c r="AT58" s="44">
        <v>6.9999999999999999E-4</v>
      </c>
      <c r="AU58"/>
      <c r="AV58"/>
      <c r="AW58" s="44">
        <v>6.9999999999999999E-4</v>
      </c>
    </row>
    <row r="59" spans="1:49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N59" s="44">
        <v>1.22E-4</v>
      </c>
      <c r="O59" s="44"/>
      <c r="P59" s="44">
        <v>1.22E-4</v>
      </c>
      <c r="Q59" s="44">
        <v>1.22E-4</v>
      </c>
      <c r="R59" s="44">
        <v>1.22E-4</v>
      </c>
      <c r="U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/>
      <c r="AG59" s="44">
        <v>1.22E-4</v>
      </c>
      <c r="AH59" s="44">
        <v>1.22E-4</v>
      </c>
      <c r="AI59" s="44">
        <v>1.22E-4</v>
      </c>
      <c r="AJ59" s="44">
        <v>1.22E-4</v>
      </c>
      <c r="AK59" s="44">
        <v>1.22E-4</v>
      </c>
      <c r="AL59" s="44">
        <v>1.22E-4</v>
      </c>
      <c r="AM59" s="44">
        <v>1.22E-4</v>
      </c>
      <c r="AN59"/>
      <c r="AO59" s="44">
        <v>1.22E-4</v>
      </c>
      <c r="AP59" s="44">
        <v>1.22E-4</v>
      </c>
      <c r="AQ59" s="44">
        <v>1.22E-4</v>
      </c>
      <c r="AR59" s="44">
        <v>1.22E-4</v>
      </c>
      <c r="AS59"/>
      <c r="AT59" s="44">
        <v>1.22E-4</v>
      </c>
      <c r="AU59"/>
      <c r="AV59"/>
      <c r="AW59" s="44">
        <v>1.22E-4</v>
      </c>
    </row>
    <row r="60" spans="1:49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N60" s="44">
        <v>1</v>
      </c>
      <c r="O60" s="44"/>
      <c r="P60" s="44">
        <v>1</v>
      </c>
      <c r="Q60" s="44">
        <v>1</v>
      </c>
      <c r="R60" s="44">
        <v>1</v>
      </c>
      <c r="U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/>
      <c r="AG60" s="44">
        <v>1</v>
      </c>
      <c r="AH60" s="44">
        <v>1</v>
      </c>
      <c r="AI60" s="44">
        <v>1</v>
      </c>
      <c r="AJ60" s="44">
        <v>1</v>
      </c>
      <c r="AK60" s="44">
        <v>1</v>
      </c>
      <c r="AL60" s="44">
        <v>1</v>
      </c>
      <c r="AM60" s="44">
        <v>1</v>
      </c>
      <c r="AN60"/>
      <c r="AO60" s="44">
        <v>1</v>
      </c>
      <c r="AP60" s="44">
        <v>1</v>
      </c>
      <c r="AQ60" s="44">
        <v>1</v>
      </c>
      <c r="AR60" s="44">
        <v>1</v>
      </c>
      <c r="AS60"/>
      <c r="AT60" s="44">
        <v>1</v>
      </c>
      <c r="AU60"/>
      <c r="AV60"/>
      <c r="AW60" s="44">
        <v>1</v>
      </c>
    </row>
    <row r="61" spans="1:49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N61" s="44">
        <v>0.95</v>
      </c>
      <c r="O61" s="44"/>
      <c r="P61" s="44">
        <v>0.95</v>
      </c>
      <c r="Q61" s="44">
        <v>0.95</v>
      </c>
      <c r="R61" s="44">
        <v>0.95</v>
      </c>
      <c r="U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/>
      <c r="AG61" s="44">
        <v>0.95</v>
      </c>
      <c r="AH61" s="44">
        <v>0.95</v>
      </c>
      <c r="AI61" s="44">
        <v>0.95</v>
      </c>
      <c r="AJ61" s="44">
        <v>0.95</v>
      </c>
      <c r="AK61" s="44">
        <v>0.95</v>
      </c>
      <c r="AL61" s="44">
        <v>0.95</v>
      </c>
      <c r="AM61" s="44">
        <v>0.95</v>
      </c>
      <c r="AN61"/>
      <c r="AO61" s="44">
        <v>0.95</v>
      </c>
      <c r="AP61" s="44">
        <v>0.95</v>
      </c>
      <c r="AQ61" s="44">
        <v>0.95</v>
      </c>
      <c r="AR61" s="44">
        <v>0.95</v>
      </c>
      <c r="AS61"/>
      <c r="AT61" s="44">
        <v>0.95</v>
      </c>
      <c r="AU61"/>
      <c r="AV61"/>
      <c r="AW61" s="44">
        <v>0.95</v>
      </c>
    </row>
    <row r="62" spans="1:49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N62" s="44" t="s">
        <v>87</v>
      </c>
      <c r="O62" s="44"/>
      <c r="P62" s="44" t="s">
        <v>87</v>
      </c>
      <c r="Q62" s="44" t="s">
        <v>87</v>
      </c>
      <c r="R62" s="44" t="s">
        <v>87</v>
      </c>
      <c r="U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/>
      <c r="AG62" s="44" t="s">
        <v>87</v>
      </c>
      <c r="AH62" s="44" t="s">
        <v>87</v>
      </c>
      <c r="AI62" s="44" t="s">
        <v>87</v>
      </c>
      <c r="AJ62" s="44" t="s">
        <v>87</v>
      </c>
      <c r="AK62" s="44" t="s">
        <v>87</v>
      </c>
      <c r="AL62" s="44" t="s">
        <v>87</v>
      </c>
      <c r="AM62" s="44" t="s">
        <v>87</v>
      </c>
      <c r="AN62"/>
      <c r="AO62" s="44" t="s">
        <v>87</v>
      </c>
      <c r="AP62" s="44" t="s">
        <v>87</v>
      </c>
      <c r="AQ62" s="44" t="s">
        <v>87</v>
      </c>
      <c r="AR62" s="44" t="s">
        <v>87</v>
      </c>
      <c r="AS62"/>
      <c r="AT62" s="44" t="s">
        <v>87</v>
      </c>
      <c r="AU62"/>
      <c r="AV62"/>
      <c r="AW62" s="44" t="s">
        <v>87</v>
      </c>
    </row>
    <row r="63" spans="1:49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N63" s="44">
        <v>5</v>
      </c>
      <c r="O63" s="44"/>
      <c r="P63" s="44">
        <v>5</v>
      </c>
      <c r="Q63" s="44">
        <v>5</v>
      </c>
      <c r="R63" s="44">
        <v>5</v>
      </c>
      <c r="U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/>
      <c r="AG63" s="44">
        <v>5</v>
      </c>
      <c r="AH63" s="44">
        <v>5</v>
      </c>
      <c r="AI63" s="44">
        <v>5</v>
      </c>
      <c r="AJ63" s="44">
        <v>5</v>
      </c>
      <c r="AK63" s="44">
        <v>5</v>
      </c>
      <c r="AL63" s="44">
        <v>5</v>
      </c>
      <c r="AM63" s="44">
        <v>5</v>
      </c>
      <c r="AN63"/>
      <c r="AO63" s="44">
        <v>5</v>
      </c>
      <c r="AP63" s="44">
        <v>5</v>
      </c>
      <c r="AQ63" s="44">
        <v>5</v>
      </c>
      <c r="AR63" s="44">
        <v>5</v>
      </c>
      <c r="AS63"/>
      <c r="AT63" s="44">
        <v>5</v>
      </c>
      <c r="AU63"/>
      <c r="AV63"/>
      <c r="AW63" s="44">
        <v>5</v>
      </c>
    </row>
    <row r="64" spans="1:49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N64" s="44" t="s">
        <v>87</v>
      </c>
      <c r="O64" s="44"/>
      <c r="P64" s="44" t="s">
        <v>87</v>
      </c>
      <c r="Q64" s="44" t="s">
        <v>87</v>
      </c>
      <c r="R64" s="44" t="s">
        <v>87</v>
      </c>
      <c r="U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/>
      <c r="AG64" s="44" t="s">
        <v>87</v>
      </c>
      <c r="AH64" s="44" t="s">
        <v>87</v>
      </c>
      <c r="AI64" s="44" t="s">
        <v>87</v>
      </c>
      <c r="AJ64" s="44" t="s">
        <v>87</v>
      </c>
      <c r="AK64" s="44" t="s">
        <v>87</v>
      </c>
      <c r="AL64" s="44" t="s">
        <v>87</v>
      </c>
      <c r="AM64" s="44" t="s">
        <v>87</v>
      </c>
      <c r="AN64"/>
      <c r="AO64" s="44" t="s">
        <v>87</v>
      </c>
      <c r="AP64" s="44" t="s">
        <v>87</v>
      </c>
      <c r="AQ64" s="44" t="s">
        <v>87</v>
      </c>
      <c r="AR64" s="44" t="s">
        <v>87</v>
      </c>
      <c r="AS64"/>
      <c r="AT64" s="44" t="s">
        <v>87</v>
      </c>
      <c r="AU64"/>
      <c r="AV64"/>
      <c r="AW64" s="44" t="s">
        <v>87</v>
      </c>
    </row>
    <row r="65" spans="1:49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N65" s="44">
        <v>50</v>
      </c>
      <c r="O65" s="44"/>
      <c r="P65" s="44">
        <v>50</v>
      </c>
      <c r="Q65" s="44">
        <v>50</v>
      </c>
      <c r="R65" s="44">
        <v>50</v>
      </c>
      <c r="U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/>
      <c r="AG65" s="44">
        <v>50</v>
      </c>
      <c r="AH65" s="44">
        <v>50</v>
      </c>
      <c r="AI65" s="44">
        <v>50</v>
      </c>
      <c r="AJ65" s="44">
        <v>50</v>
      </c>
      <c r="AK65" s="44">
        <v>50</v>
      </c>
      <c r="AL65" s="44">
        <v>50</v>
      </c>
      <c r="AM65" s="44">
        <v>50</v>
      </c>
      <c r="AN65"/>
      <c r="AO65" s="44">
        <v>50</v>
      </c>
      <c r="AP65" s="44">
        <v>50</v>
      </c>
      <c r="AQ65" s="44">
        <v>50</v>
      </c>
      <c r="AR65" s="44">
        <v>50</v>
      </c>
      <c r="AS65"/>
      <c r="AT65" s="44">
        <v>50</v>
      </c>
      <c r="AU65"/>
      <c r="AV65"/>
      <c r="AW65" s="44">
        <v>50</v>
      </c>
    </row>
    <row r="66" spans="1:49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N66" s="44">
        <v>1453890.8941884842</v>
      </c>
      <c r="O66" s="44"/>
      <c r="P66" s="44">
        <v>1453890.8941884842</v>
      </c>
      <c r="Q66" s="44">
        <v>1453890.8941884842</v>
      </c>
      <c r="R66" s="44">
        <v>1453890.8941884842</v>
      </c>
      <c r="U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/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 s="44">
        <v>1453890.8941884842</v>
      </c>
      <c r="AM66" s="44">
        <v>1453890.8941884842</v>
      </c>
      <c r="AN66"/>
      <c r="AO66" s="44">
        <v>1453890.8941884842</v>
      </c>
      <c r="AP66" s="44">
        <v>1453890.8941884842</v>
      </c>
      <c r="AQ66" s="44">
        <v>1453890.8941884842</v>
      </c>
      <c r="AR66" s="44">
        <v>1453890.8941884842</v>
      </c>
      <c r="AS66"/>
      <c r="AT66" s="44">
        <v>1453890.8941884842</v>
      </c>
      <c r="AU66"/>
      <c r="AV66"/>
      <c r="AW66" s="44">
        <v>1453890.8941884842</v>
      </c>
    </row>
    <row r="67" spans="1:49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N67" s="44">
        <v>1.3888888888888888E-5</v>
      </c>
      <c r="O67" s="44"/>
      <c r="P67" s="44">
        <v>1.3888888888888888E-5</v>
      </c>
      <c r="Q67" s="44">
        <v>1.3888888888888888E-5</v>
      </c>
      <c r="R67" s="44">
        <v>1.3888888888888888E-5</v>
      </c>
      <c r="U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/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 s="44">
        <v>1.3888888888888888E-5</v>
      </c>
      <c r="AM67" s="44">
        <v>1.3888888888888888E-5</v>
      </c>
      <c r="AN67"/>
      <c r="AO67" s="44">
        <v>1.3888888888888888E-5</v>
      </c>
      <c r="AP67" s="44">
        <v>1.3888888888888888E-5</v>
      </c>
      <c r="AQ67" s="44">
        <v>1.3888888888888888E-5</v>
      </c>
      <c r="AR67" s="44">
        <v>1.3888888888888888E-5</v>
      </c>
      <c r="AS67"/>
      <c r="AT67" s="44">
        <v>1.3888888888888888E-5</v>
      </c>
      <c r="AU67"/>
      <c r="AV67"/>
      <c r="AW67" s="44">
        <v>1.3888888888888888E-5</v>
      </c>
    </row>
    <row r="68" spans="1:49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N68" s="44">
        <v>6.5011574074074071E-4</v>
      </c>
      <c r="O68" s="44"/>
      <c r="P68" s="44">
        <v>6.5011574074074071E-4</v>
      </c>
      <c r="Q68" s="44">
        <v>6.5011574074074071E-4</v>
      </c>
      <c r="R68" s="44">
        <v>6.5011574074074071E-4</v>
      </c>
      <c r="U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/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 s="44">
        <v>6.5011574074074071E-4</v>
      </c>
      <c r="AM68" s="44">
        <v>6.5011574074074071E-4</v>
      </c>
      <c r="AN68"/>
      <c r="AO68" s="44">
        <v>6.5011574074074071E-4</v>
      </c>
      <c r="AP68" s="44">
        <v>6.5011574074074071E-4</v>
      </c>
      <c r="AQ68" s="44">
        <v>6.5011574074074071E-4</v>
      </c>
      <c r="AR68" s="44">
        <v>6.5011574074074071E-4</v>
      </c>
      <c r="AS68"/>
      <c r="AT68" s="44">
        <v>6.5011574074074071E-4</v>
      </c>
      <c r="AU68"/>
      <c r="AV68"/>
      <c r="AW68" s="44">
        <v>6.5011574074074071E-4</v>
      </c>
    </row>
    <row r="69" spans="1:49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N69" s="44">
        <v>4.7400000000000003E-3</v>
      </c>
      <c r="O69" s="44"/>
      <c r="P69" s="44">
        <v>4.7400000000000003E-3</v>
      </c>
      <c r="Q69" s="44">
        <v>4.7400000000000003E-3</v>
      </c>
      <c r="R69" s="44">
        <v>4.7400000000000003E-3</v>
      </c>
      <c r="U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/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 s="44">
        <v>4.7400000000000003E-3</v>
      </c>
      <c r="AM69" s="44">
        <v>4.7400000000000003E-3</v>
      </c>
      <c r="AN69"/>
      <c r="AO69" s="44">
        <v>4.7400000000000003E-3</v>
      </c>
      <c r="AP69" s="44">
        <v>4.7400000000000003E-3</v>
      </c>
      <c r="AQ69" s="44">
        <v>4.7400000000000003E-3</v>
      </c>
      <c r="AR69" s="44">
        <v>4.7400000000000003E-3</v>
      </c>
      <c r="AS69"/>
      <c r="AT69" s="44">
        <v>4.7400000000000003E-3</v>
      </c>
      <c r="AU69"/>
      <c r="AV69"/>
      <c r="AW69" s="44">
        <v>4.7400000000000003E-3</v>
      </c>
    </row>
    <row r="70" spans="1:49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N70" s="44">
        <v>282528</v>
      </c>
      <c r="O70" s="44"/>
      <c r="P70" s="44">
        <v>282528</v>
      </c>
      <c r="Q70" s="44">
        <v>282528</v>
      </c>
      <c r="R70" s="44">
        <v>282528</v>
      </c>
      <c r="U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/>
      <c r="AG70" s="44">
        <v>282528</v>
      </c>
      <c r="AH70" s="44">
        <v>282528</v>
      </c>
      <c r="AI70" s="44">
        <v>282528</v>
      </c>
      <c r="AJ70" s="44">
        <v>282528</v>
      </c>
      <c r="AK70" s="44">
        <v>282528</v>
      </c>
      <c r="AL70" s="44">
        <v>282528</v>
      </c>
      <c r="AM70" s="44">
        <v>282528</v>
      </c>
      <c r="AN70"/>
      <c r="AO70" s="44">
        <v>282528</v>
      </c>
      <c r="AP70" s="44">
        <v>282528</v>
      </c>
      <c r="AQ70" s="44">
        <v>282528</v>
      </c>
      <c r="AR70" s="44">
        <v>282528</v>
      </c>
      <c r="AS70"/>
      <c r="AT70" s="44">
        <v>282528</v>
      </c>
      <c r="AU70"/>
      <c r="AV70"/>
      <c r="AW70" s="44">
        <v>282528</v>
      </c>
    </row>
    <row r="71" spans="1:49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N71" s="44">
        <v>0.56999999999999995</v>
      </c>
      <c r="O71" s="44"/>
      <c r="P71" s="44">
        <v>0.56999999999999995</v>
      </c>
      <c r="Q71" s="44">
        <v>0.56999999999999995</v>
      </c>
      <c r="R71" s="44">
        <v>0.56999999999999995</v>
      </c>
      <c r="U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/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 s="44">
        <v>0.56999999999999995</v>
      </c>
      <c r="AM71" s="44">
        <v>0.56999999999999995</v>
      </c>
      <c r="AN71"/>
      <c r="AO71" s="44">
        <v>0.56999999999999995</v>
      </c>
      <c r="AP71" s="44">
        <v>0.56999999999999995</v>
      </c>
      <c r="AQ71" s="44">
        <v>0.56999999999999995</v>
      </c>
      <c r="AR71" s="44">
        <v>0.56999999999999995</v>
      </c>
      <c r="AS71"/>
      <c r="AT71" s="44">
        <v>0.56999999999999995</v>
      </c>
      <c r="AU71"/>
      <c r="AV71"/>
      <c r="AW71" s="44">
        <v>0.56999999999999995</v>
      </c>
    </row>
    <row r="72" spans="1:49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N72" s="44">
        <v>0.16</v>
      </c>
      <c r="O72" s="44"/>
      <c r="P72" s="44">
        <v>0.16</v>
      </c>
      <c r="Q72" s="44">
        <v>0.16</v>
      </c>
      <c r="R72" s="44">
        <v>0.16</v>
      </c>
      <c r="U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/>
      <c r="AG72" s="44">
        <v>0.16</v>
      </c>
      <c r="AH72" s="44">
        <v>0.16</v>
      </c>
      <c r="AI72" s="44">
        <v>0.16</v>
      </c>
      <c r="AJ72" s="44">
        <v>0.16</v>
      </c>
      <c r="AK72" s="44">
        <v>0.16</v>
      </c>
      <c r="AL72" s="44">
        <v>0.16</v>
      </c>
      <c r="AM72" s="44">
        <v>0.16</v>
      </c>
      <c r="AN72"/>
      <c r="AO72" s="44">
        <v>0.16</v>
      </c>
      <c r="AP72" s="44">
        <v>0.16</v>
      </c>
      <c r="AQ72" s="44">
        <v>0.16</v>
      </c>
      <c r="AR72" s="44">
        <v>0.16</v>
      </c>
      <c r="AS72"/>
      <c r="AT72" s="44">
        <v>0.16</v>
      </c>
      <c r="AU72"/>
      <c r="AV72"/>
      <c r="AW72" s="44">
        <v>0.16</v>
      </c>
    </row>
    <row r="73" spans="1:49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N73" s="44">
        <v>0</v>
      </c>
      <c r="O73" s="44"/>
      <c r="P73" s="44">
        <v>0</v>
      </c>
      <c r="Q73" s="44">
        <v>0</v>
      </c>
      <c r="R73" s="44">
        <v>0</v>
      </c>
      <c r="U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/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 s="44">
        <v>0</v>
      </c>
      <c r="AM73" s="44">
        <v>0</v>
      </c>
      <c r="AN73"/>
      <c r="AO73" s="44">
        <v>0</v>
      </c>
      <c r="AP73" s="44">
        <v>0</v>
      </c>
      <c r="AQ73" s="44">
        <v>0</v>
      </c>
      <c r="AR73" s="44">
        <v>0</v>
      </c>
      <c r="AS73"/>
      <c r="AT73" s="44">
        <v>0</v>
      </c>
      <c r="AU73"/>
      <c r="AV73"/>
      <c r="AW73" s="44">
        <v>0</v>
      </c>
    </row>
    <row r="74" spans="1:49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N74" s="44">
        <v>745476480000</v>
      </c>
      <c r="O74" s="44"/>
      <c r="P74" s="44">
        <v>745476480000</v>
      </c>
      <c r="Q74" s="44">
        <v>745476480000</v>
      </c>
      <c r="R74" s="44">
        <v>745476480000</v>
      </c>
      <c r="U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/>
      <c r="AG74" s="44">
        <v>745476480000</v>
      </c>
      <c r="AH74" s="44">
        <v>745476480000</v>
      </c>
      <c r="AI74" s="44">
        <v>745476480000</v>
      </c>
      <c r="AJ74" s="44">
        <v>745476480000</v>
      </c>
      <c r="AK74" s="44">
        <v>745476480000</v>
      </c>
      <c r="AL74" s="44">
        <v>745476480000</v>
      </c>
      <c r="AM74" s="44">
        <v>745476480000</v>
      </c>
      <c r="AN74"/>
      <c r="AO74" s="44">
        <v>745476480000</v>
      </c>
      <c r="AP74" s="44">
        <v>745476480000</v>
      </c>
      <c r="AQ74" s="44">
        <v>745476480000</v>
      </c>
      <c r="AR74" s="44">
        <v>745476480000</v>
      </c>
      <c r="AS74"/>
      <c r="AT74" s="44">
        <v>745476480000</v>
      </c>
      <c r="AU74"/>
      <c r="AV74"/>
      <c r="AW74" s="44">
        <v>745476480000</v>
      </c>
    </row>
    <row r="75" spans="1:49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N75" s="44">
        <v>100</v>
      </c>
      <c r="O75" s="44"/>
      <c r="P75" s="44">
        <v>100</v>
      </c>
      <c r="Q75" s="44">
        <v>100</v>
      </c>
      <c r="R75" s="44">
        <v>100</v>
      </c>
      <c r="U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/>
      <c r="AG75" s="44">
        <v>100</v>
      </c>
      <c r="AH75" s="44">
        <v>100</v>
      </c>
      <c r="AI75" s="44">
        <v>100</v>
      </c>
      <c r="AJ75" s="44">
        <v>100</v>
      </c>
      <c r="AK75" s="44">
        <v>100</v>
      </c>
      <c r="AL75" s="44">
        <v>100</v>
      </c>
      <c r="AM75" s="44">
        <v>100</v>
      </c>
      <c r="AN75"/>
      <c r="AO75" s="44">
        <v>100</v>
      </c>
      <c r="AP75" s="44">
        <v>100</v>
      </c>
      <c r="AQ75" s="44">
        <v>100</v>
      </c>
      <c r="AR75" s="44">
        <v>100</v>
      </c>
      <c r="AS75"/>
      <c r="AT75" s="44">
        <v>100</v>
      </c>
      <c r="AU75"/>
      <c r="AV75"/>
      <c r="AW75" s="44">
        <v>100</v>
      </c>
    </row>
    <row r="76" spans="1:49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N76" s="44" t="s">
        <v>86</v>
      </c>
      <c r="O76" s="44"/>
      <c r="P76" s="44" t="s">
        <v>86</v>
      </c>
      <c r="Q76" s="44" t="s">
        <v>86</v>
      </c>
      <c r="R76" s="44" t="s">
        <v>86</v>
      </c>
      <c r="U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/>
      <c r="AG76" s="44" t="s">
        <v>86</v>
      </c>
      <c r="AH76" s="44" t="s">
        <v>86</v>
      </c>
      <c r="AI76" s="44" t="s">
        <v>86</v>
      </c>
      <c r="AJ76" s="44" t="s">
        <v>86</v>
      </c>
      <c r="AK76" s="44" t="s">
        <v>86</v>
      </c>
      <c r="AL76" s="44" t="s">
        <v>86</v>
      </c>
      <c r="AM76" s="44" t="s">
        <v>86</v>
      </c>
      <c r="AN76"/>
      <c r="AO76" s="44" t="s">
        <v>86</v>
      </c>
      <c r="AP76" s="44" t="s">
        <v>86</v>
      </c>
      <c r="AQ76" s="44" t="s">
        <v>86</v>
      </c>
      <c r="AR76" s="44" t="s">
        <v>86</v>
      </c>
      <c r="AS76"/>
      <c r="AT76" s="44" t="s">
        <v>86</v>
      </c>
      <c r="AU76"/>
      <c r="AV76"/>
      <c r="AW76" s="44" t="s">
        <v>86</v>
      </c>
    </row>
    <row r="77" spans="1:49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N77" s="44">
        <v>21600</v>
      </c>
      <c r="O77" s="44"/>
      <c r="P77" s="44">
        <v>21600</v>
      </c>
      <c r="Q77" s="44">
        <v>21600</v>
      </c>
      <c r="R77" s="44">
        <v>21600</v>
      </c>
      <c r="U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/>
      <c r="AG77" s="44">
        <v>21600</v>
      </c>
      <c r="AH77" s="44">
        <v>21600</v>
      </c>
      <c r="AI77" s="44">
        <v>21600</v>
      </c>
      <c r="AJ77" s="44">
        <v>21600</v>
      </c>
      <c r="AK77" s="44">
        <v>21600</v>
      </c>
      <c r="AL77" s="44">
        <v>21600</v>
      </c>
      <c r="AM77" s="44">
        <v>21600</v>
      </c>
      <c r="AN77"/>
      <c r="AO77" s="44">
        <v>21600</v>
      </c>
      <c r="AP77" s="44">
        <v>21600</v>
      </c>
      <c r="AQ77" s="44">
        <v>21600</v>
      </c>
      <c r="AR77" s="44">
        <v>21600</v>
      </c>
      <c r="AS77"/>
      <c r="AT77" s="44">
        <v>21600</v>
      </c>
      <c r="AU77"/>
      <c r="AV77"/>
      <c r="AW77" s="44">
        <v>21600</v>
      </c>
    </row>
    <row r="78" spans="1:49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N78" s="44">
        <v>0.5</v>
      </c>
      <c r="O78" s="44"/>
      <c r="P78" s="44">
        <v>0.5</v>
      </c>
      <c r="Q78" s="44">
        <v>0.5</v>
      </c>
      <c r="R78" s="44">
        <v>0.5</v>
      </c>
      <c r="U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/>
      <c r="AG78" s="44">
        <v>0.5</v>
      </c>
      <c r="AH78" s="44">
        <v>0.5</v>
      </c>
      <c r="AI78" s="44">
        <v>0.5</v>
      </c>
      <c r="AJ78" s="44">
        <v>0.5</v>
      </c>
      <c r="AK78" s="44">
        <v>0.5</v>
      </c>
      <c r="AL78" s="44">
        <v>0.5</v>
      </c>
      <c r="AM78" s="44">
        <v>0.5</v>
      </c>
      <c r="AN78"/>
      <c r="AO78" s="44">
        <v>0.5</v>
      </c>
      <c r="AP78" s="44">
        <v>0.5</v>
      </c>
      <c r="AQ78" s="44">
        <v>0.5</v>
      </c>
      <c r="AR78" s="44">
        <v>0.5</v>
      </c>
      <c r="AS78"/>
      <c r="AT78" s="44">
        <v>0.5</v>
      </c>
      <c r="AU78"/>
      <c r="AV78"/>
      <c r="AW78" s="44">
        <v>0.5</v>
      </c>
    </row>
    <row r="79" spans="1:49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N79" s="44">
        <v>60479.999999999993</v>
      </c>
      <c r="O79" s="44"/>
      <c r="P79" s="44">
        <v>60479.999999999993</v>
      </c>
      <c r="Q79" s="44">
        <v>60479.999999999993</v>
      </c>
      <c r="R79" s="44">
        <v>60479.999999999993</v>
      </c>
      <c r="U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/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 s="44">
        <v>60479.999999999993</v>
      </c>
      <c r="AM79" s="44">
        <v>60479.999999999993</v>
      </c>
      <c r="AN79"/>
      <c r="AO79" s="44">
        <v>60479.999999999993</v>
      </c>
      <c r="AP79" s="44">
        <v>60479.999999999993</v>
      </c>
      <c r="AQ79" s="44">
        <v>60479.999999999993</v>
      </c>
      <c r="AR79" s="44">
        <v>60479.999999999993</v>
      </c>
      <c r="AS79"/>
      <c r="AT79" s="44">
        <v>60479.999999999993</v>
      </c>
      <c r="AU79"/>
      <c r="AV79"/>
      <c r="AW79" s="44">
        <v>60479.999999999993</v>
      </c>
    </row>
    <row r="80" spans="1:49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N80" s="44">
        <v>0.85</v>
      </c>
      <c r="O80" s="44"/>
      <c r="P80" s="44">
        <v>0.85</v>
      </c>
      <c r="Q80" s="44">
        <v>0.85</v>
      </c>
      <c r="R80" s="44">
        <v>0.85</v>
      </c>
      <c r="U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/>
      <c r="AG80" s="44">
        <v>0.85</v>
      </c>
      <c r="AH80" s="44">
        <v>0.85</v>
      </c>
      <c r="AI80" s="44">
        <v>0.85</v>
      </c>
      <c r="AJ80" s="44">
        <v>0.85</v>
      </c>
      <c r="AK80" s="44">
        <v>0.85</v>
      </c>
      <c r="AL80" s="44">
        <v>0.85</v>
      </c>
      <c r="AM80" s="44">
        <v>0.85</v>
      </c>
      <c r="AN80"/>
      <c r="AO80" s="44">
        <v>0.85</v>
      </c>
      <c r="AP80" s="44">
        <v>0.85</v>
      </c>
      <c r="AQ80" s="44">
        <v>0.85</v>
      </c>
      <c r="AR80" s="44">
        <v>0.85</v>
      </c>
      <c r="AS80"/>
      <c r="AT80" s="44">
        <v>0.85</v>
      </c>
      <c r="AU80"/>
      <c r="AV80"/>
      <c r="AW80" s="44">
        <v>0.85</v>
      </c>
    </row>
    <row r="81" spans="1:49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N81" s="44">
        <v>518400</v>
      </c>
      <c r="O81" s="44"/>
      <c r="P81" s="44">
        <v>518400</v>
      </c>
      <c r="Q81" s="44">
        <v>518400</v>
      </c>
      <c r="R81" s="44">
        <v>518400</v>
      </c>
      <c r="U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/>
      <c r="AG81" s="44">
        <v>518400</v>
      </c>
      <c r="AH81" s="44">
        <v>518400</v>
      </c>
      <c r="AI81" s="44">
        <v>518400</v>
      </c>
      <c r="AJ81" s="44">
        <v>518400</v>
      </c>
      <c r="AK81" s="44">
        <v>518400</v>
      </c>
      <c r="AL81" s="44">
        <v>518400</v>
      </c>
      <c r="AM81" s="44">
        <v>518400</v>
      </c>
      <c r="AN81"/>
      <c r="AO81" s="44">
        <v>518400</v>
      </c>
      <c r="AP81" s="44">
        <v>518400</v>
      </c>
      <c r="AQ81" s="44">
        <v>518400</v>
      </c>
      <c r="AR81" s="44">
        <v>518400</v>
      </c>
      <c r="AS81"/>
      <c r="AT81" s="44">
        <v>518400</v>
      </c>
      <c r="AU81"/>
      <c r="AV81"/>
      <c r="AW81" s="44">
        <v>518400</v>
      </c>
    </row>
    <row r="82" spans="1:49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N82" s="44">
        <v>5184000</v>
      </c>
      <c r="O82" s="44"/>
      <c r="P82" s="44">
        <v>5184000</v>
      </c>
      <c r="Q82" s="44">
        <v>5184000</v>
      </c>
      <c r="R82" s="44">
        <v>5184000</v>
      </c>
      <c r="U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/>
      <c r="AG82" s="44">
        <v>5184000</v>
      </c>
      <c r="AH82" s="44">
        <v>5184000</v>
      </c>
      <c r="AI82" s="44">
        <v>5184000</v>
      </c>
      <c r="AJ82" s="44">
        <v>5184000</v>
      </c>
      <c r="AK82" s="44">
        <v>5184000</v>
      </c>
      <c r="AL82" s="44">
        <v>5184000</v>
      </c>
      <c r="AM82" s="44">
        <v>5184000</v>
      </c>
      <c r="AN82"/>
      <c r="AO82" s="44">
        <v>5184000</v>
      </c>
      <c r="AP82" s="44">
        <v>5184000</v>
      </c>
      <c r="AQ82" s="44">
        <v>5184000</v>
      </c>
      <c r="AR82" s="44">
        <v>5184000</v>
      </c>
      <c r="AS82"/>
      <c r="AT82" s="44">
        <v>5184000</v>
      </c>
      <c r="AU82"/>
      <c r="AV82"/>
      <c r="AW82" s="44">
        <v>5184000</v>
      </c>
    </row>
    <row r="83" spans="1:49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N83" s="44">
        <v>50000</v>
      </c>
      <c r="O83" s="44"/>
      <c r="P83" s="44">
        <v>50000</v>
      </c>
      <c r="Q83" s="44">
        <v>50000</v>
      </c>
      <c r="R83" s="44">
        <v>50000</v>
      </c>
      <c r="U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/>
      <c r="AG83" s="44">
        <v>50000</v>
      </c>
      <c r="AH83" s="44">
        <v>50000</v>
      </c>
      <c r="AI83" s="44">
        <v>50000</v>
      </c>
      <c r="AJ83" s="44">
        <v>50000</v>
      </c>
      <c r="AK83" s="44">
        <v>50000</v>
      </c>
      <c r="AL83" s="44">
        <v>50000</v>
      </c>
      <c r="AM83" s="44">
        <v>50000</v>
      </c>
      <c r="AN83"/>
      <c r="AO83" s="44">
        <v>50000</v>
      </c>
      <c r="AP83" s="44">
        <v>50000</v>
      </c>
      <c r="AQ83" s="44">
        <v>50000</v>
      </c>
      <c r="AR83" s="44">
        <v>50000</v>
      </c>
      <c r="AS83"/>
      <c r="AT83" s="44">
        <v>50000</v>
      </c>
      <c r="AU83"/>
      <c r="AV83"/>
      <c r="AW83" s="44">
        <v>50000</v>
      </c>
    </row>
    <row r="84" spans="1:49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N84" s="44">
        <v>140000</v>
      </c>
      <c r="O84" s="44"/>
      <c r="P84" s="44">
        <v>140000</v>
      </c>
      <c r="Q84" s="44">
        <v>140000</v>
      </c>
      <c r="R84" s="44">
        <v>140000</v>
      </c>
      <c r="U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/>
      <c r="AG84" s="44">
        <v>140000</v>
      </c>
      <c r="AH84" s="44">
        <v>140000</v>
      </c>
      <c r="AI84" s="44">
        <v>140000</v>
      </c>
      <c r="AJ84" s="44">
        <v>140000</v>
      </c>
      <c r="AK84" s="44">
        <v>140000</v>
      </c>
      <c r="AL84" s="44">
        <v>140000</v>
      </c>
      <c r="AM84" s="44">
        <v>140000</v>
      </c>
      <c r="AN84"/>
      <c r="AO84" s="44">
        <v>140000</v>
      </c>
      <c r="AP84" s="44">
        <v>140000</v>
      </c>
      <c r="AQ84" s="44">
        <v>140000</v>
      </c>
      <c r="AR84" s="44">
        <v>140000</v>
      </c>
      <c r="AS84"/>
      <c r="AT84" s="44">
        <v>140000</v>
      </c>
      <c r="AU84"/>
      <c r="AV84"/>
      <c r="AW84" s="44">
        <v>140000</v>
      </c>
    </row>
    <row r="85" spans="1:49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N85" s="44">
        <v>3.6636136999999999E-2</v>
      </c>
      <c r="O85" s="44"/>
      <c r="P85" s="44">
        <v>3.6636136999999999E-2</v>
      </c>
      <c r="Q85" s="44">
        <v>3.6636136999999999E-2</v>
      </c>
      <c r="R85" s="44">
        <v>3.6636136999999999E-2</v>
      </c>
      <c r="U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/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 s="44">
        <v>3.6636136999999999E-2</v>
      </c>
      <c r="AM85" s="44">
        <v>3.6636136999999999E-2</v>
      </c>
      <c r="AN85"/>
      <c r="AO85" s="44">
        <v>3.6636136999999999E-2</v>
      </c>
      <c r="AP85" s="44">
        <v>3.6636136999999999E-2</v>
      </c>
      <c r="AQ85" s="44">
        <v>3.6636136999999999E-2</v>
      </c>
      <c r="AR85" s="44">
        <v>3.6636136999999999E-2</v>
      </c>
      <c r="AS85"/>
      <c r="AT85" s="44">
        <v>3.6636136999999999E-2</v>
      </c>
      <c r="AU85"/>
      <c r="AV85"/>
      <c r="AW85" s="44">
        <v>3.6636136999999999E-2</v>
      </c>
    </row>
    <row r="86" spans="1:49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N86" s="44">
        <v>4.4999999999999997E-3</v>
      </c>
      <c r="O86" s="44"/>
      <c r="P86" s="44">
        <v>4.4999999999999997E-3</v>
      </c>
      <c r="Q86" s="44">
        <v>4.4999999999999997E-3</v>
      </c>
      <c r="R86" s="44">
        <v>4.4999999999999997E-3</v>
      </c>
      <c r="U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/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 s="44">
        <v>4.4999999999999997E-3</v>
      </c>
      <c r="AM86" s="44">
        <v>4.4999999999999997E-3</v>
      </c>
      <c r="AN86"/>
      <c r="AO86" s="44">
        <v>4.4999999999999997E-3</v>
      </c>
      <c r="AP86" s="44">
        <v>4.4999999999999997E-3</v>
      </c>
      <c r="AQ86" s="44">
        <v>4.4999999999999997E-3</v>
      </c>
      <c r="AR86" s="44">
        <v>4.4999999999999997E-3</v>
      </c>
      <c r="AS86"/>
      <c r="AT86" s="44">
        <v>4.4999999999999997E-3</v>
      </c>
      <c r="AU86"/>
      <c r="AV86"/>
      <c r="AW86" s="44">
        <v>4.4999999999999997E-3</v>
      </c>
    </row>
    <row r="87" spans="1:49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N87" s="44">
        <v>0.05</v>
      </c>
      <c r="O87" s="44"/>
      <c r="P87" s="44">
        <v>0.05</v>
      </c>
      <c r="Q87" s="44">
        <v>0.05</v>
      </c>
      <c r="R87" s="44">
        <v>0.05</v>
      </c>
      <c r="U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/>
      <c r="AG87" s="44">
        <v>0.05</v>
      </c>
      <c r="AH87" s="44">
        <v>0.05</v>
      </c>
      <c r="AI87" s="44">
        <v>0.05</v>
      </c>
      <c r="AJ87" s="44">
        <v>0.05</v>
      </c>
      <c r="AK87" s="44">
        <v>0.05</v>
      </c>
      <c r="AL87" s="44">
        <v>0.05</v>
      </c>
      <c r="AM87" s="44">
        <v>0.05</v>
      </c>
      <c r="AN87"/>
      <c r="AO87" s="44">
        <v>0.05</v>
      </c>
      <c r="AP87" s="44">
        <v>0.05</v>
      </c>
      <c r="AQ87" s="44">
        <v>0.05</v>
      </c>
      <c r="AR87" s="44">
        <v>0.05</v>
      </c>
      <c r="AS87"/>
      <c r="AT87" s="44">
        <v>0.05</v>
      </c>
      <c r="AU87"/>
      <c r="AV87"/>
      <c r="AW87" s="44">
        <v>0.05</v>
      </c>
    </row>
    <row r="88" spans="1:49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N88" s="44">
        <v>6.0000000000000002E-6</v>
      </c>
      <c r="O88" s="44"/>
      <c r="P88" s="44">
        <v>6.0000000000000002E-6</v>
      </c>
      <c r="Q88" s="44">
        <v>6.0000000000000002E-6</v>
      </c>
      <c r="R88" s="44">
        <v>6.0000000000000002E-6</v>
      </c>
      <c r="U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/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 s="44">
        <v>6.0000000000000002E-6</v>
      </c>
      <c r="AM88" s="44">
        <v>6.0000000000000002E-6</v>
      </c>
      <c r="AN88"/>
      <c r="AO88" s="44">
        <v>6.0000000000000002E-6</v>
      </c>
      <c r="AP88" s="44">
        <v>6.0000000000000002E-6</v>
      </c>
      <c r="AQ88" s="44">
        <v>6.0000000000000002E-6</v>
      </c>
      <c r="AR88" s="44">
        <v>6.0000000000000002E-6</v>
      </c>
      <c r="AS88"/>
      <c r="AT88" s="44">
        <v>6.0000000000000002E-6</v>
      </c>
      <c r="AU88"/>
      <c r="AV88"/>
      <c r="AW88" s="44">
        <v>6.0000000000000002E-6</v>
      </c>
    </row>
    <row r="89" spans="1:49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N89" s="44">
        <v>1E-3</v>
      </c>
      <c r="O89" s="44"/>
      <c r="P89" s="44">
        <v>1E-3</v>
      </c>
      <c r="Q89" s="44">
        <v>1E-3</v>
      </c>
      <c r="R89" s="44">
        <v>1E-3</v>
      </c>
      <c r="U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/>
      <c r="AG89" s="44">
        <v>1E-3</v>
      </c>
      <c r="AH89" s="44">
        <v>1E-3</v>
      </c>
      <c r="AI89" s="44">
        <v>1E-3</v>
      </c>
      <c r="AJ89" s="44">
        <v>1E-3</v>
      </c>
      <c r="AK89" s="44">
        <v>1E-3</v>
      </c>
      <c r="AL89" s="44">
        <v>1E-3</v>
      </c>
      <c r="AM89" s="44">
        <v>1E-3</v>
      </c>
      <c r="AN89"/>
      <c r="AO89" s="44">
        <v>1E-3</v>
      </c>
      <c r="AP89" s="44">
        <v>1E-3</v>
      </c>
      <c r="AQ89" s="44">
        <v>1E-3</v>
      </c>
      <c r="AR89" s="44">
        <v>1E-3</v>
      </c>
      <c r="AS89"/>
      <c r="AT89" s="44">
        <v>1E-3</v>
      </c>
      <c r="AU89"/>
      <c r="AV89"/>
      <c r="AW89" s="44">
        <v>1E-3</v>
      </c>
    </row>
    <row r="90" spans="1:49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N90" s="44">
        <v>374999999.99999994</v>
      </c>
      <c r="O90" s="44"/>
      <c r="P90" s="44">
        <v>374999999.99999994</v>
      </c>
      <c r="Q90" s="44">
        <v>374999999.99999994</v>
      </c>
      <c r="R90" s="44">
        <v>374999999.99999994</v>
      </c>
      <c r="U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/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 s="44">
        <v>374999999.99999994</v>
      </c>
      <c r="AM90" s="44">
        <v>374999999.99999994</v>
      </c>
      <c r="AN90"/>
      <c r="AO90" s="44">
        <v>374999999.99999994</v>
      </c>
      <c r="AP90" s="44">
        <v>374999999.99999994</v>
      </c>
      <c r="AQ90" s="44">
        <v>374999999.99999994</v>
      </c>
      <c r="AR90" s="44">
        <v>374999999.99999994</v>
      </c>
      <c r="AS90"/>
      <c r="AT90" s="44">
        <v>374999999.99999994</v>
      </c>
      <c r="AU90"/>
      <c r="AV90"/>
      <c r="AW90" s="44">
        <v>374999999.99999994</v>
      </c>
    </row>
    <row r="91" spans="1:49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N91" s="44">
        <v>3.7037037037037038E-3</v>
      </c>
      <c r="O91" s="44"/>
      <c r="P91" s="44">
        <v>3.7037037037037038E-3</v>
      </c>
      <c r="Q91" s="44">
        <v>3.7037037037037038E-3</v>
      </c>
      <c r="R91" s="44">
        <v>3.7037037037037038E-3</v>
      </c>
      <c r="U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/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 s="44">
        <v>3.7037037037037038E-3</v>
      </c>
      <c r="AM91" s="44">
        <v>3.7037037037037038E-3</v>
      </c>
      <c r="AN91"/>
      <c r="AO91" s="44">
        <v>3.7037037037037038E-3</v>
      </c>
      <c r="AP91" s="44">
        <v>3.7037037037037038E-3</v>
      </c>
      <c r="AQ91" s="44">
        <v>3.7037037037037038E-3</v>
      </c>
      <c r="AR91" s="44">
        <v>3.7037037037037038E-3</v>
      </c>
      <c r="AS91"/>
      <c r="AT91" s="44">
        <v>3.7037037037037038E-3</v>
      </c>
      <c r="AU91"/>
      <c r="AV91"/>
      <c r="AW91" s="44">
        <v>3.7037037037037038E-3</v>
      </c>
    </row>
    <row r="92" spans="1:49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N92" s="44">
        <v>165600</v>
      </c>
      <c r="O92" s="44"/>
      <c r="P92" s="44">
        <v>165600</v>
      </c>
      <c r="Q92" s="44">
        <v>165600</v>
      </c>
      <c r="R92" s="44">
        <v>165600</v>
      </c>
      <c r="U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/>
      <c r="AG92" s="44">
        <v>165600</v>
      </c>
      <c r="AH92" s="44">
        <v>165600</v>
      </c>
      <c r="AI92" s="44">
        <v>165600</v>
      </c>
      <c r="AJ92" s="44">
        <v>165600</v>
      </c>
      <c r="AK92" s="44">
        <v>165600</v>
      </c>
      <c r="AL92" s="44">
        <v>165600</v>
      </c>
      <c r="AM92" s="44">
        <v>165600</v>
      </c>
      <c r="AN92"/>
      <c r="AO92" s="44">
        <v>165600</v>
      </c>
      <c r="AP92" s="44">
        <v>165600</v>
      </c>
      <c r="AQ92" s="44">
        <v>165600</v>
      </c>
      <c r="AR92" s="44">
        <v>165600</v>
      </c>
      <c r="AS92"/>
      <c r="AT92" s="44">
        <v>165600</v>
      </c>
      <c r="AU92"/>
      <c r="AV92"/>
      <c r="AW92" s="44">
        <v>165600</v>
      </c>
    </row>
    <row r="93" spans="1:49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N93" s="44">
        <v>20</v>
      </c>
      <c r="O93" s="44"/>
      <c r="P93" s="44">
        <v>20</v>
      </c>
      <c r="Q93" s="44">
        <v>20</v>
      </c>
      <c r="R93" s="44">
        <v>20</v>
      </c>
      <c r="U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/>
      <c r="AG93" s="44">
        <v>20</v>
      </c>
      <c r="AH93" s="44">
        <v>20</v>
      </c>
      <c r="AI93" s="44">
        <v>20</v>
      </c>
      <c r="AJ93" s="44">
        <v>20</v>
      </c>
      <c r="AK93" s="44">
        <v>20</v>
      </c>
      <c r="AL93" s="44">
        <v>20</v>
      </c>
      <c r="AM93" s="44">
        <v>20</v>
      </c>
      <c r="AN93"/>
      <c r="AO93" s="44">
        <v>20</v>
      </c>
      <c r="AP93" s="44">
        <v>20</v>
      </c>
      <c r="AQ93" s="44">
        <v>20</v>
      </c>
      <c r="AR93" s="44">
        <v>20</v>
      </c>
      <c r="AS93"/>
      <c r="AT93" s="44">
        <v>20</v>
      </c>
      <c r="AU93"/>
      <c r="AV93"/>
      <c r="AW93" s="44">
        <v>20</v>
      </c>
    </row>
    <row r="94" spans="1:49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N94" s="44">
        <v>1</v>
      </c>
      <c r="O94" s="44"/>
      <c r="P94" s="44">
        <v>1</v>
      </c>
      <c r="Q94" s="44">
        <v>1</v>
      </c>
      <c r="R94" s="44">
        <v>1</v>
      </c>
      <c r="U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/>
      <c r="AG94" s="44">
        <v>1</v>
      </c>
      <c r="AH94" s="44">
        <v>1</v>
      </c>
      <c r="AI94" s="44">
        <v>1</v>
      </c>
      <c r="AJ94" s="44">
        <v>1</v>
      </c>
      <c r="AK94" s="44">
        <v>1</v>
      </c>
      <c r="AL94" s="44">
        <v>1</v>
      </c>
      <c r="AM94" s="44">
        <v>1</v>
      </c>
      <c r="AN94"/>
      <c r="AO94" s="44">
        <v>1</v>
      </c>
      <c r="AP94" s="44">
        <v>1</v>
      </c>
      <c r="AQ94" s="44">
        <v>1</v>
      </c>
      <c r="AR94" s="44">
        <v>1</v>
      </c>
      <c r="AS94"/>
      <c r="AT94" s="44">
        <v>1</v>
      </c>
      <c r="AU94"/>
      <c r="AV94"/>
      <c r="AW94" s="44">
        <v>1</v>
      </c>
    </row>
    <row r="95" spans="1:49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N95" s="44">
        <v>21</v>
      </c>
      <c r="O95" s="44"/>
      <c r="P95" s="44">
        <v>21</v>
      </c>
      <c r="Q95" s="44">
        <v>21</v>
      </c>
      <c r="R95" s="44">
        <v>21</v>
      </c>
      <c r="U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/>
      <c r="AG95" s="44">
        <v>21</v>
      </c>
      <c r="AH95" s="44">
        <v>21</v>
      </c>
      <c r="AI95" s="44">
        <v>21</v>
      </c>
      <c r="AJ95" s="44">
        <v>21</v>
      </c>
      <c r="AK95" s="44">
        <v>21</v>
      </c>
      <c r="AL95" s="44">
        <v>21</v>
      </c>
      <c r="AM95" s="44">
        <v>21</v>
      </c>
      <c r="AN95"/>
      <c r="AO95" s="44">
        <v>21</v>
      </c>
      <c r="AP95" s="44">
        <v>21</v>
      </c>
      <c r="AQ95" s="44">
        <v>21</v>
      </c>
      <c r="AR95" s="44">
        <v>21</v>
      </c>
      <c r="AS95"/>
      <c r="AT95" s="44">
        <v>21</v>
      </c>
      <c r="AU95"/>
      <c r="AV95"/>
      <c r="AW95" s="44">
        <v>21</v>
      </c>
    </row>
    <row r="96" spans="1:49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N96" s="44">
        <v>0.64</v>
      </c>
      <c r="O96" s="44"/>
      <c r="P96" s="44">
        <v>0.64</v>
      </c>
      <c r="Q96" s="44">
        <v>0.64</v>
      </c>
      <c r="R96" s="44">
        <v>0.64</v>
      </c>
      <c r="U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/>
      <c r="AG96" s="44">
        <v>0.64</v>
      </c>
      <c r="AH96" s="44">
        <v>0.64</v>
      </c>
      <c r="AI96" s="44">
        <v>0.64</v>
      </c>
      <c r="AJ96" s="44">
        <v>0.64</v>
      </c>
      <c r="AK96" s="44">
        <v>0.64</v>
      </c>
      <c r="AL96" s="44">
        <v>0.64</v>
      </c>
      <c r="AM96" s="44">
        <v>0.64</v>
      </c>
      <c r="AN96"/>
      <c r="AO96" s="44">
        <v>0.64</v>
      </c>
      <c r="AP96" s="44">
        <v>0.64</v>
      </c>
      <c r="AQ96" s="44">
        <v>0.64</v>
      </c>
      <c r="AR96" s="44">
        <v>0.64</v>
      </c>
      <c r="AS96"/>
      <c r="AT96" s="44">
        <v>0.64</v>
      </c>
      <c r="AU96"/>
      <c r="AV96"/>
      <c r="AW96" s="44">
        <v>0.64</v>
      </c>
    </row>
    <row r="97" spans="1:49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N97" s="44">
        <v>8</v>
      </c>
      <c r="O97" s="44"/>
      <c r="P97" s="44">
        <v>8</v>
      </c>
      <c r="Q97" s="44">
        <v>8</v>
      </c>
      <c r="R97" s="44">
        <v>8</v>
      </c>
      <c r="U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/>
      <c r="AG97" s="44">
        <v>8</v>
      </c>
      <c r="AH97" s="44">
        <v>8</v>
      </c>
      <c r="AI97" s="44">
        <v>8</v>
      </c>
      <c r="AJ97" s="44">
        <v>8</v>
      </c>
      <c r="AK97" s="44">
        <v>8</v>
      </c>
      <c r="AL97" s="44">
        <v>8</v>
      </c>
      <c r="AM97" s="44">
        <v>8</v>
      </c>
      <c r="AN97"/>
      <c r="AO97" s="44">
        <v>8</v>
      </c>
      <c r="AP97" s="44">
        <v>8</v>
      </c>
      <c r="AQ97" s="44">
        <v>8</v>
      </c>
      <c r="AR97" s="44">
        <v>8</v>
      </c>
      <c r="AS97"/>
      <c r="AT97" s="44">
        <v>8</v>
      </c>
      <c r="AU97"/>
      <c r="AV97"/>
      <c r="AW97" s="44">
        <v>8</v>
      </c>
    </row>
    <row r="98" spans="1:49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N98" s="44">
        <v>10</v>
      </c>
      <c r="O98" s="44"/>
      <c r="P98" s="44">
        <v>10</v>
      </c>
      <c r="Q98" s="44">
        <v>10</v>
      </c>
      <c r="R98" s="44">
        <v>10</v>
      </c>
      <c r="U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/>
      <c r="AG98" s="44">
        <v>10</v>
      </c>
      <c r="AH98" s="44">
        <v>10</v>
      </c>
      <c r="AI98" s="44">
        <v>10</v>
      </c>
      <c r="AJ98" s="44">
        <v>10</v>
      </c>
      <c r="AK98" s="44">
        <v>10</v>
      </c>
      <c r="AL98" s="44">
        <v>10</v>
      </c>
      <c r="AM98" s="44">
        <v>10</v>
      </c>
      <c r="AN98"/>
      <c r="AO98" s="44">
        <v>10</v>
      </c>
      <c r="AP98" s="44">
        <v>10</v>
      </c>
      <c r="AQ98" s="44">
        <v>10</v>
      </c>
      <c r="AR98" s="44">
        <v>10</v>
      </c>
      <c r="AS98"/>
      <c r="AT98" s="44">
        <v>10</v>
      </c>
      <c r="AU98"/>
      <c r="AV98"/>
      <c r="AW98" s="44">
        <v>10</v>
      </c>
    </row>
    <row r="99" spans="1:49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N99" s="44">
        <v>8</v>
      </c>
      <c r="O99" s="44"/>
      <c r="P99" s="44">
        <v>8</v>
      </c>
      <c r="Q99" s="44">
        <v>8</v>
      </c>
      <c r="R99" s="44">
        <v>8</v>
      </c>
      <c r="U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/>
      <c r="AG99" s="44">
        <v>8</v>
      </c>
      <c r="AH99" s="44">
        <v>8</v>
      </c>
      <c r="AI99" s="44">
        <v>8</v>
      </c>
      <c r="AJ99" s="44">
        <v>8</v>
      </c>
      <c r="AK99" s="44">
        <v>8</v>
      </c>
      <c r="AL99" s="44">
        <v>8</v>
      </c>
      <c r="AM99" s="44">
        <v>8</v>
      </c>
      <c r="AN99"/>
      <c r="AO99" s="44">
        <v>8</v>
      </c>
      <c r="AP99" s="44">
        <v>8</v>
      </c>
      <c r="AQ99" s="44">
        <v>8</v>
      </c>
      <c r="AR99" s="44">
        <v>8</v>
      </c>
      <c r="AS99"/>
      <c r="AT99" s="44">
        <v>8</v>
      </c>
      <c r="AU99"/>
      <c r="AV99"/>
      <c r="AW99" s="44">
        <v>8</v>
      </c>
    </row>
    <row r="100" spans="1:49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N100" s="44">
        <v>1</v>
      </c>
      <c r="O100" s="44"/>
      <c r="P100" s="44">
        <v>1</v>
      </c>
      <c r="Q100" s="44">
        <v>1</v>
      </c>
      <c r="R100" s="44">
        <v>1</v>
      </c>
      <c r="U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/>
      <c r="AG100" s="44">
        <v>1</v>
      </c>
      <c r="AH100" s="44">
        <v>1</v>
      </c>
      <c r="AI100" s="44">
        <v>1</v>
      </c>
      <c r="AJ100" s="44">
        <v>1</v>
      </c>
      <c r="AK100" s="44">
        <v>1</v>
      </c>
      <c r="AL100" s="44">
        <v>1</v>
      </c>
      <c r="AM100" s="44">
        <v>1</v>
      </c>
      <c r="AN100"/>
      <c r="AO100" s="44">
        <v>1</v>
      </c>
      <c r="AP100" s="44">
        <v>1</v>
      </c>
      <c r="AQ100" s="44">
        <v>1</v>
      </c>
      <c r="AR100" s="44">
        <v>1</v>
      </c>
      <c r="AS100"/>
      <c r="AT100" s="44">
        <v>1</v>
      </c>
      <c r="AU100"/>
      <c r="AV100"/>
      <c r="AW100" s="44">
        <v>1</v>
      </c>
    </row>
    <row r="101" spans="1:49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N101" s="44">
        <v>0.5</v>
      </c>
      <c r="O101" s="44"/>
      <c r="P101" s="44">
        <v>0.5</v>
      </c>
      <c r="Q101" s="44">
        <v>0.5</v>
      </c>
      <c r="R101" s="44">
        <v>0.5</v>
      </c>
      <c r="U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/>
      <c r="AG101" s="44">
        <v>0.5</v>
      </c>
      <c r="AH101" s="44">
        <v>0.5</v>
      </c>
      <c r="AI101" s="44">
        <v>0.5</v>
      </c>
      <c r="AJ101" s="44">
        <v>0.5</v>
      </c>
      <c r="AK101" s="44">
        <v>0.5</v>
      </c>
      <c r="AL101" s="44">
        <v>0.5</v>
      </c>
      <c r="AM101" s="44">
        <v>0.5</v>
      </c>
      <c r="AN101"/>
      <c r="AO101" s="44">
        <v>0.5</v>
      </c>
      <c r="AP101" s="44">
        <v>0.5</v>
      </c>
      <c r="AQ101" s="44">
        <v>0.5</v>
      </c>
      <c r="AR101" s="44">
        <v>0.5</v>
      </c>
      <c r="AS101"/>
      <c r="AT101" s="44">
        <v>0.5</v>
      </c>
      <c r="AU101"/>
      <c r="AV101"/>
      <c r="AW101" s="44">
        <v>0.5</v>
      </c>
    </row>
    <row r="102" spans="1:49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W102" si="1">10/0.1</f>
        <v>100</v>
      </c>
      <c r="K102" s="44">
        <f t="shared" si="1"/>
        <v>100</v>
      </c>
      <c r="L102" s="44">
        <f t="shared" si="1"/>
        <v>100</v>
      </c>
      <c r="N102" s="44">
        <f t="shared" si="1"/>
        <v>100</v>
      </c>
      <c r="O102" s="44"/>
      <c r="P102" s="44">
        <f t="shared" si="1"/>
        <v>100</v>
      </c>
      <c r="Q102" s="44">
        <f t="shared" si="1"/>
        <v>100</v>
      </c>
      <c r="R102" s="44">
        <f t="shared" si="1"/>
        <v>100</v>
      </c>
      <c r="U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/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 s="44">
        <f t="shared" si="1"/>
        <v>100</v>
      </c>
      <c r="AM102" s="44">
        <f t="shared" si="1"/>
        <v>100</v>
      </c>
      <c r="AN102"/>
      <c r="AO102" s="44">
        <f t="shared" si="1"/>
        <v>100</v>
      </c>
      <c r="AP102" s="44">
        <f t="shared" si="1"/>
        <v>100</v>
      </c>
      <c r="AQ102" s="44">
        <f t="shared" si="1"/>
        <v>100</v>
      </c>
      <c r="AR102" s="44">
        <f t="shared" si="1"/>
        <v>100</v>
      </c>
      <c r="AS102"/>
      <c r="AT102" s="44">
        <f t="shared" si="1"/>
        <v>100</v>
      </c>
      <c r="AU102"/>
      <c r="AV102"/>
      <c r="AW102" s="44">
        <f t="shared" si="1"/>
        <v>100</v>
      </c>
    </row>
    <row r="103" spans="1:49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W103" si="2">150/0.1</f>
        <v>1500</v>
      </c>
      <c r="K103" s="44">
        <f t="shared" si="2"/>
        <v>1500</v>
      </c>
      <c r="L103" s="44">
        <f t="shared" si="2"/>
        <v>1500</v>
      </c>
      <c r="N103" s="44">
        <f t="shared" si="2"/>
        <v>1500</v>
      </c>
      <c r="O103" s="44"/>
      <c r="P103" s="44">
        <f t="shared" si="2"/>
        <v>1500</v>
      </c>
      <c r="Q103" s="44">
        <f t="shared" si="2"/>
        <v>1500</v>
      </c>
      <c r="R103" s="44">
        <f t="shared" si="2"/>
        <v>1500</v>
      </c>
      <c r="U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/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 s="44">
        <f t="shared" si="2"/>
        <v>1500</v>
      </c>
      <c r="AM103" s="44">
        <f t="shared" si="2"/>
        <v>1500</v>
      </c>
      <c r="AN103"/>
      <c r="AO103" s="44">
        <f t="shared" si="2"/>
        <v>1500</v>
      </c>
      <c r="AP103" s="44">
        <f t="shared" si="2"/>
        <v>1500</v>
      </c>
      <c r="AQ103" s="44">
        <f t="shared" si="2"/>
        <v>1500</v>
      </c>
      <c r="AR103" s="44">
        <f t="shared" si="2"/>
        <v>1500</v>
      </c>
      <c r="AS103"/>
      <c r="AT103" s="44">
        <f t="shared" si="2"/>
        <v>1500</v>
      </c>
      <c r="AU103"/>
      <c r="AV103"/>
      <c r="AW103" s="44">
        <f t="shared" si="2"/>
        <v>1500</v>
      </c>
    </row>
    <row r="104" spans="1:49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W104" si="4">20/0.1</f>
        <v>200</v>
      </c>
      <c r="K104" s="44">
        <f t="shared" si="4"/>
        <v>200</v>
      </c>
      <c r="L104" s="44">
        <f t="shared" si="4"/>
        <v>200</v>
      </c>
      <c r="N104" s="44">
        <f t="shared" si="4"/>
        <v>200</v>
      </c>
      <c r="O104" s="44"/>
      <c r="P104" s="44">
        <f t="shared" si="4"/>
        <v>200</v>
      </c>
      <c r="Q104" s="44">
        <f t="shared" si="4"/>
        <v>200</v>
      </c>
      <c r="R104" s="44">
        <f t="shared" si="4"/>
        <v>200</v>
      </c>
      <c r="U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/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 s="44">
        <f t="shared" si="4"/>
        <v>200</v>
      </c>
      <c r="AM104" s="44">
        <f t="shared" si="4"/>
        <v>200</v>
      </c>
      <c r="AN104"/>
      <c r="AO104" s="44">
        <f t="shared" si="4"/>
        <v>200</v>
      </c>
      <c r="AP104" s="44">
        <f t="shared" si="4"/>
        <v>200</v>
      </c>
      <c r="AQ104" s="44">
        <f t="shared" si="4"/>
        <v>200</v>
      </c>
      <c r="AR104" s="44">
        <f t="shared" si="4"/>
        <v>200</v>
      </c>
      <c r="AS104"/>
      <c r="AT104" s="44">
        <f t="shared" si="4"/>
        <v>200</v>
      </c>
      <c r="AU104"/>
      <c r="AV104"/>
      <c r="AW104" s="44">
        <f t="shared" si="4"/>
        <v>200</v>
      </c>
    </row>
    <row r="105" spans="1:49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W105" si="5">400/0.1</f>
        <v>4000</v>
      </c>
      <c r="K105" s="44">
        <f t="shared" si="5"/>
        <v>4000</v>
      </c>
      <c r="L105" s="44">
        <f t="shared" si="5"/>
        <v>4000</v>
      </c>
      <c r="N105" s="44">
        <f t="shared" si="5"/>
        <v>4000</v>
      </c>
      <c r="O105" s="44"/>
      <c r="P105" s="44">
        <f t="shared" si="5"/>
        <v>4000</v>
      </c>
      <c r="Q105" s="44">
        <f t="shared" si="5"/>
        <v>4000</v>
      </c>
      <c r="R105" s="44">
        <f t="shared" si="5"/>
        <v>4000</v>
      </c>
      <c r="U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/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 s="44">
        <f t="shared" si="5"/>
        <v>4000</v>
      </c>
      <c r="AM105" s="44">
        <f t="shared" si="5"/>
        <v>4000</v>
      </c>
      <c r="AN105"/>
      <c r="AO105" s="44">
        <f t="shared" si="5"/>
        <v>4000</v>
      </c>
      <c r="AP105" s="44">
        <f t="shared" si="5"/>
        <v>4000</v>
      </c>
      <c r="AQ105" s="44">
        <f t="shared" si="5"/>
        <v>4000</v>
      </c>
      <c r="AR105" s="44">
        <f t="shared" si="5"/>
        <v>4000</v>
      </c>
      <c r="AS105"/>
      <c r="AT105" s="44">
        <f t="shared" si="5"/>
        <v>4000</v>
      </c>
      <c r="AU105"/>
      <c r="AV105"/>
      <c r="AW105" s="44">
        <f t="shared" si="5"/>
        <v>4000</v>
      </c>
    </row>
    <row r="106" spans="1:49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W106" si="6">10/0.1</f>
        <v>100</v>
      </c>
      <c r="K106" s="44">
        <f t="shared" si="6"/>
        <v>100</v>
      </c>
      <c r="L106" s="44">
        <f t="shared" si="6"/>
        <v>100</v>
      </c>
      <c r="N106" s="44">
        <f t="shared" si="6"/>
        <v>100</v>
      </c>
      <c r="O106" s="44"/>
      <c r="P106" s="44">
        <f t="shared" si="6"/>
        <v>100</v>
      </c>
      <c r="Q106" s="44">
        <f t="shared" si="6"/>
        <v>100</v>
      </c>
      <c r="R106" s="44">
        <f t="shared" si="6"/>
        <v>100</v>
      </c>
      <c r="U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/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 s="44">
        <f t="shared" si="6"/>
        <v>100</v>
      </c>
      <c r="AM106" s="44">
        <f t="shared" si="6"/>
        <v>100</v>
      </c>
      <c r="AN106"/>
      <c r="AO106" s="44">
        <f t="shared" si="6"/>
        <v>100</v>
      </c>
      <c r="AP106" s="44">
        <f t="shared" si="6"/>
        <v>100</v>
      </c>
      <c r="AQ106" s="44">
        <f t="shared" si="6"/>
        <v>100</v>
      </c>
      <c r="AR106" s="44">
        <f t="shared" si="6"/>
        <v>100</v>
      </c>
      <c r="AS106"/>
      <c r="AT106" s="44">
        <f t="shared" si="6"/>
        <v>100</v>
      </c>
      <c r="AU106"/>
      <c r="AV106"/>
      <c r="AW106" s="44">
        <f t="shared" si="6"/>
        <v>100</v>
      </c>
    </row>
    <row r="107" spans="1:49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W107" si="7">150/0.1</f>
        <v>1500</v>
      </c>
      <c r="K107" s="44">
        <f t="shared" si="7"/>
        <v>1500</v>
      </c>
      <c r="L107" s="44">
        <f t="shared" si="7"/>
        <v>1500</v>
      </c>
      <c r="N107" s="44">
        <f t="shared" si="7"/>
        <v>1500</v>
      </c>
      <c r="O107" s="44"/>
      <c r="P107" s="44">
        <f t="shared" si="7"/>
        <v>1500</v>
      </c>
      <c r="Q107" s="44">
        <f t="shared" si="7"/>
        <v>1500</v>
      </c>
      <c r="R107" s="44">
        <f t="shared" si="7"/>
        <v>1500</v>
      </c>
      <c r="U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/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 s="44">
        <f t="shared" si="7"/>
        <v>1500</v>
      </c>
      <c r="AM107" s="44">
        <f t="shared" si="7"/>
        <v>1500</v>
      </c>
      <c r="AN107"/>
      <c r="AO107" s="44">
        <f t="shared" si="7"/>
        <v>1500</v>
      </c>
      <c r="AP107" s="44">
        <f t="shared" si="7"/>
        <v>1500</v>
      </c>
      <c r="AQ107" s="44">
        <f t="shared" si="7"/>
        <v>1500</v>
      </c>
      <c r="AR107" s="44">
        <f t="shared" si="7"/>
        <v>1500</v>
      </c>
      <c r="AS107"/>
      <c r="AT107" s="44">
        <f t="shared" si="7"/>
        <v>1500</v>
      </c>
      <c r="AU107"/>
      <c r="AV107"/>
      <c r="AW107" s="44">
        <f t="shared" si="7"/>
        <v>1500</v>
      </c>
    </row>
    <row r="108" spans="1:49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W108" si="8">20/0.1</f>
        <v>200</v>
      </c>
      <c r="K108" s="44">
        <f t="shared" si="8"/>
        <v>200</v>
      </c>
      <c r="L108" s="44">
        <f t="shared" si="8"/>
        <v>200</v>
      </c>
      <c r="N108" s="44">
        <f t="shared" si="8"/>
        <v>200</v>
      </c>
      <c r="O108" s="44"/>
      <c r="P108" s="44">
        <f t="shared" si="8"/>
        <v>200</v>
      </c>
      <c r="Q108" s="44">
        <f t="shared" si="8"/>
        <v>200</v>
      </c>
      <c r="R108" s="44">
        <f t="shared" si="8"/>
        <v>200</v>
      </c>
      <c r="U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/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 s="44">
        <f t="shared" si="8"/>
        <v>200</v>
      </c>
      <c r="AM108" s="44">
        <f t="shared" si="8"/>
        <v>200</v>
      </c>
      <c r="AN108"/>
      <c r="AO108" s="44">
        <f t="shared" si="8"/>
        <v>200</v>
      </c>
      <c r="AP108" s="44">
        <f t="shared" si="8"/>
        <v>200</v>
      </c>
      <c r="AQ108" s="44">
        <f t="shared" si="8"/>
        <v>200</v>
      </c>
      <c r="AR108" s="44">
        <f t="shared" si="8"/>
        <v>200</v>
      </c>
      <c r="AS108"/>
      <c r="AT108" s="44">
        <f t="shared" si="8"/>
        <v>200</v>
      </c>
      <c r="AU108"/>
      <c r="AV108"/>
      <c r="AW108" s="44">
        <f t="shared" si="8"/>
        <v>200</v>
      </c>
    </row>
    <row r="109" spans="1:49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W109" si="9">400/0.1</f>
        <v>4000</v>
      </c>
      <c r="K109" s="44">
        <f t="shared" si="9"/>
        <v>4000</v>
      </c>
      <c r="L109" s="44">
        <f t="shared" si="9"/>
        <v>4000</v>
      </c>
      <c r="N109" s="44">
        <f t="shared" si="9"/>
        <v>4000</v>
      </c>
      <c r="O109" s="44"/>
      <c r="P109" s="44">
        <f t="shared" si="9"/>
        <v>4000</v>
      </c>
      <c r="Q109" s="44">
        <f t="shared" si="9"/>
        <v>4000</v>
      </c>
      <c r="R109" s="44">
        <f t="shared" si="9"/>
        <v>4000</v>
      </c>
      <c r="U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/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 s="44">
        <f t="shared" si="9"/>
        <v>4000</v>
      </c>
      <c r="AM109" s="44">
        <f t="shared" si="9"/>
        <v>4000</v>
      </c>
      <c r="AN109"/>
      <c r="AO109" s="44">
        <f t="shared" si="9"/>
        <v>4000</v>
      </c>
      <c r="AP109" s="44">
        <f t="shared" si="9"/>
        <v>4000</v>
      </c>
      <c r="AQ109" s="44">
        <f t="shared" si="9"/>
        <v>4000</v>
      </c>
      <c r="AR109" s="44">
        <f t="shared" si="9"/>
        <v>4000</v>
      </c>
      <c r="AS109"/>
      <c r="AT109" s="44">
        <f t="shared" si="9"/>
        <v>4000</v>
      </c>
      <c r="AU109"/>
      <c r="AV109"/>
      <c r="AW109" s="44">
        <f t="shared" si="9"/>
        <v>4000</v>
      </c>
    </row>
    <row r="110" spans="1:49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N110" s="44">
        <v>100</v>
      </c>
      <c r="O110" s="44"/>
      <c r="P110" s="44">
        <v>100</v>
      </c>
      <c r="Q110" s="44">
        <v>100</v>
      </c>
      <c r="R110" s="44">
        <v>100</v>
      </c>
      <c r="U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/>
      <c r="AG110" s="44">
        <v>100</v>
      </c>
      <c r="AH110" s="44">
        <v>100</v>
      </c>
      <c r="AI110" s="44">
        <v>100</v>
      </c>
      <c r="AJ110" s="44">
        <v>100</v>
      </c>
      <c r="AK110" s="44">
        <v>100</v>
      </c>
      <c r="AL110" s="44">
        <v>100</v>
      </c>
      <c r="AM110" s="44">
        <v>100</v>
      </c>
      <c r="AN110"/>
      <c r="AO110" s="44">
        <v>100</v>
      </c>
      <c r="AP110" s="44">
        <v>100</v>
      </c>
      <c r="AQ110" s="44">
        <v>100</v>
      </c>
      <c r="AR110" s="44">
        <v>100</v>
      </c>
      <c r="AS110"/>
      <c r="AT110" s="44">
        <v>100</v>
      </c>
      <c r="AU110"/>
      <c r="AV110"/>
      <c r="AW110" s="44">
        <v>100</v>
      </c>
    </row>
    <row r="111" spans="1:49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N111" s="44">
        <v>280800</v>
      </c>
      <c r="O111" s="44"/>
      <c r="P111" s="44">
        <v>280800</v>
      </c>
      <c r="Q111" s="44">
        <v>280800</v>
      </c>
      <c r="R111" s="44">
        <v>280800</v>
      </c>
      <c r="U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/>
      <c r="AG111" s="44">
        <v>280800</v>
      </c>
      <c r="AH111" s="44">
        <v>280800</v>
      </c>
      <c r="AI111" s="44">
        <v>280800</v>
      </c>
      <c r="AJ111" s="44">
        <v>280800</v>
      </c>
      <c r="AK111" s="44">
        <v>280800</v>
      </c>
      <c r="AL111" s="44">
        <v>280800</v>
      </c>
      <c r="AM111" s="44">
        <v>280800</v>
      </c>
      <c r="AN111"/>
      <c r="AO111" s="44">
        <v>280800</v>
      </c>
      <c r="AP111" s="44">
        <v>280800</v>
      </c>
      <c r="AQ111" s="44">
        <v>280800</v>
      </c>
      <c r="AR111" s="44">
        <v>280800</v>
      </c>
      <c r="AS111"/>
      <c r="AT111" s="44">
        <v>280800</v>
      </c>
      <c r="AU111"/>
      <c r="AV111"/>
      <c r="AW111" s="44">
        <v>280800</v>
      </c>
    </row>
    <row r="112" spans="1:49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W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N112" s="44">
        <f t="shared" si="10"/>
        <v>0.11100000000000002</v>
      </c>
      <c r="O112" s="44"/>
      <c r="P112" s="44">
        <f t="shared" si="10"/>
        <v>0.11100000000000002</v>
      </c>
      <c r="Q112" s="44">
        <f t="shared" si="10"/>
        <v>0.11100000000000002</v>
      </c>
      <c r="R112" s="44">
        <f t="shared" si="10"/>
        <v>0.11100000000000002</v>
      </c>
      <c r="U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/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 s="44">
        <f t="shared" si="10"/>
        <v>0.11100000000000002</v>
      </c>
      <c r="AM112" s="44">
        <f t="shared" si="10"/>
        <v>0.11100000000000002</v>
      </c>
      <c r="AN112"/>
      <c r="AO112" s="44">
        <f t="shared" si="10"/>
        <v>0.11100000000000002</v>
      </c>
      <c r="AP112" s="44">
        <f t="shared" si="10"/>
        <v>0.11100000000000002</v>
      </c>
      <c r="AQ112" s="44">
        <f t="shared" si="10"/>
        <v>0.11100000000000002</v>
      </c>
      <c r="AR112" s="44">
        <f t="shared" si="10"/>
        <v>0.11100000000000002</v>
      </c>
      <c r="AS112"/>
      <c r="AT112" s="44">
        <f t="shared" si="10"/>
        <v>0.11100000000000002</v>
      </c>
      <c r="AU112"/>
      <c r="AV112"/>
      <c r="AW112" s="44">
        <f t="shared" si="10"/>
        <v>0.11100000000000002</v>
      </c>
    </row>
    <row r="113" spans="1:49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N113" s="44">
        <v>100</v>
      </c>
      <c r="O113" s="44"/>
      <c r="P113" s="44">
        <v>100</v>
      </c>
      <c r="Q113" s="44">
        <v>100</v>
      </c>
      <c r="R113" s="44">
        <v>100</v>
      </c>
      <c r="U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/>
      <c r="AG113" s="44">
        <v>100</v>
      </c>
      <c r="AH113" s="44">
        <v>100</v>
      </c>
      <c r="AI113" s="44">
        <v>100</v>
      </c>
      <c r="AJ113" s="44">
        <v>100</v>
      </c>
      <c r="AK113" s="44">
        <v>100</v>
      </c>
      <c r="AL113" s="44">
        <v>100</v>
      </c>
      <c r="AM113" s="44">
        <v>100</v>
      </c>
      <c r="AN113"/>
      <c r="AO113" s="44">
        <v>100</v>
      </c>
      <c r="AP113" s="44">
        <v>100</v>
      </c>
      <c r="AQ113" s="44">
        <v>100</v>
      </c>
      <c r="AR113" s="44">
        <v>100</v>
      </c>
      <c r="AS113"/>
      <c r="AT113" s="44">
        <v>100</v>
      </c>
      <c r="AU113"/>
      <c r="AV113"/>
      <c r="AW113" s="44">
        <v>100</v>
      </c>
    </row>
    <row r="114" spans="1:49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N114" s="44">
        <v>459648</v>
      </c>
      <c r="O114" s="44"/>
      <c r="P114" s="44">
        <v>459648</v>
      </c>
      <c r="Q114" s="44">
        <v>459648</v>
      </c>
      <c r="R114" s="44">
        <v>459648</v>
      </c>
      <c r="U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/>
      <c r="AG114" s="44">
        <v>459648</v>
      </c>
      <c r="AH114" s="44">
        <v>459648</v>
      </c>
      <c r="AI114" s="44">
        <v>459648</v>
      </c>
      <c r="AJ114" s="44">
        <v>459648</v>
      </c>
      <c r="AK114" s="44">
        <v>459648</v>
      </c>
      <c r="AL114" s="44">
        <v>459648</v>
      </c>
      <c r="AM114" s="44">
        <v>459648</v>
      </c>
      <c r="AN114"/>
      <c r="AO114" s="44">
        <v>459648</v>
      </c>
      <c r="AP114" s="44">
        <v>459648</v>
      </c>
      <c r="AQ114" s="44">
        <v>459648</v>
      </c>
      <c r="AR114" s="44">
        <v>459648</v>
      </c>
      <c r="AS114"/>
      <c r="AT114" s="44">
        <v>459648</v>
      </c>
      <c r="AU114"/>
      <c r="AV114"/>
      <c r="AW114" s="44">
        <v>459648</v>
      </c>
    </row>
    <row r="115" spans="1:49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W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N115" s="44">
        <f t="shared" si="11"/>
        <v>0.13875000000000001</v>
      </c>
      <c r="O115" s="44"/>
      <c r="P115" s="44">
        <f t="shared" si="11"/>
        <v>0.13875000000000001</v>
      </c>
      <c r="Q115" s="44">
        <f t="shared" si="11"/>
        <v>0.13875000000000001</v>
      </c>
      <c r="R115" s="44">
        <f t="shared" si="11"/>
        <v>0.13875000000000001</v>
      </c>
      <c r="U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/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 s="44">
        <f t="shared" si="11"/>
        <v>0.13875000000000001</v>
      </c>
      <c r="AM115" s="44">
        <f t="shared" si="11"/>
        <v>0.13875000000000001</v>
      </c>
      <c r="AN115"/>
      <c r="AO115" s="44">
        <f t="shared" si="11"/>
        <v>0.13875000000000001</v>
      </c>
      <c r="AP115" s="44">
        <f t="shared" si="11"/>
        <v>0.13875000000000001</v>
      </c>
      <c r="AQ115" s="44">
        <f t="shared" si="11"/>
        <v>0.13875000000000001</v>
      </c>
      <c r="AR115" s="44">
        <f t="shared" si="11"/>
        <v>0.13875000000000001</v>
      </c>
      <c r="AS115"/>
      <c r="AT115" s="44">
        <f t="shared" si="11"/>
        <v>0.13875000000000001</v>
      </c>
      <c r="AU115"/>
      <c r="AV115"/>
      <c r="AW115" s="44">
        <f t="shared" si="11"/>
        <v>0.13875000000000001</v>
      </c>
    </row>
    <row r="116" spans="1:49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N116" s="44">
        <v>21600</v>
      </c>
      <c r="O116" s="44"/>
      <c r="P116" s="44">
        <v>21600</v>
      </c>
      <c r="Q116" s="44">
        <v>21600</v>
      </c>
      <c r="R116" s="44">
        <v>21600</v>
      </c>
      <c r="U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/>
      <c r="AG116" s="44">
        <v>21600</v>
      </c>
      <c r="AH116" s="44">
        <v>21600</v>
      </c>
      <c r="AI116" s="44">
        <v>21600</v>
      </c>
      <c r="AJ116" s="44">
        <v>21600</v>
      </c>
      <c r="AK116" s="44">
        <v>21600</v>
      </c>
      <c r="AL116" s="44">
        <v>21600</v>
      </c>
      <c r="AM116" s="44">
        <v>21600</v>
      </c>
      <c r="AN116"/>
      <c r="AO116" s="44">
        <v>21600</v>
      </c>
      <c r="AP116" s="44">
        <v>21600</v>
      </c>
      <c r="AQ116" s="44">
        <v>21600</v>
      </c>
      <c r="AR116" s="44">
        <v>21600</v>
      </c>
      <c r="AS116"/>
      <c r="AT116" s="44">
        <v>21600</v>
      </c>
      <c r="AU116"/>
      <c r="AV116"/>
      <c r="AW116" s="44">
        <v>21600</v>
      </c>
    </row>
    <row r="117" spans="1:49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N117" s="44">
        <v>43200</v>
      </c>
      <c r="O117" s="44"/>
      <c r="P117" s="44">
        <v>43200</v>
      </c>
      <c r="Q117" s="44">
        <v>43200</v>
      </c>
      <c r="R117" s="44">
        <v>43200</v>
      </c>
      <c r="U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/>
      <c r="AG117" s="44">
        <v>43200</v>
      </c>
      <c r="AH117" s="44">
        <v>43200</v>
      </c>
      <c r="AI117" s="44">
        <v>43200</v>
      </c>
      <c r="AJ117" s="44">
        <v>43200</v>
      </c>
      <c r="AK117" s="44">
        <v>43200</v>
      </c>
      <c r="AL117" s="44">
        <v>43200</v>
      </c>
      <c r="AM117" s="44">
        <v>43200</v>
      </c>
      <c r="AN117"/>
      <c r="AO117" s="44">
        <v>43200</v>
      </c>
      <c r="AP117" s="44">
        <v>43200</v>
      </c>
      <c r="AQ117" s="44">
        <v>43200</v>
      </c>
      <c r="AR117" s="44">
        <v>43200</v>
      </c>
      <c r="AS117"/>
      <c r="AT117" s="44">
        <v>43200</v>
      </c>
      <c r="AU117"/>
      <c r="AV117"/>
      <c r="AW117" s="44">
        <v>43200</v>
      </c>
    </row>
    <row r="118" spans="1:49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N118" s="44">
        <v>0.8</v>
      </c>
      <c r="O118" s="44"/>
      <c r="P118" s="44">
        <v>0.8</v>
      </c>
      <c r="Q118" s="44">
        <v>0.8</v>
      </c>
      <c r="R118" s="44">
        <v>0.8</v>
      </c>
      <c r="U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/>
      <c r="AG118" s="44">
        <v>0.8</v>
      </c>
      <c r="AH118" s="44">
        <v>0.8</v>
      </c>
      <c r="AI118" s="44">
        <v>0.8</v>
      </c>
      <c r="AJ118" s="44">
        <v>0.8</v>
      </c>
      <c r="AK118" s="44">
        <v>0.8</v>
      </c>
      <c r="AL118" s="44">
        <v>0.8</v>
      </c>
      <c r="AM118" s="44">
        <v>0.8</v>
      </c>
      <c r="AN118"/>
      <c r="AO118" s="44">
        <v>0.8</v>
      </c>
      <c r="AP118" s="44">
        <v>0.8</v>
      </c>
      <c r="AQ118" s="44">
        <v>0.8</v>
      </c>
      <c r="AR118" s="44">
        <v>0.8</v>
      </c>
      <c r="AS118"/>
      <c r="AT118" s="44">
        <v>0.8</v>
      </c>
      <c r="AU118"/>
      <c r="AV118"/>
      <c r="AW118" s="44">
        <v>0.8</v>
      </c>
    </row>
    <row r="119" spans="1:49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1" t="s">
        <v>595</v>
      </c>
      <c r="N119" s="44">
        <f>0.000208333333333333 / 2</f>
        <v>1.041666666666665E-4</v>
      </c>
      <c r="O119" s="44"/>
      <c r="P119" s="44">
        <v>2.0833333333333335E-4</v>
      </c>
      <c r="Q119" s="44">
        <v>2.0833333333333335E-4</v>
      </c>
      <c r="R119" s="44">
        <v>2.0833333333333335E-4</v>
      </c>
      <c r="U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/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 s="44">
        <v>2.0833333333333335E-4</v>
      </c>
      <c r="AM119" s="44">
        <v>2.0833333333333335E-4</v>
      </c>
      <c r="AN119"/>
      <c r="AO119" s="44">
        <v>2.0833333333333335E-4</v>
      </c>
      <c r="AP119" s="44">
        <v>2.0833333333333335E-4</v>
      </c>
      <c r="AQ119" s="44">
        <v>2.0833333333333335E-4</v>
      </c>
      <c r="AR119" s="44">
        <v>2.0833333333333335E-4</v>
      </c>
      <c r="AS119"/>
      <c r="AT119" s="44">
        <v>2.0833333333333335E-4</v>
      </c>
      <c r="AU119"/>
      <c r="AV119"/>
      <c r="AW119" s="44">
        <v>2.0833333333333335E-4</v>
      </c>
    </row>
    <row r="120" spans="1:49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N120" s="44">
        <v>5.7899999999999998E-7</v>
      </c>
      <c r="O120" s="44"/>
      <c r="P120" s="44">
        <v>5.7899999999999998E-7</v>
      </c>
      <c r="Q120" s="44">
        <v>5.7899999999999998E-7</v>
      </c>
      <c r="R120" s="44">
        <v>5.7899999999999998E-7</v>
      </c>
      <c r="U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/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 s="44">
        <v>5.7899999999999998E-7</v>
      </c>
      <c r="AM120" s="44">
        <v>5.7899999999999998E-7</v>
      </c>
      <c r="AN120"/>
      <c r="AO120" s="44">
        <v>5.7899999999999998E-7</v>
      </c>
      <c r="AP120" s="44">
        <v>5.7899999999999998E-7</v>
      </c>
      <c r="AQ120" s="44">
        <v>5.7899999999999998E-7</v>
      </c>
      <c r="AR120" s="44">
        <v>5.7899999999999998E-7</v>
      </c>
      <c r="AS120"/>
      <c r="AT120" s="44">
        <v>5.7899999999999998E-7</v>
      </c>
      <c r="AU120"/>
      <c r="AV120"/>
      <c r="AW120" s="44">
        <v>5.7899999999999998E-7</v>
      </c>
    </row>
    <row r="121" spans="1:49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N121" s="44">
        <v>2.0833333333333335E-4</v>
      </c>
      <c r="O121" s="44"/>
      <c r="P121" s="44">
        <v>2.0833333333333335E-4</v>
      </c>
      <c r="Q121" s="44">
        <v>2.0833333333333335E-4</v>
      </c>
      <c r="R121" s="44">
        <v>2.0833333333333335E-4</v>
      </c>
      <c r="U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/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 s="44">
        <v>2.0833333333333335E-4</v>
      </c>
      <c r="AM121" s="44">
        <v>2.0833333333333335E-4</v>
      </c>
      <c r="AN121"/>
      <c r="AO121" s="44">
        <v>2.0833333333333335E-4</v>
      </c>
      <c r="AP121" s="44">
        <v>2.0833333333333335E-4</v>
      </c>
      <c r="AQ121" s="44">
        <v>2.0833333333333335E-4</v>
      </c>
      <c r="AR121" s="44">
        <v>2.0833333333333335E-4</v>
      </c>
      <c r="AS121"/>
      <c r="AT121" s="44">
        <v>2.0833333333333335E-4</v>
      </c>
      <c r="AU121"/>
      <c r="AV121"/>
      <c r="AW121" s="44">
        <v>2.0833333333333335E-4</v>
      </c>
    </row>
    <row r="122" spans="1:49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N122" s="44">
        <v>0</v>
      </c>
      <c r="O122" s="44"/>
      <c r="P122" s="44">
        <v>0</v>
      </c>
      <c r="Q122" s="44">
        <v>0</v>
      </c>
      <c r="R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/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 s="44">
        <v>0</v>
      </c>
      <c r="AM122" s="44">
        <v>0</v>
      </c>
      <c r="AN122"/>
      <c r="AO122" s="44">
        <v>0</v>
      </c>
      <c r="AP122" s="44">
        <v>0</v>
      </c>
      <c r="AQ122" s="44">
        <v>0</v>
      </c>
      <c r="AR122" s="44">
        <v>0</v>
      </c>
      <c r="AS122"/>
      <c r="AT122" s="44">
        <v>0</v>
      </c>
      <c r="AU122"/>
      <c r="AV122"/>
      <c r="AW122" s="44">
        <v>0</v>
      </c>
    </row>
    <row r="123" spans="1:49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N123" s="44">
        <v>0</v>
      </c>
      <c r="O123" s="44"/>
      <c r="P123" s="44">
        <v>0</v>
      </c>
      <c r="Q123" s="44">
        <v>0</v>
      </c>
      <c r="R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/>
      <c r="AG123" s="44">
        <v>0</v>
      </c>
      <c r="AH123" s="44">
        <v>0</v>
      </c>
      <c r="AI123" s="44">
        <v>0</v>
      </c>
      <c r="AJ123" s="44">
        <v>0</v>
      </c>
      <c r="AK123" s="44">
        <v>0</v>
      </c>
      <c r="AL123" s="44">
        <v>0</v>
      </c>
      <c r="AM123" s="44">
        <v>0</v>
      </c>
      <c r="AN123"/>
      <c r="AO123" s="44">
        <v>0</v>
      </c>
      <c r="AP123" s="44">
        <v>0</v>
      </c>
      <c r="AQ123" s="44">
        <v>0</v>
      </c>
      <c r="AR123" s="44">
        <v>0</v>
      </c>
      <c r="AS123"/>
      <c r="AT123" s="44">
        <v>0</v>
      </c>
      <c r="AU123"/>
      <c r="AV123"/>
      <c r="AW123" s="44">
        <v>0</v>
      </c>
    </row>
    <row r="124" spans="1:49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N124" s="44">
        <v>0</v>
      </c>
      <c r="O124" s="44"/>
      <c r="P124" s="44">
        <v>5.9999999999999997E-7</v>
      </c>
      <c r="Q124" s="44">
        <v>5.9999999999999997E-7</v>
      </c>
      <c r="R124" s="44">
        <v>5.9999999999999997E-7</v>
      </c>
      <c r="U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/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 s="44">
        <v>5.9999999999999997E-7</v>
      </c>
      <c r="AM124" s="44">
        <v>5.9999999999999997E-7</v>
      </c>
      <c r="AN124"/>
      <c r="AO124" s="44">
        <v>5.9999999999999997E-7</v>
      </c>
      <c r="AP124" s="44">
        <v>5.9999999999999997E-7</v>
      </c>
      <c r="AQ124" s="44">
        <v>5.9999999999999997E-7</v>
      </c>
      <c r="AR124" s="44">
        <v>5.9999999999999997E-7</v>
      </c>
      <c r="AS124"/>
      <c r="AT124" s="44">
        <v>5.9999999999999997E-7</v>
      </c>
      <c r="AU124"/>
      <c r="AV124"/>
      <c r="AW124" s="44">
        <v>9.9999999999999995E-8</v>
      </c>
    </row>
    <row r="125" spans="1:49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W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N125" s="44">
        <f t="shared" si="12"/>
        <v>8.3333333333333331E-5</v>
      </c>
      <c r="O125" s="44"/>
      <c r="P125" s="44">
        <f t="shared" si="12"/>
        <v>8.3333333333333331E-5</v>
      </c>
      <c r="Q125" s="44">
        <f t="shared" si="12"/>
        <v>8.3333333333333331E-5</v>
      </c>
      <c r="R125" s="44">
        <f t="shared" si="12"/>
        <v>8.3333333333333331E-5</v>
      </c>
      <c r="U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/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 s="44">
        <f t="shared" si="12"/>
        <v>8.3333333333333331E-5</v>
      </c>
      <c r="AM125" s="44">
        <f t="shared" si="12"/>
        <v>8.3333333333333331E-5</v>
      </c>
      <c r="AN125"/>
      <c r="AO125" s="44">
        <f t="shared" si="12"/>
        <v>8.3333333333333331E-5</v>
      </c>
      <c r="AP125" s="44">
        <f t="shared" si="12"/>
        <v>8.3333333333333331E-5</v>
      </c>
      <c r="AQ125" s="44">
        <f t="shared" si="12"/>
        <v>8.3333333333333331E-5</v>
      </c>
      <c r="AR125" s="44">
        <f t="shared" si="12"/>
        <v>8.3333333333333331E-5</v>
      </c>
      <c r="AS125"/>
      <c r="AT125" s="44">
        <f t="shared" si="12"/>
        <v>8.3333333333333331E-5</v>
      </c>
      <c r="AU125"/>
      <c r="AV125"/>
      <c r="AW125" s="44">
        <f t="shared" si="12"/>
        <v>8.3333333333333331E-5</v>
      </c>
    </row>
    <row r="126" spans="1:49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N126" s="44" t="s">
        <v>86</v>
      </c>
      <c r="O126" s="44"/>
      <c r="P126" s="44" t="s">
        <v>86</v>
      </c>
      <c r="Q126" s="44" t="s">
        <v>86</v>
      </c>
      <c r="R126" s="44" t="s">
        <v>86</v>
      </c>
      <c r="U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/>
      <c r="AG126" s="44" t="s">
        <v>86</v>
      </c>
      <c r="AH126" s="44" t="s">
        <v>86</v>
      </c>
      <c r="AI126" s="44" t="s">
        <v>86</v>
      </c>
      <c r="AJ126" s="44" t="s">
        <v>86</v>
      </c>
      <c r="AK126" s="44" t="s">
        <v>86</v>
      </c>
      <c r="AL126" s="44" t="s">
        <v>86</v>
      </c>
      <c r="AM126" s="44" t="s">
        <v>86</v>
      </c>
      <c r="AN126"/>
      <c r="AO126" s="44" t="s">
        <v>86</v>
      </c>
      <c r="AP126" s="44" t="s">
        <v>86</v>
      </c>
      <c r="AQ126" s="44" t="s">
        <v>86</v>
      </c>
      <c r="AR126" s="44" t="s">
        <v>86</v>
      </c>
      <c r="AS126"/>
      <c r="AT126" s="44" t="s">
        <v>86</v>
      </c>
      <c r="AU126"/>
      <c r="AV126"/>
      <c r="AW126" s="44" t="s">
        <v>86</v>
      </c>
    </row>
    <row r="127" spans="1:49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N127" s="44">
        <v>5.0000000000000001E-4</v>
      </c>
      <c r="O127" s="44"/>
      <c r="P127" s="44">
        <v>5.0000000000000001E-4</v>
      </c>
      <c r="Q127" s="44">
        <v>5.0000000000000001E-4</v>
      </c>
      <c r="R127" s="44">
        <v>5.0000000000000001E-4</v>
      </c>
      <c r="U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/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 s="44">
        <v>5.0000000000000001E-4</v>
      </c>
      <c r="AM127" s="44">
        <v>5.0000000000000001E-4</v>
      </c>
      <c r="AN127"/>
      <c r="AO127" s="44">
        <v>5.0000000000000001E-4</v>
      </c>
      <c r="AP127" s="44">
        <v>5.0000000000000001E-4</v>
      </c>
      <c r="AQ127" s="44">
        <v>5.0000000000000001E-4</v>
      </c>
      <c r="AR127" s="44">
        <v>5.0000000000000001E-4</v>
      </c>
      <c r="AS127"/>
      <c r="AT127" s="44">
        <v>5.0000000000000001E-4</v>
      </c>
      <c r="AU127"/>
      <c r="AV127"/>
      <c r="AW127" s="44">
        <v>5.0000000000000001E-4</v>
      </c>
    </row>
    <row r="128" spans="1:49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1" t="s">
        <v>603</v>
      </c>
      <c r="N128" s="44">
        <f>0.00000000000003/2/2/2</f>
        <v>3.7499999999999998E-15</v>
      </c>
      <c r="O128" s="44"/>
      <c r="P128" s="44">
        <v>4.9999999999999999E-13</v>
      </c>
      <c r="Q128" s="44">
        <v>4.9999999999999999E-13</v>
      </c>
      <c r="R128" s="44">
        <v>4.9999999999999999E-13</v>
      </c>
      <c r="U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/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 s="44">
        <v>4.9999999999999999E-13</v>
      </c>
      <c r="AM128" s="44">
        <v>4.9999999999999999E-13</v>
      </c>
      <c r="AN128"/>
      <c r="AO128" s="44">
        <v>4.9999999999999999E-13</v>
      </c>
      <c r="AP128" s="44">
        <v>4.9999999999999999E-13</v>
      </c>
      <c r="AQ128" s="44">
        <v>4.9999999999999999E-13</v>
      </c>
      <c r="AR128" s="44">
        <v>4.9999999999999999E-13</v>
      </c>
      <c r="AS128"/>
      <c r="AT128" s="44">
        <v>4.9999999999999999E-13</v>
      </c>
      <c r="AU128"/>
      <c r="AV128"/>
      <c r="AW128" s="44">
        <v>4.9999999999999999E-13</v>
      </c>
    </row>
    <row r="129" spans="1:49" x14ac:dyDescent="0.25">
      <c r="A129" s="21" t="s">
        <v>606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0.000005/3600/4</f>
        <v>3.4722222222222225E-10</v>
      </c>
      <c r="M129" s="1" t="s">
        <v>604</v>
      </c>
      <c r="N129" s="44">
        <f>0.00000000000003/2/2/2</f>
        <v>3.7499999999999998E-15</v>
      </c>
      <c r="O129" s="44"/>
      <c r="P129" s="44">
        <v>4.9999999999999999E-13</v>
      </c>
      <c r="Q129" s="44">
        <v>4.9999999999999999E-13</v>
      </c>
      <c r="R129" s="44">
        <v>4.9999999999999999E-13</v>
      </c>
      <c r="U129" s="44">
        <v>4.9999999999999999E-13</v>
      </c>
      <c r="V129" s="44">
        <v>4.9999999999999999E-13</v>
      </c>
      <c r="W129" s="44">
        <v>4.9999999999999999E-13</v>
      </c>
      <c r="X129" s="44">
        <v>4.9999999999999999E-13</v>
      </c>
      <c r="Y129" s="44">
        <v>4.9999999999999999E-13</v>
      </c>
      <c r="Z129" s="44">
        <v>4.9999999999999999E-13</v>
      </c>
      <c r="AA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/>
      <c r="AG129" s="44">
        <v>4.9999999999999999E-13</v>
      </c>
      <c r="AH129" s="44">
        <v>4.9999999999999999E-13</v>
      </c>
      <c r="AI129" s="44">
        <v>4.9999999999999999E-13</v>
      </c>
      <c r="AJ129" s="44">
        <v>4.9999999999999999E-13</v>
      </c>
      <c r="AK129" s="44">
        <v>4.9999999999999999E-13</v>
      </c>
      <c r="AL129" s="44">
        <v>4.9999999999999999E-13</v>
      </c>
      <c r="AM129" s="44">
        <v>4.9999999999999999E-13</v>
      </c>
      <c r="AN129"/>
      <c r="AO129" s="44">
        <v>4.9999999999999999E-13</v>
      </c>
      <c r="AP129" s="44">
        <v>4.9999999999999999E-13</v>
      </c>
      <c r="AQ129" s="44">
        <v>4.9999999999999999E-13</v>
      </c>
      <c r="AR129" s="44">
        <v>4.9999999999999999E-13</v>
      </c>
      <c r="AS129"/>
      <c r="AT129" s="44">
        <v>4.9999999999999999E-13</v>
      </c>
      <c r="AU129"/>
      <c r="AV129"/>
      <c r="AW129" s="44">
        <v>4.9999999999999999E-13</v>
      </c>
    </row>
    <row r="130" spans="1:49" x14ac:dyDescent="0.25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N130" s="44">
        <v>10</v>
      </c>
      <c r="O130" s="44"/>
      <c r="P130" s="44">
        <v>10</v>
      </c>
      <c r="Q130" s="44">
        <v>10</v>
      </c>
      <c r="R130" s="44">
        <v>10</v>
      </c>
      <c r="U130" s="44">
        <v>10</v>
      </c>
      <c r="V130" s="44">
        <v>10</v>
      </c>
      <c r="W130" s="44">
        <v>10</v>
      </c>
      <c r="X130" s="44">
        <v>10</v>
      </c>
      <c r="Y130" s="44">
        <v>10</v>
      </c>
      <c r="Z130" s="44">
        <v>10</v>
      </c>
      <c r="AA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/>
      <c r="AG130" s="44">
        <v>10</v>
      </c>
      <c r="AH130" s="44">
        <v>10</v>
      </c>
      <c r="AI130" s="44">
        <v>10</v>
      </c>
      <c r="AJ130" s="44">
        <v>10</v>
      </c>
      <c r="AK130" s="44">
        <v>10</v>
      </c>
      <c r="AL130" s="44">
        <v>10</v>
      </c>
      <c r="AM130" s="44">
        <v>10</v>
      </c>
      <c r="AN130"/>
      <c r="AO130" s="44">
        <v>10</v>
      </c>
      <c r="AP130" s="44">
        <v>10</v>
      </c>
      <c r="AQ130" s="44">
        <v>10</v>
      </c>
      <c r="AR130" s="44">
        <v>10</v>
      </c>
      <c r="AS130"/>
      <c r="AT130" s="44">
        <v>10</v>
      </c>
      <c r="AU130"/>
      <c r="AV130"/>
      <c r="AW130" s="44">
        <v>10</v>
      </c>
    </row>
    <row r="131" spans="1:49" x14ac:dyDescent="0.25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N131" s="44">
        <v>-0.04</v>
      </c>
      <c r="O131" s="44"/>
      <c r="P131" s="44">
        <v>-0.04</v>
      </c>
      <c r="Q131" s="44">
        <v>-0.04</v>
      </c>
      <c r="R131" s="44">
        <v>-0.04</v>
      </c>
      <c r="U131" s="44">
        <v>-0.04</v>
      </c>
      <c r="V131" s="44">
        <v>-0.04</v>
      </c>
      <c r="W131" s="44">
        <v>-0.04</v>
      </c>
      <c r="X131" s="44">
        <v>-0.04</v>
      </c>
      <c r="Y131" s="44">
        <v>-0.04</v>
      </c>
      <c r="Z131" s="44">
        <v>-0.04</v>
      </c>
      <c r="AA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/>
      <c r="AG131" s="44">
        <v>-0.04</v>
      </c>
      <c r="AH131" s="44">
        <v>-0.04</v>
      </c>
      <c r="AI131" s="44">
        <v>-0.04</v>
      </c>
      <c r="AJ131" s="44">
        <v>-0.04</v>
      </c>
      <c r="AK131" s="44">
        <v>-0.04</v>
      </c>
      <c r="AL131" s="44">
        <v>-0.04</v>
      </c>
      <c r="AM131" s="44">
        <v>-0.04</v>
      </c>
      <c r="AN131"/>
      <c r="AO131" s="44">
        <v>-0.04</v>
      </c>
      <c r="AP131" s="44">
        <v>-0.04</v>
      </c>
      <c r="AQ131" s="44">
        <v>-0.04</v>
      </c>
      <c r="AR131" s="44">
        <v>-0.04</v>
      </c>
      <c r="AS131"/>
      <c r="AT131" s="44">
        <v>-0.04</v>
      </c>
      <c r="AU131"/>
      <c r="AV131"/>
      <c r="AW131" s="44">
        <v>-0.04</v>
      </c>
    </row>
    <row r="132" spans="1:49" x14ac:dyDescent="0.25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N132" s="44">
        <v>2.9</v>
      </c>
      <c r="O132" s="44"/>
      <c r="P132" s="44">
        <v>2.9</v>
      </c>
      <c r="Q132" s="44">
        <v>2.9</v>
      </c>
      <c r="R132" s="44">
        <v>2.9</v>
      </c>
      <c r="U132" s="44">
        <v>2.9</v>
      </c>
      <c r="V132" s="44">
        <v>2.9</v>
      </c>
      <c r="W132" s="44">
        <v>2.9</v>
      </c>
      <c r="X132" s="44">
        <v>2.9</v>
      </c>
      <c r="Y132" s="44">
        <v>2.9</v>
      </c>
      <c r="Z132" s="44">
        <v>2.9</v>
      </c>
      <c r="AA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/>
      <c r="AG132" s="44">
        <v>2.9</v>
      </c>
      <c r="AH132" s="44">
        <v>2.9</v>
      </c>
      <c r="AI132" s="44">
        <v>2.9</v>
      </c>
      <c r="AJ132" s="44">
        <v>2.9</v>
      </c>
      <c r="AK132" s="44">
        <v>2.9</v>
      </c>
      <c r="AL132" s="44">
        <v>2.9</v>
      </c>
      <c r="AM132" s="44">
        <v>2.9</v>
      </c>
      <c r="AN132"/>
      <c r="AO132" s="44">
        <v>2.9</v>
      </c>
      <c r="AP132" s="44">
        <v>2.9</v>
      </c>
      <c r="AQ132" s="44">
        <v>2.9</v>
      </c>
      <c r="AR132" s="44">
        <v>2.9</v>
      </c>
      <c r="AS132"/>
      <c r="AT132" s="44">
        <v>2.9</v>
      </c>
      <c r="AU132"/>
      <c r="AV132"/>
      <c r="AW132" s="44">
        <v>2.9</v>
      </c>
    </row>
    <row r="133" spans="1:49" x14ac:dyDescent="0.25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N133" s="44">
        <v>1</v>
      </c>
      <c r="O133" s="44"/>
      <c r="P133" s="44">
        <v>1</v>
      </c>
      <c r="Q133" s="44">
        <v>1</v>
      </c>
      <c r="R133" s="44">
        <v>1</v>
      </c>
      <c r="U133" s="44">
        <v>1</v>
      </c>
      <c r="V133" s="44">
        <v>1</v>
      </c>
      <c r="W133" s="44">
        <v>1</v>
      </c>
      <c r="X133" s="44">
        <v>1</v>
      </c>
      <c r="Y133" s="44">
        <v>1</v>
      </c>
      <c r="Z133" s="44">
        <v>1</v>
      </c>
      <c r="AA133" s="44">
        <v>1</v>
      </c>
      <c r="AB133" s="44">
        <v>1</v>
      </c>
      <c r="AC133" s="44">
        <v>1</v>
      </c>
      <c r="AD133" s="44">
        <v>1</v>
      </c>
      <c r="AE133" s="44">
        <v>1</v>
      </c>
      <c r="AF133"/>
      <c r="AG133" s="44">
        <v>1</v>
      </c>
      <c r="AH133" s="44">
        <v>1</v>
      </c>
      <c r="AI133" s="44">
        <v>1</v>
      </c>
      <c r="AJ133" s="44">
        <v>1</v>
      </c>
      <c r="AK133" s="44">
        <v>1</v>
      </c>
      <c r="AL133" s="44">
        <v>1</v>
      </c>
      <c r="AM133" s="44">
        <v>1</v>
      </c>
      <c r="AN133"/>
      <c r="AO133" s="44">
        <v>1</v>
      </c>
      <c r="AP133" s="44">
        <v>1</v>
      </c>
      <c r="AQ133" s="44">
        <v>1</v>
      </c>
      <c r="AR133" s="44">
        <v>1</v>
      </c>
      <c r="AS133"/>
      <c r="AT133" s="44">
        <v>1</v>
      </c>
      <c r="AU133"/>
      <c r="AV133"/>
      <c r="AW133" s="44">
        <v>1</v>
      </c>
    </row>
    <row r="134" spans="1:49" x14ac:dyDescent="0.25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N134" s="44">
        <v>1.9999999999999999E-7</v>
      </c>
      <c r="O134" s="44"/>
      <c r="P134" s="44">
        <v>1.9999999999999999E-7</v>
      </c>
      <c r="Q134" s="44">
        <v>1.9999999999999999E-7</v>
      </c>
      <c r="R134" s="44">
        <v>1.9999999999999999E-7</v>
      </c>
      <c r="U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/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 s="44">
        <v>1.9999999999999999E-7</v>
      </c>
      <c r="AM134" s="44">
        <v>1.9999999999999999E-7</v>
      </c>
      <c r="AN134"/>
      <c r="AO134" s="44">
        <v>1.9999999999999999E-7</v>
      </c>
      <c r="AP134" s="44">
        <v>1.9999999999999999E-7</v>
      </c>
      <c r="AQ134" s="44">
        <v>1.9999999999999999E-7</v>
      </c>
      <c r="AR134" s="44">
        <v>1.9999999999999999E-7</v>
      </c>
      <c r="AS134"/>
      <c r="AT134" s="44">
        <v>1.9999999999999999E-7</v>
      </c>
      <c r="AU134"/>
      <c r="AV134"/>
      <c r="AW134" s="44">
        <v>1.9999999999999999E-7</v>
      </c>
    </row>
    <row r="135" spans="1:49" x14ac:dyDescent="0.25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N135" s="55">
        <v>0</v>
      </c>
      <c r="O135" s="55"/>
      <c r="P135" s="44">
        <v>1.9999999999999999E-7</v>
      </c>
      <c r="Q135" s="44">
        <v>1.9999999999999999E-7</v>
      </c>
      <c r="R135" s="44">
        <v>1.9999999999999999E-7</v>
      </c>
      <c r="U135" s="44">
        <v>1.9999999999999999E-7</v>
      </c>
      <c r="V135" s="44">
        <v>1.9999999999999999E-7</v>
      </c>
      <c r="W135" s="44">
        <v>1.9999999999999999E-7</v>
      </c>
      <c r="X135" s="44">
        <v>1.9999999999999999E-7</v>
      </c>
      <c r="Y135" s="44">
        <v>1.9999999999999999E-7</v>
      </c>
      <c r="Z135" s="44">
        <v>1.9999999999999999E-7</v>
      </c>
      <c r="AA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/>
      <c r="AG135" s="44">
        <v>1.9999999999999999E-7</v>
      </c>
      <c r="AH135" s="44">
        <v>1.9999999999999999E-7</v>
      </c>
      <c r="AI135" s="44">
        <v>1.9999999999999999E-7</v>
      </c>
      <c r="AJ135" s="44">
        <v>1.9999999999999999E-7</v>
      </c>
      <c r="AK135" s="44">
        <v>1.9999999999999999E-7</v>
      </c>
      <c r="AL135" s="44">
        <v>1.9999999999999999E-7</v>
      </c>
      <c r="AM135" s="44">
        <v>1.9999999999999999E-7</v>
      </c>
      <c r="AN135"/>
      <c r="AO135" s="44">
        <v>1.9999999999999999E-7</v>
      </c>
      <c r="AP135" s="44">
        <v>1.9999999999999999E-7</v>
      </c>
      <c r="AQ135" s="44">
        <v>1.9999999999999999E-7</v>
      </c>
      <c r="AR135" s="44">
        <v>1.9999999999999999E-7</v>
      </c>
      <c r="AS135"/>
      <c r="AT135" s="44">
        <v>1.9999999999999999E-7</v>
      </c>
      <c r="AU135"/>
      <c r="AV135"/>
      <c r="AW135" s="44">
        <v>1.9999999999999999E-7</v>
      </c>
    </row>
    <row r="136" spans="1:49" x14ac:dyDescent="0.25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N136" s="44">
        <v>10</v>
      </c>
      <c r="O136" s="44"/>
      <c r="P136" s="44">
        <v>10</v>
      </c>
      <c r="Q136" s="44">
        <v>10</v>
      </c>
      <c r="R136" s="44">
        <v>10</v>
      </c>
      <c r="U136" s="44">
        <v>10</v>
      </c>
      <c r="V136" s="44">
        <v>10</v>
      </c>
      <c r="W136" s="44">
        <v>10</v>
      </c>
      <c r="X136" s="44">
        <v>10</v>
      </c>
      <c r="Y136" s="44">
        <v>10</v>
      </c>
      <c r="Z136" s="44">
        <v>10</v>
      </c>
      <c r="AA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/>
      <c r="AG136" s="44">
        <v>10</v>
      </c>
      <c r="AH136" s="44">
        <v>10</v>
      </c>
      <c r="AI136" s="44">
        <v>10</v>
      </c>
      <c r="AJ136" s="44">
        <v>10</v>
      </c>
      <c r="AK136" s="44">
        <v>10</v>
      </c>
      <c r="AL136" s="44">
        <v>10</v>
      </c>
      <c r="AM136" s="44">
        <v>10</v>
      </c>
      <c r="AN136"/>
      <c r="AO136" s="44">
        <v>10</v>
      </c>
      <c r="AP136" s="44">
        <v>10</v>
      </c>
      <c r="AQ136" s="44">
        <v>10</v>
      </c>
      <c r="AR136" s="44">
        <v>10</v>
      </c>
      <c r="AS136"/>
      <c r="AT136" s="44">
        <v>10</v>
      </c>
      <c r="AU136"/>
      <c r="AV136"/>
      <c r="AW136" s="44">
        <v>10</v>
      </c>
    </row>
    <row r="137" spans="1:49" x14ac:dyDescent="0.25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N137" s="44">
        <v>-0.04</v>
      </c>
      <c r="O137" s="44"/>
      <c r="P137" s="44">
        <v>-0.04</v>
      </c>
      <c r="Q137" s="44">
        <v>-0.04</v>
      </c>
      <c r="R137" s="44">
        <v>-0.04</v>
      </c>
      <c r="U137" s="44">
        <v>-0.04</v>
      </c>
      <c r="V137" s="44">
        <v>-0.04</v>
      </c>
      <c r="W137" s="44">
        <v>-0.04</v>
      </c>
      <c r="X137" s="44">
        <v>-0.04</v>
      </c>
      <c r="Y137" s="44">
        <v>-0.04</v>
      </c>
      <c r="Z137" s="44">
        <v>-0.04</v>
      </c>
      <c r="AA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/>
      <c r="AG137" s="44">
        <v>-0.04</v>
      </c>
      <c r="AH137" s="44">
        <v>-0.04</v>
      </c>
      <c r="AI137" s="44">
        <v>-0.04</v>
      </c>
      <c r="AJ137" s="44">
        <v>-0.04</v>
      </c>
      <c r="AK137" s="44">
        <v>-0.04</v>
      </c>
      <c r="AL137" s="44">
        <v>-0.04</v>
      </c>
      <c r="AM137" s="44">
        <v>-0.04</v>
      </c>
      <c r="AN137"/>
      <c r="AO137" s="44">
        <v>-0.04</v>
      </c>
      <c r="AP137" s="44">
        <v>-0.04</v>
      </c>
      <c r="AQ137" s="44">
        <v>-0.04</v>
      </c>
      <c r="AR137" s="44">
        <v>-0.04</v>
      </c>
      <c r="AS137"/>
      <c r="AT137" s="44">
        <v>-0.04</v>
      </c>
      <c r="AU137"/>
      <c r="AV137"/>
      <c r="AW137" s="44">
        <v>-0.04</v>
      </c>
    </row>
    <row r="138" spans="1:49" x14ac:dyDescent="0.25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N138" s="44">
        <v>2.9</v>
      </c>
      <c r="O138" s="44"/>
      <c r="P138" s="44">
        <v>2.9</v>
      </c>
      <c r="Q138" s="44">
        <v>2.9</v>
      </c>
      <c r="R138" s="44">
        <v>2.9</v>
      </c>
      <c r="U138" s="44">
        <v>2.9</v>
      </c>
      <c r="V138" s="44">
        <v>2.9</v>
      </c>
      <c r="W138" s="44">
        <v>2.9</v>
      </c>
      <c r="X138" s="44">
        <v>2.9</v>
      </c>
      <c r="Y138" s="44">
        <v>2.9</v>
      </c>
      <c r="Z138" s="44">
        <v>2.9</v>
      </c>
      <c r="AA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/>
      <c r="AG138" s="44">
        <v>2.9</v>
      </c>
      <c r="AH138" s="44">
        <v>2.9</v>
      </c>
      <c r="AI138" s="44">
        <v>2.9</v>
      </c>
      <c r="AJ138" s="44">
        <v>2.9</v>
      </c>
      <c r="AK138" s="44">
        <v>2.9</v>
      </c>
      <c r="AL138" s="44">
        <v>2.9</v>
      </c>
      <c r="AM138" s="44">
        <v>2.9</v>
      </c>
      <c r="AN138"/>
      <c r="AO138" s="44">
        <v>2.9</v>
      </c>
      <c r="AP138" s="44">
        <v>2.9</v>
      </c>
      <c r="AQ138" s="44">
        <v>2.9</v>
      </c>
      <c r="AR138" s="44">
        <v>2.9</v>
      </c>
      <c r="AS138"/>
      <c r="AT138" s="44">
        <v>2.9</v>
      </c>
      <c r="AU138"/>
      <c r="AV138"/>
      <c r="AW138" s="44">
        <v>2.9</v>
      </c>
    </row>
    <row r="139" spans="1:49" x14ac:dyDescent="0.25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N139" s="44">
        <v>1</v>
      </c>
      <c r="O139" s="44"/>
      <c r="P139" s="44">
        <v>1</v>
      </c>
      <c r="Q139" s="44">
        <v>1</v>
      </c>
      <c r="R139" s="44">
        <v>1</v>
      </c>
      <c r="U139" s="44">
        <v>1</v>
      </c>
      <c r="V139" s="44">
        <v>1</v>
      </c>
      <c r="W139" s="44">
        <v>1</v>
      </c>
      <c r="X139" s="44">
        <v>1</v>
      </c>
      <c r="Y139" s="44">
        <v>1</v>
      </c>
      <c r="Z139" s="44">
        <v>1</v>
      </c>
      <c r="AA139" s="44">
        <v>1</v>
      </c>
      <c r="AB139" s="44">
        <v>1</v>
      </c>
      <c r="AC139" s="44">
        <v>1</v>
      </c>
      <c r="AD139" s="44">
        <v>1</v>
      </c>
      <c r="AE139" s="44">
        <v>1</v>
      </c>
      <c r="AF139"/>
      <c r="AG139" s="44">
        <v>1</v>
      </c>
      <c r="AH139" s="44">
        <v>1</v>
      </c>
      <c r="AI139" s="44">
        <v>1</v>
      </c>
      <c r="AJ139" s="44">
        <v>1</v>
      </c>
      <c r="AK139" s="44">
        <v>1</v>
      </c>
      <c r="AL139" s="44">
        <v>1</v>
      </c>
      <c r="AM139" s="44">
        <v>1</v>
      </c>
      <c r="AN139"/>
      <c r="AO139" s="44">
        <v>1</v>
      </c>
      <c r="AP139" s="44">
        <v>1</v>
      </c>
      <c r="AQ139" s="44">
        <v>1</v>
      </c>
      <c r="AR139" s="44">
        <v>1</v>
      </c>
      <c r="AS139"/>
      <c r="AT139" s="44">
        <v>1</v>
      </c>
      <c r="AU139"/>
      <c r="AV139"/>
      <c r="AW139" s="44">
        <v>1</v>
      </c>
    </row>
    <row r="140" spans="1:49" x14ac:dyDescent="0.25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N140" s="44">
        <v>0</v>
      </c>
      <c r="O140" s="44"/>
      <c r="P140" s="44">
        <v>0</v>
      </c>
      <c r="Q140" s="44">
        <v>0</v>
      </c>
      <c r="R140" s="44">
        <v>0</v>
      </c>
      <c r="U140" s="44">
        <v>0</v>
      </c>
      <c r="V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/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 s="44">
        <v>0</v>
      </c>
      <c r="AM140" s="44">
        <v>0</v>
      </c>
      <c r="AN140"/>
      <c r="AO140" s="44">
        <v>0</v>
      </c>
      <c r="AP140" s="44">
        <v>0</v>
      </c>
      <c r="AQ140" s="44">
        <v>0</v>
      </c>
      <c r="AR140" s="44">
        <v>0</v>
      </c>
      <c r="AS140"/>
      <c r="AT140" s="44">
        <v>0</v>
      </c>
      <c r="AU140"/>
      <c r="AV140"/>
      <c r="AW140" s="44">
        <v>0</v>
      </c>
    </row>
    <row r="141" spans="1:49" x14ac:dyDescent="0.25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N141" s="44">
        <v>5.0000000000000004E-6</v>
      </c>
      <c r="O141" s="44"/>
      <c r="P141" s="44">
        <v>5.0000000000000004E-6</v>
      </c>
      <c r="Q141" s="44">
        <v>5.0000000000000004E-6</v>
      </c>
      <c r="R141" s="44">
        <v>5.0000000000000004E-6</v>
      </c>
      <c r="U141" s="44">
        <v>5.0000000000000004E-6</v>
      </c>
      <c r="V141" s="44">
        <v>5.0000000000000004E-6</v>
      </c>
      <c r="W141" s="44">
        <v>5.0000000000000004E-6</v>
      </c>
      <c r="X141" s="44">
        <v>5.0000000000000004E-6</v>
      </c>
      <c r="Y141" s="44">
        <v>5.0000000000000004E-6</v>
      </c>
      <c r="Z141" s="44">
        <v>5.0000000000000004E-6</v>
      </c>
      <c r="AA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/>
      <c r="AG141" s="44">
        <v>5.0000000000000004E-6</v>
      </c>
      <c r="AH141" s="44">
        <v>5.0000000000000004E-6</v>
      </c>
      <c r="AI141" s="44">
        <v>5.0000000000000004E-6</v>
      </c>
      <c r="AJ141" s="44">
        <v>5.0000000000000004E-6</v>
      </c>
      <c r="AK141" s="44">
        <v>5.0000000000000004E-6</v>
      </c>
      <c r="AL141" s="44">
        <v>5.0000000000000004E-6</v>
      </c>
      <c r="AM141" s="44">
        <v>5.0000000000000004E-6</v>
      </c>
      <c r="AN141"/>
      <c r="AO141" s="44">
        <v>5.0000000000000004E-6</v>
      </c>
      <c r="AP141" s="44">
        <v>5.0000000000000004E-6</v>
      </c>
      <c r="AQ141" s="44">
        <v>5.0000000000000004E-6</v>
      </c>
      <c r="AR141" s="44">
        <v>5.0000000000000004E-6</v>
      </c>
      <c r="AS141"/>
      <c r="AT141" s="44">
        <v>5.0000000000000004E-6</v>
      </c>
      <c r="AU141"/>
      <c r="AV141"/>
      <c r="AW141" s="44">
        <v>5.0000000000000004E-6</v>
      </c>
    </row>
    <row r="142" spans="1:49" x14ac:dyDescent="0.25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N142" s="44">
        <v>0</v>
      </c>
      <c r="O142" s="44"/>
      <c r="P142" s="44">
        <v>0</v>
      </c>
      <c r="Q142" s="44">
        <v>0</v>
      </c>
      <c r="R142" s="44">
        <v>0</v>
      </c>
      <c r="U142" s="44">
        <v>0</v>
      </c>
      <c r="V142" s="44">
        <v>0</v>
      </c>
      <c r="W142" s="44">
        <v>0</v>
      </c>
      <c r="X142" s="44">
        <v>0</v>
      </c>
      <c r="Y142" s="44">
        <v>0</v>
      </c>
      <c r="Z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/>
      <c r="AG142" s="44">
        <v>0</v>
      </c>
      <c r="AH142" s="44">
        <v>0</v>
      </c>
      <c r="AI142" s="44">
        <v>0</v>
      </c>
      <c r="AJ142" s="44">
        <v>0</v>
      </c>
      <c r="AK142" s="44">
        <v>0</v>
      </c>
      <c r="AL142" s="44">
        <v>0</v>
      </c>
      <c r="AM142" s="44">
        <v>0</v>
      </c>
      <c r="AN142"/>
      <c r="AO142" s="44">
        <v>0</v>
      </c>
      <c r="AP142" s="44">
        <v>0</v>
      </c>
      <c r="AQ142" s="44">
        <v>0</v>
      </c>
      <c r="AR142" s="44">
        <v>0</v>
      </c>
      <c r="AS142"/>
      <c r="AT142" s="44">
        <v>0</v>
      </c>
      <c r="AU142"/>
      <c r="AV142"/>
      <c r="AW142" s="44">
        <v>0</v>
      </c>
    </row>
    <row r="143" spans="1:49" x14ac:dyDescent="0.25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N143" s="44">
        <v>2E-3</v>
      </c>
      <c r="O143" s="44"/>
      <c r="P143" s="44">
        <v>2E-3</v>
      </c>
      <c r="Q143" s="44">
        <v>2E-3</v>
      </c>
      <c r="R143" s="44">
        <v>2E-3</v>
      </c>
      <c r="U143" s="44">
        <v>2E-3</v>
      </c>
      <c r="V143" s="44">
        <v>2E-3</v>
      </c>
      <c r="W143" s="44">
        <v>2E-3</v>
      </c>
      <c r="X143" s="44">
        <v>2E-3</v>
      </c>
      <c r="Y143" s="44">
        <v>2E-3</v>
      </c>
      <c r="Z143" s="44">
        <v>2E-3</v>
      </c>
      <c r="AA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/>
      <c r="AG143" s="44">
        <v>2E-3</v>
      </c>
      <c r="AH143" s="44">
        <v>2E-3</v>
      </c>
      <c r="AI143" s="44">
        <v>2E-3</v>
      </c>
      <c r="AJ143" s="44">
        <v>2E-3</v>
      </c>
      <c r="AK143" s="44">
        <v>2E-3</v>
      </c>
      <c r="AL143" s="44">
        <v>2E-3</v>
      </c>
      <c r="AM143" s="44">
        <v>2E-3</v>
      </c>
      <c r="AN143"/>
      <c r="AO143" s="44">
        <v>2E-3</v>
      </c>
      <c r="AP143" s="44">
        <v>2E-3</v>
      </c>
      <c r="AQ143" s="44">
        <v>2E-3</v>
      </c>
      <c r="AR143" s="44">
        <v>2E-3</v>
      </c>
      <c r="AS143"/>
      <c r="AT143" s="44">
        <v>2E-3</v>
      </c>
      <c r="AU143"/>
      <c r="AV143"/>
      <c r="AW143" s="44">
        <v>2E-3</v>
      </c>
    </row>
    <row r="144" spans="1:49" x14ac:dyDescent="0.25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N144" s="44">
        <v>3.9999999999999998E-6</v>
      </c>
      <c r="O144" s="44"/>
      <c r="P144" s="44">
        <v>3.9999999999999998E-6</v>
      </c>
      <c r="Q144" s="44">
        <v>3.9999999999999998E-6</v>
      </c>
      <c r="R144" s="44">
        <v>3.9999999999999998E-6</v>
      </c>
      <c r="U144" s="44">
        <v>3.9999999999999998E-6</v>
      </c>
      <c r="V144" s="44">
        <v>3.9999999999999998E-6</v>
      </c>
      <c r="W144" s="44">
        <v>3.9999999999999998E-6</v>
      </c>
      <c r="X144" s="44">
        <v>3.9999999999999998E-6</v>
      </c>
      <c r="Y144" s="44">
        <v>3.9999999999999998E-6</v>
      </c>
      <c r="Z144" s="44">
        <v>3.9999999999999998E-6</v>
      </c>
      <c r="AA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/>
      <c r="AG144" s="44">
        <v>3.9999999999999998E-6</v>
      </c>
      <c r="AH144" s="44">
        <v>3.9999999999999998E-6</v>
      </c>
      <c r="AI144" s="44">
        <v>3.9999999999999998E-6</v>
      </c>
      <c r="AJ144" s="44">
        <v>3.9999999999999998E-6</v>
      </c>
      <c r="AK144" s="44">
        <v>3.9999999999999998E-6</v>
      </c>
      <c r="AL144" s="44">
        <v>3.9999999999999998E-6</v>
      </c>
      <c r="AM144" s="44">
        <v>3.9999999999999998E-6</v>
      </c>
      <c r="AN144"/>
      <c r="AO144" s="44">
        <v>3.9999999999999998E-6</v>
      </c>
      <c r="AP144" s="44">
        <v>3.9999999999999998E-6</v>
      </c>
      <c r="AQ144" s="44">
        <v>3.9999999999999998E-6</v>
      </c>
      <c r="AR144" s="44">
        <v>3.9999999999999998E-6</v>
      </c>
      <c r="AS144"/>
      <c r="AT144" s="44">
        <v>3.9999999999999998E-6</v>
      </c>
      <c r="AU144"/>
      <c r="AV144"/>
      <c r="AW144" s="44">
        <v>3.9999999999999998E-6</v>
      </c>
    </row>
    <row r="145" spans="1:49" x14ac:dyDescent="0.25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N145" s="44">
        <v>3.7699999999999999E-10</v>
      </c>
      <c r="O145" s="44"/>
      <c r="P145" s="44">
        <v>3.7699999999999999E-10</v>
      </c>
      <c r="Q145" s="44">
        <v>3.7699999999999999E-10</v>
      </c>
      <c r="R145" s="44">
        <v>3.7699999999999999E-10</v>
      </c>
      <c r="U145" s="44">
        <v>3.7699999999999999E-10</v>
      </c>
      <c r="V145" s="44">
        <v>3.7699999999999999E-10</v>
      </c>
      <c r="W145" s="44">
        <v>3.7699999999999999E-10</v>
      </c>
      <c r="X145" s="44">
        <v>3.7699999999999999E-10</v>
      </c>
      <c r="Y145" s="44">
        <v>3.7699999999999999E-10</v>
      </c>
      <c r="Z145" s="44">
        <v>3.7699999999999999E-10</v>
      </c>
      <c r="AA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/>
      <c r="AG145" s="44">
        <v>3.7699999999999999E-10</v>
      </c>
      <c r="AH145" s="44">
        <v>3.7699999999999999E-10</v>
      </c>
      <c r="AI145" s="44">
        <v>3.7699999999999999E-10</v>
      </c>
      <c r="AJ145" s="44">
        <v>3.7699999999999999E-10</v>
      </c>
      <c r="AK145" s="44">
        <v>3.7699999999999999E-10</v>
      </c>
      <c r="AL145" s="44">
        <v>3.7699999999999999E-10</v>
      </c>
      <c r="AM145" s="44">
        <v>3.7699999999999999E-10</v>
      </c>
      <c r="AN145"/>
      <c r="AO145" s="44">
        <v>3.7699999999999999E-10</v>
      </c>
      <c r="AP145" s="44">
        <v>3.7699999999999999E-10</v>
      </c>
      <c r="AQ145" s="44">
        <v>3.7699999999999999E-10</v>
      </c>
      <c r="AR145" s="44">
        <v>3.7699999999999999E-10</v>
      </c>
      <c r="AS145"/>
      <c r="AT145" s="44">
        <v>3.7699999999999999E-10</v>
      </c>
      <c r="AU145"/>
      <c r="AV145"/>
      <c r="AW145" s="44">
        <v>3.7699999999999999E-10</v>
      </c>
    </row>
    <row r="146" spans="1:49" x14ac:dyDescent="0.25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N146" s="44">
        <v>20</v>
      </c>
      <c r="O146" s="44"/>
      <c r="P146" s="44">
        <v>20</v>
      </c>
      <c r="Q146" s="44">
        <v>20</v>
      </c>
      <c r="R146" s="44">
        <v>20</v>
      </c>
      <c r="U146" s="44">
        <v>20</v>
      </c>
      <c r="V146" s="44">
        <v>20</v>
      </c>
      <c r="W146" s="44">
        <v>20</v>
      </c>
      <c r="X146" s="44">
        <v>20</v>
      </c>
      <c r="Y146" s="44">
        <v>20</v>
      </c>
      <c r="Z146" s="44">
        <v>20</v>
      </c>
      <c r="AA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/>
      <c r="AG146" s="44">
        <v>20</v>
      </c>
      <c r="AH146" s="44">
        <v>20</v>
      </c>
      <c r="AI146" s="44">
        <v>20</v>
      </c>
      <c r="AJ146" s="44">
        <v>20</v>
      </c>
      <c r="AK146" s="44">
        <v>20</v>
      </c>
      <c r="AL146" s="44">
        <v>20</v>
      </c>
      <c r="AM146" s="44">
        <v>20</v>
      </c>
      <c r="AN146"/>
      <c r="AO146" s="44">
        <v>20</v>
      </c>
      <c r="AP146" s="44">
        <v>20</v>
      </c>
      <c r="AQ146" s="44">
        <v>20</v>
      </c>
      <c r="AR146" s="44">
        <v>20</v>
      </c>
      <c r="AS146"/>
      <c r="AT146" s="44">
        <v>20</v>
      </c>
      <c r="AU146"/>
      <c r="AV146"/>
      <c r="AW146" s="44">
        <v>20</v>
      </c>
    </row>
    <row r="147" spans="1:49" x14ac:dyDescent="0.25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N147" s="44">
        <v>-0.06</v>
      </c>
      <c r="O147" s="44"/>
      <c r="P147" s="44">
        <v>-0.06</v>
      </c>
      <c r="Q147" s="44">
        <v>-0.06</v>
      </c>
      <c r="R147" s="44">
        <v>-0.06</v>
      </c>
      <c r="U147" s="44">
        <v>-0.06</v>
      </c>
      <c r="V147" s="44">
        <v>-0.06</v>
      </c>
      <c r="W147" s="44">
        <v>-0.06</v>
      </c>
      <c r="X147" s="44">
        <v>-0.06</v>
      </c>
      <c r="Y147" s="44">
        <v>-0.06</v>
      </c>
      <c r="Z147" s="44">
        <v>-0.06</v>
      </c>
      <c r="AA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/>
      <c r="AG147" s="44">
        <v>-0.06</v>
      </c>
      <c r="AH147" s="44">
        <v>-0.06</v>
      </c>
      <c r="AI147" s="44">
        <v>-0.06</v>
      </c>
      <c r="AJ147" s="44">
        <v>-0.06</v>
      </c>
      <c r="AK147" s="44">
        <v>-0.06</v>
      </c>
      <c r="AL147" s="44">
        <v>-0.06</v>
      </c>
      <c r="AM147" s="44">
        <v>-0.06</v>
      </c>
      <c r="AN147"/>
      <c r="AO147" s="44">
        <v>-0.06</v>
      </c>
      <c r="AP147" s="44">
        <v>-0.06</v>
      </c>
      <c r="AQ147" s="44">
        <v>-0.06</v>
      </c>
      <c r="AR147" s="44">
        <v>-0.06</v>
      </c>
      <c r="AS147"/>
      <c r="AT147" s="44">
        <v>-0.06</v>
      </c>
      <c r="AU147"/>
      <c r="AV147"/>
      <c r="AW147" s="44">
        <v>-0.06</v>
      </c>
    </row>
    <row r="148" spans="1:49" x14ac:dyDescent="0.25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N148" s="44">
        <v>0.89100000000000001</v>
      </c>
      <c r="O148" s="44"/>
      <c r="P148" s="44">
        <v>0.89100000000000001</v>
      </c>
      <c r="Q148" s="44">
        <v>0.89100000000000001</v>
      </c>
      <c r="R148" s="44">
        <v>0.89100000000000001</v>
      </c>
      <c r="U148" s="44">
        <v>0.89100000000000001</v>
      </c>
      <c r="V148" s="44">
        <v>0.89100000000000001</v>
      </c>
      <c r="W148" s="44">
        <v>0.89100000000000001</v>
      </c>
      <c r="X148" s="44">
        <v>0.89100000000000001</v>
      </c>
      <c r="Y148" s="44">
        <v>0.89100000000000001</v>
      </c>
      <c r="Z148" s="44">
        <v>0.89100000000000001</v>
      </c>
      <c r="AA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/>
      <c r="AG148" s="44">
        <v>0.89100000000000001</v>
      </c>
      <c r="AH148" s="44">
        <v>0.89100000000000001</v>
      </c>
      <c r="AI148" s="44">
        <v>0.89100000000000001</v>
      </c>
      <c r="AJ148" s="44">
        <v>0.89100000000000001</v>
      </c>
      <c r="AK148" s="44">
        <v>0.89100000000000001</v>
      </c>
      <c r="AL148" s="44">
        <v>0.89100000000000001</v>
      </c>
      <c r="AM148" s="44">
        <v>0.89100000000000001</v>
      </c>
      <c r="AN148"/>
      <c r="AO148" s="44">
        <v>0.89100000000000001</v>
      </c>
      <c r="AP148" s="44">
        <v>0.89100000000000001</v>
      </c>
      <c r="AQ148" s="44">
        <v>0.89100000000000001</v>
      </c>
      <c r="AR148" s="44">
        <v>0.89100000000000001</v>
      </c>
      <c r="AS148"/>
      <c r="AT148" s="44">
        <v>0.89100000000000001</v>
      </c>
      <c r="AU148"/>
      <c r="AV148"/>
      <c r="AW148" s="44">
        <v>0.89100000000000001</v>
      </c>
    </row>
    <row r="149" spans="1:49" x14ac:dyDescent="0.25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N149" s="44">
        <v>1</v>
      </c>
      <c r="O149" s="44"/>
      <c r="P149" s="44">
        <v>1</v>
      </c>
      <c r="Q149" s="44">
        <v>1</v>
      </c>
      <c r="R149" s="44">
        <v>1</v>
      </c>
      <c r="U149" s="44">
        <v>1</v>
      </c>
      <c r="V149" s="44">
        <v>1</v>
      </c>
      <c r="W149" s="44">
        <v>1</v>
      </c>
      <c r="X149" s="44">
        <v>1</v>
      </c>
      <c r="Y149" s="44">
        <v>1</v>
      </c>
      <c r="Z149" s="44">
        <v>1</v>
      </c>
      <c r="AA149" s="44">
        <v>1</v>
      </c>
      <c r="AB149" s="44">
        <v>1</v>
      </c>
      <c r="AC149" s="44">
        <v>1</v>
      </c>
      <c r="AD149" s="44">
        <v>1</v>
      </c>
      <c r="AE149" s="44">
        <v>1</v>
      </c>
      <c r="AF149"/>
      <c r="AG149" s="44">
        <v>1</v>
      </c>
      <c r="AH149" s="44">
        <v>1</v>
      </c>
      <c r="AI149" s="44">
        <v>1</v>
      </c>
      <c r="AJ149" s="44">
        <v>1</v>
      </c>
      <c r="AK149" s="44">
        <v>1</v>
      </c>
      <c r="AL149" s="44">
        <v>1</v>
      </c>
      <c r="AM149" s="44">
        <v>1</v>
      </c>
      <c r="AN149"/>
      <c r="AO149" s="44">
        <v>1</v>
      </c>
      <c r="AP149" s="44">
        <v>1</v>
      </c>
      <c r="AQ149" s="44">
        <v>1</v>
      </c>
      <c r="AR149" s="44">
        <v>1</v>
      </c>
      <c r="AS149"/>
      <c r="AT149" s="44">
        <v>1</v>
      </c>
      <c r="AU149"/>
      <c r="AV149"/>
      <c r="AW149" s="44">
        <v>1</v>
      </c>
    </row>
    <row r="150" spans="1:49" x14ac:dyDescent="0.25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N150" s="44">
        <v>4.0000000000000003E-5</v>
      </c>
      <c r="O150" s="44"/>
      <c r="P150" s="44">
        <v>4.0000000000000003E-5</v>
      </c>
      <c r="Q150" s="44">
        <v>4.0000000000000003E-5</v>
      </c>
      <c r="R150" s="44">
        <v>4.0000000000000003E-5</v>
      </c>
      <c r="U150" s="44">
        <v>4.0000000000000003E-5</v>
      </c>
      <c r="V150" s="44">
        <v>4.0000000000000003E-5</v>
      </c>
      <c r="W150" s="44">
        <v>4.0000000000000003E-5</v>
      </c>
      <c r="X150" s="44">
        <v>4.0000000000000003E-5</v>
      </c>
      <c r="Y150" s="44">
        <v>4.0000000000000003E-5</v>
      </c>
      <c r="Z150" s="44">
        <v>4.0000000000000003E-5</v>
      </c>
      <c r="AA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/>
      <c r="AG150" s="44">
        <v>4.0000000000000003E-5</v>
      </c>
      <c r="AH150" s="44">
        <v>4.0000000000000003E-5</v>
      </c>
      <c r="AI150" s="44">
        <v>4.0000000000000003E-5</v>
      </c>
      <c r="AJ150" s="44">
        <v>4.0000000000000003E-5</v>
      </c>
      <c r="AK150" s="44">
        <v>4.0000000000000003E-5</v>
      </c>
      <c r="AL150" s="44">
        <v>4.0000000000000003E-5</v>
      </c>
      <c r="AM150" s="44">
        <v>4.0000000000000003E-5</v>
      </c>
      <c r="AN150"/>
      <c r="AO150" s="44">
        <v>4.0000000000000003E-5</v>
      </c>
      <c r="AP150" s="44">
        <v>4.0000000000000003E-5</v>
      </c>
      <c r="AQ150" s="44">
        <v>4.0000000000000003E-5</v>
      </c>
      <c r="AR150" s="44">
        <v>4.0000000000000003E-5</v>
      </c>
      <c r="AS150"/>
      <c r="AT150" s="44">
        <v>4.0000000000000003E-5</v>
      </c>
      <c r="AU150"/>
      <c r="AV150"/>
      <c r="AW150" s="44">
        <v>4.0000000000000003E-5</v>
      </c>
    </row>
    <row r="151" spans="1:49" x14ac:dyDescent="0.25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N151" s="44">
        <v>5.8333333333333335E-9</v>
      </c>
      <c r="O151" s="44"/>
      <c r="P151" s="44">
        <v>5.8333333333333335E-9</v>
      </c>
      <c r="Q151" s="44">
        <v>5.8333333333333335E-9</v>
      </c>
      <c r="R151" s="44">
        <v>5.8333333333333335E-9</v>
      </c>
      <c r="U151" s="44">
        <v>5.8333333333333335E-9</v>
      </c>
      <c r="V151" s="44">
        <v>5.8333333333333335E-9</v>
      </c>
      <c r="W151" s="44">
        <v>5.8333333333333335E-9</v>
      </c>
      <c r="X151" s="44">
        <v>5.8333333333333335E-9</v>
      </c>
      <c r="Y151" s="44">
        <v>5.8333333333333335E-9</v>
      </c>
      <c r="Z151" s="44">
        <v>5.8333333333333335E-9</v>
      </c>
      <c r="AA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/>
      <c r="AG151" s="44">
        <v>5.8333333333333335E-9</v>
      </c>
      <c r="AH151" s="44">
        <v>5.8333333333333335E-9</v>
      </c>
      <c r="AI151" s="44">
        <v>5.8333333333333335E-9</v>
      </c>
      <c r="AJ151" s="44">
        <v>5.8333333333333335E-9</v>
      </c>
      <c r="AK151" s="44">
        <v>5.8333333333333335E-9</v>
      </c>
      <c r="AL151" s="44">
        <v>5.8333333333333335E-9</v>
      </c>
      <c r="AM151" s="44">
        <v>5.8333333333333335E-9</v>
      </c>
      <c r="AN151"/>
      <c r="AO151" s="44">
        <v>5.8333333333333335E-9</v>
      </c>
      <c r="AP151" s="44">
        <v>5.8333333333333335E-9</v>
      </c>
      <c r="AQ151" s="44">
        <v>5.8333333333333335E-9</v>
      </c>
      <c r="AR151" s="44">
        <v>5.8333333333333335E-9</v>
      </c>
      <c r="AS151"/>
      <c r="AT151" s="44">
        <v>5.8333333333333335E-9</v>
      </c>
      <c r="AU151"/>
      <c r="AV151"/>
      <c r="AW151" s="44">
        <v>5.8333333333333335E-9</v>
      </c>
    </row>
    <row r="152" spans="1:49" x14ac:dyDescent="0.25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N152" s="44">
        <v>20</v>
      </c>
      <c r="O152" s="44"/>
      <c r="P152" s="44">
        <v>20</v>
      </c>
      <c r="Q152" s="44">
        <v>20</v>
      </c>
      <c r="R152" s="44">
        <v>20</v>
      </c>
      <c r="U152" s="44">
        <v>20</v>
      </c>
      <c r="V152" s="44">
        <v>20</v>
      </c>
      <c r="W152" s="44">
        <v>20</v>
      </c>
      <c r="X152" s="44">
        <v>20</v>
      </c>
      <c r="Y152" s="44">
        <v>20</v>
      </c>
      <c r="Z152" s="44">
        <v>20</v>
      </c>
      <c r="AA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/>
      <c r="AG152" s="44">
        <v>20</v>
      </c>
      <c r="AH152" s="44">
        <v>20</v>
      </c>
      <c r="AI152" s="44">
        <v>20</v>
      </c>
      <c r="AJ152" s="44">
        <v>20</v>
      </c>
      <c r="AK152" s="44">
        <v>20</v>
      </c>
      <c r="AL152" s="44">
        <v>20</v>
      </c>
      <c r="AM152" s="44">
        <v>20</v>
      </c>
      <c r="AN152"/>
      <c r="AO152" s="44">
        <v>20</v>
      </c>
      <c r="AP152" s="44">
        <v>20</v>
      </c>
      <c r="AQ152" s="44">
        <v>20</v>
      </c>
      <c r="AR152" s="44">
        <v>20</v>
      </c>
      <c r="AS152"/>
      <c r="AT152" s="44">
        <v>20</v>
      </c>
      <c r="AU152"/>
      <c r="AV152"/>
      <c r="AW152" s="44">
        <v>20</v>
      </c>
    </row>
    <row r="153" spans="1:49" x14ac:dyDescent="0.25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N153" s="44">
        <v>-0.06</v>
      </c>
      <c r="O153" s="44"/>
      <c r="P153" s="44">
        <v>-0.06</v>
      </c>
      <c r="Q153" s="44">
        <v>-0.06</v>
      </c>
      <c r="R153" s="44">
        <v>-0.06</v>
      </c>
      <c r="U153" s="44">
        <v>-0.06</v>
      </c>
      <c r="V153" s="44">
        <v>-0.06</v>
      </c>
      <c r="W153" s="44">
        <v>-0.06</v>
      </c>
      <c r="X153" s="44">
        <v>-0.06</v>
      </c>
      <c r="Y153" s="44">
        <v>-0.06</v>
      </c>
      <c r="Z153" s="44">
        <v>-0.06</v>
      </c>
      <c r="AA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/>
      <c r="AG153" s="44">
        <v>-0.06</v>
      </c>
      <c r="AH153" s="44">
        <v>-0.06</v>
      </c>
      <c r="AI153" s="44">
        <v>-0.06</v>
      </c>
      <c r="AJ153" s="44">
        <v>-0.06</v>
      </c>
      <c r="AK153" s="44">
        <v>-0.06</v>
      </c>
      <c r="AL153" s="44">
        <v>-0.06</v>
      </c>
      <c r="AM153" s="44">
        <v>-0.06</v>
      </c>
      <c r="AN153"/>
      <c r="AO153" s="44">
        <v>-0.06</v>
      </c>
      <c r="AP153" s="44">
        <v>-0.06</v>
      </c>
      <c r="AQ153" s="44">
        <v>-0.06</v>
      </c>
      <c r="AR153" s="44">
        <v>-0.06</v>
      </c>
      <c r="AS153"/>
      <c r="AT153" s="44">
        <v>-0.06</v>
      </c>
      <c r="AU153"/>
      <c r="AV153"/>
      <c r="AW153" s="44">
        <v>-0.06</v>
      </c>
    </row>
    <row r="154" spans="1:49" x14ac:dyDescent="0.25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N154" s="44">
        <v>0.89100000000000001</v>
      </c>
      <c r="O154" s="44"/>
      <c r="P154" s="44">
        <v>0.89100000000000001</v>
      </c>
      <c r="Q154" s="44">
        <v>0.89100000000000001</v>
      </c>
      <c r="R154" s="44">
        <v>0.89100000000000001</v>
      </c>
      <c r="U154" s="44">
        <v>0.89100000000000001</v>
      </c>
      <c r="V154" s="44">
        <v>0.89100000000000001</v>
      </c>
      <c r="W154" s="44">
        <v>0.89100000000000001</v>
      </c>
      <c r="X154" s="44">
        <v>0.89100000000000001</v>
      </c>
      <c r="Y154" s="44">
        <v>0.89100000000000001</v>
      </c>
      <c r="Z154" s="44">
        <v>0.89100000000000001</v>
      </c>
      <c r="AA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/>
      <c r="AG154" s="44">
        <v>0.89100000000000001</v>
      </c>
      <c r="AH154" s="44">
        <v>0.89100000000000001</v>
      </c>
      <c r="AI154" s="44">
        <v>0.89100000000000001</v>
      </c>
      <c r="AJ154" s="44">
        <v>0.89100000000000001</v>
      </c>
      <c r="AK154" s="44">
        <v>0.89100000000000001</v>
      </c>
      <c r="AL154" s="44">
        <v>0.89100000000000001</v>
      </c>
      <c r="AM154" s="44">
        <v>0.89100000000000001</v>
      </c>
      <c r="AN154"/>
      <c r="AO154" s="44">
        <v>0.89100000000000001</v>
      </c>
      <c r="AP154" s="44">
        <v>0.89100000000000001</v>
      </c>
      <c r="AQ154" s="44">
        <v>0.89100000000000001</v>
      </c>
      <c r="AR154" s="44">
        <v>0.89100000000000001</v>
      </c>
      <c r="AS154"/>
      <c r="AT154" s="44">
        <v>0.89100000000000001</v>
      </c>
      <c r="AU154"/>
      <c r="AV154"/>
      <c r="AW154" s="44">
        <v>0.89100000000000001</v>
      </c>
    </row>
    <row r="155" spans="1:49" x14ac:dyDescent="0.25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N155" s="44">
        <v>1</v>
      </c>
      <c r="O155" s="44"/>
      <c r="P155" s="44">
        <v>1</v>
      </c>
      <c r="Q155" s="44">
        <v>1</v>
      </c>
      <c r="R155" s="44">
        <v>1</v>
      </c>
      <c r="U155" s="44">
        <v>1</v>
      </c>
      <c r="V155" s="44">
        <v>1</v>
      </c>
      <c r="W155" s="44">
        <v>1</v>
      </c>
      <c r="X155" s="44">
        <v>1</v>
      </c>
      <c r="Y155" s="44">
        <v>1</v>
      </c>
      <c r="Z155" s="44">
        <v>1</v>
      </c>
      <c r="AA155" s="44">
        <v>1</v>
      </c>
      <c r="AB155" s="44">
        <v>1</v>
      </c>
      <c r="AC155" s="44">
        <v>1</v>
      </c>
      <c r="AD155" s="44">
        <v>1</v>
      </c>
      <c r="AE155" s="44">
        <v>1</v>
      </c>
      <c r="AF155"/>
      <c r="AG155" s="44">
        <v>1</v>
      </c>
      <c r="AH155" s="44">
        <v>1</v>
      </c>
      <c r="AI155" s="44">
        <v>1</v>
      </c>
      <c r="AJ155" s="44">
        <v>1</v>
      </c>
      <c r="AK155" s="44">
        <v>1</v>
      </c>
      <c r="AL155" s="44">
        <v>1</v>
      </c>
      <c r="AM155" s="44">
        <v>1</v>
      </c>
      <c r="AN155"/>
      <c r="AO155" s="44">
        <v>1</v>
      </c>
      <c r="AP155" s="44">
        <v>1</v>
      </c>
      <c r="AQ155" s="44">
        <v>1</v>
      </c>
      <c r="AR155" s="44">
        <v>1</v>
      </c>
      <c r="AS155"/>
      <c r="AT155" s="44">
        <v>1</v>
      </c>
      <c r="AU155"/>
      <c r="AV155"/>
      <c r="AW155" s="44">
        <v>1</v>
      </c>
    </row>
    <row r="156" spans="1:49" x14ac:dyDescent="0.25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N156" s="44">
        <v>4.0000000000000003E-5</v>
      </c>
      <c r="O156" s="44"/>
      <c r="P156" s="44">
        <v>4.0000000000000003E-5</v>
      </c>
      <c r="Q156" s="44">
        <v>4.0000000000000003E-5</v>
      </c>
      <c r="R156" s="44">
        <v>4.0000000000000003E-5</v>
      </c>
      <c r="U156" s="44">
        <v>4.0000000000000003E-5</v>
      </c>
      <c r="V156" s="44">
        <v>4.0000000000000003E-5</v>
      </c>
      <c r="W156" s="44">
        <v>4.0000000000000003E-5</v>
      </c>
      <c r="X156" s="44">
        <v>4.0000000000000003E-5</v>
      </c>
      <c r="Y156" s="44">
        <v>4.0000000000000003E-5</v>
      </c>
      <c r="Z156" s="44">
        <v>4.0000000000000003E-5</v>
      </c>
      <c r="AA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/>
      <c r="AG156" s="44">
        <v>4.0000000000000003E-5</v>
      </c>
      <c r="AH156" s="44">
        <v>4.0000000000000003E-5</v>
      </c>
      <c r="AI156" s="44">
        <v>4.0000000000000003E-5</v>
      </c>
      <c r="AJ156" s="44">
        <v>4.0000000000000003E-5</v>
      </c>
      <c r="AK156" s="44">
        <v>4.0000000000000003E-5</v>
      </c>
      <c r="AL156" s="44">
        <v>4.0000000000000003E-5</v>
      </c>
      <c r="AM156" s="44">
        <v>4.0000000000000003E-5</v>
      </c>
      <c r="AN156"/>
      <c r="AO156" s="44">
        <v>4.0000000000000003E-5</v>
      </c>
      <c r="AP156" s="44">
        <v>4.0000000000000003E-5</v>
      </c>
      <c r="AQ156" s="44">
        <v>4.0000000000000003E-5</v>
      </c>
      <c r="AR156" s="44">
        <v>4.0000000000000003E-5</v>
      </c>
      <c r="AS156"/>
      <c r="AT156" s="44">
        <v>4.0000000000000003E-5</v>
      </c>
      <c r="AU156"/>
      <c r="AV156"/>
      <c r="AW156" s="44">
        <v>4.0000000000000003E-5</v>
      </c>
    </row>
    <row r="157" spans="1:49" x14ac:dyDescent="0.25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N157" s="44">
        <v>4.0000000000000001E-8</v>
      </c>
      <c r="O157" s="44"/>
      <c r="P157" s="44">
        <v>4.0000000000000001E-8</v>
      </c>
      <c r="Q157" s="44">
        <v>4.0000000000000001E-8</v>
      </c>
      <c r="R157" s="44">
        <v>4.0000000000000001E-8</v>
      </c>
      <c r="U157" s="44">
        <v>4.0000000000000001E-8</v>
      </c>
      <c r="V157" s="44">
        <v>4.0000000000000001E-8</v>
      </c>
      <c r="W157" s="44">
        <v>4.0000000000000001E-8</v>
      </c>
      <c r="X157" s="44">
        <v>4.0000000000000001E-8</v>
      </c>
      <c r="Y157" s="44">
        <v>4.0000000000000001E-8</v>
      </c>
      <c r="Z157" s="44">
        <v>4.0000000000000001E-8</v>
      </c>
      <c r="AA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/>
      <c r="AG157" s="44">
        <v>4.0000000000000001E-8</v>
      </c>
      <c r="AH157" s="44">
        <v>4.0000000000000001E-8</v>
      </c>
      <c r="AI157" s="44">
        <v>4.0000000000000001E-8</v>
      </c>
      <c r="AJ157" s="44">
        <v>4.0000000000000001E-8</v>
      </c>
      <c r="AK157" s="44">
        <v>4.0000000000000001E-8</v>
      </c>
      <c r="AL157" s="44">
        <v>4.0000000000000001E-8</v>
      </c>
      <c r="AM157" s="44">
        <v>4.0000000000000001E-8</v>
      </c>
      <c r="AN157"/>
      <c r="AO157" s="44">
        <v>4.0000000000000001E-8</v>
      </c>
      <c r="AP157" s="44">
        <v>4.0000000000000001E-8</v>
      </c>
      <c r="AQ157" s="44">
        <v>4.0000000000000001E-8</v>
      </c>
      <c r="AR157" s="44">
        <v>4.0000000000000001E-8</v>
      </c>
      <c r="AS157"/>
      <c r="AT157" s="44">
        <v>4.0000000000000001E-8</v>
      </c>
      <c r="AU157"/>
      <c r="AV157"/>
      <c r="AW157" s="44">
        <v>4.0000000000000001E-8</v>
      </c>
    </row>
    <row r="158" spans="1:49" x14ac:dyDescent="0.25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N158" s="44">
        <v>20</v>
      </c>
      <c r="O158" s="44"/>
      <c r="P158" s="44">
        <v>20</v>
      </c>
      <c r="Q158" s="44">
        <v>20</v>
      </c>
      <c r="R158" s="44">
        <v>20</v>
      </c>
      <c r="U158" s="44">
        <v>20</v>
      </c>
      <c r="V158" s="44">
        <v>20</v>
      </c>
      <c r="W158" s="44">
        <v>20</v>
      </c>
      <c r="X158" s="44">
        <v>20</v>
      </c>
      <c r="Y158" s="44">
        <v>20</v>
      </c>
      <c r="Z158" s="44">
        <v>20</v>
      </c>
      <c r="AA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/>
      <c r="AG158" s="44">
        <v>20</v>
      </c>
      <c r="AH158" s="44">
        <v>20</v>
      </c>
      <c r="AI158" s="44">
        <v>20</v>
      </c>
      <c r="AJ158" s="44">
        <v>20</v>
      </c>
      <c r="AK158" s="44">
        <v>20</v>
      </c>
      <c r="AL158" s="44">
        <v>20</v>
      </c>
      <c r="AM158" s="44">
        <v>20</v>
      </c>
      <c r="AN158"/>
      <c r="AO158" s="44">
        <v>20</v>
      </c>
      <c r="AP158" s="44">
        <v>20</v>
      </c>
      <c r="AQ158" s="44">
        <v>20</v>
      </c>
      <c r="AR158" s="44">
        <v>20</v>
      </c>
      <c r="AS158"/>
      <c r="AT158" s="44">
        <v>20</v>
      </c>
      <c r="AU158"/>
      <c r="AV158"/>
      <c r="AW158" s="44">
        <v>20</v>
      </c>
    </row>
    <row r="159" spans="1:49" x14ac:dyDescent="0.25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N159" s="44">
        <v>-4.4200000000000003E-2</v>
      </c>
      <c r="O159" s="44"/>
      <c r="P159" s="44">
        <v>-4.4200000000000003E-2</v>
      </c>
      <c r="Q159" s="44">
        <v>-4.4200000000000003E-2</v>
      </c>
      <c r="R159" s="44">
        <v>-4.4200000000000003E-2</v>
      </c>
      <c r="U159" s="44">
        <v>-4.4200000000000003E-2</v>
      </c>
      <c r="V159" s="44">
        <v>-4.4200000000000003E-2</v>
      </c>
      <c r="W159" s="44">
        <v>-4.4200000000000003E-2</v>
      </c>
      <c r="X159" s="44">
        <v>-4.4200000000000003E-2</v>
      </c>
      <c r="Y159" s="44">
        <v>-4.4200000000000003E-2</v>
      </c>
      <c r="Z159" s="44">
        <v>-4.4200000000000003E-2</v>
      </c>
      <c r="AA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/>
      <c r="AG159" s="44">
        <v>-4.4200000000000003E-2</v>
      </c>
      <c r="AH159" s="44">
        <v>-4.4200000000000003E-2</v>
      </c>
      <c r="AI159" s="44">
        <v>-4.4200000000000003E-2</v>
      </c>
      <c r="AJ159" s="44">
        <v>-4.4200000000000003E-2</v>
      </c>
      <c r="AK159" s="44">
        <v>-4.4200000000000003E-2</v>
      </c>
      <c r="AL159" s="44">
        <v>-4.4200000000000003E-2</v>
      </c>
      <c r="AM159" s="44">
        <v>-4.4200000000000003E-2</v>
      </c>
      <c r="AN159"/>
      <c r="AO159" s="44">
        <v>-4.4200000000000003E-2</v>
      </c>
      <c r="AP159" s="44">
        <v>-4.4200000000000003E-2</v>
      </c>
      <c r="AQ159" s="44">
        <v>-4.4200000000000003E-2</v>
      </c>
      <c r="AR159" s="44">
        <v>-4.4200000000000003E-2</v>
      </c>
      <c r="AS159"/>
      <c r="AT159" s="44">
        <v>-4.4200000000000003E-2</v>
      </c>
      <c r="AU159"/>
      <c r="AV159"/>
      <c r="AW159" s="44">
        <v>-4.4200000000000003E-2</v>
      </c>
    </row>
    <row r="160" spans="1:49" x14ac:dyDescent="0.25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N160" s="44">
        <v>1.55</v>
      </c>
      <c r="O160" s="44"/>
      <c r="P160" s="44">
        <v>1.55</v>
      </c>
      <c r="Q160" s="44">
        <v>1.55</v>
      </c>
      <c r="R160" s="44">
        <v>1.55</v>
      </c>
      <c r="U160" s="44">
        <v>1.55</v>
      </c>
      <c r="V160" s="44">
        <v>1.55</v>
      </c>
      <c r="W160" s="44">
        <v>1.55</v>
      </c>
      <c r="X160" s="44">
        <v>1.55</v>
      </c>
      <c r="Y160" s="44">
        <v>1.55</v>
      </c>
      <c r="Z160" s="44">
        <v>1.55</v>
      </c>
      <c r="AA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/>
      <c r="AG160" s="44">
        <v>1.55</v>
      </c>
      <c r="AH160" s="44">
        <v>1.55</v>
      </c>
      <c r="AI160" s="44">
        <v>1.55</v>
      </c>
      <c r="AJ160" s="44">
        <v>1.55</v>
      </c>
      <c r="AK160" s="44">
        <v>1.55</v>
      </c>
      <c r="AL160" s="44">
        <v>1.55</v>
      </c>
      <c r="AM160" s="44">
        <v>1.55</v>
      </c>
      <c r="AN160"/>
      <c r="AO160" s="44">
        <v>1.55</v>
      </c>
      <c r="AP160" s="44">
        <v>1.55</v>
      </c>
      <c r="AQ160" s="44">
        <v>1.55</v>
      </c>
      <c r="AR160" s="44">
        <v>1.55</v>
      </c>
      <c r="AS160"/>
      <c r="AT160" s="44">
        <v>1.55</v>
      </c>
      <c r="AU160"/>
      <c r="AV160"/>
      <c r="AW160" s="44">
        <v>1.55</v>
      </c>
    </row>
    <row r="161" spans="1:49" x14ac:dyDescent="0.25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N161" s="44">
        <v>1</v>
      </c>
      <c r="O161" s="44"/>
      <c r="P161" s="44">
        <v>1</v>
      </c>
      <c r="Q161" s="44">
        <v>1</v>
      </c>
      <c r="R161" s="44">
        <v>1</v>
      </c>
      <c r="U161" s="44">
        <v>1</v>
      </c>
      <c r="V161" s="44">
        <v>1</v>
      </c>
      <c r="W161" s="44">
        <v>1</v>
      </c>
      <c r="X161" s="44">
        <v>1</v>
      </c>
      <c r="Y161" s="44">
        <v>1</v>
      </c>
      <c r="Z161" s="44">
        <v>1</v>
      </c>
      <c r="AA161" s="44">
        <v>1</v>
      </c>
      <c r="AB161" s="44">
        <v>1</v>
      </c>
      <c r="AC161" s="44">
        <v>1</v>
      </c>
      <c r="AD161" s="44">
        <v>1</v>
      </c>
      <c r="AE161" s="44">
        <v>1</v>
      </c>
      <c r="AF161"/>
      <c r="AG161" s="44">
        <v>1</v>
      </c>
      <c r="AH161" s="44">
        <v>1</v>
      </c>
      <c r="AI161" s="44">
        <v>1</v>
      </c>
      <c r="AJ161" s="44">
        <v>1</v>
      </c>
      <c r="AK161" s="44">
        <v>1</v>
      </c>
      <c r="AL161" s="44">
        <v>1</v>
      </c>
      <c r="AM161" s="44">
        <v>1</v>
      </c>
      <c r="AN161"/>
      <c r="AO161" s="44">
        <v>1</v>
      </c>
      <c r="AP161" s="44">
        <v>1</v>
      </c>
      <c r="AQ161" s="44">
        <v>1</v>
      </c>
      <c r="AR161" s="44">
        <v>1</v>
      </c>
      <c r="AS161"/>
      <c r="AT161" s="44">
        <v>1</v>
      </c>
      <c r="AU161"/>
      <c r="AV161"/>
      <c r="AW161" s="44">
        <v>1</v>
      </c>
    </row>
    <row r="162" spans="1:49" x14ac:dyDescent="0.25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N162" s="44">
        <v>2.7799999999999998E-4</v>
      </c>
      <c r="O162" s="44"/>
      <c r="P162" s="44">
        <v>2.7799999999999998E-4</v>
      </c>
      <c r="Q162" s="44">
        <v>2.7799999999999998E-4</v>
      </c>
      <c r="R162" s="44">
        <v>2.7799999999999998E-4</v>
      </c>
      <c r="U162" s="44">
        <v>2.7799999999999998E-4</v>
      </c>
      <c r="V162" s="44">
        <v>2.7799999999999998E-4</v>
      </c>
      <c r="W162" s="44">
        <v>2.7799999999999998E-4</v>
      </c>
      <c r="X162" s="44">
        <v>2.7799999999999998E-4</v>
      </c>
      <c r="Y162" s="44">
        <v>2.7799999999999998E-4</v>
      </c>
      <c r="Z162" s="44">
        <v>2.7799999999999998E-4</v>
      </c>
      <c r="AA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/>
      <c r="AG162" s="44">
        <v>2.7799999999999998E-4</v>
      </c>
      <c r="AH162" s="44">
        <v>2.7799999999999998E-4</v>
      </c>
      <c r="AI162" s="44">
        <v>2.7799999999999998E-4</v>
      </c>
      <c r="AJ162" s="44">
        <v>2.7799999999999998E-4</v>
      </c>
      <c r="AK162" s="44">
        <v>2.7799999999999998E-4</v>
      </c>
      <c r="AL162" s="44">
        <v>2.7799999999999998E-4</v>
      </c>
      <c r="AM162" s="44">
        <v>2.7799999999999998E-4</v>
      </c>
      <c r="AN162"/>
      <c r="AO162" s="44">
        <v>2.7799999999999998E-4</v>
      </c>
      <c r="AP162" s="44">
        <v>2.7799999999999998E-4</v>
      </c>
      <c r="AQ162" s="44">
        <v>2.7799999999999998E-4</v>
      </c>
      <c r="AR162" s="44">
        <v>2.7799999999999998E-4</v>
      </c>
      <c r="AS162"/>
      <c r="AT162" s="44">
        <v>2.7799999999999998E-4</v>
      </c>
      <c r="AU162"/>
      <c r="AV162"/>
      <c r="AW162" s="44">
        <v>2.7799999999999998E-4</v>
      </c>
    </row>
    <row r="163" spans="1:49" x14ac:dyDescent="0.25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N163" s="44">
        <v>2.4999999999999998E-12</v>
      </c>
      <c r="O163" s="44"/>
      <c r="P163" s="44">
        <v>2.4999999999999998E-12</v>
      </c>
      <c r="Q163" s="44">
        <v>2.4999999999999998E-12</v>
      </c>
      <c r="R163" s="44">
        <v>2.4999999999999998E-12</v>
      </c>
      <c r="U163" s="44">
        <v>2.4999999999999998E-12</v>
      </c>
      <c r="V163" s="44">
        <v>2.4999999999999998E-12</v>
      </c>
      <c r="W163" s="44">
        <v>2.4999999999999998E-12</v>
      </c>
      <c r="X163" s="44">
        <v>2.4999999999999998E-12</v>
      </c>
      <c r="Y163" s="44">
        <v>2.4999999999999998E-12</v>
      </c>
      <c r="Z163" s="44">
        <v>2.4999999999999998E-12</v>
      </c>
      <c r="AA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/>
      <c r="AG163" s="44">
        <v>2.4999999999999998E-12</v>
      </c>
      <c r="AH163" s="44">
        <v>2.4999999999999998E-12</v>
      </c>
      <c r="AI163" s="44">
        <v>2.4999999999999998E-12</v>
      </c>
      <c r="AJ163" s="44">
        <v>2.4999999999999998E-12</v>
      </c>
      <c r="AK163" s="44">
        <v>2.4999999999999998E-12</v>
      </c>
      <c r="AL163" s="44">
        <v>2.4999999999999998E-12</v>
      </c>
      <c r="AM163" s="44">
        <v>2.4999999999999998E-12</v>
      </c>
      <c r="AN163"/>
      <c r="AO163" s="44">
        <v>2.4999999999999998E-12</v>
      </c>
      <c r="AP163" s="44">
        <v>2.4999999999999998E-12</v>
      </c>
      <c r="AQ163" s="44">
        <v>2.4999999999999998E-12</v>
      </c>
      <c r="AR163" s="44">
        <v>2.4999999999999998E-12</v>
      </c>
      <c r="AS163"/>
      <c r="AT163" s="44">
        <v>2.4999999999999998E-12</v>
      </c>
      <c r="AU163"/>
      <c r="AV163"/>
      <c r="AW163" s="44">
        <v>2.4999999999999998E-12</v>
      </c>
    </row>
    <row r="164" spans="1:49" x14ac:dyDescent="0.25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N164" s="44">
        <v>20</v>
      </c>
      <c r="O164" s="44"/>
      <c r="P164" s="44">
        <v>20</v>
      </c>
      <c r="Q164" s="44">
        <v>20</v>
      </c>
      <c r="R164" s="44">
        <v>20</v>
      </c>
      <c r="U164" s="44">
        <v>20</v>
      </c>
      <c r="V164" s="44">
        <v>20</v>
      </c>
      <c r="W164" s="44">
        <v>20</v>
      </c>
      <c r="X164" s="44">
        <v>20</v>
      </c>
      <c r="Y164" s="44">
        <v>20</v>
      </c>
      <c r="Z164" s="44">
        <v>20</v>
      </c>
      <c r="AA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/>
      <c r="AG164" s="44">
        <v>20</v>
      </c>
      <c r="AH164" s="44">
        <v>20</v>
      </c>
      <c r="AI164" s="44">
        <v>20</v>
      </c>
      <c r="AJ164" s="44">
        <v>20</v>
      </c>
      <c r="AK164" s="44">
        <v>20</v>
      </c>
      <c r="AL164" s="44">
        <v>20</v>
      </c>
      <c r="AM164" s="44">
        <v>20</v>
      </c>
      <c r="AN164"/>
      <c r="AO164" s="44">
        <v>20</v>
      </c>
      <c r="AP164" s="44">
        <v>20</v>
      </c>
      <c r="AQ164" s="44">
        <v>20</v>
      </c>
      <c r="AR164" s="44">
        <v>20</v>
      </c>
      <c r="AS164"/>
      <c r="AT164" s="44">
        <v>20</v>
      </c>
      <c r="AU164"/>
      <c r="AV164"/>
      <c r="AW164" s="44">
        <v>20</v>
      </c>
    </row>
    <row r="165" spans="1:49" x14ac:dyDescent="0.25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N165" s="44">
        <v>0</v>
      </c>
      <c r="O165" s="44"/>
      <c r="P165" s="44">
        <v>0</v>
      </c>
      <c r="Q165" s="44">
        <v>0</v>
      </c>
      <c r="R165" s="44">
        <v>0</v>
      </c>
      <c r="U165" s="44">
        <v>0</v>
      </c>
      <c r="V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/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 s="44">
        <v>0</v>
      </c>
      <c r="AM165" s="44">
        <v>0</v>
      </c>
      <c r="AN165"/>
      <c r="AO165" s="44">
        <v>0</v>
      </c>
      <c r="AP165" s="44">
        <v>0</v>
      </c>
      <c r="AQ165" s="44">
        <v>0</v>
      </c>
      <c r="AR165" s="44">
        <v>0</v>
      </c>
      <c r="AS165"/>
      <c r="AT165" s="44">
        <v>0</v>
      </c>
      <c r="AU165"/>
      <c r="AV165"/>
      <c r="AW165" s="44">
        <v>0</v>
      </c>
    </row>
    <row r="166" spans="1:49" x14ac:dyDescent="0.25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N166" s="44">
        <v>1</v>
      </c>
      <c r="O166" s="44"/>
      <c r="P166" s="44">
        <v>1</v>
      </c>
      <c r="Q166" s="44">
        <v>1</v>
      </c>
      <c r="R166" s="44">
        <v>1</v>
      </c>
      <c r="U166" s="44">
        <v>1</v>
      </c>
      <c r="V166" s="44">
        <v>1</v>
      </c>
      <c r="W166" s="44">
        <v>1</v>
      </c>
      <c r="X166" s="44">
        <v>1</v>
      </c>
      <c r="Y166" s="44">
        <v>1</v>
      </c>
      <c r="Z166" s="44">
        <v>1</v>
      </c>
      <c r="AA166" s="44">
        <v>1</v>
      </c>
      <c r="AB166" s="44">
        <v>1</v>
      </c>
      <c r="AC166" s="44">
        <v>1</v>
      </c>
      <c r="AD166" s="44">
        <v>1</v>
      </c>
      <c r="AE166" s="44">
        <v>1</v>
      </c>
      <c r="AF166"/>
      <c r="AG166" s="44">
        <v>1</v>
      </c>
      <c r="AH166" s="44">
        <v>1</v>
      </c>
      <c r="AI166" s="44">
        <v>1</v>
      </c>
      <c r="AJ166" s="44">
        <v>1</v>
      </c>
      <c r="AK166" s="44">
        <v>1</v>
      </c>
      <c r="AL166" s="44">
        <v>1</v>
      </c>
      <c r="AM166" s="44">
        <v>1</v>
      </c>
      <c r="AN166"/>
      <c r="AO166" s="44">
        <v>1</v>
      </c>
      <c r="AP166" s="44">
        <v>1</v>
      </c>
      <c r="AQ166" s="44">
        <v>1</v>
      </c>
      <c r="AR166" s="44">
        <v>1</v>
      </c>
      <c r="AS166"/>
      <c r="AT166" s="44">
        <v>1</v>
      </c>
      <c r="AU166"/>
      <c r="AV166"/>
      <c r="AW166" s="44">
        <v>1</v>
      </c>
    </row>
    <row r="167" spans="1:49" x14ac:dyDescent="0.25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N167" s="44">
        <v>0</v>
      </c>
      <c r="O167" s="44"/>
      <c r="P167" s="44">
        <v>0</v>
      </c>
      <c r="Q167" s="44">
        <v>0</v>
      </c>
      <c r="R167" s="44">
        <v>0</v>
      </c>
      <c r="U167" s="44">
        <v>0</v>
      </c>
      <c r="V167" s="44">
        <v>0</v>
      </c>
      <c r="W167" s="44">
        <v>0</v>
      </c>
      <c r="X167" s="44">
        <v>0</v>
      </c>
      <c r="Y167" s="44">
        <v>0</v>
      </c>
      <c r="Z167" s="44">
        <v>0</v>
      </c>
      <c r="AA167" s="44">
        <v>0</v>
      </c>
      <c r="AB167" s="44">
        <v>0</v>
      </c>
      <c r="AC167" s="44">
        <v>0</v>
      </c>
      <c r="AD167" s="44">
        <v>0</v>
      </c>
      <c r="AE167" s="44">
        <v>0</v>
      </c>
      <c r="AF167"/>
      <c r="AG167" s="44">
        <v>0</v>
      </c>
      <c r="AH167" s="44">
        <v>0</v>
      </c>
      <c r="AI167" s="44">
        <v>0</v>
      </c>
      <c r="AJ167" s="44">
        <v>0</v>
      </c>
      <c r="AK167" s="44">
        <v>0</v>
      </c>
      <c r="AL167" s="44">
        <v>0</v>
      </c>
      <c r="AM167" s="44">
        <v>0</v>
      </c>
      <c r="AN167"/>
      <c r="AO167" s="44">
        <v>0</v>
      </c>
      <c r="AP167" s="44">
        <v>0</v>
      </c>
      <c r="AQ167" s="44">
        <v>0</v>
      </c>
      <c r="AR167" s="44">
        <v>0</v>
      </c>
      <c r="AS167"/>
      <c r="AT167" s="44">
        <v>0</v>
      </c>
      <c r="AU167"/>
      <c r="AV167"/>
      <c r="AW167" s="44">
        <v>0</v>
      </c>
    </row>
    <row r="168" spans="1:49" x14ac:dyDescent="0.25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N168" s="44">
        <v>0.4</v>
      </c>
      <c r="O168" s="44"/>
      <c r="P168" s="44">
        <v>0.4</v>
      </c>
      <c r="Q168" s="44">
        <v>0.4</v>
      </c>
      <c r="R168" s="44">
        <v>0.4</v>
      </c>
      <c r="U168" s="44">
        <v>0.4</v>
      </c>
      <c r="V168" s="44">
        <v>0.4</v>
      </c>
      <c r="W168" s="44">
        <v>0.4</v>
      </c>
      <c r="X168" s="44">
        <v>0.4</v>
      </c>
      <c r="Y168" s="44">
        <v>0.4</v>
      </c>
      <c r="Z168" s="44">
        <v>0.4</v>
      </c>
      <c r="AA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/>
      <c r="AG168" s="44">
        <v>0.4</v>
      </c>
      <c r="AH168" s="44">
        <v>0.4</v>
      </c>
      <c r="AI168" s="44">
        <v>0.4</v>
      </c>
      <c r="AJ168" s="44">
        <v>0.4</v>
      </c>
      <c r="AK168" s="44">
        <v>0.4</v>
      </c>
      <c r="AL168" s="44">
        <v>0.4</v>
      </c>
      <c r="AM168" s="44">
        <v>0.4</v>
      </c>
      <c r="AN168"/>
      <c r="AO168" s="44">
        <v>0.4</v>
      </c>
      <c r="AP168" s="44">
        <v>0.4</v>
      </c>
      <c r="AQ168" s="44">
        <v>0.4</v>
      </c>
      <c r="AR168" s="44">
        <v>0.4</v>
      </c>
      <c r="AS168"/>
      <c r="AT168" s="44">
        <v>0.4</v>
      </c>
      <c r="AU168"/>
      <c r="AV168"/>
      <c r="AW168" s="44">
        <v>0.4</v>
      </c>
    </row>
    <row r="169" spans="1:49" x14ac:dyDescent="0.25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N169" s="44">
        <v>2.0000000000000001E-9</v>
      </c>
      <c r="O169" s="44"/>
      <c r="P169" s="44">
        <v>2.0000000000000001E-9</v>
      </c>
      <c r="Q169" s="44">
        <v>2.0000000000000001E-9</v>
      </c>
      <c r="R169" s="44">
        <v>2.0000000000000001E-9</v>
      </c>
      <c r="U169" s="44">
        <v>2.0000000000000001E-9</v>
      </c>
      <c r="V169" s="44">
        <v>2.0000000000000001E-9</v>
      </c>
      <c r="W169" s="44">
        <v>2.0000000000000001E-9</v>
      </c>
      <c r="X169" s="44">
        <v>2.0000000000000001E-9</v>
      </c>
      <c r="Y169" s="44">
        <v>2.0000000000000001E-9</v>
      </c>
      <c r="Z169" s="44">
        <v>2.0000000000000001E-9</v>
      </c>
      <c r="AA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/>
      <c r="AG169" s="44">
        <v>2.0000000000000001E-9</v>
      </c>
      <c r="AH169" s="44">
        <v>2.0000000000000001E-9</v>
      </c>
      <c r="AI169" s="44">
        <v>2.0000000000000001E-9</v>
      </c>
      <c r="AJ169" s="44">
        <v>2.0000000000000001E-9</v>
      </c>
      <c r="AK169" s="44">
        <v>2.0000000000000001E-9</v>
      </c>
      <c r="AL169" s="44">
        <v>2.0000000000000001E-9</v>
      </c>
      <c r="AM169" s="44">
        <v>2.0000000000000001E-9</v>
      </c>
      <c r="AN169"/>
      <c r="AO169" s="44">
        <v>2.0000000000000001E-9</v>
      </c>
      <c r="AP169" s="44">
        <v>2.0000000000000001E-9</v>
      </c>
      <c r="AQ169" s="44">
        <v>2.0000000000000001E-9</v>
      </c>
      <c r="AR169" s="44">
        <v>2.0000000000000001E-9</v>
      </c>
      <c r="AS169"/>
      <c r="AT169" s="44">
        <v>2.0000000000000001E-9</v>
      </c>
      <c r="AU169"/>
      <c r="AV169"/>
      <c r="AW169" s="44">
        <v>2.0000000000000001E-9</v>
      </c>
    </row>
    <row r="170" spans="1:49" x14ac:dyDescent="0.25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N170" s="44">
        <v>25</v>
      </c>
      <c r="O170" s="44"/>
      <c r="P170" s="44">
        <v>25</v>
      </c>
      <c r="Q170" s="44">
        <v>25</v>
      </c>
      <c r="R170" s="44">
        <v>25</v>
      </c>
      <c r="U170" s="44">
        <v>25</v>
      </c>
      <c r="V170" s="44">
        <v>25</v>
      </c>
      <c r="W170" s="44">
        <v>25</v>
      </c>
      <c r="X170" s="44">
        <v>25</v>
      </c>
      <c r="Y170" s="44">
        <v>25</v>
      </c>
      <c r="Z170" s="44">
        <v>25</v>
      </c>
      <c r="AA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/>
      <c r="AG170" s="44">
        <v>25</v>
      </c>
      <c r="AH170" s="44">
        <v>25</v>
      </c>
      <c r="AI170" s="44">
        <v>25</v>
      </c>
      <c r="AJ170" s="44">
        <v>25</v>
      </c>
      <c r="AK170" s="44">
        <v>25</v>
      </c>
      <c r="AL170" s="44">
        <v>25</v>
      </c>
      <c r="AM170" s="44">
        <v>25</v>
      </c>
      <c r="AN170"/>
      <c r="AO170" s="44">
        <v>25</v>
      </c>
      <c r="AP170" s="44">
        <v>25</v>
      </c>
      <c r="AQ170" s="44">
        <v>25</v>
      </c>
      <c r="AR170" s="44">
        <v>25</v>
      </c>
      <c r="AS170"/>
      <c r="AT170" s="44">
        <v>25</v>
      </c>
      <c r="AU170"/>
      <c r="AV170"/>
      <c r="AW170" s="44">
        <v>25</v>
      </c>
    </row>
    <row r="171" spans="1:49" x14ac:dyDescent="0.25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N171" s="44">
        <v>0</v>
      </c>
      <c r="O171" s="44"/>
      <c r="P171" s="44">
        <v>0</v>
      </c>
      <c r="Q171" s="44">
        <v>0</v>
      </c>
      <c r="R171" s="44">
        <v>0</v>
      </c>
      <c r="U171" s="44">
        <v>0</v>
      </c>
      <c r="V171" s="44">
        <v>0</v>
      </c>
      <c r="W171" s="44">
        <v>0</v>
      </c>
      <c r="X171" s="44">
        <v>0</v>
      </c>
      <c r="Y171" s="44">
        <v>0</v>
      </c>
      <c r="Z171" s="44">
        <v>0</v>
      </c>
      <c r="AA171" s="44">
        <v>0</v>
      </c>
      <c r="AB171" s="44">
        <v>0</v>
      </c>
      <c r="AC171" s="44">
        <v>0</v>
      </c>
      <c r="AD171" s="44">
        <v>0</v>
      </c>
      <c r="AE171" s="44">
        <v>0</v>
      </c>
      <c r="AF171"/>
      <c r="AG171" s="44">
        <v>0</v>
      </c>
      <c r="AH171" s="44">
        <v>0</v>
      </c>
      <c r="AI171" s="44">
        <v>0</v>
      </c>
      <c r="AJ171" s="44">
        <v>0</v>
      </c>
      <c r="AK171" s="44">
        <v>0</v>
      </c>
      <c r="AL171" s="44">
        <v>0</v>
      </c>
      <c r="AM171" s="44">
        <v>0</v>
      </c>
      <c r="AN171"/>
      <c r="AO171" s="44">
        <v>0</v>
      </c>
      <c r="AP171" s="44">
        <v>0</v>
      </c>
      <c r="AQ171" s="44">
        <v>0</v>
      </c>
      <c r="AR171" s="44">
        <v>0</v>
      </c>
      <c r="AS171"/>
      <c r="AT171" s="44">
        <v>0</v>
      </c>
      <c r="AU171"/>
      <c r="AV171"/>
      <c r="AW171" s="44">
        <v>0</v>
      </c>
    </row>
    <row r="172" spans="1:49" x14ac:dyDescent="0.25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N172" s="44">
        <v>3.98</v>
      </c>
      <c r="O172" s="44"/>
      <c r="P172" s="44">
        <v>3.98</v>
      </c>
      <c r="Q172" s="44">
        <v>3.98</v>
      </c>
      <c r="R172" s="44">
        <v>3.98</v>
      </c>
      <c r="U172" s="44">
        <v>3.98</v>
      </c>
      <c r="V172" s="44">
        <v>3.98</v>
      </c>
      <c r="W172" s="44">
        <v>3.98</v>
      </c>
      <c r="X172" s="44">
        <v>3.98</v>
      </c>
      <c r="Y172" s="44">
        <v>3.98</v>
      </c>
      <c r="Z172" s="44">
        <v>3.98</v>
      </c>
      <c r="AA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/>
      <c r="AG172" s="44">
        <v>3.98</v>
      </c>
      <c r="AH172" s="44">
        <v>3.98</v>
      </c>
      <c r="AI172" s="44">
        <v>3.98</v>
      </c>
      <c r="AJ172" s="44">
        <v>3.98</v>
      </c>
      <c r="AK172" s="44">
        <v>3.98</v>
      </c>
      <c r="AL172" s="44">
        <v>3.98</v>
      </c>
      <c r="AM172" s="44">
        <v>3.98</v>
      </c>
      <c r="AN172"/>
      <c r="AO172" s="44">
        <v>3.98</v>
      </c>
      <c r="AP172" s="44">
        <v>3.98</v>
      </c>
      <c r="AQ172" s="44">
        <v>3.98</v>
      </c>
      <c r="AR172" s="44">
        <v>3.98</v>
      </c>
      <c r="AS172"/>
      <c r="AT172" s="44">
        <v>3.98</v>
      </c>
      <c r="AU172"/>
      <c r="AV172"/>
      <c r="AW172" s="44">
        <v>3.98</v>
      </c>
    </row>
    <row r="173" spans="1:49" x14ac:dyDescent="0.25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N173" s="44">
        <v>1</v>
      </c>
      <c r="O173" s="44"/>
      <c r="P173" s="44">
        <v>1</v>
      </c>
      <c r="Q173" s="44">
        <v>1</v>
      </c>
      <c r="R173" s="44">
        <v>1</v>
      </c>
      <c r="U173" s="44">
        <v>1</v>
      </c>
      <c r="V173" s="44">
        <v>1</v>
      </c>
      <c r="W173" s="44">
        <v>1</v>
      </c>
      <c r="X173" s="44">
        <v>1</v>
      </c>
      <c r="Y173" s="44">
        <v>1</v>
      </c>
      <c r="Z173" s="44">
        <v>1</v>
      </c>
      <c r="AA173" s="44">
        <v>1</v>
      </c>
      <c r="AB173" s="44">
        <v>1</v>
      </c>
      <c r="AC173" s="44">
        <v>1</v>
      </c>
      <c r="AD173" s="44">
        <v>1</v>
      </c>
      <c r="AE173" s="44">
        <v>1</v>
      </c>
      <c r="AF173"/>
      <c r="AG173" s="44">
        <v>1</v>
      </c>
      <c r="AH173" s="44">
        <v>1</v>
      </c>
      <c r="AI173" s="44">
        <v>1</v>
      </c>
      <c r="AJ173" s="44">
        <v>1</v>
      </c>
      <c r="AK173" s="44">
        <v>1</v>
      </c>
      <c r="AL173" s="44">
        <v>1</v>
      </c>
      <c r="AM173" s="44">
        <v>1</v>
      </c>
      <c r="AN173"/>
      <c r="AO173" s="44">
        <v>1</v>
      </c>
      <c r="AP173" s="44">
        <v>1</v>
      </c>
      <c r="AQ173" s="44">
        <v>1</v>
      </c>
      <c r="AR173" s="44">
        <v>1</v>
      </c>
      <c r="AS173"/>
      <c r="AT173" s="44">
        <v>1</v>
      </c>
      <c r="AU173"/>
      <c r="AV173"/>
      <c r="AW173" s="44">
        <v>1</v>
      </c>
    </row>
    <row r="174" spans="1:49" x14ac:dyDescent="0.25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N174" s="44">
        <v>1.6666666666666666E-4</v>
      </c>
      <c r="O174" s="44"/>
      <c r="P174" s="44">
        <v>1.6666666666666666E-4</v>
      </c>
      <c r="Q174" s="44">
        <v>1.6666666666666666E-4</v>
      </c>
      <c r="R174" s="44">
        <v>1.6666666666666666E-4</v>
      </c>
      <c r="U174" s="44">
        <v>1.6666666666666666E-4</v>
      </c>
      <c r="V174" s="44">
        <v>1.6666666666666666E-4</v>
      </c>
      <c r="W174" s="44">
        <v>1.6666666666666666E-4</v>
      </c>
      <c r="X174" s="44">
        <v>1.6666666666666666E-4</v>
      </c>
      <c r="Y174" s="44">
        <v>1.6666666666666666E-4</v>
      </c>
      <c r="Z174" s="44">
        <v>1.6666666666666666E-4</v>
      </c>
      <c r="AA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/>
      <c r="AG174" s="44">
        <v>1.6666666666666666E-4</v>
      </c>
      <c r="AH174" s="44">
        <v>1.6666666666666666E-4</v>
      </c>
      <c r="AI174" s="44">
        <v>1.6666666666666666E-4</v>
      </c>
      <c r="AJ174" s="44">
        <v>1.6666666666666666E-4</v>
      </c>
      <c r="AK174" s="44">
        <v>1.6666666666666666E-4</v>
      </c>
      <c r="AL174" s="44">
        <v>1.6666666666666666E-4</v>
      </c>
      <c r="AM174" s="44">
        <v>1.6666666666666666E-4</v>
      </c>
      <c r="AN174"/>
      <c r="AO174" s="44">
        <v>1.6666666666666666E-4</v>
      </c>
      <c r="AP174" s="44">
        <v>1.6666666666666666E-4</v>
      </c>
      <c r="AQ174" s="44">
        <v>1.6666666666666666E-4</v>
      </c>
      <c r="AR174" s="44">
        <v>1.6666666666666666E-4</v>
      </c>
      <c r="AS174"/>
      <c r="AT174" s="44">
        <v>1.6666666666666666E-4</v>
      </c>
      <c r="AU174"/>
      <c r="AV174"/>
      <c r="AW174" s="44">
        <v>1.6666666666666666E-4</v>
      </c>
    </row>
    <row r="175" spans="1:49" x14ac:dyDescent="0.25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N175" s="44">
        <v>1E-8</v>
      </c>
      <c r="O175" s="44"/>
      <c r="P175" s="44">
        <v>1E-8</v>
      </c>
      <c r="Q175" s="44">
        <v>1E-8</v>
      </c>
      <c r="R175" s="44">
        <v>1E-8</v>
      </c>
      <c r="U175" s="44">
        <v>1E-8</v>
      </c>
      <c r="V175" s="44">
        <v>1E-8</v>
      </c>
      <c r="W175" s="44">
        <v>1E-8</v>
      </c>
      <c r="X175" s="44">
        <v>1E-8</v>
      </c>
      <c r="Y175" s="44">
        <v>1E-8</v>
      </c>
      <c r="Z175" s="44">
        <v>1E-8</v>
      </c>
      <c r="AA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/>
      <c r="AG175" s="44">
        <v>1E-8</v>
      </c>
      <c r="AH175" s="44">
        <v>1E-8</v>
      </c>
      <c r="AI175" s="44">
        <v>1E-8</v>
      </c>
      <c r="AJ175" s="44">
        <v>1E-8</v>
      </c>
      <c r="AK175" s="44">
        <v>1E-8</v>
      </c>
      <c r="AL175" s="44">
        <v>1E-8</v>
      </c>
      <c r="AM175" s="44">
        <v>1E-8</v>
      </c>
      <c r="AN175"/>
      <c r="AO175" s="44">
        <v>1E-8</v>
      </c>
      <c r="AP175" s="44">
        <v>1E-8</v>
      </c>
      <c r="AQ175" s="44">
        <v>1E-8</v>
      </c>
      <c r="AR175" s="44">
        <v>1E-8</v>
      </c>
      <c r="AS175"/>
      <c r="AT175" s="44">
        <v>1E-8</v>
      </c>
      <c r="AU175"/>
      <c r="AV175"/>
      <c r="AW175" s="44">
        <v>1E-8</v>
      </c>
    </row>
    <row r="176" spans="1:49" x14ac:dyDescent="0.25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N176" s="44">
        <v>20</v>
      </c>
      <c r="O176" s="44"/>
      <c r="P176" s="44">
        <v>20</v>
      </c>
      <c r="Q176" s="44">
        <v>20</v>
      </c>
      <c r="R176" s="44">
        <v>20</v>
      </c>
      <c r="U176" s="44">
        <v>20</v>
      </c>
      <c r="V176" s="44">
        <v>20</v>
      </c>
      <c r="W176" s="44">
        <v>20</v>
      </c>
      <c r="X176" s="44">
        <v>20</v>
      </c>
      <c r="Y176" s="44">
        <v>20</v>
      </c>
      <c r="Z176" s="44">
        <v>20</v>
      </c>
      <c r="AA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/>
      <c r="AG176" s="44">
        <v>20</v>
      </c>
      <c r="AH176" s="44">
        <v>20</v>
      </c>
      <c r="AI176" s="44">
        <v>20</v>
      </c>
      <c r="AJ176" s="44">
        <v>20</v>
      </c>
      <c r="AK176" s="44">
        <v>20</v>
      </c>
      <c r="AL176" s="44">
        <v>20</v>
      </c>
      <c r="AM176" s="44">
        <v>20</v>
      </c>
      <c r="AN176"/>
      <c r="AO176" s="44">
        <v>20</v>
      </c>
      <c r="AP176" s="44">
        <v>20</v>
      </c>
      <c r="AQ176" s="44">
        <v>20</v>
      </c>
      <c r="AR176" s="44">
        <v>20</v>
      </c>
      <c r="AS176"/>
      <c r="AT176" s="44">
        <v>20</v>
      </c>
      <c r="AU176"/>
      <c r="AV176"/>
      <c r="AW176" s="44">
        <v>20</v>
      </c>
    </row>
    <row r="177" spans="1:49" x14ac:dyDescent="0.25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N177" s="44">
        <v>0</v>
      </c>
      <c r="O177" s="44"/>
      <c r="P177" s="44">
        <v>0</v>
      </c>
      <c r="Q177" s="44">
        <v>0</v>
      </c>
      <c r="R177" s="44">
        <v>0</v>
      </c>
      <c r="U177" s="44">
        <v>0</v>
      </c>
      <c r="V177" s="44">
        <v>0</v>
      </c>
      <c r="W177" s="44">
        <v>0</v>
      </c>
      <c r="X177" s="44">
        <v>0</v>
      </c>
      <c r="Y177" s="44">
        <v>0</v>
      </c>
      <c r="Z177" s="44">
        <v>0</v>
      </c>
      <c r="AA177" s="44">
        <v>0</v>
      </c>
      <c r="AB177" s="44">
        <v>0</v>
      </c>
      <c r="AC177" s="44">
        <v>0</v>
      </c>
      <c r="AD177" s="44">
        <v>0</v>
      </c>
      <c r="AE177" s="44">
        <v>0</v>
      </c>
      <c r="AF177"/>
      <c r="AG177" s="44">
        <v>0</v>
      </c>
      <c r="AH177" s="44">
        <v>0</v>
      </c>
      <c r="AI177" s="44">
        <v>0</v>
      </c>
      <c r="AJ177" s="44">
        <v>0</v>
      </c>
      <c r="AK177" s="44">
        <v>0</v>
      </c>
      <c r="AL177" s="44">
        <v>0</v>
      </c>
      <c r="AM177" s="44">
        <v>0</v>
      </c>
      <c r="AN177"/>
      <c r="AO177" s="44">
        <v>0</v>
      </c>
      <c r="AP177" s="44">
        <v>0</v>
      </c>
      <c r="AQ177" s="44">
        <v>0</v>
      </c>
      <c r="AR177" s="44">
        <v>0</v>
      </c>
      <c r="AS177"/>
      <c r="AT177" s="44">
        <v>0</v>
      </c>
      <c r="AU177"/>
      <c r="AV177"/>
      <c r="AW177" s="44">
        <v>0</v>
      </c>
    </row>
    <row r="178" spans="1:49" x14ac:dyDescent="0.25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N178" s="44">
        <v>2</v>
      </c>
      <c r="O178" s="44"/>
      <c r="P178" s="44">
        <v>2</v>
      </c>
      <c r="Q178" s="44">
        <v>2</v>
      </c>
      <c r="R178" s="44">
        <v>2</v>
      </c>
      <c r="U178" s="44">
        <v>2</v>
      </c>
      <c r="V178" s="44">
        <v>2</v>
      </c>
      <c r="W178" s="44">
        <v>2</v>
      </c>
      <c r="X178" s="44">
        <v>2</v>
      </c>
      <c r="Y178" s="44">
        <v>2</v>
      </c>
      <c r="Z178" s="44">
        <v>2</v>
      </c>
      <c r="AA178" s="44">
        <v>2</v>
      </c>
      <c r="AB178" s="44">
        <v>2</v>
      </c>
      <c r="AC178" s="44">
        <v>2</v>
      </c>
      <c r="AD178" s="44">
        <v>2</v>
      </c>
      <c r="AE178" s="44">
        <v>2</v>
      </c>
      <c r="AF178"/>
      <c r="AG178" s="44">
        <v>2</v>
      </c>
      <c r="AH178" s="44">
        <v>2</v>
      </c>
      <c r="AI178" s="44">
        <v>2</v>
      </c>
      <c r="AJ178" s="44">
        <v>2</v>
      </c>
      <c r="AK178" s="44">
        <v>2</v>
      </c>
      <c r="AL178" s="44">
        <v>2</v>
      </c>
      <c r="AM178" s="44">
        <v>2</v>
      </c>
      <c r="AN178"/>
      <c r="AO178" s="44">
        <v>2</v>
      </c>
      <c r="AP178" s="44">
        <v>2</v>
      </c>
      <c r="AQ178" s="44">
        <v>2</v>
      </c>
      <c r="AR178" s="44">
        <v>2</v>
      </c>
      <c r="AS178"/>
      <c r="AT178" s="44">
        <v>2</v>
      </c>
      <c r="AU178"/>
      <c r="AV178"/>
      <c r="AW178" s="44">
        <v>2</v>
      </c>
    </row>
    <row r="179" spans="1:49" x14ac:dyDescent="0.25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N179" s="44">
        <v>1</v>
      </c>
      <c r="O179" s="44"/>
      <c r="P179" s="44">
        <v>1</v>
      </c>
      <c r="Q179" s="44">
        <v>1</v>
      </c>
      <c r="R179" s="44">
        <v>1</v>
      </c>
      <c r="U179" s="44">
        <v>1</v>
      </c>
      <c r="V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/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 s="44">
        <v>1</v>
      </c>
      <c r="AM179" s="44">
        <v>1</v>
      </c>
      <c r="AN179"/>
      <c r="AO179" s="44">
        <v>1</v>
      </c>
      <c r="AP179" s="44">
        <v>1</v>
      </c>
      <c r="AQ179" s="44">
        <v>1</v>
      </c>
      <c r="AR179" s="44">
        <v>1</v>
      </c>
      <c r="AS179"/>
      <c r="AT179" s="44">
        <v>1</v>
      </c>
      <c r="AU179"/>
      <c r="AV179"/>
      <c r="AW179" s="44">
        <v>1</v>
      </c>
    </row>
    <row r="180" spans="1:49" x14ac:dyDescent="0.25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N180" s="44">
        <v>8.3333333333333331E-5</v>
      </c>
      <c r="O180" s="44"/>
      <c r="P180" s="44">
        <v>8.3333333333333331E-5</v>
      </c>
      <c r="Q180" s="44">
        <v>8.3333333333333331E-5</v>
      </c>
      <c r="R180" s="44">
        <v>8.3333333333333331E-5</v>
      </c>
      <c r="U180" s="44">
        <v>8.3333333333333331E-5</v>
      </c>
      <c r="V180" s="44">
        <v>8.3333333333333331E-5</v>
      </c>
      <c r="W180" s="44">
        <v>8.3333333333333331E-5</v>
      </c>
      <c r="X180" s="44">
        <v>8.3333333333333331E-5</v>
      </c>
      <c r="Y180" s="44">
        <v>8.3333333333333331E-5</v>
      </c>
      <c r="Z180" s="44">
        <v>8.3333333333333331E-5</v>
      </c>
      <c r="AA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/>
      <c r="AG180" s="44">
        <v>8.3333333333333331E-5</v>
      </c>
      <c r="AH180" s="44">
        <v>8.3333333333333331E-5</v>
      </c>
      <c r="AI180" s="44">
        <v>8.3333333333333331E-5</v>
      </c>
      <c r="AJ180" s="44">
        <v>8.3333333333333331E-5</v>
      </c>
      <c r="AK180" s="44">
        <v>8.3333333333333331E-5</v>
      </c>
      <c r="AL180" s="44">
        <v>8.3333333333333331E-5</v>
      </c>
      <c r="AM180" s="44">
        <v>8.3333333333333331E-5</v>
      </c>
      <c r="AN180"/>
      <c r="AO180" s="44">
        <v>8.3333333333333331E-5</v>
      </c>
      <c r="AP180" s="44">
        <v>8.3333333333333331E-5</v>
      </c>
      <c r="AQ180" s="44">
        <v>8.3333333333333331E-5</v>
      </c>
      <c r="AR180" s="44">
        <v>8.3333333333333331E-5</v>
      </c>
      <c r="AS180"/>
      <c r="AT180" s="44">
        <v>8.3333333333333331E-5</v>
      </c>
      <c r="AU180"/>
      <c r="AV180"/>
      <c r="AW180" s="44">
        <v>8.3333333333333331E-5</v>
      </c>
    </row>
    <row r="181" spans="1:49" x14ac:dyDescent="0.25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N181" s="44">
        <v>1</v>
      </c>
      <c r="O181" s="44"/>
      <c r="P181" s="44">
        <v>1</v>
      </c>
      <c r="Q181" s="44">
        <v>1</v>
      </c>
      <c r="R181" s="44">
        <v>1</v>
      </c>
      <c r="U181" s="44">
        <v>1</v>
      </c>
      <c r="V181" s="44">
        <v>1</v>
      </c>
      <c r="W181" s="44">
        <v>1</v>
      </c>
      <c r="X181" s="44">
        <v>1</v>
      </c>
      <c r="Y181" s="44">
        <v>1</v>
      </c>
      <c r="Z181" s="44">
        <v>1</v>
      </c>
      <c r="AA181" s="44">
        <v>1</v>
      </c>
      <c r="AB181" s="44">
        <v>1</v>
      </c>
      <c r="AC181" s="44">
        <v>1</v>
      </c>
      <c r="AD181" s="44">
        <v>1</v>
      </c>
      <c r="AE181" s="44">
        <v>1</v>
      </c>
      <c r="AF181"/>
      <c r="AG181" s="44">
        <v>1</v>
      </c>
      <c r="AH181" s="44">
        <v>1</v>
      </c>
      <c r="AI181" s="44">
        <v>1</v>
      </c>
      <c r="AJ181" s="44">
        <v>1</v>
      </c>
      <c r="AK181" s="44">
        <v>1</v>
      </c>
      <c r="AL181" s="44">
        <v>1</v>
      </c>
      <c r="AM181" s="44">
        <v>1</v>
      </c>
      <c r="AN181"/>
      <c r="AO181" s="44">
        <v>1</v>
      </c>
      <c r="AP181" s="44">
        <v>1</v>
      </c>
      <c r="AQ181" s="44">
        <v>1</v>
      </c>
      <c r="AR181" s="44">
        <v>1</v>
      </c>
      <c r="AS181"/>
      <c r="AT181" s="44">
        <v>1</v>
      </c>
      <c r="AU181"/>
      <c r="AV181"/>
      <c r="AW181" s="44">
        <v>1</v>
      </c>
    </row>
    <row r="182" spans="1:49" x14ac:dyDescent="0.25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N182" s="44">
        <v>2.3533050791148899E-8</v>
      </c>
      <c r="O182" s="44"/>
      <c r="P182" s="44">
        <v>2.3533050791148899E-8</v>
      </c>
      <c r="Q182" s="44">
        <v>2.3533050791148899E-8</v>
      </c>
      <c r="R182" s="44">
        <v>2.3533050791148899E-8</v>
      </c>
      <c r="U182" s="44">
        <v>2.3533050791148899E-8</v>
      </c>
      <c r="V182" s="44">
        <v>2.3533050791148899E-8</v>
      </c>
      <c r="W182" s="44">
        <v>2.3533050791148899E-8</v>
      </c>
      <c r="X182" s="44">
        <v>2.3533050791148899E-8</v>
      </c>
      <c r="Y182" s="44">
        <v>2.3533050791148899E-8</v>
      </c>
      <c r="Z182" s="44">
        <v>2.3533050791148899E-8</v>
      </c>
      <c r="AA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/>
      <c r="AG182" s="44">
        <v>2.3533050791148899E-8</v>
      </c>
      <c r="AH182" s="44">
        <v>2.3533050791148899E-8</v>
      </c>
      <c r="AI182" s="44">
        <v>2.3533050791148899E-8</v>
      </c>
      <c r="AJ182" s="44">
        <v>2.3533050791148899E-8</v>
      </c>
      <c r="AK182" s="44">
        <v>2.3533050791148899E-8</v>
      </c>
      <c r="AL182" s="44">
        <v>2.3533050791148899E-8</v>
      </c>
      <c r="AM182" s="44">
        <v>2.3533050791148899E-8</v>
      </c>
      <c r="AN182"/>
      <c r="AO182" s="44">
        <v>2.3533050791148899E-8</v>
      </c>
      <c r="AP182" s="44">
        <v>2.3533050791148899E-8</v>
      </c>
      <c r="AQ182" s="44">
        <v>2.3533050791148899E-8</v>
      </c>
      <c r="AR182" s="44">
        <v>2.3533050791148899E-8</v>
      </c>
      <c r="AS182"/>
      <c r="AT182" s="44">
        <v>2.3533050791148899E-8</v>
      </c>
      <c r="AU182"/>
      <c r="AV182"/>
      <c r="AW182" s="44">
        <v>2.3533050791148899E-8</v>
      </c>
    </row>
    <row r="183" spans="1:49" x14ac:dyDescent="0.25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N183" s="44">
        <v>20</v>
      </c>
      <c r="O183" s="44"/>
      <c r="P183" s="44">
        <v>20</v>
      </c>
      <c r="Q183" s="44">
        <v>20</v>
      </c>
      <c r="R183" s="44">
        <v>20</v>
      </c>
      <c r="U183" s="44">
        <v>20</v>
      </c>
      <c r="V183" s="44">
        <v>20</v>
      </c>
      <c r="W183" s="44">
        <v>20</v>
      </c>
      <c r="X183" s="44">
        <v>20</v>
      </c>
      <c r="Y183" s="44">
        <v>20</v>
      </c>
      <c r="Z183" s="44">
        <v>20</v>
      </c>
      <c r="AA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/>
      <c r="AG183" s="44">
        <v>20</v>
      </c>
      <c r="AH183" s="44">
        <v>20</v>
      </c>
      <c r="AI183" s="44">
        <v>20</v>
      </c>
      <c r="AJ183" s="44">
        <v>20</v>
      </c>
      <c r="AK183" s="44">
        <v>20</v>
      </c>
      <c r="AL183" s="44">
        <v>20</v>
      </c>
      <c r="AM183" s="44">
        <v>20</v>
      </c>
      <c r="AN183"/>
      <c r="AO183" s="44">
        <v>20</v>
      </c>
      <c r="AP183" s="44">
        <v>20</v>
      </c>
      <c r="AQ183" s="44">
        <v>20</v>
      </c>
      <c r="AR183" s="44">
        <v>20</v>
      </c>
      <c r="AS183"/>
      <c r="AT183" s="44">
        <v>20</v>
      </c>
      <c r="AU183"/>
      <c r="AV183"/>
      <c r="AW183" s="44">
        <v>20</v>
      </c>
    </row>
    <row r="184" spans="1:49" x14ac:dyDescent="0.25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N184" s="44">
        <v>-0.187</v>
      </c>
      <c r="O184" s="44"/>
      <c r="P184" s="44">
        <v>-0.187</v>
      </c>
      <c r="Q184" s="44">
        <v>-0.187</v>
      </c>
      <c r="R184" s="44">
        <v>-0.187</v>
      </c>
      <c r="U184" s="44">
        <v>-0.187</v>
      </c>
      <c r="V184" s="44">
        <v>-0.187</v>
      </c>
      <c r="W184" s="44">
        <v>-0.187</v>
      </c>
      <c r="X184" s="44">
        <v>-0.187</v>
      </c>
      <c r="Y184" s="44">
        <v>-0.187</v>
      </c>
      <c r="Z184" s="44">
        <v>-0.187</v>
      </c>
      <c r="AA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/>
      <c r="AG184" s="44">
        <v>-0.187</v>
      </c>
      <c r="AH184" s="44">
        <v>-0.187</v>
      </c>
      <c r="AI184" s="44">
        <v>-0.187</v>
      </c>
      <c r="AJ184" s="44">
        <v>-0.187</v>
      </c>
      <c r="AK184" s="44">
        <v>-0.187</v>
      </c>
      <c r="AL184" s="44">
        <v>-0.187</v>
      </c>
      <c r="AM184" s="44">
        <v>-0.187</v>
      </c>
      <c r="AN184"/>
      <c r="AO184" s="44">
        <v>-0.187</v>
      </c>
      <c r="AP184" s="44">
        <v>-0.187</v>
      </c>
      <c r="AQ184" s="44">
        <v>-0.187</v>
      </c>
      <c r="AR184" s="44">
        <v>-0.187</v>
      </c>
      <c r="AS184"/>
      <c r="AT184" s="44">
        <v>-0.187</v>
      </c>
      <c r="AU184"/>
      <c r="AV184"/>
      <c r="AW184" s="44">
        <v>-0.187</v>
      </c>
    </row>
    <row r="185" spans="1:49" x14ac:dyDescent="0.25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N185" s="44">
        <v>2.48</v>
      </c>
      <c r="O185" s="44"/>
      <c r="P185" s="44">
        <v>2.48</v>
      </c>
      <c r="Q185" s="44">
        <v>2.48</v>
      </c>
      <c r="R185" s="44">
        <v>2.48</v>
      </c>
      <c r="U185" s="44">
        <v>2.48</v>
      </c>
      <c r="V185" s="44">
        <v>2.48</v>
      </c>
      <c r="W185" s="44">
        <v>2.48</v>
      </c>
      <c r="X185" s="44">
        <v>2.48</v>
      </c>
      <c r="Y185" s="44">
        <v>2.48</v>
      </c>
      <c r="Z185" s="44">
        <v>2.48</v>
      </c>
      <c r="AA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/>
      <c r="AG185" s="44">
        <v>2.48</v>
      </c>
      <c r="AH185" s="44">
        <v>2.48</v>
      </c>
      <c r="AI185" s="44">
        <v>2.48</v>
      </c>
      <c r="AJ185" s="44">
        <v>2.48</v>
      </c>
      <c r="AK185" s="44">
        <v>2.48</v>
      </c>
      <c r="AL185" s="44">
        <v>2.48</v>
      </c>
      <c r="AM185" s="44">
        <v>2.48</v>
      </c>
      <c r="AN185"/>
      <c r="AO185" s="44">
        <v>2.48</v>
      </c>
      <c r="AP185" s="44">
        <v>2.48</v>
      </c>
      <c r="AQ185" s="44">
        <v>2.48</v>
      </c>
      <c r="AR185" s="44">
        <v>2.48</v>
      </c>
      <c r="AS185"/>
      <c r="AT185" s="44">
        <v>2.48</v>
      </c>
      <c r="AU185"/>
      <c r="AV185"/>
      <c r="AW185" s="44">
        <v>2.48</v>
      </c>
    </row>
    <row r="186" spans="1:49" x14ac:dyDescent="0.25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N186" s="44">
        <v>1</v>
      </c>
      <c r="O186" s="44"/>
      <c r="P186" s="44">
        <v>1</v>
      </c>
      <c r="Q186" s="44">
        <v>1</v>
      </c>
      <c r="R186" s="44">
        <v>1</v>
      </c>
      <c r="U186" s="44">
        <v>1</v>
      </c>
      <c r="V186" s="44">
        <v>1</v>
      </c>
      <c r="W186" s="44">
        <v>1</v>
      </c>
      <c r="X186" s="44">
        <v>1</v>
      </c>
      <c r="Y186" s="44">
        <v>1</v>
      </c>
      <c r="Z186" s="44">
        <v>1</v>
      </c>
      <c r="AA186" s="44">
        <v>1</v>
      </c>
      <c r="AB186" s="44">
        <v>1</v>
      </c>
      <c r="AC186" s="44">
        <v>1</v>
      </c>
      <c r="AD186" s="44">
        <v>1</v>
      </c>
      <c r="AE186" s="44">
        <v>1</v>
      </c>
      <c r="AF186"/>
      <c r="AG186" s="44">
        <v>1</v>
      </c>
      <c r="AH186" s="44">
        <v>1</v>
      </c>
      <c r="AI186" s="44">
        <v>1</v>
      </c>
      <c r="AJ186" s="44">
        <v>1</v>
      </c>
      <c r="AK186" s="44">
        <v>1</v>
      </c>
      <c r="AL186" s="44">
        <v>1</v>
      </c>
      <c r="AM186" s="44">
        <v>1</v>
      </c>
      <c r="AN186"/>
      <c r="AO186" s="44">
        <v>1</v>
      </c>
      <c r="AP186" s="44">
        <v>1</v>
      </c>
      <c r="AQ186" s="44">
        <v>1</v>
      </c>
      <c r="AR186" s="44">
        <v>1</v>
      </c>
      <c r="AS186"/>
      <c r="AT186" s="44">
        <v>1</v>
      </c>
      <c r="AU186"/>
      <c r="AV186"/>
      <c r="AW186" s="44">
        <v>1</v>
      </c>
    </row>
    <row r="187" spans="1:49" x14ac:dyDescent="0.25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N187" s="44">
        <v>6.1060227588121015E-4</v>
      </c>
      <c r="O187" s="44"/>
      <c r="P187" s="44">
        <v>6.1060227588121015E-4</v>
      </c>
      <c r="Q187" s="44">
        <v>6.1060227588121015E-4</v>
      </c>
      <c r="R187" s="44">
        <v>6.1060227588121015E-4</v>
      </c>
      <c r="U187" s="44">
        <v>6.1060227588121015E-4</v>
      </c>
      <c r="V187" s="44">
        <v>6.1060227588121015E-4</v>
      </c>
      <c r="W187" s="44">
        <v>6.1060227588121015E-4</v>
      </c>
      <c r="X187" s="44">
        <v>6.1060227588121015E-4</v>
      </c>
      <c r="Y187" s="44">
        <v>6.1060227588121015E-4</v>
      </c>
      <c r="Z187" s="44">
        <v>6.1060227588121015E-4</v>
      </c>
      <c r="AA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/>
      <c r="AG187" s="44">
        <v>6.1060227588121015E-4</v>
      </c>
      <c r="AH187" s="44">
        <v>6.1060227588121015E-4</v>
      </c>
      <c r="AI187" s="44">
        <v>6.1060227588121015E-4</v>
      </c>
      <c r="AJ187" s="44">
        <v>6.1060227588121015E-4</v>
      </c>
      <c r="AK187" s="44">
        <v>6.1060227588121015E-4</v>
      </c>
      <c r="AL187" s="44">
        <v>6.1060227588121015E-4</v>
      </c>
      <c r="AM187" s="44">
        <v>6.1060227588121015E-4</v>
      </c>
      <c r="AN187"/>
      <c r="AO187" s="44">
        <v>6.1060227588121015E-4</v>
      </c>
      <c r="AP187" s="44">
        <v>6.1060227588121015E-4</v>
      </c>
      <c r="AQ187" s="44">
        <v>6.1060227588121015E-4</v>
      </c>
      <c r="AR187" s="44">
        <v>6.1060227588121015E-4</v>
      </c>
      <c r="AS187"/>
      <c r="AT187" s="44">
        <v>6.1060227588121015E-4</v>
      </c>
      <c r="AU187"/>
      <c r="AV187"/>
      <c r="AW187" s="44">
        <v>6.1060227588121015E-4</v>
      </c>
    </row>
    <row r="188" spans="1:49" x14ac:dyDescent="0.25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N188" s="44">
        <v>3.9999999999999998E-7</v>
      </c>
      <c r="O188" s="44"/>
      <c r="P188" s="44">
        <v>3.9999999999999998E-7</v>
      </c>
      <c r="Q188" s="44">
        <v>3.9999999999999998E-7</v>
      </c>
      <c r="R188" s="44">
        <v>3.9999999999999998E-7</v>
      </c>
      <c r="U188" s="44">
        <v>3.9999999999999998E-7</v>
      </c>
      <c r="V188" s="44">
        <v>3.9999999999999998E-7</v>
      </c>
      <c r="W188" s="44">
        <v>3.9999999999999998E-7</v>
      </c>
      <c r="X188" s="44">
        <v>3.9999999999999998E-7</v>
      </c>
      <c r="Y188" s="44">
        <v>3.9999999999999998E-7</v>
      </c>
      <c r="Z188" s="44">
        <v>3.9999999999999998E-7</v>
      </c>
      <c r="AA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/>
      <c r="AG188" s="44">
        <v>3.9999999999999998E-7</v>
      </c>
      <c r="AH188" s="44">
        <v>3.9999999999999998E-7</v>
      </c>
      <c r="AI188" s="44">
        <v>3.9999999999999998E-7</v>
      </c>
      <c r="AJ188" s="44">
        <v>3.9999999999999998E-7</v>
      </c>
      <c r="AK188" s="44">
        <v>3.9999999999999998E-7</v>
      </c>
      <c r="AL188" s="44">
        <v>3.9999999999999998E-7</v>
      </c>
      <c r="AM188" s="44">
        <v>3.9999999999999998E-7</v>
      </c>
      <c r="AN188"/>
      <c r="AO188" s="44">
        <v>3.9999999999999998E-7</v>
      </c>
      <c r="AP188" s="44">
        <v>3.9999999999999998E-7</v>
      </c>
      <c r="AQ188" s="44">
        <v>3.9999999999999998E-7</v>
      </c>
      <c r="AR188" s="44">
        <v>3.9999999999999998E-7</v>
      </c>
      <c r="AS188"/>
      <c r="AT188" s="44">
        <v>3.9999999999999998E-7</v>
      </c>
      <c r="AU188"/>
      <c r="AV188"/>
      <c r="AW188" s="44">
        <v>3.9999999999999998E-7</v>
      </c>
    </row>
    <row r="189" spans="1:49" x14ac:dyDescent="0.25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N189" s="44">
        <v>25</v>
      </c>
      <c r="O189" s="44"/>
      <c r="P189" s="44">
        <v>25</v>
      </c>
      <c r="Q189" s="44">
        <v>25</v>
      </c>
      <c r="R189" s="44">
        <v>25</v>
      </c>
      <c r="U189" s="44">
        <v>25</v>
      </c>
      <c r="V189" s="44">
        <v>25</v>
      </c>
      <c r="W189" s="44">
        <v>25</v>
      </c>
      <c r="X189" s="44">
        <v>25</v>
      </c>
      <c r="Y189" s="44">
        <v>25</v>
      </c>
      <c r="Z189" s="44">
        <v>25</v>
      </c>
      <c r="AA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/>
      <c r="AG189" s="44">
        <v>25</v>
      </c>
      <c r="AH189" s="44">
        <v>25</v>
      </c>
      <c r="AI189" s="44">
        <v>25</v>
      </c>
      <c r="AJ189" s="44">
        <v>25</v>
      </c>
      <c r="AK189" s="44">
        <v>25</v>
      </c>
      <c r="AL189" s="44">
        <v>25</v>
      </c>
      <c r="AM189" s="44">
        <v>25</v>
      </c>
      <c r="AN189"/>
      <c r="AO189" s="44">
        <v>25</v>
      </c>
      <c r="AP189" s="44">
        <v>25</v>
      </c>
      <c r="AQ189" s="44">
        <v>25</v>
      </c>
      <c r="AR189" s="44">
        <v>25</v>
      </c>
      <c r="AS189"/>
      <c r="AT189" s="44">
        <v>25</v>
      </c>
      <c r="AU189"/>
      <c r="AV189"/>
      <c r="AW189" s="44">
        <v>25</v>
      </c>
    </row>
    <row r="190" spans="1:49" x14ac:dyDescent="0.25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N190" s="44">
        <v>0</v>
      </c>
      <c r="O190" s="44"/>
      <c r="P190" s="44">
        <v>0</v>
      </c>
      <c r="Q190" s="44">
        <v>0</v>
      </c>
      <c r="R190" s="44">
        <v>0</v>
      </c>
      <c r="U190" s="44">
        <v>0</v>
      </c>
      <c r="V190" s="44">
        <v>0</v>
      </c>
      <c r="W190" s="44">
        <v>0</v>
      </c>
      <c r="X190" s="44">
        <v>0</v>
      </c>
      <c r="Y190" s="44">
        <v>0</v>
      </c>
      <c r="Z190" s="44">
        <v>0</v>
      </c>
      <c r="AA190" s="44">
        <v>0</v>
      </c>
      <c r="AB190" s="44">
        <v>0</v>
      </c>
      <c r="AC190" s="44">
        <v>0</v>
      </c>
      <c r="AD190" s="44">
        <v>0</v>
      </c>
      <c r="AE190" s="44">
        <v>0</v>
      </c>
      <c r="AF190"/>
      <c r="AG190" s="44">
        <v>0</v>
      </c>
      <c r="AH190" s="44">
        <v>0</v>
      </c>
      <c r="AI190" s="44">
        <v>0</v>
      </c>
      <c r="AJ190" s="44">
        <v>0</v>
      </c>
      <c r="AK190" s="44">
        <v>0</v>
      </c>
      <c r="AL190" s="44">
        <v>0</v>
      </c>
      <c r="AM190" s="44">
        <v>0</v>
      </c>
      <c r="AN190"/>
      <c r="AO190" s="44">
        <v>0</v>
      </c>
      <c r="AP190" s="44">
        <v>0</v>
      </c>
      <c r="AQ190" s="44">
        <v>0</v>
      </c>
      <c r="AR190" s="44">
        <v>0</v>
      </c>
      <c r="AS190"/>
      <c r="AT190" s="44">
        <v>0</v>
      </c>
      <c r="AU190"/>
      <c r="AV190"/>
      <c r="AW190" s="44">
        <v>0</v>
      </c>
    </row>
    <row r="191" spans="1:49" x14ac:dyDescent="0.25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N191" s="44">
        <v>3.98</v>
      </c>
      <c r="O191" s="44"/>
      <c r="P191" s="44">
        <v>3.98</v>
      </c>
      <c r="Q191" s="44">
        <v>3.98</v>
      </c>
      <c r="R191" s="44">
        <v>3.98</v>
      </c>
      <c r="U191" s="44">
        <v>3.98</v>
      </c>
      <c r="V191" s="44">
        <v>3.98</v>
      </c>
      <c r="W191" s="44">
        <v>3.98</v>
      </c>
      <c r="X191" s="44">
        <v>3.98</v>
      </c>
      <c r="Y191" s="44">
        <v>3.98</v>
      </c>
      <c r="Z191" s="44">
        <v>3.98</v>
      </c>
      <c r="AA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/>
      <c r="AG191" s="44">
        <v>3.98</v>
      </c>
      <c r="AH191" s="44">
        <v>3.98</v>
      </c>
      <c r="AI191" s="44">
        <v>3.98</v>
      </c>
      <c r="AJ191" s="44">
        <v>3.98</v>
      </c>
      <c r="AK191" s="44">
        <v>3.98</v>
      </c>
      <c r="AL191" s="44">
        <v>3.98</v>
      </c>
      <c r="AM191" s="44">
        <v>3.98</v>
      </c>
      <c r="AN191"/>
      <c r="AO191" s="44">
        <v>3.98</v>
      </c>
      <c r="AP191" s="44">
        <v>3.98</v>
      </c>
      <c r="AQ191" s="44">
        <v>3.98</v>
      </c>
      <c r="AR191" s="44">
        <v>3.98</v>
      </c>
      <c r="AS191"/>
      <c r="AT191" s="44">
        <v>3.98</v>
      </c>
      <c r="AU191"/>
      <c r="AV191"/>
      <c r="AW191" s="44">
        <v>3.98</v>
      </c>
    </row>
    <row r="192" spans="1:49" x14ac:dyDescent="0.25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N192" s="44">
        <v>1</v>
      </c>
      <c r="O192" s="44"/>
      <c r="P192" s="44">
        <v>1</v>
      </c>
      <c r="Q192" s="44">
        <v>1</v>
      </c>
      <c r="R192" s="44">
        <v>1</v>
      </c>
      <c r="U192" s="44">
        <v>1</v>
      </c>
      <c r="V192" s="44">
        <v>1</v>
      </c>
      <c r="W192" s="44">
        <v>1</v>
      </c>
      <c r="X192" s="44">
        <v>1</v>
      </c>
      <c r="Y192" s="44">
        <v>1</v>
      </c>
      <c r="Z192" s="44">
        <v>1</v>
      </c>
      <c r="AA192" s="44">
        <v>1</v>
      </c>
      <c r="AB192" s="44">
        <v>1</v>
      </c>
      <c r="AC192" s="44">
        <v>1</v>
      </c>
      <c r="AD192" s="44">
        <v>1</v>
      </c>
      <c r="AE192" s="44">
        <v>1</v>
      </c>
      <c r="AF192"/>
      <c r="AG192" s="44">
        <v>1</v>
      </c>
      <c r="AH192" s="44">
        <v>1</v>
      </c>
      <c r="AI192" s="44">
        <v>1</v>
      </c>
      <c r="AJ192" s="44">
        <v>1</v>
      </c>
      <c r="AK192" s="44">
        <v>1</v>
      </c>
      <c r="AL192" s="44">
        <v>1</v>
      </c>
      <c r="AM192" s="44">
        <v>1</v>
      </c>
      <c r="AN192"/>
      <c r="AO192" s="44">
        <v>1</v>
      </c>
      <c r="AP192" s="44">
        <v>1</v>
      </c>
      <c r="AQ192" s="44">
        <v>1</v>
      </c>
      <c r="AR192" s="44">
        <v>1</v>
      </c>
      <c r="AS192"/>
      <c r="AT192" s="44">
        <v>1</v>
      </c>
      <c r="AU192"/>
      <c r="AV192"/>
      <c r="AW192" s="44">
        <v>1</v>
      </c>
    </row>
    <row r="193" spans="1:57" x14ac:dyDescent="0.25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N193" s="44">
        <v>8.3333333333333331E-5</v>
      </c>
      <c r="O193" s="44"/>
      <c r="P193" s="44">
        <v>8.3333333333333331E-5</v>
      </c>
      <c r="Q193" s="44">
        <v>8.3333333333333331E-5</v>
      </c>
      <c r="R193" s="44">
        <v>8.3333333333333331E-5</v>
      </c>
      <c r="U193" s="44">
        <v>8.3333333333333331E-5</v>
      </c>
      <c r="V193" s="44">
        <v>8.3333333333333331E-5</v>
      </c>
      <c r="W193" s="44">
        <v>8.3333333333333331E-5</v>
      </c>
      <c r="X193" s="44">
        <v>8.3333333333333331E-5</v>
      </c>
      <c r="Y193" s="44">
        <v>8.3333333333333331E-5</v>
      </c>
      <c r="Z193" s="44">
        <v>8.3333333333333331E-5</v>
      </c>
      <c r="AA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/>
      <c r="AG193" s="44">
        <v>8.3333333333333331E-5</v>
      </c>
      <c r="AH193" s="44">
        <v>8.3333333333333331E-5</v>
      </c>
      <c r="AI193" s="44">
        <v>8.3333333333333331E-5</v>
      </c>
      <c r="AJ193" s="44">
        <v>8.3333333333333331E-5</v>
      </c>
      <c r="AK193" s="44">
        <v>8.3333333333333331E-5</v>
      </c>
      <c r="AL193" s="44">
        <v>8.3333333333333331E-5</v>
      </c>
      <c r="AM193" s="44">
        <v>8.3333333333333331E-5</v>
      </c>
      <c r="AN193"/>
      <c r="AO193" s="44">
        <v>8.3333333333333331E-5</v>
      </c>
      <c r="AP193" s="44">
        <v>8.3333333333333331E-5</v>
      </c>
      <c r="AQ193" s="44">
        <v>8.3333333333333331E-5</v>
      </c>
      <c r="AR193" s="44">
        <v>8.3333333333333331E-5</v>
      </c>
      <c r="AS193"/>
      <c r="AT193" s="44">
        <v>8.3333333333333331E-5</v>
      </c>
      <c r="AU193"/>
      <c r="AV193"/>
      <c r="AW193" s="44">
        <v>8.3333333333333331E-5</v>
      </c>
    </row>
    <row r="194" spans="1:57" x14ac:dyDescent="0.25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N194" s="44">
        <v>3.9999999999999998E-7</v>
      </c>
      <c r="O194" s="44"/>
      <c r="P194" s="44">
        <v>3.9999999999999998E-7</v>
      </c>
      <c r="Q194" s="44">
        <v>3.9999999999999998E-7</v>
      </c>
      <c r="R194" s="44">
        <v>3.9999999999999998E-7</v>
      </c>
      <c r="U194" s="44">
        <v>3.9999999999999998E-7</v>
      </c>
      <c r="V194" s="44">
        <v>3.9999999999999998E-7</v>
      </c>
      <c r="W194" s="44">
        <v>3.9999999999999998E-7</v>
      </c>
      <c r="X194" s="44">
        <v>3.9999999999999998E-7</v>
      </c>
      <c r="Y194" s="44">
        <v>3.9999999999999998E-7</v>
      </c>
      <c r="Z194" s="44">
        <v>3.9999999999999998E-7</v>
      </c>
      <c r="AA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/>
      <c r="AG194" s="44">
        <v>3.9999999999999998E-7</v>
      </c>
      <c r="AH194" s="44">
        <v>3.9999999999999998E-7</v>
      </c>
      <c r="AI194" s="44">
        <v>3.9999999999999998E-7</v>
      </c>
      <c r="AJ194" s="44">
        <v>3.9999999999999998E-7</v>
      </c>
      <c r="AK194" s="44">
        <v>3.9999999999999998E-7</v>
      </c>
      <c r="AL194" s="44">
        <v>3.9999999999999998E-7</v>
      </c>
      <c r="AM194" s="44">
        <v>3.9999999999999998E-7</v>
      </c>
      <c r="AN194"/>
      <c r="AO194" s="44">
        <v>3.9999999999999998E-7</v>
      </c>
      <c r="AP194" s="44">
        <v>3.9999999999999998E-7</v>
      </c>
      <c r="AQ194" s="44">
        <v>3.9999999999999998E-7</v>
      </c>
      <c r="AR194" s="44">
        <v>3.9999999999999998E-7</v>
      </c>
      <c r="AS194"/>
      <c r="AT194" s="44">
        <v>3.9999999999999998E-7</v>
      </c>
      <c r="AU194"/>
      <c r="AV194"/>
      <c r="AW194" s="44">
        <v>3.9999999999999998E-7</v>
      </c>
    </row>
    <row r="195" spans="1:57" x14ac:dyDescent="0.25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N195" s="44">
        <v>25</v>
      </c>
      <c r="O195" s="44"/>
      <c r="P195" s="44">
        <v>25</v>
      </c>
      <c r="Q195" s="44">
        <v>25</v>
      </c>
      <c r="R195" s="44">
        <v>25</v>
      </c>
      <c r="U195" s="44">
        <v>25</v>
      </c>
      <c r="V195" s="44">
        <v>25</v>
      </c>
      <c r="W195" s="44">
        <v>25</v>
      </c>
      <c r="X195" s="44">
        <v>25</v>
      </c>
      <c r="Y195" s="44">
        <v>25</v>
      </c>
      <c r="Z195" s="44">
        <v>25</v>
      </c>
      <c r="AA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/>
      <c r="AG195" s="44">
        <v>25</v>
      </c>
      <c r="AH195" s="44">
        <v>25</v>
      </c>
      <c r="AI195" s="44">
        <v>25</v>
      </c>
      <c r="AJ195" s="44">
        <v>25</v>
      </c>
      <c r="AK195" s="44">
        <v>25</v>
      </c>
      <c r="AL195" s="44">
        <v>25</v>
      </c>
      <c r="AM195" s="44">
        <v>25</v>
      </c>
      <c r="AN195"/>
      <c r="AO195" s="44">
        <v>25</v>
      </c>
      <c r="AP195" s="44">
        <v>25</v>
      </c>
      <c r="AQ195" s="44">
        <v>25</v>
      </c>
      <c r="AR195" s="44">
        <v>25</v>
      </c>
      <c r="AS195"/>
      <c r="AT195" s="44">
        <v>25</v>
      </c>
      <c r="AU195"/>
      <c r="AV195"/>
      <c r="AW195" s="44">
        <v>25</v>
      </c>
    </row>
    <row r="196" spans="1:57" x14ac:dyDescent="0.25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N196" s="44">
        <v>0</v>
      </c>
      <c r="O196" s="44"/>
      <c r="P196" s="44">
        <v>0</v>
      </c>
      <c r="Q196" s="44">
        <v>0</v>
      </c>
      <c r="R196" s="44">
        <v>0</v>
      </c>
      <c r="U196" s="44">
        <v>0</v>
      </c>
      <c r="V196" s="44">
        <v>0</v>
      </c>
      <c r="W196" s="44">
        <v>0</v>
      </c>
      <c r="X196" s="44">
        <v>0</v>
      </c>
      <c r="Y196" s="44">
        <v>0</v>
      </c>
      <c r="Z196" s="44">
        <v>0</v>
      </c>
      <c r="AA196" s="44">
        <v>0</v>
      </c>
      <c r="AB196" s="44">
        <v>0</v>
      </c>
      <c r="AC196" s="44">
        <v>0</v>
      </c>
      <c r="AD196" s="44">
        <v>0</v>
      </c>
      <c r="AE196" s="44">
        <v>0</v>
      </c>
      <c r="AF196"/>
      <c r="AG196" s="44">
        <v>0</v>
      </c>
      <c r="AH196" s="44">
        <v>0</v>
      </c>
      <c r="AI196" s="44">
        <v>0</v>
      </c>
      <c r="AJ196" s="44">
        <v>0</v>
      </c>
      <c r="AK196" s="44">
        <v>0</v>
      </c>
      <c r="AL196" s="44">
        <v>0</v>
      </c>
      <c r="AM196" s="44">
        <v>0</v>
      </c>
      <c r="AN196"/>
      <c r="AO196" s="44">
        <v>0</v>
      </c>
      <c r="AP196" s="44">
        <v>0</v>
      </c>
      <c r="AQ196" s="44">
        <v>0</v>
      </c>
      <c r="AR196" s="44">
        <v>0</v>
      </c>
      <c r="AS196"/>
      <c r="AT196" s="44">
        <v>0</v>
      </c>
      <c r="AU196"/>
      <c r="AV196"/>
      <c r="AW196" s="44">
        <v>0</v>
      </c>
    </row>
    <row r="197" spans="1:57" x14ac:dyDescent="0.25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N197" s="44">
        <v>3.98</v>
      </c>
      <c r="O197" s="44"/>
      <c r="P197" s="44">
        <v>3.98</v>
      </c>
      <c r="Q197" s="44">
        <v>3.98</v>
      </c>
      <c r="R197" s="44">
        <v>3.98</v>
      </c>
      <c r="U197" s="44">
        <v>3.98</v>
      </c>
      <c r="V197" s="44">
        <v>3.98</v>
      </c>
      <c r="W197" s="44">
        <v>3.98</v>
      </c>
      <c r="X197" s="44">
        <v>3.98</v>
      </c>
      <c r="Y197" s="44">
        <v>3.98</v>
      </c>
      <c r="Z197" s="44">
        <v>3.98</v>
      </c>
      <c r="AA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/>
      <c r="AG197" s="44">
        <v>3.98</v>
      </c>
      <c r="AH197" s="44">
        <v>3.98</v>
      </c>
      <c r="AI197" s="44">
        <v>3.98</v>
      </c>
      <c r="AJ197" s="44">
        <v>3.98</v>
      </c>
      <c r="AK197" s="44">
        <v>3.98</v>
      </c>
      <c r="AL197" s="44">
        <v>3.98</v>
      </c>
      <c r="AM197" s="44">
        <v>3.98</v>
      </c>
      <c r="AN197"/>
      <c r="AO197" s="44">
        <v>3.98</v>
      </c>
      <c r="AP197" s="44">
        <v>3.98</v>
      </c>
      <c r="AQ197" s="44">
        <v>3.98</v>
      </c>
      <c r="AR197" s="44">
        <v>3.98</v>
      </c>
      <c r="AS197"/>
      <c r="AT197" s="44">
        <v>3.98</v>
      </c>
      <c r="AU197"/>
      <c r="AV197"/>
      <c r="AW197" s="44">
        <v>3.98</v>
      </c>
    </row>
    <row r="198" spans="1:57" x14ac:dyDescent="0.25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N198" s="44">
        <v>1</v>
      </c>
      <c r="O198" s="44"/>
      <c r="P198" s="44">
        <v>1</v>
      </c>
      <c r="Q198" s="44">
        <v>1</v>
      </c>
      <c r="R198" s="44">
        <v>1</v>
      </c>
      <c r="U198" s="44">
        <v>1</v>
      </c>
      <c r="V198" s="44">
        <v>1</v>
      </c>
      <c r="W198" s="44">
        <v>1</v>
      </c>
      <c r="X198" s="44">
        <v>1</v>
      </c>
      <c r="Y198" s="44">
        <v>1</v>
      </c>
      <c r="Z198" s="44">
        <v>1</v>
      </c>
      <c r="AA198" s="44">
        <v>1</v>
      </c>
      <c r="AB198" s="44">
        <v>1</v>
      </c>
      <c r="AC198" s="44">
        <v>1</v>
      </c>
      <c r="AD198" s="44">
        <v>1</v>
      </c>
      <c r="AE198" s="44">
        <v>1</v>
      </c>
      <c r="AF198"/>
      <c r="AG198" s="44">
        <v>1</v>
      </c>
      <c r="AH198" s="44">
        <v>1</v>
      </c>
      <c r="AI198" s="44">
        <v>1</v>
      </c>
      <c r="AJ198" s="44">
        <v>1</v>
      </c>
      <c r="AK198" s="44">
        <v>1</v>
      </c>
      <c r="AL198" s="44">
        <v>1</v>
      </c>
      <c r="AM198" s="44">
        <v>1</v>
      </c>
      <c r="AN198"/>
      <c r="AO198" s="44">
        <v>1</v>
      </c>
      <c r="AP198" s="44">
        <v>1</v>
      </c>
      <c r="AQ198" s="44">
        <v>1</v>
      </c>
      <c r="AR198" s="44">
        <v>1</v>
      </c>
      <c r="AS198"/>
      <c r="AT198" s="44">
        <v>1</v>
      </c>
      <c r="AU198"/>
      <c r="AV198"/>
      <c r="AW198" s="44">
        <v>1</v>
      </c>
    </row>
    <row r="199" spans="1:57" x14ac:dyDescent="0.25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N199" s="44">
        <v>8.3333333333333331E-5</v>
      </c>
      <c r="O199" s="44"/>
      <c r="P199" s="44">
        <v>8.3333333333333331E-5</v>
      </c>
      <c r="Q199" s="44">
        <v>8.3333333333333331E-5</v>
      </c>
      <c r="R199" s="44">
        <v>8.3333333333333331E-5</v>
      </c>
      <c r="U199" s="44">
        <v>8.3333333333333331E-5</v>
      </c>
      <c r="V199" s="44">
        <v>8.3333333333333331E-5</v>
      </c>
      <c r="W199" s="44">
        <v>8.3333333333333331E-5</v>
      </c>
      <c r="X199" s="44">
        <v>8.3333333333333331E-5</v>
      </c>
      <c r="Y199" s="44">
        <v>8.3333333333333331E-5</v>
      </c>
      <c r="Z199" s="44">
        <v>8.3333333333333331E-5</v>
      </c>
      <c r="AA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/>
      <c r="AG199" s="44">
        <v>8.3333333333333331E-5</v>
      </c>
      <c r="AH199" s="44">
        <v>8.3333333333333331E-5</v>
      </c>
      <c r="AI199" s="44">
        <v>8.3333333333333331E-5</v>
      </c>
      <c r="AJ199" s="44">
        <v>8.3333333333333331E-5</v>
      </c>
      <c r="AK199" s="44">
        <v>8.3333333333333331E-5</v>
      </c>
      <c r="AL199" s="44">
        <v>8.3333333333333331E-5</v>
      </c>
      <c r="AM199" s="44">
        <v>8.3333333333333331E-5</v>
      </c>
      <c r="AN199"/>
      <c r="AO199" s="44">
        <v>8.3333333333333331E-5</v>
      </c>
      <c r="AP199" s="44">
        <v>8.3333333333333331E-5</v>
      </c>
      <c r="AQ199" s="44">
        <v>8.3333333333333331E-5</v>
      </c>
      <c r="AR199" s="44">
        <v>8.3333333333333331E-5</v>
      </c>
      <c r="AS199"/>
      <c r="AT199" s="44">
        <v>8.3333333333333331E-5</v>
      </c>
      <c r="AU199"/>
      <c r="AV199"/>
      <c r="AW199" s="44">
        <v>8.3333333333333331E-5</v>
      </c>
    </row>
    <row r="200" spans="1:57" x14ac:dyDescent="0.25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N200" s="44">
        <v>1.9999999999999999E-7</v>
      </c>
      <c r="O200" s="44"/>
      <c r="P200" s="44">
        <v>1.9999999999999999E-7</v>
      </c>
      <c r="Q200" s="44">
        <v>1.9999999999999999E-7</v>
      </c>
      <c r="R200" s="44">
        <v>1.9999999999999999E-7</v>
      </c>
      <c r="U200" s="44">
        <v>1.9999999999999999E-7</v>
      </c>
      <c r="V200" s="44">
        <v>1.9999999999999999E-7</v>
      </c>
      <c r="W200" s="44">
        <v>1.9999999999999999E-7</v>
      </c>
      <c r="X200" s="44">
        <v>1.9999999999999999E-7</v>
      </c>
      <c r="Y200" s="44">
        <v>1.9999999999999999E-7</v>
      </c>
      <c r="Z200" s="44">
        <v>1.9999999999999999E-7</v>
      </c>
      <c r="AA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/>
      <c r="AG200" s="44">
        <v>1.9999999999999999E-7</v>
      </c>
      <c r="AH200" s="44">
        <v>1.9999999999999999E-7</v>
      </c>
      <c r="AI200" s="44">
        <v>1.9999999999999999E-7</v>
      </c>
      <c r="AJ200" s="44">
        <v>1.9999999999999999E-7</v>
      </c>
      <c r="AK200" s="44">
        <v>1.9999999999999999E-7</v>
      </c>
      <c r="AL200" s="44">
        <v>1.9999999999999999E-7</v>
      </c>
      <c r="AM200" s="44">
        <v>1.9999999999999999E-7</v>
      </c>
      <c r="AN200"/>
      <c r="AO200" s="44">
        <v>1.9999999999999999E-7</v>
      </c>
      <c r="AP200" s="44">
        <v>1.9999999999999999E-7</v>
      </c>
      <c r="AQ200" s="44">
        <v>1.9999999999999999E-7</v>
      </c>
      <c r="AR200" s="44">
        <v>1.9999999999999999E-7</v>
      </c>
      <c r="AS200"/>
      <c r="AT200" s="44">
        <v>1.9999999999999999E-7</v>
      </c>
      <c r="AU200"/>
      <c r="AV200"/>
      <c r="AW200" s="44">
        <v>1.9999999999999999E-7</v>
      </c>
    </row>
    <row r="201" spans="1:57" x14ac:dyDescent="0.25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N201" s="44">
        <v>25</v>
      </c>
      <c r="O201" s="44"/>
      <c r="P201" s="44">
        <v>25</v>
      </c>
      <c r="Q201" s="44">
        <v>25</v>
      </c>
      <c r="R201" s="44">
        <v>25</v>
      </c>
      <c r="U201" s="44">
        <v>25</v>
      </c>
      <c r="V201" s="44">
        <v>25</v>
      </c>
      <c r="W201" s="44">
        <v>25</v>
      </c>
      <c r="X201" s="44">
        <v>25</v>
      </c>
      <c r="Y201" s="44">
        <v>25</v>
      </c>
      <c r="Z201" s="44">
        <v>25</v>
      </c>
      <c r="AA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/>
      <c r="AG201" s="44">
        <v>25</v>
      </c>
      <c r="AH201" s="44">
        <v>25</v>
      </c>
      <c r="AI201" s="44">
        <v>25</v>
      </c>
      <c r="AJ201" s="44">
        <v>25</v>
      </c>
      <c r="AK201" s="44">
        <v>25</v>
      </c>
      <c r="AL201" s="44">
        <v>25</v>
      </c>
      <c r="AM201" s="44">
        <v>25</v>
      </c>
      <c r="AN201"/>
      <c r="AO201" s="44">
        <v>25</v>
      </c>
      <c r="AP201" s="44">
        <v>25</v>
      </c>
      <c r="AQ201" s="44">
        <v>25</v>
      </c>
      <c r="AR201" s="44">
        <v>25</v>
      </c>
      <c r="AS201"/>
      <c r="AT201" s="44">
        <v>25</v>
      </c>
      <c r="AU201"/>
      <c r="AV201"/>
      <c r="AW201" s="44">
        <v>25</v>
      </c>
    </row>
    <row r="202" spans="1:57" x14ac:dyDescent="0.25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N202" s="44">
        <v>0</v>
      </c>
      <c r="O202" s="44"/>
      <c r="P202" s="44">
        <v>0</v>
      </c>
      <c r="Q202" s="44">
        <v>0</v>
      </c>
      <c r="R202" s="44">
        <v>0</v>
      </c>
      <c r="U202" s="44">
        <v>0</v>
      </c>
      <c r="V202" s="44">
        <v>0</v>
      </c>
      <c r="W202" s="44">
        <v>0</v>
      </c>
      <c r="X202" s="44">
        <v>0</v>
      </c>
      <c r="Y202" s="44">
        <v>0</v>
      </c>
      <c r="Z202" s="44">
        <v>0</v>
      </c>
      <c r="AA202" s="44">
        <v>0</v>
      </c>
      <c r="AB202" s="44">
        <v>0</v>
      </c>
      <c r="AC202" s="44">
        <v>0</v>
      </c>
      <c r="AD202" s="44">
        <v>0</v>
      </c>
      <c r="AE202" s="44">
        <v>0</v>
      </c>
      <c r="AF202"/>
      <c r="AG202" s="44">
        <v>0</v>
      </c>
      <c r="AH202" s="44">
        <v>0</v>
      </c>
      <c r="AI202" s="44">
        <v>0</v>
      </c>
      <c r="AJ202" s="44">
        <v>0</v>
      </c>
      <c r="AK202" s="44">
        <v>0</v>
      </c>
      <c r="AL202" s="44">
        <v>0</v>
      </c>
      <c r="AM202" s="44">
        <v>0</v>
      </c>
      <c r="AN202"/>
      <c r="AO202" s="44">
        <v>0</v>
      </c>
      <c r="AP202" s="44">
        <v>0</v>
      </c>
      <c r="AQ202" s="44">
        <v>0</v>
      </c>
      <c r="AR202" s="44">
        <v>0</v>
      </c>
      <c r="AS202"/>
      <c r="AT202" s="44">
        <v>0</v>
      </c>
      <c r="AU202"/>
      <c r="AV202"/>
      <c r="AW202" s="44">
        <v>0</v>
      </c>
    </row>
    <row r="203" spans="1:57" x14ac:dyDescent="0.25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N203" s="44">
        <v>3.98</v>
      </c>
      <c r="O203" s="44"/>
      <c r="P203" s="44">
        <v>3.98</v>
      </c>
      <c r="Q203" s="44">
        <v>3.98</v>
      </c>
      <c r="R203" s="44">
        <v>3.98</v>
      </c>
      <c r="U203" s="44">
        <v>3.98</v>
      </c>
      <c r="V203" s="44">
        <v>3.98</v>
      </c>
      <c r="W203" s="44">
        <v>3.98</v>
      </c>
      <c r="X203" s="44">
        <v>3.98</v>
      </c>
      <c r="Y203" s="44">
        <v>3.98</v>
      </c>
      <c r="Z203" s="44">
        <v>3.98</v>
      </c>
      <c r="AA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/>
      <c r="AG203" s="44">
        <v>3.98</v>
      </c>
      <c r="AH203" s="44">
        <v>3.98</v>
      </c>
      <c r="AI203" s="44">
        <v>3.98</v>
      </c>
      <c r="AJ203" s="44">
        <v>3.98</v>
      </c>
      <c r="AK203" s="44">
        <v>3.98</v>
      </c>
      <c r="AL203" s="44">
        <v>3.98</v>
      </c>
      <c r="AM203" s="44">
        <v>3.98</v>
      </c>
      <c r="AN203"/>
      <c r="AO203" s="44">
        <v>3.98</v>
      </c>
      <c r="AP203" s="44">
        <v>3.98</v>
      </c>
      <c r="AQ203" s="44">
        <v>3.98</v>
      </c>
      <c r="AR203" s="44">
        <v>3.98</v>
      </c>
      <c r="AS203"/>
      <c r="AT203" s="44">
        <v>3.98</v>
      </c>
      <c r="AU203"/>
      <c r="AV203"/>
      <c r="AW203" s="44">
        <v>3.98</v>
      </c>
    </row>
    <row r="204" spans="1:57" x14ac:dyDescent="0.25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N204" s="44">
        <v>1</v>
      </c>
      <c r="O204" s="44"/>
      <c r="P204" s="44">
        <v>1</v>
      </c>
      <c r="Q204" s="44">
        <v>1</v>
      </c>
      <c r="R204" s="44">
        <v>1</v>
      </c>
      <c r="U204" s="44">
        <v>1</v>
      </c>
      <c r="V204" s="44">
        <v>1</v>
      </c>
      <c r="W204" s="44">
        <v>1</v>
      </c>
      <c r="X204" s="44">
        <v>1</v>
      </c>
      <c r="Y204" s="44">
        <v>1</v>
      </c>
      <c r="Z204" s="44">
        <v>1</v>
      </c>
      <c r="AA204" s="44">
        <v>1</v>
      </c>
      <c r="AB204" s="44">
        <v>1</v>
      </c>
      <c r="AC204" s="44">
        <v>1</v>
      </c>
      <c r="AD204" s="44">
        <v>1</v>
      </c>
      <c r="AE204" s="44">
        <v>1</v>
      </c>
      <c r="AF204"/>
      <c r="AG204" s="44">
        <v>1</v>
      </c>
      <c r="AH204" s="44">
        <v>1</v>
      </c>
      <c r="AI204" s="44">
        <v>1</v>
      </c>
      <c r="AJ204" s="44">
        <v>1</v>
      </c>
      <c r="AK204" s="44">
        <v>1</v>
      </c>
      <c r="AL204" s="44">
        <v>1</v>
      </c>
      <c r="AM204" s="44">
        <v>1</v>
      </c>
      <c r="AN204"/>
      <c r="AO204" s="44">
        <v>1</v>
      </c>
      <c r="AP204" s="44">
        <v>1</v>
      </c>
      <c r="AQ204" s="44">
        <v>1</v>
      </c>
      <c r="AR204" s="44">
        <v>1</v>
      </c>
      <c r="AS204"/>
      <c r="AT204" s="44">
        <v>1</v>
      </c>
      <c r="AU204"/>
      <c r="AV204"/>
      <c r="AW204" s="44">
        <v>1</v>
      </c>
    </row>
    <row r="205" spans="1:57" x14ac:dyDescent="0.25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N205" s="44">
        <v>8.3333333333333331E-5</v>
      </c>
      <c r="O205" s="44"/>
      <c r="P205" s="44">
        <v>8.3333333333333331E-5</v>
      </c>
      <c r="Q205" s="44">
        <v>8.3333333333333331E-5</v>
      </c>
      <c r="R205" s="44">
        <v>8.3333333333333331E-5</v>
      </c>
      <c r="U205" s="44">
        <v>8.3333333333333331E-5</v>
      </c>
      <c r="V205" s="44">
        <v>8.3333333333333331E-5</v>
      </c>
      <c r="W205" s="44">
        <v>8.3333333333333331E-5</v>
      </c>
      <c r="X205" s="44">
        <v>8.3333333333333331E-5</v>
      </c>
      <c r="Y205" s="44">
        <v>8.3333333333333331E-5</v>
      </c>
      <c r="Z205" s="44">
        <v>8.3333333333333331E-5</v>
      </c>
      <c r="AA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/>
      <c r="AG205" s="44">
        <v>8.3333333333333331E-5</v>
      </c>
      <c r="AH205" s="44">
        <v>8.3333333333333331E-5</v>
      </c>
      <c r="AI205" s="44">
        <v>8.3333333333333331E-5</v>
      </c>
      <c r="AJ205" s="44">
        <v>8.3333333333333331E-5</v>
      </c>
      <c r="AK205" s="44">
        <v>8.3333333333333331E-5</v>
      </c>
      <c r="AL205" s="44">
        <v>8.3333333333333331E-5</v>
      </c>
      <c r="AM205" s="44">
        <v>8.3333333333333331E-5</v>
      </c>
      <c r="AN205"/>
      <c r="AO205" s="44">
        <v>8.3333333333333331E-5</v>
      </c>
      <c r="AP205" s="44">
        <v>8.3333333333333331E-5</v>
      </c>
      <c r="AQ205" s="44">
        <v>8.3333333333333331E-5</v>
      </c>
      <c r="AR205" s="44">
        <v>8.3333333333333331E-5</v>
      </c>
      <c r="AS205"/>
      <c r="AT205" s="44">
        <v>8.3333333333333331E-5</v>
      </c>
      <c r="AU205"/>
      <c r="AV205"/>
      <c r="AW205" s="44">
        <v>8.3333333333333331E-5</v>
      </c>
    </row>
    <row r="206" spans="1:57" x14ac:dyDescent="0.25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N206" s="44" t="s">
        <v>89</v>
      </c>
      <c r="O206" s="44"/>
      <c r="P206" s="44" t="s">
        <v>89</v>
      </c>
      <c r="Q206" s="44" t="s">
        <v>89</v>
      </c>
      <c r="R206" s="44" t="s">
        <v>89</v>
      </c>
      <c r="U206" s="44" t="s">
        <v>89</v>
      </c>
      <c r="V206" s="44" t="s">
        <v>89</v>
      </c>
      <c r="W206" s="44" t="s">
        <v>89</v>
      </c>
      <c r="X206" s="44" t="s">
        <v>89</v>
      </c>
      <c r="Y206" s="44" t="s">
        <v>89</v>
      </c>
      <c r="Z206" s="44" t="s">
        <v>89</v>
      </c>
      <c r="AA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/>
      <c r="AG206" s="44" t="s">
        <v>89</v>
      </c>
      <c r="AH206" s="44" t="s">
        <v>89</v>
      </c>
      <c r="AI206" s="44" t="s">
        <v>89</v>
      </c>
      <c r="AJ206" s="44" t="s">
        <v>89</v>
      </c>
      <c r="AK206" s="44" t="s">
        <v>89</v>
      </c>
      <c r="AL206" s="44" t="s">
        <v>89</v>
      </c>
      <c r="AM206" s="44" t="s">
        <v>89</v>
      </c>
      <c r="AN206"/>
      <c r="AO206" s="44" t="s">
        <v>89</v>
      </c>
      <c r="AP206" s="44" t="s">
        <v>89</v>
      </c>
      <c r="AQ206" s="44" t="s">
        <v>89</v>
      </c>
      <c r="AR206" s="44" t="s">
        <v>89</v>
      </c>
      <c r="AS206"/>
      <c r="AT206" s="44" t="s">
        <v>89</v>
      </c>
      <c r="AU206"/>
      <c r="AV206"/>
      <c r="AW206" s="44" t="s">
        <v>89</v>
      </c>
    </row>
    <row r="207" spans="1:57" x14ac:dyDescent="0.25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N207" s="44">
        <f>0.0000005*0.4285*10/2.028*4</f>
        <v>4.2258382642998024E-6</v>
      </c>
      <c r="O207" s="44"/>
      <c r="P207" s="44">
        <f t="shared" ref="P207:AW207" si="13">0.00002</f>
        <v>2.0000000000000002E-5</v>
      </c>
      <c r="Q207" s="44">
        <f t="shared" si="13"/>
        <v>2.0000000000000002E-5</v>
      </c>
      <c r="R207" s="44">
        <f t="shared" si="13"/>
        <v>2.0000000000000002E-5</v>
      </c>
      <c r="U207" s="44">
        <f t="shared" si="13"/>
        <v>2.0000000000000002E-5</v>
      </c>
      <c r="V207" s="44">
        <f t="shared" si="13"/>
        <v>2.0000000000000002E-5</v>
      </c>
      <c r="W207" s="44">
        <f t="shared" si="13"/>
        <v>2.0000000000000002E-5</v>
      </c>
      <c r="X207" s="44">
        <f t="shared" si="13"/>
        <v>2.0000000000000002E-5</v>
      </c>
      <c r="Y207" s="44">
        <f t="shared" si="13"/>
        <v>2.0000000000000002E-5</v>
      </c>
      <c r="Z207" s="44">
        <f t="shared" si="13"/>
        <v>2.0000000000000002E-5</v>
      </c>
      <c r="AA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/>
      <c r="AG207" s="44">
        <f t="shared" si="13"/>
        <v>2.0000000000000002E-5</v>
      </c>
      <c r="AH207" s="44">
        <f t="shared" si="13"/>
        <v>2.0000000000000002E-5</v>
      </c>
      <c r="AI207" s="44">
        <f t="shared" si="13"/>
        <v>2.0000000000000002E-5</v>
      </c>
      <c r="AJ207" s="44">
        <f t="shared" si="13"/>
        <v>2.0000000000000002E-5</v>
      </c>
      <c r="AK207" s="44">
        <f t="shared" si="13"/>
        <v>2.0000000000000002E-5</v>
      </c>
      <c r="AL207" s="44">
        <f t="shared" si="13"/>
        <v>2.0000000000000002E-5</v>
      </c>
      <c r="AM207" s="44">
        <f t="shared" si="13"/>
        <v>2.0000000000000002E-5</v>
      </c>
      <c r="AN207"/>
      <c r="AO207" s="44">
        <f t="shared" si="13"/>
        <v>2.0000000000000002E-5</v>
      </c>
      <c r="AP207" s="44">
        <f t="shared" si="13"/>
        <v>2.0000000000000002E-5</v>
      </c>
      <c r="AQ207" s="44">
        <f t="shared" si="13"/>
        <v>2.0000000000000002E-5</v>
      </c>
      <c r="AR207" s="44">
        <f t="shared" si="13"/>
        <v>2.0000000000000002E-5</v>
      </c>
      <c r="AS207"/>
      <c r="AT207" s="44">
        <f t="shared" si="13"/>
        <v>2.0000000000000002E-5</v>
      </c>
      <c r="AU207"/>
      <c r="AV207"/>
      <c r="AW207" s="44">
        <f t="shared" si="13"/>
        <v>2.0000000000000002E-5</v>
      </c>
      <c r="AX207" s="1"/>
      <c r="AY207" s="1"/>
      <c r="AZ207" s="1"/>
      <c r="BA207" s="1"/>
      <c r="BB207" s="1"/>
      <c r="BC207" s="1"/>
      <c r="BD207" s="1"/>
      <c r="BE207" s="1"/>
    </row>
    <row r="208" spans="1:57" x14ac:dyDescent="0.25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N208" s="44">
        <v>0.25</v>
      </c>
      <c r="O208" s="44"/>
      <c r="P208" s="44">
        <v>0.3</v>
      </c>
      <c r="Q208" s="44">
        <v>0.3</v>
      </c>
      <c r="R208" s="44">
        <v>0.3</v>
      </c>
      <c r="U208" s="44">
        <v>0.3</v>
      </c>
      <c r="V208" s="44">
        <v>0.3</v>
      </c>
      <c r="W208" s="44">
        <v>0.3</v>
      </c>
      <c r="X208" s="44">
        <v>0.3</v>
      </c>
      <c r="Y208" s="44">
        <v>0.3</v>
      </c>
      <c r="Z208" s="44">
        <v>0.3</v>
      </c>
      <c r="AA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/>
      <c r="AG208" s="44">
        <v>0.3</v>
      </c>
      <c r="AH208" s="44">
        <v>0.3</v>
      </c>
      <c r="AI208" s="44">
        <v>0.3</v>
      </c>
      <c r="AJ208" s="44">
        <v>0.3</v>
      </c>
      <c r="AK208" s="44">
        <v>0.15</v>
      </c>
      <c r="AL208" s="44">
        <v>0.15</v>
      </c>
      <c r="AM208" s="44">
        <v>0.15</v>
      </c>
      <c r="AN208"/>
      <c r="AO208" s="44">
        <v>0.15</v>
      </c>
      <c r="AP208" s="44">
        <v>0.15</v>
      </c>
      <c r="AQ208" s="44">
        <v>0.15</v>
      </c>
      <c r="AR208" s="44">
        <v>0.15</v>
      </c>
      <c r="AS208"/>
      <c r="AT208" s="44">
        <v>0.15</v>
      </c>
      <c r="AU208"/>
      <c r="AV208"/>
      <c r="AW208" s="44">
        <v>0.3</v>
      </c>
      <c r="AX208" s="51"/>
      <c r="AY208" s="51"/>
      <c r="AZ208" s="51"/>
      <c r="BA208" s="51"/>
      <c r="BB208" s="51"/>
      <c r="BC208" s="51"/>
      <c r="BD208" s="51"/>
      <c r="BE208" s="51"/>
    </row>
    <row r="209" spans="1:57" x14ac:dyDescent="0.25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AW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N209" s="44">
        <f t="shared" si="14"/>
        <v>1.4285714285714286E-6</v>
      </c>
      <c r="O209" s="44"/>
      <c r="P209" s="44">
        <f t="shared" si="14"/>
        <v>1.4285714285714286E-6</v>
      </c>
      <c r="Q209" s="44">
        <v>2E-3</v>
      </c>
      <c r="R209" s="44">
        <f t="shared" si="14"/>
        <v>1.4285714285714286E-6</v>
      </c>
      <c r="U209" s="44">
        <f t="shared" si="14"/>
        <v>1.4285714285714286E-6</v>
      </c>
      <c r="V209" s="44">
        <f t="shared" si="14"/>
        <v>1.4285714285714286E-6</v>
      </c>
      <c r="W209" s="44">
        <f t="shared" si="14"/>
        <v>1.4285714285714286E-6</v>
      </c>
      <c r="X209" s="44">
        <f t="shared" si="14"/>
        <v>1.4285714285714286E-6</v>
      </c>
      <c r="Y209" s="44">
        <f t="shared" si="14"/>
        <v>1.4285714285714286E-6</v>
      </c>
      <c r="Z209" s="44">
        <f t="shared" si="14"/>
        <v>1.4285714285714286E-6</v>
      </c>
      <c r="AA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/>
      <c r="AG209" s="44">
        <f t="shared" si="14"/>
        <v>1.4285714285714286E-6</v>
      </c>
      <c r="AH209" s="44">
        <f t="shared" si="14"/>
        <v>1.4285714285714286E-6</v>
      </c>
      <c r="AI209" s="44">
        <f t="shared" si="14"/>
        <v>1.4285714285714286E-6</v>
      </c>
      <c r="AJ209" s="44">
        <f t="shared" si="14"/>
        <v>1.4285714285714286E-6</v>
      </c>
      <c r="AK209" s="44">
        <f t="shared" si="14"/>
        <v>1.4285714285714286E-6</v>
      </c>
      <c r="AL209" s="44">
        <f t="shared" si="14"/>
        <v>1.4285714285714286E-6</v>
      </c>
      <c r="AM209" s="44">
        <f t="shared" si="14"/>
        <v>1.4285714285714286E-6</v>
      </c>
      <c r="AN209"/>
      <c r="AO209" s="44">
        <f t="shared" si="14"/>
        <v>1.4285714285714286E-6</v>
      </c>
      <c r="AP209" s="44">
        <f t="shared" si="14"/>
        <v>1.4285714285714286E-6</v>
      </c>
      <c r="AQ209" s="44">
        <f t="shared" si="14"/>
        <v>1.4285714285714286E-6</v>
      </c>
      <c r="AR209" s="44">
        <f t="shared" si="14"/>
        <v>1.4285714285714286E-6</v>
      </c>
      <c r="AS209"/>
      <c r="AT209" s="44">
        <v>2E-3</v>
      </c>
      <c r="AU209"/>
      <c r="AV209"/>
      <c r="AW209" s="44">
        <f t="shared" si="14"/>
        <v>1.4285714285714286E-6</v>
      </c>
      <c r="AX209" s="37"/>
      <c r="AY209" s="37"/>
      <c r="AZ209" s="37"/>
      <c r="BA209" s="37"/>
      <c r="BB209" s="37"/>
      <c r="BC209" s="37"/>
      <c r="BD209" s="37"/>
      <c r="BE209" s="37"/>
    </row>
    <row r="210" spans="1:57" x14ac:dyDescent="0.25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N210" s="44" t="s">
        <v>485</v>
      </c>
      <c r="O210" s="44"/>
      <c r="P210" s="44" t="s">
        <v>485</v>
      </c>
      <c r="Q210" s="44">
        <v>0.1</v>
      </c>
      <c r="R210" s="44" t="s">
        <v>485</v>
      </c>
      <c r="U210" s="44" t="s">
        <v>485</v>
      </c>
      <c r="V210" s="44" t="s">
        <v>485</v>
      </c>
      <c r="W210" s="44" t="s">
        <v>485</v>
      </c>
      <c r="X210" s="44" t="s">
        <v>485</v>
      </c>
      <c r="Y210" s="44" t="s">
        <v>485</v>
      </c>
      <c r="Z210" s="44" t="s">
        <v>485</v>
      </c>
      <c r="AA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/>
      <c r="AG210" s="44" t="s">
        <v>485</v>
      </c>
      <c r="AH210" s="44" t="s">
        <v>485</v>
      </c>
      <c r="AI210" s="44" t="s">
        <v>485</v>
      </c>
      <c r="AJ210" s="44" t="s">
        <v>485</v>
      </c>
      <c r="AK210" s="44" t="s">
        <v>485</v>
      </c>
      <c r="AL210" s="44" t="s">
        <v>485</v>
      </c>
      <c r="AM210" s="44" t="s">
        <v>485</v>
      </c>
      <c r="AN210"/>
      <c r="AO210" s="44" t="s">
        <v>485</v>
      </c>
      <c r="AP210" s="44" t="s">
        <v>485</v>
      </c>
      <c r="AQ210" s="44" t="s">
        <v>485</v>
      </c>
      <c r="AR210" s="44" t="s">
        <v>485</v>
      </c>
      <c r="AS210"/>
      <c r="AT210" s="44">
        <v>0.1</v>
      </c>
      <c r="AU210"/>
      <c r="AV210"/>
      <c r="AW210" s="44" t="s">
        <v>485</v>
      </c>
      <c r="AX210" s="37"/>
      <c r="AY210" s="37"/>
      <c r="AZ210" s="37"/>
      <c r="BA210" s="37"/>
      <c r="BB210" s="37"/>
      <c r="BC210" s="37"/>
      <c r="BD210" s="37"/>
      <c r="BE210" s="37"/>
    </row>
    <row r="211" spans="1:57" x14ac:dyDescent="0.25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N211" s="44">
        <v>0</v>
      </c>
      <c r="O211" s="44"/>
      <c r="P211" s="44">
        <v>0</v>
      </c>
      <c r="Q211" s="44">
        <v>0.04</v>
      </c>
      <c r="R211" s="44">
        <v>0</v>
      </c>
      <c r="U211" s="44">
        <v>0</v>
      </c>
      <c r="V211" s="44">
        <v>0</v>
      </c>
      <c r="W211" s="44">
        <v>0</v>
      </c>
      <c r="X211" s="44">
        <v>0</v>
      </c>
      <c r="Y211" s="44">
        <v>0</v>
      </c>
      <c r="Z211" s="44">
        <v>0</v>
      </c>
      <c r="AA211" s="44">
        <v>0</v>
      </c>
      <c r="AB211" s="44">
        <v>0</v>
      </c>
      <c r="AC211" s="44">
        <v>0</v>
      </c>
      <c r="AD211" s="44">
        <v>0</v>
      </c>
      <c r="AE211" s="44">
        <v>0</v>
      </c>
      <c r="AF211"/>
      <c r="AG211" s="44">
        <v>0</v>
      </c>
      <c r="AH211" s="44">
        <v>0</v>
      </c>
      <c r="AI211" s="44">
        <v>0</v>
      </c>
      <c r="AJ211" s="44">
        <v>0</v>
      </c>
      <c r="AK211" s="44">
        <v>0</v>
      </c>
      <c r="AL211" s="44">
        <v>0</v>
      </c>
      <c r="AM211" s="44">
        <v>0</v>
      </c>
      <c r="AN211"/>
      <c r="AO211" s="44">
        <v>0</v>
      </c>
      <c r="AP211" s="44">
        <v>0</v>
      </c>
      <c r="AQ211" s="44">
        <v>0</v>
      </c>
      <c r="AR211" s="44">
        <v>0</v>
      </c>
      <c r="AS211"/>
      <c r="AT211" s="44">
        <v>0.04</v>
      </c>
      <c r="AU211"/>
      <c r="AV211"/>
      <c r="AW211" s="44">
        <v>0</v>
      </c>
      <c r="AX211" s="37"/>
      <c r="AY211" s="37"/>
      <c r="AZ211" s="37"/>
      <c r="BA211" s="37"/>
      <c r="BB211" s="37"/>
      <c r="BC211" s="37"/>
      <c r="BD211" s="37"/>
      <c r="BE211" s="37"/>
    </row>
    <row r="212" spans="1:57" x14ac:dyDescent="0.25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N212" s="44">
        <v>1E-3</v>
      </c>
      <c r="O212" s="44"/>
      <c r="P212" s="44">
        <v>1E-3</v>
      </c>
      <c r="Q212" s="44">
        <v>1E-3</v>
      </c>
      <c r="R212" s="44">
        <v>1E-3</v>
      </c>
      <c r="U212" s="44">
        <v>1E-3</v>
      </c>
      <c r="V212" s="44">
        <v>1E-3</v>
      </c>
      <c r="W212" s="44">
        <v>1E-3</v>
      </c>
      <c r="X212" s="44">
        <v>1E-3</v>
      </c>
      <c r="Y212" s="44">
        <v>1E-3</v>
      </c>
      <c r="Z212" s="44">
        <v>1E-3</v>
      </c>
      <c r="AA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/>
      <c r="AG212" s="44">
        <v>1E-3</v>
      </c>
      <c r="AH212" s="44">
        <v>1E-3</v>
      </c>
      <c r="AI212" s="44">
        <v>1E-3</v>
      </c>
      <c r="AJ212" s="44">
        <v>1E-3</v>
      </c>
      <c r="AK212" s="44">
        <v>1E-3</v>
      </c>
      <c r="AL212" s="44">
        <v>1E-3</v>
      </c>
      <c r="AM212" s="44">
        <v>1E-3</v>
      </c>
      <c r="AN212"/>
      <c r="AO212" s="44">
        <v>1E-3</v>
      </c>
      <c r="AP212" s="44">
        <v>1E-3</v>
      </c>
      <c r="AQ212" s="44">
        <v>1E-3</v>
      </c>
      <c r="AR212" s="44">
        <v>1E-3</v>
      </c>
      <c r="AS212"/>
      <c r="AT212" s="44">
        <v>1E-3</v>
      </c>
      <c r="AU212"/>
      <c r="AV212"/>
      <c r="AW212" s="44">
        <v>1E-3</v>
      </c>
      <c r="AX212" s="37"/>
      <c r="AY212" s="37"/>
      <c r="AZ212" s="37"/>
      <c r="BA212" s="37"/>
      <c r="BB212" s="37"/>
      <c r="BC212" s="37"/>
      <c r="BD212" s="37"/>
      <c r="BE212" s="37"/>
    </row>
    <row r="213" spans="1:57" x14ac:dyDescent="0.25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AW213" si="15">1250*0.000001/5</f>
        <v>2.5000000000000001E-4</v>
      </c>
      <c r="K213" s="44">
        <f t="shared" si="15"/>
        <v>2.5000000000000001E-4</v>
      </c>
      <c r="L213" s="44">
        <f t="shared" si="15"/>
        <v>2.5000000000000001E-4</v>
      </c>
      <c r="N213" s="44">
        <f t="shared" si="15"/>
        <v>2.5000000000000001E-4</v>
      </c>
      <c r="O213" s="44"/>
      <c r="P213" s="44">
        <f t="shared" si="15"/>
        <v>2.5000000000000001E-4</v>
      </c>
      <c r="Q213" s="44">
        <f t="shared" si="15"/>
        <v>2.5000000000000001E-4</v>
      </c>
      <c r="R213" s="44">
        <f t="shared" si="15"/>
        <v>2.5000000000000001E-4</v>
      </c>
      <c r="U213" s="44">
        <f t="shared" si="15"/>
        <v>2.5000000000000001E-4</v>
      </c>
      <c r="V213" s="44">
        <f t="shared" si="15"/>
        <v>2.5000000000000001E-4</v>
      </c>
      <c r="W213" s="44">
        <f t="shared" si="15"/>
        <v>2.5000000000000001E-4</v>
      </c>
      <c r="X213" s="44">
        <f t="shared" si="15"/>
        <v>2.5000000000000001E-4</v>
      </c>
      <c r="Y213" s="44">
        <f t="shared" si="15"/>
        <v>2.5000000000000001E-4</v>
      </c>
      <c r="Z213" s="44">
        <f t="shared" si="15"/>
        <v>2.5000000000000001E-4</v>
      </c>
      <c r="AA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/>
      <c r="AG213" s="44">
        <f t="shared" si="15"/>
        <v>2.5000000000000001E-4</v>
      </c>
      <c r="AH213" s="44">
        <f t="shared" si="15"/>
        <v>2.5000000000000001E-4</v>
      </c>
      <c r="AI213" s="44">
        <f t="shared" si="15"/>
        <v>2.5000000000000001E-4</v>
      </c>
      <c r="AJ213" s="44">
        <f t="shared" si="15"/>
        <v>2.5000000000000001E-4</v>
      </c>
      <c r="AK213" s="44">
        <f t="shared" si="15"/>
        <v>2.5000000000000001E-4</v>
      </c>
      <c r="AL213" s="44">
        <f t="shared" si="15"/>
        <v>2.5000000000000001E-4</v>
      </c>
      <c r="AM213" s="44">
        <f t="shared" si="15"/>
        <v>2.5000000000000001E-4</v>
      </c>
      <c r="AN213"/>
      <c r="AO213" s="44">
        <f t="shared" si="15"/>
        <v>2.5000000000000001E-4</v>
      </c>
      <c r="AP213" s="44">
        <f t="shared" si="15"/>
        <v>2.5000000000000001E-4</v>
      </c>
      <c r="AQ213" s="44">
        <f t="shared" si="15"/>
        <v>2.5000000000000001E-4</v>
      </c>
      <c r="AR213" s="44">
        <f t="shared" si="15"/>
        <v>2.5000000000000001E-4</v>
      </c>
      <c r="AS213"/>
      <c r="AT213" s="44">
        <f t="shared" si="15"/>
        <v>2.5000000000000001E-4</v>
      </c>
      <c r="AU213"/>
      <c r="AV213"/>
      <c r="AW213" s="44">
        <f t="shared" si="15"/>
        <v>2.5000000000000001E-4</v>
      </c>
      <c r="AX213" s="51"/>
      <c r="AY213" s="51"/>
      <c r="AZ213" s="51"/>
      <c r="BA213" s="51"/>
      <c r="BB213" s="51"/>
      <c r="BC213" s="51"/>
      <c r="BD213" s="51"/>
      <c r="BE213" s="51"/>
    </row>
    <row r="214" spans="1:57" x14ac:dyDescent="0.25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N214" s="44">
        <v>2.0000000000000001E-4</v>
      </c>
      <c r="O214" s="44"/>
      <c r="P214" s="44">
        <v>2.0000000000000001E-4</v>
      </c>
      <c r="Q214" s="44">
        <v>2.0000000000000001E-4</v>
      </c>
      <c r="R214" s="44">
        <v>2.0000000000000001E-4</v>
      </c>
      <c r="S214" s="1">
        <f>44.4365413894298/21.9053373</f>
        <v>2.0285714290019081</v>
      </c>
      <c r="U214" s="44">
        <v>2.0000000000000001E-4</v>
      </c>
      <c r="V214" s="44">
        <v>2.0000000000000001E-4</v>
      </c>
      <c r="W214" s="44">
        <v>2.0000000000000001E-4</v>
      </c>
      <c r="X214" s="44">
        <v>2.0000000000000001E-4</v>
      </c>
      <c r="Y214" s="44">
        <v>2.0000000000000001E-4</v>
      </c>
      <c r="Z214" s="44">
        <v>2.0000000000000001E-4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/>
      <c r="AG214" s="44">
        <v>2.0000000000000001E-4</v>
      </c>
      <c r="AH214" s="44">
        <v>2.0000000000000001E-4</v>
      </c>
      <c r="AI214" s="44">
        <v>2.0000000000000001E-4</v>
      </c>
      <c r="AJ214" s="44">
        <v>2.0000000000000001E-4</v>
      </c>
      <c r="AK214" s="44">
        <v>2.0000000000000001E-4</v>
      </c>
      <c r="AL214" s="44">
        <v>2.0000000000000001E-4</v>
      </c>
      <c r="AM214" s="44">
        <v>2.0000000000000001E-4</v>
      </c>
      <c r="AN214"/>
      <c r="AO214" s="44">
        <v>2.0000000000000001E-4</v>
      </c>
      <c r="AP214" s="44">
        <v>2.0000000000000001E-4</v>
      </c>
      <c r="AQ214" s="44">
        <v>2.0000000000000001E-4</v>
      </c>
      <c r="AR214" s="44">
        <v>2.0000000000000001E-4</v>
      </c>
      <c r="AS214"/>
      <c r="AT214" s="44">
        <v>2.0000000000000001E-4</v>
      </c>
      <c r="AU214"/>
      <c r="AV214"/>
      <c r="AW214" s="44">
        <v>2.0000000000000001E-4</v>
      </c>
      <c r="AX214" s="51"/>
      <c r="AY214" s="51"/>
      <c r="AZ214" s="51"/>
      <c r="BA214" s="51"/>
      <c r="BB214" s="51"/>
      <c r="BC214" s="51"/>
      <c r="BD214" s="51"/>
      <c r="BE214" s="51"/>
    </row>
    <row r="215" spans="1:57" x14ac:dyDescent="0.25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>0.0000000000025/50</f>
        <v>4.9999999999999995E-14</v>
      </c>
      <c r="K215" s="44">
        <f>0.0000000000025/50</f>
        <v>4.9999999999999995E-14</v>
      </c>
      <c r="L215" s="44">
        <f>0.0000000000025/50</f>
        <v>4.9999999999999995E-14</v>
      </c>
      <c r="M215" s="1" t="s">
        <v>600</v>
      </c>
      <c r="N215" s="44">
        <f>0.0000000000025/50</f>
        <v>4.9999999999999995E-14</v>
      </c>
      <c r="O215" s="44"/>
      <c r="P215" s="44">
        <v>2.4999999999999999E-13</v>
      </c>
      <c r="Q215" s="44">
        <v>2.4999999999999999E-13</v>
      </c>
      <c r="R215" s="44">
        <v>2.4999999999999999E-13</v>
      </c>
      <c r="U215" s="44">
        <v>2.4999999999999999E-13</v>
      </c>
      <c r="V215" s="44">
        <v>2.4999999999999999E-13</v>
      </c>
      <c r="W215" s="44">
        <v>2.4999999999999999E-13</v>
      </c>
      <c r="X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/>
      <c r="AG215" s="44">
        <v>2.4999999999999999E-13</v>
      </c>
      <c r="AH215" s="44">
        <v>2.4999999999999999E-13</v>
      </c>
      <c r="AI215" s="44">
        <v>2.4999999999999999E-13</v>
      </c>
      <c r="AJ215" s="44">
        <v>2.4999999999999999E-13</v>
      </c>
      <c r="AK215" s="44">
        <v>2.4999999999999999E-13</v>
      </c>
      <c r="AL215" s="44">
        <v>2.4999999999999999E-13</v>
      </c>
      <c r="AM215" s="44">
        <v>2.4999999999999999E-13</v>
      </c>
      <c r="AN215"/>
      <c r="AO215" s="44">
        <v>2.4999999999999999E-13</v>
      </c>
      <c r="AP215" s="44">
        <v>2.4999999999999999E-13</v>
      </c>
      <c r="AQ215" s="44">
        <v>2.4999999999999999E-13</v>
      </c>
      <c r="AR215" s="44">
        <v>2.4999999999999999E-13</v>
      </c>
      <c r="AS215"/>
      <c r="AT215" s="44">
        <v>2.4999999999999999E-13</v>
      </c>
      <c r="AU215"/>
      <c r="AV215"/>
      <c r="AW215" s="44">
        <v>2.4999999999999999E-13</v>
      </c>
      <c r="AX215" s="51"/>
      <c r="AY215" s="51"/>
      <c r="AZ215" s="51"/>
      <c r="BA215" s="51"/>
      <c r="BB215" s="51"/>
      <c r="BC215" s="51"/>
      <c r="BD215" s="51"/>
      <c r="BE215" s="51"/>
    </row>
    <row r="216" spans="1:57" x14ac:dyDescent="0.25">
      <c r="A216" s="2" t="s">
        <v>505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 / 10</f>
        <v>5.0000000000000005E-12</v>
      </c>
      <c r="K216" s="44">
        <f>0.00000000005/ 10</f>
        <v>5.0000000000000005E-12</v>
      </c>
      <c r="L216" s="44">
        <f>0.00000000005</f>
        <v>5.0000000000000002E-11</v>
      </c>
      <c r="N216" s="44">
        <f>0.00000000005*2 / 10 / 2</f>
        <v>5.0000000000000005E-12</v>
      </c>
      <c r="O216" s="44"/>
      <c r="P216" s="44">
        <f t="shared" ref="P216:AT217" si="16">0.00000012*100</f>
        <v>1.1999999999999999E-5</v>
      </c>
      <c r="Q216" s="44">
        <f t="shared" si="16"/>
        <v>1.1999999999999999E-5</v>
      </c>
      <c r="R216" s="44">
        <f t="shared" si="16"/>
        <v>1.1999999999999999E-5</v>
      </c>
      <c r="U216" s="44">
        <f t="shared" si="16"/>
        <v>1.1999999999999999E-5</v>
      </c>
      <c r="V216" s="44">
        <f t="shared" si="16"/>
        <v>1.1999999999999999E-5</v>
      </c>
      <c r="W216" s="44">
        <f t="shared" si="16"/>
        <v>1.1999999999999999E-5</v>
      </c>
      <c r="X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 s="44">
        <f t="shared" si="16"/>
        <v>1.1999999999999999E-5</v>
      </c>
      <c r="AC216" s="44">
        <f t="shared" si="16"/>
        <v>1.1999999999999999E-5</v>
      </c>
      <c r="AD216" s="44">
        <f t="shared" si="16"/>
        <v>1.1999999999999999E-5</v>
      </c>
      <c r="AE216" s="44">
        <f t="shared" si="16"/>
        <v>1.1999999999999999E-5</v>
      </c>
      <c r="AF216"/>
      <c r="AG216" s="44">
        <f t="shared" si="16"/>
        <v>1.1999999999999999E-5</v>
      </c>
      <c r="AH216" s="44">
        <f t="shared" si="16"/>
        <v>1.1999999999999999E-5</v>
      </c>
      <c r="AI216" s="44">
        <f t="shared" si="16"/>
        <v>1.1999999999999999E-5</v>
      </c>
      <c r="AJ216" s="44">
        <f t="shared" si="16"/>
        <v>1.1999999999999999E-5</v>
      </c>
      <c r="AK216" s="44">
        <f t="shared" si="16"/>
        <v>1.1999999999999999E-5</v>
      </c>
      <c r="AL216" s="44">
        <f t="shared" si="16"/>
        <v>1.1999999999999999E-5</v>
      </c>
      <c r="AM216" s="44">
        <f t="shared" si="16"/>
        <v>1.1999999999999999E-5</v>
      </c>
      <c r="AN216"/>
      <c r="AO216" s="44">
        <f t="shared" si="16"/>
        <v>1.1999999999999999E-5</v>
      </c>
      <c r="AP216" s="44">
        <f t="shared" si="16"/>
        <v>1.1999999999999999E-5</v>
      </c>
      <c r="AQ216" s="44">
        <f t="shared" si="16"/>
        <v>1.1999999999999999E-5</v>
      </c>
      <c r="AR216" s="44">
        <f t="shared" si="16"/>
        <v>1.1999999999999999E-5</v>
      </c>
      <c r="AS216"/>
      <c r="AT216" s="44">
        <f t="shared" si="16"/>
        <v>1.1999999999999999E-5</v>
      </c>
      <c r="AU216"/>
      <c r="AV216"/>
      <c r="AW216" s="44">
        <f>0.00000012*100</f>
        <v>1.1999999999999999E-5</v>
      </c>
      <c r="AX216" s="51"/>
      <c r="AY216" s="51"/>
      <c r="AZ216" s="51"/>
      <c r="BA216" s="51"/>
      <c r="BB216" s="51"/>
      <c r="BC216" s="51"/>
      <c r="BD216" s="51"/>
      <c r="BE216" s="51"/>
    </row>
    <row r="217" spans="1:57" x14ac:dyDescent="0.25">
      <c r="A217" s="2" t="s">
        <v>598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0.00000000005*2 / 10 / 2</f>
        <v>5.0000000000000005E-12</v>
      </c>
      <c r="K217" s="44">
        <f>K216</f>
        <v>5.0000000000000005E-12</v>
      </c>
      <c r="L217" s="44">
        <f>L216/3</f>
        <v>1.6666666666666667E-11</v>
      </c>
      <c r="M217" s="1" t="s">
        <v>607</v>
      </c>
      <c r="N217" s="44">
        <f>0.00000000005*2 / 10 / 2</f>
        <v>5.0000000000000005E-12</v>
      </c>
      <c r="O217" s="44"/>
      <c r="P217" s="44">
        <f t="shared" si="16"/>
        <v>1.1999999999999999E-5</v>
      </c>
      <c r="Q217" s="44">
        <f t="shared" si="16"/>
        <v>1.1999999999999999E-5</v>
      </c>
      <c r="R217" s="44">
        <f t="shared" si="16"/>
        <v>1.1999999999999999E-5</v>
      </c>
      <c r="U217" s="44">
        <f t="shared" si="16"/>
        <v>1.1999999999999999E-5</v>
      </c>
      <c r="V217" s="44">
        <f t="shared" si="16"/>
        <v>1.1999999999999999E-5</v>
      </c>
      <c r="W217" s="44">
        <f t="shared" si="16"/>
        <v>1.1999999999999999E-5</v>
      </c>
      <c r="X217" s="44">
        <f t="shared" si="16"/>
        <v>1.1999999999999999E-5</v>
      </c>
      <c r="Y217" s="44">
        <f t="shared" si="16"/>
        <v>1.1999999999999999E-5</v>
      </c>
      <c r="Z217" s="44">
        <f t="shared" si="16"/>
        <v>1.1999999999999999E-5</v>
      </c>
      <c r="AA217" s="44">
        <f t="shared" si="16"/>
        <v>1.1999999999999999E-5</v>
      </c>
      <c r="AB217" s="44">
        <f t="shared" si="16"/>
        <v>1.1999999999999999E-5</v>
      </c>
      <c r="AC217" s="44">
        <f t="shared" si="16"/>
        <v>1.1999999999999999E-5</v>
      </c>
      <c r="AD217" s="44">
        <f t="shared" si="16"/>
        <v>1.1999999999999999E-5</v>
      </c>
      <c r="AE217" s="44">
        <f t="shared" si="16"/>
        <v>1.1999999999999999E-5</v>
      </c>
      <c r="AF217"/>
      <c r="AG217" s="44">
        <f t="shared" si="16"/>
        <v>1.1999999999999999E-5</v>
      </c>
      <c r="AH217" s="44">
        <f t="shared" si="16"/>
        <v>1.1999999999999999E-5</v>
      </c>
      <c r="AI217" s="44">
        <f t="shared" si="16"/>
        <v>1.1999999999999999E-5</v>
      </c>
      <c r="AJ217" s="44">
        <f t="shared" si="16"/>
        <v>1.1999999999999999E-5</v>
      </c>
      <c r="AK217" s="44">
        <f t="shared" si="16"/>
        <v>1.1999999999999999E-5</v>
      </c>
      <c r="AL217" s="44">
        <f t="shared" si="16"/>
        <v>1.1999999999999999E-5</v>
      </c>
      <c r="AM217" s="44">
        <f t="shared" si="16"/>
        <v>1.1999999999999999E-5</v>
      </c>
      <c r="AN217"/>
      <c r="AO217" s="44">
        <f t="shared" si="16"/>
        <v>1.1999999999999999E-5</v>
      </c>
      <c r="AP217" s="44">
        <f t="shared" si="16"/>
        <v>1.1999999999999999E-5</v>
      </c>
      <c r="AQ217" s="44">
        <f t="shared" si="16"/>
        <v>1.1999999999999999E-5</v>
      </c>
      <c r="AR217" s="44">
        <f t="shared" si="16"/>
        <v>1.1999999999999999E-5</v>
      </c>
      <c r="AS217"/>
      <c r="AT217" s="44">
        <f t="shared" si="16"/>
        <v>1.1999999999999999E-5</v>
      </c>
      <c r="AU217"/>
      <c r="AV217"/>
      <c r="AW217" s="44">
        <f>0.00000012*100</f>
        <v>1.1999999999999999E-5</v>
      </c>
      <c r="AX217" s="51"/>
      <c r="AY217" s="51"/>
      <c r="AZ217" s="51"/>
      <c r="BA217" s="51"/>
      <c r="BB217" s="51"/>
      <c r="BC217" s="51"/>
      <c r="BD217" s="51"/>
      <c r="BE217" s="51"/>
    </row>
    <row r="218" spans="1:57" x14ac:dyDescent="0.25">
      <c r="A218" s="2" t="s">
        <v>573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511</v>
      </c>
      <c r="G218" s="44"/>
      <c r="I218" s="58"/>
      <c r="J218" s="44">
        <f>0</f>
        <v>0</v>
      </c>
      <c r="K218" s="44">
        <f>0</f>
        <v>0</v>
      </c>
      <c r="L218" s="44">
        <f>0</f>
        <v>0</v>
      </c>
      <c r="N218" s="44">
        <f>0</f>
        <v>0</v>
      </c>
      <c r="O218" s="44"/>
      <c r="P218" s="44"/>
      <c r="Q218" s="44"/>
      <c r="R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/>
      <c r="AG218" s="44"/>
      <c r="AH218" s="44"/>
      <c r="AI218" s="44"/>
      <c r="AJ218" s="44"/>
      <c r="AK218" s="44"/>
      <c r="AL218" s="44"/>
      <c r="AM218" s="44"/>
      <c r="AN218"/>
      <c r="AO218" s="44"/>
      <c r="AP218" s="44"/>
      <c r="AQ218" s="44"/>
      <c r="AR218" s="44"/>
      <c r="AS218"/>
      <c r="AT218" s="44"/>
      <c r="AU218"/>
      <c r="AV218"/>
      <c r="AW218" s="44"/>
      <c r="AX218" s="51"/>
      <c r="AY218" s="51"/>
      <c r="AZ218" s="51"/>
      <c r="BA218" s="51"/>
      <c r="BB218" s="51"/>
      <c r="BC218" s="51"/>
      <c r="BD218" s="51"/>
      <c r="BE218" s="51"/>
    </row>
    <row r="219" spans="1:57" x14ac:dyDescent="0.25">
      <c r="A219" s="2" t="s">
        <v>574</v>
      </c>
      <c r="B219" s="3" t="s">
        <v>473</v>
      </c>
      <c r="C219" s="3" t="s">
        <v>483</v>
      </c>
      <c r="D219" s="3" t="s">
        <v>521</v>
      </c>
      <c r="E219" s="50" t="s">
        <v>577</v>
      </c>
      <c r="F219" s="50" t="s">
        <v>487</v>
      </c>
      <c r="G219" s="44"/>
      <c r="I219" s="58"/>
      <c r="J219" s="44">
        <f>100</f>
        <v>100</v>
      </c>
      <c r="K219" s="44">
        <f>100</f>
        <v>100</v>
      </c>
      <c r="L219" s="44">
        <f>100</f>
        <v>100</v>
      </c>
      <c r="N219" s="44">
        <f>100</f>
        <v>100</v>
      </c>
      <c r="O219" s="44"/>
      <c r="P219" s="44"/>
      <c r="Q219" s="44"/>
      <c r="R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/>
      <c r="AG219" s="44"/>
      <c r="AH219" s="44"/>
      <c r="AI219" s="44"/>
      <c r="AJ219" s="44"/>
      <c r="AK219" s="44"/>
      <c r="AL219" s="44"/>
      <c r="AM219" s="44"/>
      <c r="AN219"/>
      <c r="AO219" s="44"/>
      <c r="AP219" s="44"/>
      <c r="AQ219" s="44"/>
      <c r="AR219" s="44"/>
      <c r="AS219"/>
      <c r="AT219" s="44"/>
      <c r="AU219"/>
      <c r="AV219"/>
      <c r="AW219" s="44"/>
      <c r="AX219" s="51"/>
      <c r="AY219" s="51"/>
      <c r="AZ219" s="51"/>
      <c r="BA219" s="51"/>
      <c r="BB219" s="51"/>
      <c r="BC219" s="51"/>
      <c r="BD219" s="51"/>
      <c r="BE219" s="51"/>
    </row>
    <row r="220" spans="1:57" x14ac:dyDescent="0.25">
      <c r="A220" s="2" t="s">
        <v>591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*2 * 3</f>
        <v>6E-10</v>
      </c>
      <c r="K220" s="44">
        <f>0.000001 / 10000 *2 * 3/100/10/100</f>
        <v>6.0000000000000005E-15</v>
      </c>
      <c r="L220" s="44">
        <f>0.000001 / 10000 *2 * 3/10</f>
        <v>6E-11</v>
      </c>
      <c r="N220" s="44">
        <f>0.000001 / 10000 *2 * 3</f>
        <v>6E-10</v>
      </c>
      <c r="O220" s="44"/>
      <c r="P220" s="44">
        <v>9.9999999999999995E-7</v>
      </c>
      <c r="Q220" s="44">
        <v>9.9999999999999995E-7</v>
      </c>
      <c r="R220" s="44">
        <v>9.9999999999999995E-7</v>
      </c>
      <c r="U220" s="44">
        <v>9.9999999999999995E-7</v>
      </c>
      <c r="V220" s="44">
        <v>9.9999999999999995E-7</v>
      </c>
      <c r="W220" s="44">
        <v>9.9999999999999995E-7</v>
      </c>
      <c r="X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 s="44">
        <v>9.9999999999999995E-7</v>
      </c>
      <c r="AC220" s="44">
        <v>9.9999999999999995E-7</v>
      </c>
      <c r="AD220" s="44">
        <v>9.9999999999999995E-7</v>
      </c>
      <c r="AE220" s="44">
        <v>9.9999999999999995E-7</v>
      </c>
      <c r="AF220"/>
      <c r="AG220" s="44">
        <v>9.9999999999999995E-7</v>
      </c>
      <c r="AH220" s="44">
        <v>9.9999999999999995E-7</v>
      </c>
      <c r="AI220" s="44">
        <v>9.9999999999999995E-7</v>
      </c>
      <c r="AJ220" s="44">
        <v>9.9999999999999995E-7</v>
      </c>
      <c r="AK220" s="44">
        <v>9.9999999999999995E-7</v>
      </c>
      <c r="AL220" s="44">
        <v>9.9999999999999995E-7</v>
      </c>
      <c r="AM220" s="44">
        <v>9.9999999999999995E-7</v>
      </c>
      <c r="AN220"/>
      <c r="AO220" s="44">
        <v>9.9999999999999995E-7</v>
      </c>
      <c r="AP220" s="44">
        <v>9.9999999999999995E-7</v>
      </c>
      <c r="AQ220" s="44">
        <v>9.9999999999999995E-7</v>
      </c>
      <c r="AR220" s="44">
        <v>9.9999999999999995E-7</v>
      </c>
      <c r="AS220"/>
      <c r="AT220" s="44">
        <v>9.9999999999999995E-7</v>
      </c>
      <c r="AU220"/>
      <c r="AV220"/>
      <c r="AW220" s="44">
        <v>9.9999999999999995E-7</v>
      </c>
      <c r="AX220" s="51"/>
      <c r="AY220" s="51"/>
      <c r="AZ220" s="51"/>
      <c r="BA220" s="51"/>
      <c r="BB220" s="51"/>
      <c r="BC220" s="51"/>
      <c r="BD220" s="51"/>
      <c r="BE220" s="51"/>
    </row>
    <row r="221" spans="1:57" x14ac:dyDescent="0.25">
      <c r="A221" s="2" t="s">
        <v>592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/ 4 / 10</f>
        <v>2.4999999999999998E-12</v>
      </c>
      <c r="K221" s="44">
        <f>0.000001 / 10000 / 4 / 10/10/1000</f>
        <v>2.5000000000000002E-16</v>
      </c>
      <c r="L221" s="44">
        <f>0.000001 / 10000 / 4</f>
        <v>2.4999999999999998E-11</v>
      </c>
      <c r="N221" s="44">
        <f>0.000001 / 10000 / 4 / 10</f>
        <v>2.4999999999999998E-12</v>
      </c>
      <c r="O221" s="44"/>
      <c r="P221" s="44">
        <v>9.9999999999999995E-7</v>
      </c>
      <c r="Q221" s="44">
        <v>9.9999999999999995E-7</v>
      </c>
      <c r="R221" s="44">
        <v>9.9999999999999995E-7</v>
      </c>
      <c r="U221" s="44">
        <v>9.9999999999999995E-7</v>
      </c>
      <c r="V221" s="44">
        <v>9.9999999999999995E-7</v>
      </c>
      <c r="W221" s="44">
        <v>9.9999999999999995E-7</v>
      </c>
      <c r="X221" s="44">
        <v>9.9999999999999995E-7</v>
      </c>
      <c r="Y221" s="44">
        <v>9.9999999999999995E-7</v>
      </c>
      <c r="Z221" s="44">
        <v>9.9999999999999995E-7</v>
      </c>
      <c r="AA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/>
      <c r="AG221" s="44">
        <v>9.9999999999999995E-7</v>
      </c>
      <c r="AH221" s="44">
        <v>9.9999999999999995E-7</v>
      </c>
      <c r="AI221" s="44">
        <v>9.9999999999999995E-7</v>
      </c>
      <c r="AJ221" s="44">
        <v>9.9999999999999995E-7</v>
      </c>
      <c r="AK221" s="44">
        <v>9.9999999999999995E-7</v>
      </c>
      <c r="AL221" s="44">
        <v>9.9999999999999995E-7</v>
      </c>
      <c r="AM221" s="44">
        <v>9.9999999999999995E-7</v>
      </c>
      <c r="AN221"/>
      <c r="AO221" s="44">
        <v>9.9999999999999995E-7</v>
      </c>
      <c r="AP221" s="44">
        <v>9.9999999999999995E-7</v>
      </c>
      <c r="AQ221" s="44">
        <v>9.9999999999999995E-7</v>
      </c>
      <c r="AR221" s="44">
        <v>9.9999999999999995E-7</v>
      </c>
      <c r="AS221"/>
      <c r="AT221" s="44">
        <v>9.9999999999999995E-7</v>
      </c>
      <c r="AU221"/>
      <c r="AV221"/>
      <c r="AW221" s="44">
        <v>9.9999999999999995E-7</v>
      </c>
      <c r="AX221" s="51"/>
      <c r="AY221" s="51"/>
      <c r="AZ221" s="51"/>
      <c r="BA221" s="51"/>
      <c r="BB221" s="51"/>
      <c r="BC221" s="51"/>
      <c r="BD221" s="51"/>
      <c r="BE221" s="51"/>
    </row>
    <row r="222" spans="1:57" x14ac:dyDescent="0.25">
      <c r="A222" s="2" t="s">
        <v>509</v>
      </c>
      <c r="B222" s="3" t="s">
        <v>473</v>
      </c>
      <c r="C222" s="3" t="s">
        <v>483</v>
      </c>
      <c r="D222" s="3" t="s">
        <v>521</v>
      </c>
      <c r="E222" s="50" t="s">
        <v>510</v>
      </c>
      <c r="F222" s="50" t="s">
        <v>511</v>
      </c>
      <c r="G222" s="44">
        <f>2*0.00001</f>
        <v>2.0000000000000002E-5</v>
      </c>
      <c r="I222" s="44">
        <f>0.00001</f>
        <v>1.0000000000000001E-5</v>
      </c>
      <c r="J222" s="44">
        <f>0.00001 / 10/2/4</f>
        <v>1.2500000000000002E-7</v>
      </c>
      <c r="K222" s="44">
        <v>0</v>
      </c>
      <c r="L222" s="44">
        <v>0</v>
      </c>
      <c r="N222" s="44">
        <f>0.00001 / 10/2/4</f>
        <v>1.2500000000000002E-7</v>
      </c>
      <c r="O222" s="44"/>
      <c r="P222" s="44">
        <v>2E-8</v>
      </c>
      <c r="Q222" s="44">
        <v>2E-8</v>
      </c>
      <c r="R222" s="44">
        <v>2E-8</v>
      </c>
      <c r="U222" s="44">
        <v>5.0000000000000002E-5</v>
      </c>
      <c r="V222" s="44">
        <v>5.0000000000000002E-5</v>
      </c>
      <c r="W222" s="44">
        <v>5.0000000000000002E-5</v>
      </c>
      <c r="X222" s="44">
        <v>5.0000000000000002E-5</v>
      </c>
      <c r="Y222" s="44">
        <v>2.0000000000000002E-5</v>
      </c>
      <c r="Z222" s="44">
        <v>1.0000000000000001E-5</v>
      </c>
      <c r="AA222" s="44">
        <v>5.0000000000000004E-6</v>
      </c>
      <c r="AB222" s="44">
        <v>1.9999999999999999E-6</v>
      </c>
      <c r="AC222" s="44">
        <v>9.9999999999999995E-7</v>
      </c>
      <c r="AD222" s="44">
        <v>4.9999999999999998E-7</v>
      </c>
      <c r="AE222" s="44">
        <v>1.9999999999999999E-7</v>
      </c>
      <c r="AF222"/>
      <c r="AG222" s="44">
        <v>2.0000000000000002E-5</v>
      </c>
      <c r="AH222" s="44">
        <v>1.0000000000000001E-5</v>
      </c>
      <c r="AI222" s="44">
        <v>5.0000000000000004E-6</v>
      </c>
      <c r="AJ222" s="44">
        <v>1.9999999999999999E-6</v>
      </c>
      <c r="AK222" s="44">
        <v>9.9999999999999995E-7</v>
      </c>
      <c r="AL222" s="44">
        <v>4.9999999999999998E-7</v>
      </c>
      <c r="AM222" s="44">
        <v>1.9999999999999999E-7</v>
      </c>
      <c r="AN222"/>
      <c r="AO222" s="44">
        <v>2E-8</v>
      </c>
      <c r="AP222" s="44">
        <v>2E-8</v>
      </c>
      <c r="AQ222" s="44">
        <v>2.0000000000000001E-9</v>
      </c>
      <c r="AR222" s="44">
        <v>2.0000000000000001E-9</v>
      </c>
      <c r="AS222"/>
      <c r="AT222" s="44">
        <v>9.9999999999999995E-7</v>
      </c>
      <c r="AU222"/>
      <c r="AV222"/>
      <c r="AW222" s="44">
        <v>5.0000000000000002E-5</v>
      </c>
      <c r="AX222" s="51"/>
      <c r="AY222" s="51"/>
      <c r="AZ222" s="51"/>
      <c r="BA222" s="51"/>
      <c r="BB222" s="51"/>
      <c r="BC222" s="51"/>
      <c r="BD222" s="51"/>
      <c r="BE222" s="51"/>
    </row>
    <row r="223" spans="1:57" x14ac:dyDescent="0.25">
      <c r="A223" s="2" t="s">
        <v>571</v>
      </c>
      <c r="B223" s="3" t="s">
        <v>473</v>
      </c>
      <c r="C223" s="3" t="s">
        <v>483</v>
      </c>
      <c r="D223" s="3" t="s">
        <v>521</v>
      </c>
      <c r="E223" s="50" t="s">
        <v>572</v>
      </c>
      <c r="F223" s="50" t="s">
        <v>511</v>
      </c>
      <c r="G223" s="44"/>
      <c r="I223" s="44">
        <f xml:space="preserve"> 0.001 * 10</f>
        <v>0.01</v>
      </c>
      <c r="J223" s="44">
        <f xml:space="preserve"> 0.001 / 10</f>
        <v>1E-4</v>
      </c>
      <c r="K223" s="44">
        <f xml:space="preserve"> 0.001 / 10</f>
        <v>1E-4</v>
      </c>
      <c r="L223" s="44">
        <f xml:space="preserve"> 0.001 / 10</f>
        <v>1E-4</v>
      </c>
      <c r="N223" s="44">
        <f xml:space="preserve"> 0.001 / 10</f>
        <v>1E-4</v>
      </c>
      <c r="O223" s="44"/>
      <c r="P223" s="44"/>
      <c r="Q223" s="44"/>
      <c r="R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/>
      <c r="AG223" s="44"/>
      <c r="AH223" s="44"/>
      <c r="AI223" s="44"/>
      <c r="AJ223" s="44"/>
      <c r="AK223" s="44"/>
      <c r="AL223" s="44"/>
      <c r="AM223" s="44"/>
      <c r="AN223"/>
      <c r="AO223" s="44"/>
      <c r="AP223" s="44"/>
      <c r="AQ223" s="44"/>
      <c r="AR223" s="44"/>
      <c r="AS223"/>
      <c r="AT223" s="44"/>
      <c r="AU223"/>
      <c r="AV223"/>
      <c r="AW223" s="44"/>
      <c r="AX223" s="51"/>
      <c r="AY223" s="51"/>
      <c r="AZ223" s="51"/>
      <c r="BA223" s="51"/>
      <c r="BB223" s="51"/>
      <c r="BC223" s="51"/>
      <c r="BD223" s="51"/>
      <c r="BE223" s="51"/>
    </row>
    <row r="224" spans="1:57" x14ac:dyDescent="0.25">
      <c r="A224" s="2" t="s">
        <v>575</v>
      </c>
      <c r="B224" s="3" t="s">
        <v>473</v>
      </c>
      <c r="C224" s="3" t="s">
        <v>483</v>
      </c>
      <c r="D224" s="3" t="s">
        <v>521</v>
      </c>
      <c r="E224" s="50" t="s">
        <v>576</v>
      </c>
      <c r="F224" s="50" t="s">
        <v>511</v>
      </c>
      <c r="G224" s="56">
        <v>1.0000000000000001E-5</v>
      </c>
      <c r="I224" s="44">
        <f>0.00001 /10/4/2</f>
        <v>1.2500000000000002E-7</v>
      </c>
      <c r="J224" s="44">
        <f>0.00001 /5 /2/4</f>
        <v>2.5000000000000004E-7</v>
      </c>
      <c r="K224" s="44">
        <v>0</v>
      </c>
      <c r="L224" s="44">
        <v>0</v>
      </c>
      <c r="N224" s="44">
        <f>0.00001 /5 /2/4</f>
        <v>2.5000000000000004E-7</v>
      </c>
      <c r="O224" s="44"/>
      <c r="P224" s="44"/>
      <c r="Q224" s="44"/>
      <c r="R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/>
      <c r="AG224" s="44"/>
      <c r="AH224" s="44"/>
      <c r="AI224" s="44"/>
      <c r="AJ224" s="44"/>
      <c r="AK224" s="44"/>
      <c r="AL224" s="44"/>
      <c r="AM224" s="44"/>
      <c r="AN224"/>
      <c r="AO224" s="44"/>
      <c r="AP224" s="44"/>
      <c r="AQ224" s="44"/>
      <c r="AR224" s="44"/>
      <c r="AS224"/>
      <c r="AT224" s="44"/>
      <c r="AU224"/>
      <c r="AV224"/>
      <c r="AW224" s="44"/>
      <c r="AX224" s="51"/>
      <c r="AY224" s="51"/>
      <c r="AZ224" s="51"/>
      <c r="BA224" s="51"/>
      <c r="BB224" s="51"/>
      <c r="BC224" s="51"/>
      <c r="BD224" s="51"/>
      <c r="BE224" s="51"/>
    </row>
    <row r="225" spans="1:72" ht="14.25" customHeight="1" x14ac:dyDescent="0.25">
      <c r="A225" s="53" t="s">
        <v>517</v>
      </c>
      <c r="B225" s="3" t="s">
        <v>473</v>
      </c>
      <c r="C225" s="3" t="s">
        <v>518</v>
      </c>
      <c r="D225" s="3" t="s">
        <v>521</v>
      </c>
      <c r="E225" s="50" t="s">
        <v>519</v>
      </c>
      <c r="F225" s="50" t="s">
        <v>520</v>
      </c>
      <c r="G225" s="44">
        <v>9.9999999999999995E-8</v>
      </c>
      <c r="I225" s="58"/>
      <c r="J225" s="44">
        <f>0.0000001</f>
        <v>9.9999999999999995E-8</v>
      </c>
      <c r="K225" s="44">
        <f>0.0000001</f>
        <v>9.9999999999999995E-8</v>
      </c>
      <c r="L225" s="44">
        <f>0.0000001</f>
        <v>9.9999999999999995E-8</v>
      </c>
      <c r="N225" s="44">
        <f>0.0000001</f>
        <v>9.9999999999999995E-8</v>
      </c>
      <c r="O225" s="44"/>
      <c r="P225" s="44">
        <v>5.0000000000000003E-10</v>
      </c>
      <c r="Q225" s="44">
        <v>5.0000000000000003E-10</v>
      </c>
      <c r="R225" s="44">
        <v>9.9999999999999995E-8</v>
      </c>
      <c r="U225" s="44">
        <v>4.9999999999999998E-8</v>
      </c>
      <c r="V225" s="44">
        <v>2E-8</v>
      </c>
      <c r="W225" s="44">
        <v>1E-8</v>
      </c>
      <c r="X225" s="44">
        <v>1.0000000000000001E-9</v>
      </c>
      <c r="Y225" s="44">
        <v>1E-8</v>
      </c>
      <c r="Z225" s="44">
        <v>1E-8</v>
      </c>
      <c r="AA225" s="44">
        <v>1E-8</v>
      </c>
      <c r="AB225" s="44">
        <v>1E-8</v>
      </c>
      <c r="AC225" s="44">
        <v>1E-8</v>
      </c>
      <c r="AD225" s="44">
        <v>1E-8</v>
      </c>
      <c r="AE225" s="44">
        <v>1E-8</v>
      </c>
      <c r="AF225"/>
      <c r="AG225" s="44">
        <v>1.0000000000000001E-9</v>
      </c>
      <c r="AH225" s="44">
        <v>1.0000000000000001E-9</v>
      </c>
      <c r="AI225" s="44">
        <v>1.0000000000000001E-9</v>
      </c>
      <c r="AJ225" s="44">
        <v>1.0000000000000001E-9</v>
      </c>
      <c r="AK225" s="44">
        <v>1.0000000000000001E-9</v>
      </c>
      <c r="AL225" s="44">
        <v>1.0000000000000001E-9</v>
      </c>
      <c r="AM225" s="44">
        <v>1.0000000000000001E-9</v>
      </c>
      <c r="AN225"/>
      <c r="AO225" s="44">
        <v>1E-8</v>
      </c>
      <c r="AP225" s="44">
        <v>1.0000000000000001E-9</v>
      </c>
      <c r="AQ225" s="44">
        <v>1E-8</v>
      </c>
      <c r="AR225" s="44">
        <v>1.0000000000000001E-9</v>
      </c>
      <c r="AS225"/>
      <c r="AT225" s="44">
        <v>1.0000000000000001E-9</v>
      </c>
      <c r="AU225"/>
      <c r="AV225"/>
      <c r="AW225" s="44">
        <v>9.9999999999999995E-8</v>
      </c>
    </row>
    <row r="226" spans="1:72" x14ac:dyDescent="0.25">
      <c r="A226" s="2" t="s">
        <v>523</v>
      </c>
      <c r="B226" s="3" t="s">
        <v>473</v>
      </c>
      <c r="C226" s="3" t="s">
        <v>483</v>
      </c>
      <c r="D226" s="3" t="s">
        <v>521</v>
      </c>
      <c r="E226" s="50" t="s">
        <v>524</v>
      </c>
      <c r="F226" s="50" t="s">
        <v>487</v>
      </c>
      <c r="G226" s="44">
        <v>0.2</v>
      </c>
      <c r="I226" s="58"/>
      <c r="J226" s="44">
        <v>0.2</v>
      </c>
      <c r="K226" s="44">
        <v>0.2</v>
      </c>
      <c r="L226" s="44">
        <v>0.2</v>
      </c>
      <c r="M226" s="1" t="s">
        <v>601</v>
      </c>
      <c r="N226" s="44">
        <v>0.2</v>
      </c>
      <c r="O226" s="44"/>
      <c r="P226" s="44">
        <v>0.2</v>
      </c>
      <c r="Q226" s="44">
        <v>0.2</v>
      </c>
      <c r="R226" s="44">
        <v>0.2</v>
      </c>
      <c r="U226" s="44">
        <v>0.2</v>
      </c>
      <c r="V226" s="44">
        <v>0.2</v>
      </c>
      <c r="W226" s="44">
        <v>0.2</v>
      </c>
      <c r="X226" s="44">
        <v>0.2</v>
      </c>
      <c r="Y226" s="44">
        <v>0.2</v>
      </c>
      <c r="Z226" s="44">
        <v>0.2</v>
      </c>
      <c r="AA226" s="44">
        <v>0.2</v>
      </c>
      <c r="AB226" s="44">
        <v>0.2</v>
      </c>
      <c r="AC226" s="44">
        <v>0.2</v>
      </c>
      <c r="AD226" s="44">
        <v>0.2</v>
      </c>
      <c r="AE226" s="44">
        <v>0.2</v>
      </c>
      <c r="AF226"/>
      <c r="AG226" s="44">
        <v>0.2</v>
      </c>
      <c r="AH226" s="44">
        <v>0.2</v>
      </c>
      <c r="AI226" s="44">
        <v>0.2</v>
      </c>
      <c r="AJ226" s="44">
        <v>0.2</v>
      </c>
      <c r="AK226" s="44">
        <v>0.2</v>
      </c>
      <c r="AL226" s="44">
        <v>0.2</v>
      </c>
      <c r="AM226" s="44">
        <v>0.2</v>
      </c>
      <c r="AN226"/>
      <c r="AO226" s="44">
        <v>0.2</v>
      </c>
      <c r="AP226" s="44">
        <v>0.2</v>
      </c>
      <c r="AQ226" s="44">
        <v>0.2</v>
      </c>
      <c r="AR226" s="44">
        <v>0.2</v>
      </c>
      <c r="AS226"/>
      <c r="AT226" s="44">
        <v>0.2</v>
      </c>
      <c r="AU226"/>
      <c r="AV226"/>
      <c r="AW226" s="44">
        <v>0.2</v>
      </c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</row>
    <row r="227" spans="1:72" x14ac:dyDescent="0.25">
      <c r="A227" s="2" t="s">
        <v>525</v>
      </c>
      <c r="B227" s="3" t="s">
        <v>473</v>
      </c>
      <c r="C227" s="3" t="s">
        <v>580</v>
      </c>
      <c r="D227" s="3" t="s">
        <v>581</v>
      </c>
      <c r="E227" s="50" t="s">
        <v>526</v>
      </c>
      <c r="F227" s="50" t="s">
        <v>491</v>
      </c>
      <c r="G227" s="44" t="s">
        <v>485</v>
      </c>
      <c r="I227" s="58"/>
      <c r="J227" s="44" t="s">
        <v>485</v>
      </c>
      <c r="K227" s="44" t="s">
        <v>485</v>
      </c>
      <c r="L227" s="44" t="s">
        <v>485</v>
      </c>
      <c r="N227" s="44" t="s">
        <v>485</v>
      </c>
      <c r="O227" s="44"/>
      <c r="P227" s="44" t="s">
        <v>485</v>
      </c>
      <c r="Q227" s="44" t="s">
        <v>485</v>
      </c>
      <c r="R227" s="44" t="s">
        <v>485</v>
      </c>
      <c r="U227" s="44" t="s">
        <v>485</v>
      </c>
      <c r="V227" s="44" t="s">
        <v>485</v>
      </c>
      <c r="W227" s="44" t="s">
        <v>485</v>
      </c>
      <c r="X227" s="44" t="s">
        <v>485</v>
      </c>
      <c r="Y227" s="44" t="s">
        <v>485</v>
      </c>
      <c r="Z227" s="44" t="s">
        <v>485</v>
      </c>
      <c r="AA227" s="44" t="s">
        <v>485</v>
      </c>
      <c r="AB227" s="44" t="s">
        <v>485</v>
      </c>
      <c r="AC227" s="44" t="s">
        <v>485</v>
      </c>
      <c r="AD227" s="44" t="s">
        <v>485</v>
      </c>
      <c r="AE227" s="44" t="s">
        <v>485</v>
      </c>
      <c r="AF227"/>
      <c r="AG227" s="44" t="s">
        <v>485</v>
      </c>
      <c r="AH227" s="44" t="s">
        <v>485</v>
      </c>
      <c r="AI227" s="44" t="s">
        <v>485</v>
      </c>
      <c r="AJ227" s="44" t="s">
        <v>485</v>
      </c>
      <c r="AK227" s="44" t="s">
        <v>485</v>
      </c>
      <c r="AL227" s="44" t="s">
        <v>485</v>
      </c>
      <c r="AM227" s="44" t="s">
        <v>485</v>
      </c>
      <c r="AN227"/>
      <c r="AO227" s="44" t="s">
        <v>485</v>
      </c>
      <c r="AP227" s="44" t="s">
        <v>485</v>
      </c>
      <c r="AQ227" s="44" t="s">
        <v>485</v>
      </c>
      <c r="AR227" s="44" t="s">
        <v>485</v>
      </c>
      <c r="AS227"/>
      <c r="AT227" s="44" t="s">
        <v>485</v>
      </c>
      <c r="AU227"/>
      <c r="AV227"/>
      <c r="AW227" s="44" t="s">
        <v>485</v>
      </c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</row>
    <row r="228" spans="1:72" x14ac:dyDescent="0.25">
      <c r="A228" s="2" t="s">
        <v>527</v>
      </c>
      <c r="B228" s="3" t="s">
        <v>473</v>
      </c>
      <c r="C228" s="3" t="s">
        <v>580</v>
      </c>
      <c r="D228" s="3" t="s">
        <v>581</v>
      </c>
      <c r="E228" s="50" t="s">
        <v>528</v>
      </c>
      <c r="F228" s="50" t="s">
        <v>491</v>
      </c>
      <c r="G228" s="44">
        <f t="shared" ref="G228:AW228" si="17">2*0.1</f>
        <v>0.2</v>
      </c>
      <c r="I228" s="58"/>
      <c r="J228" s="44">
        <f t="shared" si="17"/>
        <v>0.2</v>
      </c>
      <c r="K228" s="44">
        <f t="shared" si="17"/>
        <v>0.2</v>
      </c>
      <c r="L228" s="44">
        <f t="shared" si="17"/>
        <v>0.2</v>
      </c>
      <c r="N228" s="44">
        <f t="shared" si="17"/>
        <v>0.2</v>
      </c>
      <c r="O228" s="44"/>
      <c r="P228" s="44">
        <f t="shared" si="17"/>
        <v>0.2</v>
      </c>
      <c r="Q228" s="44">
        <f t="shared" si="17"/>
        <v>0.2</v>
      </c>
      <c r="R228" s="44">
        <f t="shared" si="17"/>
        <v>0.2</v>
      </c>
      <c r="U228" s="44">
        <f t="shared" si="17"/>
        <v>0.2</v>
      </c>
      <c r="V228" s="44">
        <f t="shared" si="17"/>
        <v>0.2</v>
      </c>
      <c r="W228" s="44">
        <f t="shared" si="17"/>
        <v>0.2</v>
      </c>
      <c r="X228" s="44">
        <f t="shared" si="17"/>
        <v>0.2</v>
      </c>
      <c r="Y228" s="44">
        <f t="shared" si="17"/>
        <v>0.2</v>
      </c>
      <c r="Z228" s="44">
        <f t="shared" si="17"/>
        <v>0.2</v>
      </c>
      <c r="AA228" s="44">
        <f t="shared" si="17"/>
        <v>0.2</v>
      </c>
      <c r="AB228" s="44">
        <f t="shared" si="17"/>
        <v>0.2</v>
      </c>
      <c r="AC228" s="44">
        <f t="shared" si="17"/>
        <v>0.2</v>
      </c>
      <c r="AD228" s="44">
        <f t="shared" si="17"/>
        <v>0.2</v>
      </c>
      <c r="AE228" s="44">
        <f t="shared" si="17"/>
        <v>0.2</v>
      </c>
      <c r="AF228"/>
      <c r="AG228" s="44">
        <f t="shared" si="17"/>
        <v>0.2</v>
      </c>
      <c r="AH228" s="44">
        <f t="shared" si="17"/>
        <v>0.2</v>
      </c>
      <c r="AI228" s="44">
        <f t="shared" si="17"/>
        <v>0.2</v>
      </c>
      <c r="AJ228" s="44">
        <f t="shared" si="17"/>
        <v>0.2</v>
      </c>
      <c r="AK228" s="44">
        <f t="shared" si="17"/>
        <v>0.2</v>
      </c>
      <c r="AL228" s="44">
        <f t="shared" si="17"/>
        <v>0.2</v>
      </c>
      <c r="AM228" s="44">
        <f t="shared" si="17"/>
        <v>0.2</v>
      </c>
      <c r="AN228"/>
      <c r="AO228" s="44">
        <f t="shared" si="17"/>
        <v>0.2</v>
      </c>
      <c r="AP228" s="44">
        <f t="shared" si="17"/>
        <v>0.2</v>
      </c>
      <c r="AQ228" s="44">
        <f t="shared" si="17"/>
        <v>0.2</v>
      </c>
      <c r="AR228" s="44">
        <f t="shared" si="17"/>
        <v>0.2</v>
      </c>
      <c r="AS228"/>
      <c r="AT228" s="44">
        <f t="shared" si="17"/>
        <v>0.2</v>
      </c>
      <c r="AU228"/>
      <c r="AV228"/>
      <c r="AW228" s="44">
        <f t="shared" si="17"/>
        <v>0.2</v>
      </c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</row>
    <row r="229" spans="1:72" x14ac:dyDescent="0.25">
      <c r="A229" s="2" t="s">
        <v>529</v>
      </c>
      <c r="B229" s="3" t="s">
        <v>473</v>
      </c>
      <c r="C229" s="3" t="s">
        <v>580</v>
      </c>
      <c r="D229" s="3" t="s">
        <v>581</v>
      </c>
      <c r="E229" s="50" t="s">
        <v>530</v>
      </c>
      <c r="F229" s="50" t="s">
        <v>491</v>
      </c>
      <c r="G229" s="44">
        <v>1E-3</v>
      </c>
      <c r="I229" s="58"/>
      <c r="J229" s="44">
        <v>1E-3</v>
      </c>
      <c r="K229" s="44">
        <v>1E-3</v>
      </c>
      <c r="L229" s="44">
        <v>1E-3</v>
      </c>
      <c r="N229" s="44">
        <v>1E-3</v>
      </c>
      <c r="O229" s="44"/>
      <c r="P229" s="44">
        <v>1E-3</v>
      </c>
      <c r="Q229" s="44">
        <v>1E-3</v>
      </c>
      <c r="R229" s="44">
        <v>1E-3</v>
      </c>
      <c r="U229" s="44">
        <v>1E-3</v>
      </c>
      <c r="V229" s="44">
        <v>1E-3</v>
      </c>
      <c r="W229" s="44">
        <v>1E-3</v>
      </c>
      <c r="X229" s="44">
        <v>1E-3</v>
      </c>
      <c r="Y229" s="44">
        <v>1E-3</v>
      </c>
      <c r="Z229" s="44">
        <v>1E-3</v>
      </c>
      <c r="AA229" s="44">
        <v>1E-3</v>
      </c>
      <c r="AB229" s="44">
        <v>1E-3</v>
      </c>
      <c r="AC229" s="44">
        <v>1E-3</v>
      </c>
      <c r="AD229" s="44">
        <v>1E-3</v>
      </c>
      <c r="AE229" s="44">
        <v>1E-3</v>
      </c>
      <c r="AF229"/>
      <c r="AG229" s="44">
        <v>1E-3</v>
      </c>
      <c r="AH229" s="44">
        <v>1E-3</v>
      </c>
      <c r="AI229" s="44">
        <v>1E-3</v>
      </c>
      <c r="AJ229" s="44">
        <v>1E-3</v>
      </c>
      <c r="AK229" s="44">
        <v>1E-3</v>
      </c>
      <c r="AL229" s="44">
        <v>1E-3</v>
      </c>
      <c r="AM229" s="44">
        <v>1E-3</v>
      </c>
      <c r="AN229"/>
      <c r="AO229" s="44">
        <v>1E-3</v>
      </c>
      <c r="AP229" s="44">
        <v>1E-3</v>
      </c>
      <c r="AQ229" s="44">
        <v>1E-3</v>
      </c>
      <c r="AR229" s="44">
        <v>1E-3</v>
      </c>
      <c r="AS229"/>
      <c r="AT229" s="44">
        <v>1E-3</v>
      </c>
      <c r="AU229"/>
      <c r="AV229"/>
      <c r="AW229" s="44">
        <v>1E-3</v>
      </c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</row>
    <row r="230" spans="1:72" x14ac:dyDescent="0.25">
      <c r="A230" s="2" t="s">
        <v>531</v>
      </c>
      <c r="B230" s="3" t="s">
        <v>473</v>
      </c>
      <c r="C230" s="3" t="s">
        <v>483</v>
      </c>
      <c r="D230" s="3" t="s">
        <v>521</v>
      </c>
      <c r="E230" s="50" t="s">
        <v>532</v>
      </c>
      <c r="F230" s="50" t="s">
        <v>561</v>
      </c>
      <c r="G230" s="44">
        <v>1.0000000000000001E-5</v>
      </c>
      <c r="I230" s="58"/>
      <c r="J230" s="44">
        <f>0.00001 / 2</f>
        <v>5.0000000000000004E-6</v>
      </c>
      <c r="K230" s="44">
        <f>0.00001 / 2</f>
        <v>5.0000000000000004E-6</v>
      </c>
      <c r="L230" s="44">
        <f>0.00001 / 2</f>
        <v>5.0000000000000004E-6</v>
      </c>
      <c r="N230" s="44">
        <f>0.00001 / 2</f>
        <v>5.0000000000000004E-6</v>
      </c>
      <c r="O230" s="44"/>
      <c r="P230" s="44">
        <v>1.0000000000000001E-5</v>
      </c>
      <c r="Q230" s="44">
        <v>1.0000000000000001E-5</v>
      </c>
      <c r="R230" s="44">
        <v>1.0000000000000001E-5</v>
      </c>
      <c r="U230" s="44">
        <v>1.0000000000000001E-5</v>
      </c>
      <c r="V230" s="44">
        <v>1.0000000000000001E-5</v>
      </c>
      <c r="W230" s="44">
        <v>1.0000000000000001E-5</v>
      </c>
      <c r="X230" s="44">
        <v>1.0000000000000001E-5</v>
      </c>
      <c r="Y230" s="44">
        <v>1.0000000000000001E-5</v>
      </c>
      <c r="Z230" s="44">
        <v>1.0000000000000001E-5</v>
      </c>
      <c r="AA230" s="44">
        <v>1.0000000000000001E-5</v>
      </c>
      <c r="AB230" s="44">
        <v>1.0000000000000001E-5</v>
      </c>
      <c r="AC230" s="44">
        <v>1.0000000000000001E-5</v>
      </c>
      <c r="AD230" s="44">
        <v>1.0000000000000001E-5</v>
      </c>
      <c r="AE230" s="44">
        <v>1.0000000000000001E-5</v>
      </c>
      <c r="AF230"/>
      <c r="AG230" s="44">
        <v>1.0000000000000001E-5</v>
      </c>
      <c r="AH230" s="44">
        <v>1.0000000000000001E-5</v>
      </c>
      <c r="AI230" s="44">
        <v>1.0000000000000001E-5</v>
      </c>
      <c r="AJ230" s="44">
        <v>1.0000000000000001E-5</v>
      </c>
      <c r="AK230" s="44">
        <v>1.0000000000000001E-5</v>
      </c>
      <c r="AL230" s="44">
        <v>1.0000000000000001E-5</v>
      </c>
      <c r="AM230" s="44">
        <v>1.0000000000000001E-5</v>
      </c>
      <c r="AN230"/>
      <c r="AO230" s="44">
        <v>1.0000000000000001E-5</v>
      </c>
      <c r="AP230" s="44">
        <v>1.0000000000000001E-5</v>
      </c>
      <c r="AQ230" s="44">
        <v>1.0000000000000001E-5</v>
      </c>
      <c r="AR230" s="44">
        <v>1.0000000000000001E-5</v>
      </c>
      <c r="AS230"/>
      <c r="AT230" s="44">
        <v>1.0000000000000001E-5</v>
      </c>
      <c r="AU230"/>
      <c r="AV230"/>
      <c r="AW230" s="44">
        <v>1.0000000000000001E-5</v>
      </c>
      <c r="AX230" s="52"/>
      <c r="AY230" s="52"/>
      <c r="AZ230" s="52"/>
      <c r="BA230" s="52"/>
      <c r="BB230" s="52"/>
      <c r="BC230" s="52"/>
      <c r="BD230" s="52"/>
      <c r="BE230" s="52"/>
      <c r="BF230" s="52"/>
      <c r="BG230" s="52"/>
      <c r="BH230" s="52"/>
      <c r="BI230" s="1"/>
      <c r="BJ230" s="52"/>
      <c r="BK230" s="52"/>
      <c r="BL230" s="52"/>
      <c r="BM230" s="52"/>
      <c r="BN230" s="52"/>
      <c r="BO230" s="52"/>
      <c r="BP230" s="52"/>
      <c r="BQ230" s="52"/>
      <c r="BR230" s="52"/>
      <c r="BS230" s="52"/>
      <c r="BT230" s="52"/>
    </row>
    <row r="231" spans="1:72" x14ac:dyDescent="0.25">
      <c r="A231" s="2" t="s">
        <v>578</v>
      </c>
      <c r="B231" s="3" t="s">
        <v>473</v>
      </c>
      <c r="C231" s="3" t="s">
        <v>483</v>
      </c>
      <c r="D231" s="3" t="s">
        <v>521</v>
      </c>
      <c r="E231" s="50" t="s">
        <v>579</v>
      </c>
      <c r="F231" s="50" t="s">
        <v>491</v>
      </c>
      <c r="G231" s="57">
        <v>1.0000000000000001E-5</v>
      </c>
      <c r="I231" s="58"/>
      <c r="J231" s="44">
        <f t="shared" ref="J231:N231" si="18">0.000000005 / 5</f>
        <v>1.0000000000000001E-9</v>
      </c>
      <c r="K231" s="44">
        <f t="shared" si="18"/>
        <v>1.0000000000000001E-9</v>
      </c>
      <c r="L231" s="44">
        <f t="shared" si="18"/>
        <v>1.0000000000000001E-9</v>
      </c>
      <c r="N231" s="44">
        <f t="shared" si="18"/>
        <v>1.0000000000000001E-9</v>
      </c>
      <c r="O231" s="44"/>
      <c r="P231" s="44"/>
      <c r="Q231" s="44"/>
      <c r="R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/>
      <c r="AG231" s="44"/>
      <c r="AH231" s="44"/>
      <c r="AI231" s="44"/>
      <c r="AJ231" s="44"/>
      <c r="AK231" s="44"/>
      <c r="AL231" s="44"/>
      <c r="AM231" s="44"/>
      <c r="AN231"/>
      <c r="AO231" s="44"/>
      <c r="AP231" s="44"/>
      <c r="AQ231" s="44"/>
      <c r="AR231" s="44"/>
      <c r="AS231"/>
      <c r="AT231" s="44"/>
      <c r="AU231"/>
      <c r="AV231"/>
      <c r="AW231" s="44"/>
      <c r="AX231" s="52"/>
      <c r="AY231" s="52"/>
      <c r="AZ231" s="52"/>
      <c r="BA231" s="52"/>
      <c r="BB231" s="52"/>
      <c r="BC231" s="52"/>
      <c r="BD231" s="52"/>
      <c r="BE231" s="52"/>
      <c r="BF231" s="52"/>
      <c r="BG231" s="52"/>
      <c r="BH231" s="52"/>
      <c r="BI231" s="1"/>
      <c r="BJ231" s="52"/>
      <c r="BK231" s="52"/>
      <c r="BL231" s="52"/>
      <c r="BM231" s="52"/>
      <c r="BN231" s="52"/>
      <c r="BO231" s="52"/>
      <c r="BP231" s="52"/>
      <c r="BQ231" s="52"/>
      <c r="BR231" s="52"/>
      <c r="BS231" s="52"/>
      <c r="BT231" s="52"/>
    </row>
    <row r="232" spans="1:72" x14ac:dyDescent="0.25">
      <c r="A232" s="2" t="s">
        <v>540</v>
      </c>
      <c r="B232" s="3" t="s">
        <v>473</v>
      </c>
      <c r="C232" s="3" t="s">
        <v>483</v>
      </c>
      <c r="D232" s="3" t="s">
        <v>521</v>
      </c>
      <c r="E232" s="30" t="s">
        <v>537</v>
      </c>
      <c r="F232" s="30" t="s">
        <v>536</v>
      </c>
      <c r="G232" s="44">
        <f t="shared" ref="G232:AW233" si="19">0.00002 / 14 / 5</f>
        <v>2.8571428571428575E-7</v>
      </c>
      <c r="I232" s="58"/>
      <c r="J232" s="44">
        <v>0</v>
      </c>
      <c r="K232" s="44">
        <v>0</v>
      </c>
      <c r="L232" s="44">
        <v>0</v>
      </c>
      <c r="N232" s="44">
        <v>0</v>
      </c>
      <c r="O232" s="44"/>
      <c r="P232" s="44">
        <f t="shared" si="19"/>
        <v>2.8571428571428575E-7</v>
      </c>
      <c r="Q232" s="44">
        <f t="shared" si="19"/>
        <v>2.8571428571428575E-7</v>
      </c>
      <c r="R232" s="44">
        <f t="shared" si="19"/>
        <v>2.8571428571428575E-7</v>
      </c>
      <c r="U232" s="44">
        <f t="shared" si="19"/>
        <v>2.8571428571428575E-7</v>
      </c>
      <c r="V232" s="44">
        <f t="shared" si="19"/>
        <v>2.8571428571428575E-7</v>
      </c>
      <c r="W232" s="44">
        <f t="shared" si="19"/>
        <v>2.8571428571428575E-7</v>
      </c>
      <c r="X232" s="44">
        <f t="shared" si="19"/>
        <v>2.8571428571428575E-7</v>
      </c>
      <c r="Y232" s="44">
        <f t="shared" si="19"/>
        <v>2.8571428571428575E-7</v>
      </c>
      <c r="Z232" s="44">
        <f t="shared" si="19"/>
        <v>2.8571428571428575E-7</v>
      </c>
      <c r="AA232" s="44">
        <f t="shared" si="19"/>
        <v>2.8571428571428575E-7</v>
      </c>
      <c r="AB232" s="44">
        <f t="shared" si="19"/>
        <v>2.8571428571428575E-7</v>
      </c>
      <c r="AC232" s="44">
        <f t="shared" si="19"/>
        <v>2.8571428571428575E-7</v>
      </c>
      <c r="AD232" s="44">
        <f t="shared" si="19"/>
        <v>2.8571428571428575E-7</v>
      </c>
      <c r="AE232" s="44">
        <f t="shared" si="19"/>
        <v>2.8571428571428575E-7</v>
      </c>
      <c r="AF232"/>
      <c r="AG232" s="44">
        <f t="shared" si="19"/>
        <v>2.8571428571428575E-7</v>
      </c>
      <c r="AH232" s="44">
        <f t="shared" si="19"/>
        <v>2.8571428571428575E-7</v>
      </c>
      <c r="AI232" s="44">
        <f t="shared" si="19"/>
        <v>2.8571428571428575E-7</v>
      </c>
      <c r="AJ232" s="44">
        <f t="shared" si="19"/>
        <v>2.8571428571428575E-7</v>
      </c>
      <c r="AK232" s="44">
        <f t="shared" si="19"/>
        <v>2.8571428571428575E-7</v>
      </c>
      <c r="AL232" s="44">
        <f t="shared" si="19"/>
        <v>2.8571428571428575E-7</v>
      </c>
      <c r="AM232" s="44">
        <f t="shared" si="19"/>
        <v>2.8571428571428575E-7</v>
      </c>
      <c r="AN232"/>
      <c r="AO232" s="44">
        <f t="shared" si="19"/>
        <v>2.8571428571428575E-7</v>
      </c>
      <c r="AP232" s="44">
        <f t="shared" si="19"/>
        <v>2.8571428571428575E-7</v>
      </c>
      <c r="AQ232" s="44">
        <f t="shared" si="19"/>
        <v>2.8571428571428575E-7</v>
      </c>
      <c r="AR232" s="44">
        <f t="shared" si="19"/>
        <v>2.8571428571428575E-7</v>
      </c>
      <c r="AS232"/>
      <c r="AT232" s="44">
        <f t="shared" si="19"/>
        <v>2.8571428571428575E-7</v>
      </c>
      <c r="AU232"/>
      <c r="AV232"/>
      <c r="AW232" s="44">
        <f t="shared" si="19"/>
        <v>2.8571428571428575E-7</v>
      </c>
      <c r="AX232" s="1"/>
      <c r="AY232" s="1"/>
      <c r="AZ232" s="1"/>
      <c r="BA232" s="1"/>
      <c r="BB232" s="1"/>
      <c r="BC232" s="1"/>
      <c r="BD232" s="1"/>
      <c r="BE232" s="1"/>
    </row>
    <row r="233" spans="1:72" x14ac:dyDescent="0.25">
      <c r="A233" s="2" t="s">
        <v>541</v>
      </c>
      <c r="B233" s="3" t="s">
        <v>473</v>
      </c>
      <c r="C233" s="3" t="s">
        <v>483</v>
      </c>
      <c r="D233" s="3" t="s">
        <v>521</v>
      </c>
      <c r="E233" s="30" t="s">
        <v>537</v>
      </c>
      <c r="F233" s="30" t="s">
        <v>536</v>
      </c>
      <c r="G233" s="44">
        <f t="shared" ref="G233:AT233" si="20">0.00002 / 14 / 5 /10</f>
        <v>2.8571428571428575E-8</v>
      </c>
      <c r="I233" s="58"/>
      <c r="J233" s="44">
        <v>0</v>
      </c>
      <c r="K233" s="44">
        <v>0</v>
      </c>
      <c r="L233" s="44">
        <v>0</v>
      </c>
      <c r="N233" s="44">
        <v>0</v>
      </c>
      <c r="O233" s="44"/>
      <c r="P233" s="44">
        <f t="shared" si="20"/>
        <v>2.8571428571428575E-8</v>
      </c>
      <c r="Q233" s="44">
        <f t="shared" si="20"/>
        <v>2.8571428571428575E-8</v>
      </c>
      <c r="R233" s="44">
        <f t="shared" si="20"/>
        <v>2.8571428571428575E-8</v>
      </c>
      <c r="U233" s="44">
        <f t="shared" si="20"/>
        <v>2.8571428571428575E-8</v>
      </c>
      <c r="V233" s="44">
        <f t="shared" si="20"/>
        <v>2.8571428571428575E-8</v>
      </c>
      <c r="W233" s="44">
        <f t="shared" si="20"/>
        <v>2.8571428571428575E-8</v>
      </c>
      <c r="X233" s="44">
        <f t="shared" si="20"/>
        <v>2.8571428571428575E-8</v>
      </c>
      <c r="Y233" s="44">
        <f t="shared" si="20"/>
        <v>2.8571428571428575E-8</v>
      </c>
      <c r="Z233" s="44">
        <f t="shared" si="20"/>
        <v>2.8571428571428575E-8</v>
      </c>
      <c r="AA233" s="44">
        <f t="shared" si="20"/>
        <v>2.8571428571428575E-8</v>
      </c>
      <c r="AB233" s="44">
        <f t="shared" si="20"/>
        <v>2.8571428571428575E-8</v>
      </c>
      <c r="AC233" s="44">
        <f t="shared" si="20"/>
        <v>2.8571428571428575E-8</v>
      </c>
      <c r="AD233" s="44">
        <f t="shared" si="20"/>
        <v>2.8571428571428575E-8</v>
      </c>
      <c r="AE233" s="44">
        <f t="shared" si="20"/>
        <v>2.8571428571428575E-8</v>
      </c>
      <c r="AF233"/>
      <c r="AG233" s="44">
        <f t="shared" si="20"/>
        <v>2.8571428571428575E-8</v>
      </c>
      <c r="AH233" s="44">
        <f t="shared" si="20"/>
        <v>2.8571428571428575E-8</v>
      </c>
      <c r="AI233" s="44">
        <f t="shared" si="20"/>
        <v>2.8571428571428575E-8</v>
      </c>
      <c r="AJ233" s="44">
        <f t="shared" si="20"/>
        <v>2.8571428571428575E-8</v>
      </c>
      <c r="AK233" s="44">
        <f t="shared" si="20"/>
        <v>2.8571428571428575E-8</v>
      </c>
      <c r="AL233" s="44">
        <f t="shared" si="20"/>
        <v>2.8571428571428575E-8</v>
      </c>
      <c r="AM233" s="44">
        <f t="shared" si="20"/>
        <v>2.8571428571428575E-8</v>
      </c>
      <c r="AN233"/>
      <c r="AO233" s="44">
        <f t="shared" si="20"/>
        <v>2.8571428571428575E-8</v>
      </c>
      <c r="AP233" s="44">
        <f t="shared" si="20"/>
        <v>2.8571428571428575E-8</v>
      </c>
      <c r="AQ233" s="44">
        <f t="shared" si="20"/>
        <v>2.8571428571428575E-8</v>
      </c>
      <c r="AR233" s="44">
        <f t="shared" si="20"/>
        <v>2.8571428571428575E-8</v>
      </c>
      <c r="AS233"/>
      <c r="AT233" s="44">
        <f t="shared" si="20"/>
        <v>2.8571428571428575E-8</v>
      </c>
      <c r="AU233"/>
      <c r="AV233"/>
      <c r="AW233" s="44">
        <f t="shared" si="19"/>
        <v>2.8571428571428575E-7</v>
      </c>
      <c r="AX233" s="1"/>
      <c r="AY233" s="1"/>
      <c r="AZ233" s="1"/>
      <c r="BA233" s="1"/>
      <c r="BB233" s="1"/>
      <c r="BC233" s="1"/>
      <c r="BD233" s="1"/>
      <c r="BE233" s="1"/>
    </row>
    <row r="234" spans="1:72" x14ac:dyDescent="0.25">
      <c r="A234" s="1" t="s">
        <v>583</v>
      </c>
      <c r="B234" s="3" t="s">
        <v>473</v>
      </c>
      <c r="C234" s="3" t="s">
        <v>483</v>
      </c>
      <c r="D234" s="3" t="s">
        <v>521</v>
      </c>
      <c r="E234" s="30" t="s">
        <v>584</v>
      </c>
      <c r="F234" s="30" t="s">
        <v>486</v>
      </c>
      <c r="G234" s="44">
        <v>-1</v>
      </c>
      <c r="I234" s="58"/>
      <c r="J234" s="44" t="s">
        <v>86</v>
      </c>
      <c r="K234" s="44" t="s">
        <v>86</v>
      </c>
      <c r="L234" s="44" t="s">
        <v>86</v>
      </c>
      <c r="N234" s="44" t="s">
        <v>86</v>
      </c>
      <c r="O234" s="44"/>
      <c r="P234" s="44">
        <v>-1</v>
      </c>
      <c r="Q234" s="44">
        <v>-1</v>
      </c>
      <c r="R234" s="44">
        <v>-1</v>
      </c>
      <c r="U234" s="44">
        <v>-1</v>
      </c>
      <c r="V234" s="44">
        <v>-1</v>
      </c>
      <c r="W234" s="44">
        <v>-1</v>
      </c>
      <c r="X234" s="44">
        <v>-1</v>
      </c>
      <c r="Y234" s="44">
        <v>-1</v>
      </c>
      <c r="Z234" s="44">
        <v>-1</v>
      </c>
      <c r="AA234" s="44">
        <v>-1</v>
      </c>
      <c r="AB234" s="44">
        <v>-1</v>
      </c>
      <c r="AC234" s="44">
        <v>-1</v>
      </c>
      <c r="AD234" s="44">
        <v>-1</v>
      </c>
      <c r="AE234" s="44">
        <v>-1</v>
      </c>
      <c r="AF234" s="44">
        <v>-1</v>
      </c>
      <c r="AG234" s="44">
        <v>-1</v>
      </c>
      <c r="AH234" s="44">
        <v>-1</v>
      </c>
      <c r="AI234" s="44">
        <v>-1</v>
      </c>
      <c r="AJ234" s="44">
        <v>-1</v>
      </c>
      <c r="AK234" s="44">
        <v>-1</v>
      </c>
      <c r="AL234" s="44">
        <v>-1</v>
      </c>
      <c r="AM234" s="44">
        <v>-1</v>
      </c>
      <c r="AN234" s="44">
        <v>-1</v>
      </c>
      <c r="AO234" s="44">
        <v>-1</v>
      </c>
      <c r="AP234" s="44">
        <v>-1</v>
      </c>
      <c r="AQ234" s="44">
        <v>-1</v>
      </c>
      <c r="AR234" s="44">
        <v>-1</v>
      </c>
      <c r="AS234" s="44">
        <v>-1</v>
      </c>
      <c r="AT234" s="44">
        <v>-1</v>
      </c>
      <c r="AU234" s="44">
        <v>-1</v>
      </c>
      <c r="AV234" s="44">
        <v>-1</v>
      </c>
      <c r="AW234" s="44">
        <v>-1</v>
      </c>
      <c r="AX234" s="1"/>
      <c r="AY234" s="1"/>
      <c r="AZ234" s="1"/>
      <c r="BA234" s="1"/>
      <c r="BB234" s="1"/>
      <c r="BC234" s="1"/>
      <c r="BD234" s="1"/>
      <c r="BE234" s="1"/>
    </row>
    <row r="235" spans="1:72" x14ac:dyDescent="0.25">
      <c r="A235" s="21" t="s">
        <v>588</v>
      </c>
      <c r="B235" s="3" t="s">
        <v>473</v>
      </c>
      <c r="C235" s="3" t="s">
        <v>483</v>
      </c>
      <c r="D235" s="3" t="s">
        <v>521</v>
      </c>
      <c r="E235" s="22" t="s">
        <v>589</v>
      </c>
      <c r="F235" s="22" t="s">
        <v>590</v>
      </c>
      <c r="G235" s="44">
        <v>1.0000000000000001E-9</v>
      </c>
      <c r="I235" s="58"/>
      <c r="J235" s="44">
        <f>J129* (6 * 12 / 0.44) * 0.015 / 14 / 1.4 /2/2/2</f>
        <v>5.8702458256029672E-17</v>
      </c>
      <c r="K235" s="44">
        <f>K129* (6 * 12 / 0.44) * 0.015 / 14 / 1.4</f>
        <v>4.6961966604823737E-16</v>
      </c>
      <c r="L235" s="44">
        <f>L128* (6 * 12 / 0.44) * 0.015 / 14 / 1.4</f>
        <v>6.2615955473098323E-16</v>
      </c>
      <c r="M235" s="1" t="s">
        <v>599</v>
      </c>
      <c r="N235" s="44">
        <f>N129* 6 * 12 / 0.44 * 0.015 / 14 / 1.4 /2/2/2</f>
        <v>5.8702458256029672E-17</v>
      </c>
      <c r="O235" s="44"/>
      <c r="P235" s="44">
        <v>4.9999999999999999E-13</v>
      </c>
      <c r="Q235" s="44">
        <v>4.9999999999999999E-13</v>
      </c>
      <c r="R235" s="44">
        <v>4.9999999999999999E-13</v>
      </c>
      <c r="U235" s="44">
        <v>4.9999999999999999E-13</v>
      </c>
      <c r="V235" s="44">
        <v>4.9999999999999999E-13</v>
      </c>
      <c r="W235" s="44">
        <v>4.9999999999999999E-13</v>
      </c>
      <c r="X235" s="44">
        <v>4.9999999999999999E-13</v>
      </c>
      <c r="Y235" s="44">
        <v>4.9999999999999999E-13</v>
      </c>
      <c r="Z235" s="44">
        <v>4.9999999999999999E-13</v>
      </c>
      <c r="AA235" s="44">
        <v>4.9999999999999999E-13</v>
      </c>
      <c r="AB235" s="44">
        <v>4.9999999999999999E-13</v>
      </c>
      <c r="AC235" s="44">
        <v>4.9999999999999999E-13</v>
      </c>
      <c r="AD235" s="44">
        <v>4.9999999999999999E-13</v>
      </c>
      <c r="AE235" s="44">
        <v>4.9999999999999999E-13</v>
      </c>
      <c r="AF235"/>
      <c r="AG235" s="44">
        <v>4.9999999999999999E-13</v>
      </c>
      <c r="AH235" s="44">
        <v>4.9999999999999999E-13</v>
      </c>
      <c r="AI235" s="44">
        <v>4.9999999999999999E-13</v>
      </c>
      <c r="AJ235" s="44">
        <v>4.9999999999999999E-13</v>
      </c>
      <c r="AK235" s="44">
        <v>4.9999999999999999E-13</v>
      </c>
      <c r="AL235" s="44">
        <v>4.9999999999999999E-13</v>
      </c>
      <c r="AM235" s="44">
        <v>4.9999999999999999E-13</v>
      </c>
      <c r="AN235"/>
      <c r="AO235" s="44">
        <v>4.9999999999999999E-13</v>
      </c>
      <c r="AP235" s="44">
        <v>4.9999999999999999E-13</v>
      </c>
      <c r="AQ235" s="44">
        <v>4.9999999999999999E-13</v>
      </c>
      <c r="AR235" s="44">
        <v>4.9999999999999999E-13</v>
      </c>
      <c r="AS235"/>
      <c r="AT235" s="44">
        <v>4.9999999999999999E-13</v>
      </c>
      <c r="AU235"/>
      <c r="AV235"/>
      <c r="AW235" s="44">
        <v>4.9999999999999999E-13</v>
      </c>
    </row>
    <row r="236" spans="1:72" x14ac:dyDescent="0.25">
      <c r="A236" s="21" t="s">
        <v>605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J130* (6 * 12 / 0.44) * 0.015 / 14 / 1.4 /2/2/2</f>
        <v>0.15653988868274582</v>
      </c>
      <c r="K236" s="44">
        <f>K130* (6 * 12 / 0.44) * 0.015 / 14 / 1.4</f>
        <v>1.2523191094619666</v>
      </c>
      <c r="L236" s="44">
        <f>0.000001/3600/4</f>
        <v>6.9444444444444442E-11</v>
      </c>
      <c r="M236" s="1" t="s">
        <v>604</v>
      </c>
      <c r="N236" s="44">
        <f>N130* 6 * 12 / 0.44 * 0.015 / 14 / 1.4 /2/2/2</f>
        <v>0.15653988868274582</v>
      </c>
      <c r="O236" s="44"/>
      <c r="P236" s="44">
        <v>4.9999999999999999E-13</v>
      </c>
      <c r="Q236" s="44">
        <v>4.9999999999999999E-13</v>
      </c>
      <c r="R236" s="44">
        <v>4.9999999999999999E-13</v>
      </c>
      <c r="U236" s="44">
        <v>4.9999999999999999E-13</v>
      </c>
      <c r="V236" s="44">
        <v>4.9999999999999999E-13</v>
      </c>
      <c r="W236" s="44">
        <v>4.9999999999999999E-13</v>
      </c>
      <c r="X236" s="44">
        <v>4.9999999999999999E-13</v>
      </c>
      <c r="Y236" s="44">
        <v>4.9999999999999999E-13</v>
      </c>
      <c r="Z236" s="44">
        <v>4.9999999999999999E-13</v>
      </c>
      <c r="AA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/>
      <c r="AG236" s="44">
        <v>4.9999999999999999E-13</v>
      </c>
      <c r="AH236" s="44">
        <v>4.9999999999999999E-13</v>
      </c>
      <c r="AI236" s="44">
        <v>4.9999999999999999E-13</v>
      </c>
      <c r="AJ236" s="44">
        <v>4.9999999999999999E-13</v>
      </c>
      <c r="AK236" s="44">
        <v>4.9999999999999999E-13</v>
      </c>
      <c r="AL236" s="44">
        <v>4.9999999999999999E-13</v>
      </c>
      <c r="AM236" s="44">
        <v>4.9999999999999999E-13</v>
      </c>
      <c r="AN236"/>
      <c r="AO236" s="44">
        <v>4.9999999999999999E-13</v>
      </c>
      <c r="AP236" s="44">
        <v>4.9999999999999999E-13</v>
      </c>
      <c r="AQ236" s="44">
        <v>4.9999999999999999E-13</v>
      </c>
      <c r="AR236" s="44">
        <v>4.9999999999999999E-13</v>
      </c>
      <c r="AS236"/>
      <c r="AT236" s="44">
        <v>4.9999999999999999E-13</v>
      </c>
      <c r="AU236"/>
      <c r="AV236"/>
      <c r="AW236" s="44">
        <v>4.9999999999999999E-13</v>
      </c>
    </row>
  </sheetData>
  <phoneticPr fontId="19" type="noConversion"/>
  <conditionalFormatting sqref="G225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L127"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L135"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L207"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L208"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L215"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L217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L219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L221"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L222"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L223"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L224"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L230"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L231">
    <cfRule type="colorScale" priority="4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4:L234">
    <cfRule type="colorScale" priority="4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O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:O2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7:O12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5:O13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7:O20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8:O20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3:O21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5:O2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6:O21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8:O219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0:O22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2:O2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3:O223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4:O22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6:O22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0:O230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1:O23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2:O2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34:O2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5:R225 AW225 I225:L225">
    <cfRule type="colorScale" priority="3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9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0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1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X2 AW2 G2 N2:R2 I2:L2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:X4 AW3:AW4 G3:G4 P3:R4 I3:L4"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:X5 AW5 G5 N5:R5 I5:L5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X6 AW6 G6 N6:R6 I6:L6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:X7 AW7 G7 N7:R7 I7:L7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:X8 AW8 G8 N8:R8 I8:L8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:X9 AW9 G9 N9:R9 I9:L9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:X10 AW10 G10 N10:R10 I10:L10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:X11 AW11 G11 N11:R11 I11:L11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:X12 AW12 G12 N12:R12 I12:L12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:X13 AW13 G13 N13:R13 I13:L13"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:X14 AW14 G14 N14:R14 I14:L14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:X15 AW15 G15 N15:R15 I15:L15"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:X16 AW16 G16 N16:R16 I16:L16"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:X17 AW17 G17 N17:R17 I17:L17"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:X18 AW18 G18 N18:R18 I18:L18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:X19 AW19 G19 N19:R19 I19:L19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:X20 AW20 G20 N20:R20 I20:L20"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:X21 AW21 G21 N21:R21 I21:L21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:X22 AW22 G22 N22:R22 I22:L22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5:X25 AW25 G25 N25:R25 I25:L25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6:X26 AW26 G26 N26:R26 I26:L26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7:X27 AW27 G27 N27:R27 I27:L27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8:X28 AW28 G28 N28:R28 I28:L28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9:X29 AW29 G29 N29:R29 I29:L29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0:X30 AW30 G30 N30:R30 I30:L30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1:X31 AW31 G31 N31:R31 I31:L31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2:X32 AW32 G32 N32:R32 I32:L32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3:X33 AW33 G33 N33:R33 I33:L33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4:X34 AW34 G34 N34:R34 I34:L34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5:X35 AW35 G35 N35:R35 I35:L35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6:X36 AW36 G36 N36:R36 I36:L36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7:X37 AW37 G37 N37:R37 I37:L37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8:X38 AW38 G38 N38:R38 I38:L38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9:X39 AW39 G39 N39:R39 I39:L39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0:X40 AW40 G40 N40:R40 I40:L40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1:X41 AW41 G41 N41:R41 I41:L41"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2:X42 AW42 G42 N42:R42 I42:L42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3:X43 AW43 G43 N43:R43 I43:L43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X44 AW44 G44 N44:R44 I44:L44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5:X45 AW45 G45 N45:R45 I45:L45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6:X46 AW46 G46 N46:R46 I46:L46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7:X47 AW47 G47 N47:R47 I47:L47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8:X48 AW48 G48 N48:R48 I48:L48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9:X49 AW49 G49 N49:R49 I49:L49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0:X50 AW50 G50 N50:R50 I50:L50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1:X51 AW51 G51 N51:R51 I51:L51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2:X52 AW52 G52 N52:R52 I52:L52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3:X53 AW53 G53 N53:R53 I53:L53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4:X54 AW54 G54 N54:R54 I54:L54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5:X55 AW55 G55 N55:R55 I55:L55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6:X56 AW56 G56 N56:R56 I56:L56"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7:X57 AW57 G57 N57:R57 I57:L57"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8:X58 AW58 G58 N58:R58 I58:L58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9:X59 AW59 G59 N59:R59 I59:L59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0:X60 AW60 G60 N60:R60 I60:L60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1:X61 AW61 G61 N61:R61 I61:L61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2:X62 AW62 G62 N62:R62 I62:L62"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3:X63 AW63 G63 N63:R63 I63:L63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4:X64 AW64 G64 N64:R64 I64:L64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5:X65 AW65 G65 N65:R65 I65:L65"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6:X66 AW66 G66 N66:R66 I66:L66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7:X67 AW67 G67 N67:R67 I67:L67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8:X68 AW68 G68 N68:R68 I68:L68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9:X69 AW69 G69 N69:R69 I69:L69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0:X70 AW70 G70 N70:R70 I70:L70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1:X71 AW71 G71 N71:R71 I71:L71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2:X72 AW72 G72 N72:R72 I72:L72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3:X73 AW73 G73 N73:R73 I73:L73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4:X74 AW74 G74 N74:R74 I74:L74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5:X75 AW75 G75 N75:R75 I75:L75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6:X76 AW76 G76 N76:R76 I76:L76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7:X77 AW77 G77 N77:R77 I77:L77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8:X78 AW78 G78 N78:R78 I78:L78"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9:X79 AW79 G79 N79:R79 I79:L79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0:X80 AW80 G80 N80:R80 I80:L80"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1:X81 AW81 G81 N81:R81 I81:L81"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2:X82 AW82 G82 N82:R82 I82:L82"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3:X83 AW83 G83 N83:R83 I83:L83"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4:X84 AW84 G84 N84:R84 I84:L84"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5:X85 AW85 G85 N85:R85 I85:L85"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6:X86 AW86 G86 N86:R86 I86:L86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7:X87 AW87 G87 N87:R87 I87:L87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8:X88 AW88 G88 N88:R88 I88:L88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9:X89 AW89 G89 N89:R89 I89:L89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0:X90 AW90 G90 N90:R90 I90:L90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1:X91 AW91 G91 N91:R91 I91:L91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2:X92 AW92 G92 N92:R92 I92:L92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3:X93 AW93 G93 N93:R93 I93:L93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4:X94 AW94 G94 N94:R94 I94:L94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5:X95 AW95 G95 N95:R95 I95:L95"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6:X96 AW96 G96 N96:R96 I96:L96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7:X97 AW97 G97 N97:R97 I97:L97"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8:X98 AW98 G98 N98:R98 I98:L98"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9:X99 AW99 G99 N99:R99 I99:L99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0:X100 AW100 G100 N100:R100 I100:L100"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1:X101 AW101 G101 N101:R101 I101:L101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2:X102 AW102 G102 N102:R102 I102:L102"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3:X103 AW103 G103 N103:R103 I103:L103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4:X104 AW104 G104 N104:R104 I104:L104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5:X105 AW105 G105 N105:R105 I105:L105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6:X106 AW106 G106 N106:R106 I106:L106"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7:X107 AW107 G107 N107:R107 I107:L107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8:X108 AW108 G108 N108:R108 I108:L108"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9:X109 AW109 G109 N109:R109 I109:L109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0:X110 AW110 G110 N110:R110 I110:L110"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1:X111 AW111 G111 N111:R111 I111:L111"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2:X112 AW112 G112 N112:R112 I112:L112"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3:X113 AW113 G113 N113:R113 I113:L113"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4:X114 AW114 G114 N114:R114 I114:L114"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5:X115 AW115 G115 N115:R115 I115:L115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6:X116 AW116 G116 N116:R116 I116:L116"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7:X117 AW117 G117 N117:R117 I117:L117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8:X118 AW118 G118 N118:R118 I118:L118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9:X119 AW119 G119 N119:R119 I119:L119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0:X120 AW120 G120 N120:R120 I120:L120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1:X121 AW121 G121 N121:R121 I121:L121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2:X122 AW122 G122 N122:R122 I122:L122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3:X123 AW123 G123 N123:R123 I123:L123"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4:X124 AW124 G124 N124:R124 I124:L124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5:X125 AW125 G125 N125:R125 I125:L125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6:X126 AW126 G126 N126:R126 I126:L126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7:X127 AW127 G127 P127:R127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8:X129 AW128:AW129 G128:G129 N128:R129 I128:L129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0:X130 AW130 G130 N130:R130 I130:L130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1:X131 AW131 G131 N131:R131 I131:L131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2:X132 AW132 G132 N132:R132 I132:L132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3:X133 AW133 G133 N133:R133 I133:L133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4:X134 AW134 G134 N134:R134 I134:L134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5:X135 AW135 G135 P135:R135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6:X136 AW136 G136 N136:R136 I136:L136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7:X137 AW137 G137 N137:R137 I137:L137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8:X138 AW138 G138 N138:R138 I138:L138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9:X139 AW139 G139 N139:R139 I139:L139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0:X140 AW140 G140 N140:R140 I140:L140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1:X141 AW141 G141 N141:R141 I141:L141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2:X142 AW142 G142 N142:R142 I142:L142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3:X143 AW143 G143 N143:R143 I143:L143"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4:X144 AW144 G144 N144:R144 I144:L144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5:X145 AW145 G145 N145:R145 I145:L145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6:X146 AW146 G146 N146:R146 I146:L146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7:X147 AW147 G147 N147:R147 I147:L147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8:X148 AW148 G148 N148:R148 I148:L148"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9:X149 AW149 G149 N149:R149 I149:L149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0:X150 AW150 G150 N150:R150 I150:L150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1:X151 AW151 G151 N151:R151 I151:L151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2:X152 AW152 G152 N152:R152 I152:L152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3:X153 AW153 G153 N153:R153 I153:L153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4:X154 AW154 G154 N154:R154 I154:L154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5:X155 AW155 G155 N155:R155 I155:L155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6:X156 AW156 G156 N156:R156 I156:L156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7:X157 AW157 G157 N157:R157 I157:L157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8:X158 AW158 G158 N158:R158 I158:L158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9:X159 AW159 G159 N159:R159 I159:L159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0:X160 AW160 G160 N160:R160 I160:L160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1:X161 AW161 G161 N161:R161 I161:L161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2:X162 AW162 G162 N162:R162 I162:L162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3:X163 AW163 G163 N163:R163 I163:L163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4:X164 AW164 G164 N164:R164 I164:L164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5:X165 AW165 G165 N165:R165 I165:L165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6:X166 AW166 G166 N166:R166 I166:L166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7:X167 AW167 G167 N167:R167 I167:L167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8:X168 AW168 G168 N168:R168 I168:L168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9:X169 AW169 G169 N169:R169 I169:L169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0:X170 AW170 G170 N170:R170 I170:L170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1:X171 AW171 G171 N171:R171 I171:L171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2:X172 AW172 G172 N172:R172 I172:L172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3:X173 AW173 G173 N173:R173 I173:L173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4:X174 AW174 G174 N174:R174 I174:L174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5:X175 AW175 G175 N175:R175 I175:L175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6:X176 AW176 G176 N176:R176 I176:L176"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7:X177 AW177 G177 N177:R177 I177:L177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8:X178 AW178 G178 N178:R178 I178:L178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9:X179 AW179 G179 N179:R179 I179:L179"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0:X180 AW180 G180 N180:R180 I180:L180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1:X181 AW181 G181 N181:R181 I181:L181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2:X182 AW182 G182 N182:R182 I182:L182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3:X183 AW183 G183 N183:R183 I183:L183"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4:X184 AW184 G184 N184:R184 I184:L184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5:X185 AW185 G185 N185:R185 I185:L185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6:X186 AW186 G186 N186:R186 I186:L186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7:X187 AW187 G187 N187:R187 I187:L187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8:X188 AW188 G188 N188:R188 I188:L188"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9:X189 AW189 G189 N189:R189 I189:L189"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0:X190 AW190 G190 N190:R190 I190:L190"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1:X191 AW191 G191 N191:R191 I191:L191"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2:X192 AW192 G192 N192:R192 I192:L192"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3:X193 AW193 G193 N193:R193 I193:L193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4:X194 AW194 G194 N194:R194 I194:L194"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5:X195 AW195 G195 N195:R195 I195:L195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6:X196 AW196 G196 N196:R196 I196:L196"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7:X197 AW197 G197 N197:R197 I197:L197"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8:X198 AW198 G198 N198:R198 I198:L198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9:X199 AW199 G199 N199:R199 I199:L199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0:X200 AW200 G200 N200:R200 I200:L200"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1:X201 AW201 G201 N201:R201 I201:L201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2:X202 AW202 G202 N202:R202 I202:L202"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3:X203 AW203 G203 N203:R203 I203:L203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4:X204 AW204 G204 N204:R204 I204:L204"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5:X205 AW205 G205 N205:R205 I205:L205"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6:X206 AW206 G206 N206:R206 I206:L206"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7:X207 AW207 G207 P207:R207">
    <cfRule type="colorScale" priority="3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8:X208 AW208 G208 P208:R208"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9:X209 AW209 G209 N209:P209 I209:L209"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0:X210 AW210 G210 N210:P210 I210:L210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1:X211 AW211 G211 N211:P211 I211:L211"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2:X212 AW212 G212 N212:P212 I212:L212"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3:X213"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4:X214 AW214 G214 P214:R214"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5:X215 AW215 G215 P215:R215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6:X219 AW216:AW219 G216:G219 P216:R219"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0:X221 AW220:AW221 G220:G221 P220:R221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2:X224 AW222:AW224 G222:G223 P222:R224">
    <cfRule type="colorScale" priority="3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5:X225"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35:X236 AW235:AW236 G235:G236 N235:R236 I235:L236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:Y24"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6:Y231"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2:Y233"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AE2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:AE4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:AE5"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AE6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:AE7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:AE8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:AE9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:AE10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:AE11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:AE12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:AE13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:AE14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:AE15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:AE16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:AE17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:AE18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:AE19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:AE20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:AE21"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:AE22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5:AE25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6:AE26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7:AE27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8:AE28"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9:AE29"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0:AE30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1:AE31"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2:AE32"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3:AE33"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4:AE34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5:AE35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6:AE36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7:AE37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8:AE38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9:AE39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0:AE40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1:AE41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2:AE42"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3:AE43"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AE44"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5:AE45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6:AE46"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7:AE47"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8:AE48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9:AE49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0:AE50"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1:AE51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2:AE52"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3:AE53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4:AE54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5:AE55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6:AE56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7:AE57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8:AE58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9:AE59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0:AE60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1:AE61"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2:AE62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3:AE63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4:AE64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5:AE65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6:AE66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7:AE67"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8:AE68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9:AE69"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0:AE70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1:AE71"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2:AE72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3:AE73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4:AE74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5:AE75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6:AE76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7:AE77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8:AE78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9:AE79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0:AE80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1:AE81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2:AE82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3:AE83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4:AE84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5:AE85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6:AE86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7:AE87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8:AE88"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9:AE89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0:AE90"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1:AE91"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2:AE92"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3:AE93"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4:AE94"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5:AE95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6:AE96"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7:AE97"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8:AE98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9:AE99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0:AE100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1:AE101"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2:AE102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3:AE103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4:AE104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5:AE105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6:AE106"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7:AE107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8:AE108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9:AE109"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0:AE110"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1:AE111"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2:AE112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3:AE113"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4:AE114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5:AE115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6:AE116"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7:AE117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8:AE118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9:AE119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0:AE120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1:AE121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2:AE122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3:AE123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4:AE124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5:AE125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6:AE126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7:AE127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9:AE129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0:AE130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1:AE131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2:AE132"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3:AE133"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4:AE134"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5:AE135"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6:AE136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7:AE137"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8:AE138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9:AE139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0:AE140"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1:AE141"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2:AE142"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3:AE143"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4:AE144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5:AE145"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6:AE146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7:AE147"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8:AE148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9:AE149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0:AE150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1:AE151"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2:AE152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3:AE153"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4:AE154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5:AE155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6:AE156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7:AE157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8:AE158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9:AE159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0:AE160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1:AE161"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2:AE162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3:AE163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4:AE164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5:AE165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6:AE166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7:AE167"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8:AE168"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9:AE169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0:AE170"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1:AE171"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2:AE172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3:AE173"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4:AE174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5:AE175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6:AE176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7:AE177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8:AE178"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9:AE179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0:AE180"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1:AE181"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2:AE182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3:AE183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4:AE184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5:AE185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6:AE186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7:AE187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8:AE188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9:AE189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0:AE190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1:AE191"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2:AE192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3:AE193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4:AE194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5:AE195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6:AE196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7:AE197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8:AE198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9:AE199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0:AE200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1:AE201"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2:AE202"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3:AE203"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4:AE204"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5:AE205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6:AE206"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7:AE207">
    <cfRule type="colorScale" priority="1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8:AE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9:AE209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0:AE210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1:AE211">
    <cfRule type="colorScale" priority="1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2:AE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3:AE213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4:AE214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5:AE215"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6:AE219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0:AE221"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2:AE224"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5:AE225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5:AE23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6:Z231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2:Z233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6:AA231"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2:AA233"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6:AB231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2:AB233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6:AC231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2:AC233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6:AD231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2:AD233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6:AE231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2:AE233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5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6:AG231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2:AG233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:AM2 AO2:AR2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:AM4 AO3:AR4"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:AM5 AO5:AR5"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M6 AO6:AR6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M7 AO7:AR7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:AM8 AO8:AR8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:AM9 AO9:AR9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:AM10 AO10:AR10"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:AM11 AO11:AR11"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:AM12 AO12:AR12"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:AM13 AO13:AR13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:AM14 AO14:AR14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:AM15 AO15:AR15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:AM16 AO16:AR16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:AM17 AO17:AR17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:AM18 AO18:AR18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:AM19 AO19:AR19"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:AM20 AO20:AR20"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:AM21 AO21:AR21"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M22 AO22:AR22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5:AM25 AO25:AR25"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6:AM26 AO26:AR26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7:AM27 AO27:AR27"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8:AM28 AO28:AR28"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9:AM29 AO29:AR29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0:AM30 AO30:AR30"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1:AM31 AO31:AR31"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2:AM32 AO32:AR32"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3:AM33 AO33:AR33"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4:AM34 AO34:AR34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5:AM35 AO35:AR35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6:AM36 AO36:AR36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7:AM37 AO37:AR37"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8:AM38 AO38:AR38"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39:AM39 AO39:AR39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0:AM40 AO40:AR40"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1:AM41 AO41:AR41"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2:AM42 AO42:AR42"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3:AM43 AO43:AR43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4:AM44 AO44:AR44"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5:AM45 AO45:AR45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6:AM46 AO46:AR46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7:AM47 AO47:AR47"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8:AM48 AO48:AR48"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9:AM49 AO49:AR49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0:AM50 AO50:AR50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1:AM51 AO51:AR51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2:AM52 AO52:AR52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3:AM53 AO53:AR53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4:AM54 AO54:AR54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5:AM55 AO55:AR55"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6:AM56 AO56:AR56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7:AM57 AO57:AR57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8:AM58 AO58:AR58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9:AM59 AO59:AR59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0:AM60 AO60:AR60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1:AM61 AO61:AR61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2:AM62 AO62:AR62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3:AM63 AO63:AR63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4:AM64 AO64:AR64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5:AM65 AO65:AR65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6:AM66 AO66:AR66"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7:AM67 AO67:AR67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8:AM68 AO68:AR68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9:AM69 AO69:AR69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0:AM70 AO70:AR70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1:AM71 AO71:AR71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2:AM72 AO72:AR72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3:AM73 AO73:AR73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4:AM74 AO74:AR74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5:AM75 AO75:AR75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6:AM76 AO76:AR76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7:AM77 AO77:AR77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8:AM78 AO78:AR78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9:AM79 AO79:AR79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0:AM80 AO80:AR80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1:AM81 AO81:AR81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2:AM82 AO82:AR82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3:AM83 AO83:AR83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4:AM84 AO84:AR84"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5:AM85 AO85:AR85"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6:AM86 AO86:AR86"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7:AM87 AO87:AR87"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8:AM88 AO88:AR88"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89:AM89 AO89:AR89"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0:AM90 AO90:AR90"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1:AM91 AO91:AR91"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2:AM92 AO92:AR92"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3:AM93 AO93:AR93"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4:AM94 AO94:AR94"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5:AM95 AO95:AR95"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6:AM96 AO96:AR96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7:AM97 AO97:AR97"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8:AM98 AO98:AR98"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99:AM99 AO99:AR99"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0:AM100 AO100:AR100"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1:AM101 AO101:AR101"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2:AM102 AO102:AR102"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3:AM103 AO103:AR103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4:AM104 AO104:AR104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5:AM105 AO105:AR105"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6:AM106 AO106:AR106"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7:AM107 AO107:AR107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8:AM108 AO108:AR108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09:AM109 AO109:AR109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0:AM110 AO110:AR110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1:AM111 AO111:AR111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2:AM112 AO112:AR112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3:AM113 AO113:AR113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4:AM114 AO114:AR114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5:AM115 AO115:AR115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6:AM116 AO116:AR116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7:AM117 AO117:AR117"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8:AM118 AO118:AR118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19:AM119 AO119:AR119"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0:AM120 AO120:AR120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1:AM121 AO121:AR121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2:AM122 AO122:AR122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3:AM123 AO123:AR123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4:AM124 AO124:AR124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5:AM125 AO125:AR125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6:AM126 AO126:AR126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7:AM127 AO127:AR127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9:AM129 AO129:AR129"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0:AM130 AO130:AR13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1:AM131 AO131:AR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2:AM132 AO132:AR13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3:AM133 AO133:AR133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4:AM134 AO134:AR134"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5:AM135 AO135:AR135"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6:AM136 AO136:AR136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7:AM137 AO137:AR137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8:AM138 AO138:AR13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39:AM139 AO139:AR139"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0:AM140 AO140:AR14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1:AM141 AO141:AR141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2:AM142 AO142:AR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3:AM143 AO143:AR14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4:AM144 AO144:AR144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5:AM145 AO145:AR14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6:AM146 AO146:AR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7:AM147 AO147:AR147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8:AM148 AO148:AR148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49:AM149 AO149:AR149"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0:AM150 AO150:AR150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1:AM151 AO151:AR15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2:AM152 AO152:AR152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3:AM153 AO153:AR153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4:AM154 AO154:AR154"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5:AM155 AO155:AR155"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6:AM156 AO156:AR156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7:AM157 AO157:AR157"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8:AM158 AO158:AR158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59:AM159 AO159:AR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0:AM160 AO160:AR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1:AM161 AO161:AR161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2:AM162 AO162:AR16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3:AM163 AO163:AR163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4:AM164 AO164:AR164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5:AM165 AO165:AR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6:AM166 AO166:AR166"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7:AM167 AO167:AR167"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8:AM168 AO168:AR168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69:AM169 AO169:AR169"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0:AM170 AO170:AR170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1:AM171 AO171:AR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2:AM172 AO172:AR172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3:AM173 AO173:AR173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4:AM174 AO174:AR174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5:AM175 AO175:AR175"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6:AM176 AO176:AR17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7:AM177 AO177:AR177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8:AM178 AO178:AR17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79:AM179 AO179:AR179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0:AM180 AO180:AR18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1:AM181 AO181:AR181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2:AM182 AO182:AR182"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3:AM183 AO183:AR183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4:AM184 AO184:AR184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5:AM185 AO185:AR185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6:AM186 AO186:AR18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7:AM187 AO187:AR187"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8:AM188 AO188:AR188"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89:AM189 AO189:AR189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0:AM190 AO190:AR190"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1:AM191 AO191:AR19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2:AM192 AO192:AR19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3:AM193 AO193:AR193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4:AM194 AO194:AR194"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5:AM195 AO195:AR195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6:AM196 AO196:AR19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7:AM197 AO197:AR19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8:AM198 AO198:AR198"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99:AM199 AO199:AR199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0:AM200 AO200:AR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1:AM201 AO201:AR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2:AM202 AO202:AR202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3:AM203 AO203:AR203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4:AM204 AO204:AR204"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5:AM205 AO205:AR205"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6:AM206 AO206:AR206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7:AM207 AO207:AR207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8:AM208 AO208:AR208"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09:AM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0:AM210 AO210:AR210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1:AM211 AO211:AR211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2:AM212 AO212:AR212"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3:AM213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4:AM214 AO214:AR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5:AM215 AO215:AR215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16:AM219 AO216:AR219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0:AM221 AO220:AR221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M224 AO222:AR224"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5:AM225"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5:AM236 AO235:AR23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"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6:AH231"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2:AH233"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6:AI231"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2:AI233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5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6:AJ231"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2:AJ233"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6:AK231"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2:AK233"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5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6:AL231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2:AL233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:AM231"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2:AM233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:AR2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09:AR209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13:AR213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5:AR225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6:AR231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2:AR233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:AT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:AT24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5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6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7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8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9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0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1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2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3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4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5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6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7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8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2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3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4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5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6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8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0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1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2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3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4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7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8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9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0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1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2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3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4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5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6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7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8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6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0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5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6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7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8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79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0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1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2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3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4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5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6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7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8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89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0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1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2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3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4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5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6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8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9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0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1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2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3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4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5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6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7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8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09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0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1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2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4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5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6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7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19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0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1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2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3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4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5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6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7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28:AT129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0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1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2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3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4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5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6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7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8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39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0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1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2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3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4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5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6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7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8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49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0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1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2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3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4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5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6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7"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8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59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0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1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2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3"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4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5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6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7"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8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69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0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1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2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3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4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5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6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7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79"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0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1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2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3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4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5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6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7"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8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89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0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1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2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3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4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5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6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7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8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199"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0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1"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2"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3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4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5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6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7">
    <cfRule type="colorScale" priority="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8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09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0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1"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2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3"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4"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5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6:AT219"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0:AT221"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2:AT224"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5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6:AT231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2:AT233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5:AT23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3:AW24 U23:X24 G23:G24 P23:R24 I23:L24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3 G213 P213:R213 I213:L214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26:AW231 U226:X231 G226:G230 P226:R231 I226:L229">
    <cfRule type="colorScale" priority="4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32:AW233 U232:X233 G232:G234 P232:R234 U234:AW234 I234 I232:L233">
    <cfRule type="colorScale" priority="3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8:AE12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128:AM128 AO128:AR12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2025-10-16T21:40:09Z</dcterms:modified>
</cp:coreProperties>
</file>