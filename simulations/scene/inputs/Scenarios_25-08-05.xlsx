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6339\home\torisuten\package\Wheat-BRIDGES\simulations\scene\inputs\"/>
    </mc:Choice>
  </mc:AlternateContent>
  <xr:revisionPtr revIDLastSave="0" documentId="13_ncr:1_{7FEB04A1-9C28-4BFC-8603-2D8EF6C137B7}" xr6:coauthVersionLast="47" xr6:coauthVersionMax="47" xr10:uidLastSave="{00000000-0000-0000-0000-000000000000}"/>
  <bookViews>
    <workbookView xWindow="-36360" yWindow="-26028" windowWidth="46296" windowHeight="2613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2" l="1"/>
  <c r="M119" i="2"/>
  <c r="M213" i="2"/>
  <c r="M128" i="2"/>
  <c r="M235" i="2" s="1"/>
  <c r="M231" i="2"/>
  <c r="M230" i="2"/>
  <c r="M216" i="2"/>
  <c r="M217" i="2"/>
  <c r="M236" i="2"/>
  <c r="M221" i="2"/>
  <c r="M215" i="2"/>
  <c r="M163" i="2"/>
  <c r="M129" i="2"/>
  <c r="M228" i="2"/>
  <c r="M225" i="2"/>
  <c r="M223" i="2"/>
  <c r="M219" i="2"/>
  <c r="M218" i="2"/>
  <c r="M209" i="2"/>
  <c r="M207" i="2"/>
  <c r="M125" i="2"/>
  <c r="M115" i="2"/>
  <c r="M112" i="2"/>
  <c r="M109" i="2"/>
  <c r="M108" i="2"/>
  <c r="M107" i="2"/>
  <c r="M106" i="2"/>
  <c r="M105" i="2"/>
  <c r="M104" i="2"/>
  <c r="M103" i="2"/>
  <c r="M102" i="2"/>
  <c r="L231" i="2" l="1"/>
  <c r="L221" i="2"/>
  <c r="L230" i="2"/>
  <c r="L119" i="2"/>
  <c r="L213" i="2"/>
  <c r="L129" i="2"/>
  <c r="L236" i="2"/>
  <c r="L216" i="2"/>
  <c r="L217" i="2"/>
  <c r="L235" i="2"/>
  <c r="O128" i="2"/>
  <c r="L128" i="2"/>
  <c r="K128" i="2"/>
  <c r="J128" i="2"/>
  <c r="O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X217" i="2"/>
  <c r="AU217" i="2"/>
  <c r="AS217" i="2"/>
  <c r="AR217" i="2"/>
  <c r="AQ217" i="2"/>
  <c r="AP217" i="2"/>
  <c r="AN217" i="2"/>
  <c r="AM217" i="2"/>
  <c r="AL217" i="2"/>
  <c r="AK217" i="2"/>
  <c r="AJ217" i="2"/>
  <c r="AI217" i="2"/>
  <c r="AH217" i="2"/>
  <c r="AF217" i="2"/>
  <c r="AE217" i="2"/>
  <c r="AD217" i="2"/>
  <c r="AC217" i="2"/>
  <c r="AB217" i="2"/>
  <c r="AA217" i="2"/>
  <c r="Z217" i="2"/>
  <c r="Y217" i="2"/>
  <c r="X217" i="2"/>
  <c r="W217" i="2"/>
  <c r="V217" i="2"/>
  <c r="S217" i="2"/>
  <c r="R217" i="2"/>
  <c r="Q217" i="2"/>
  <c r="O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O231" i="2"/>
  <c r="O230" i="2"/>
  <c r="O228" i="2"/>
  <c r="O225" i="2"/>
  <c r="O224" i="2"/>
  <c r="O223" i="2"/>
  <c r="O222" i="2"/>
  <c r="O221" i="2"/>
  <c r="O220" i="2"/>
  <c r="O219" i="2"/>
  <c r="O218" i="2"/>
  <c r="O216" i="2"/>
  <c r="O215" i="2"/>
  <c r="O213" i="2"/>
  <c r="O209" i="2"/>
  <c r="O207" i="2"/>
  <c r="O129" i="2"/>
  <c r="O235" i="2" s="1"/>
  <c r="O125" i="2"/>
  <c r="O119" i="2"/>
  <c r="O115" i="2"/>
  <c r="O112" i="2"/>
  <c r="O109" i="2"/>
  <c r="O108" i="2"/>
  <c r="O107" i="2"/>
  <c r="O106" i="2"/>
  <c r="O105" i="2"/>
  <c r="O104" i="2"/>
  <c r="O103" i="2"/>
  <c r="O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T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Q233" i="2" l="1"/>
  <c r="Q232" i="2"/>
  <c r="Q228" i="2"/>
  <c r="Q216" i="2"/>
  <c r="Q213" i="2"/>
  <c r="Q209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S233" i="2"/>
  <c r="S232" i="2"/>
  <c r="S228" i="2"/>
  <c r="S216" i="2"/>
  <c r="S213" i="2"/>
  <c r="S209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R233" i="2"/>
  <c r="R232" i="2"/>
  <c r="R228" i="2"/>
  <c r="R216" i="2"/>
  <c r="R213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AS233" i="2"/>
  <c r="AR233" i="2"/>
  <c r="AS232" i="2"/>
  <c r="AR232" i="2"/>
  <c r="AS228" i="2"/>
  <c r="AR228" i="2"/>
  <c r="AS216" i="2"/>
  <c r="AR216" i="2"/>
  <c r="AS213" i="2"/>
  <c r="AR213" i="2"/>
  <c r="AS209" i="2"/>
  <c r="AR209" i="2"/>
  <c r="AS207" i="2"/>
  <c r="AR207" i="2"/>
  <c r="AS125" i="2"/>
  <c r="AR125" i="2"/>
  <c r="AS115" i="2"/>
  <c r="AR115" i="2"/>
  <c r="AS112" i="2"/>
  <c r="AR112" i="2"/>
  <c r="AS109" i="2"/>
  <c r="AR109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U233" i="2"/>
  <c r="AU232" i="2"/>
  <c r="AU228" i="2"/>
  <c r="AU216" i="2"/>
  <c r="AU213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N233" i="2"/>
  <c r="AM233" i="2"/>
  <c r="AL233" i="2"/>
  <c r="AK233" i="2"/>
  <c r="AJ233" i="2"/>
  <c r="AI233" i="2"/>
  <c r="AH233" i="2"/>
  <c r="AN232" i="2"/>
  <c r="AM232" i="2"/>
  <c r="AL232" i="2"/>
  <c r="AK232" i="2"/>
  <c r="AJ232" i="2"/>
  <c r="AI232" i="2"/>
  <c r="AH232" i="2"/>
  <c r="AN228" i="2"/>
  <c r="AM228" i="2"/>
  <c r="AL228" i="2"/>
  <c r="AK228" i="2"/>
  <c r="AJ228" i="2"/>
  <c r="AI228" i="2"/>
  <c r="AH228" i="2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9" i="2"/>
  <c r="AM209" i="2"/>
  <c r="AL209" i="2"/>
  <c r="AK209" i="2"/>
  <c r="AJ209" i="2"/>
  <c r="AI209" i="2"/>
  <c r="AH209" i="2"/>
  <c r="AN207" i="2"/>
  <c r="AM207" i="2"/>
  <c r="AL207" i="2"/>
  <c r="AK207" i="2"/>
  <c r="AJ207" i="2"/>
  <c r="AI207" i="2"/>
  <c r="AH207" i="2"/>
  <c r="AN125" i="2"/>
  <c r="AM125" i="2"/>
  <c r="AL125" i="2"/>
  <c r="AK125" i="2"/>
  <c r="AJ125" i="2"/>
  <c r="AI125" i="2"/>
  <c r="AH125" i="2"/>
  <c r="AN115" i="2"/>
  <c r="AM115" i="2"/>
  <c r="AL115" i="2"/>
  <c r="AK115" i="2"/>
  <c r="AJ115" i="2"/>
  <c r="AI115" i="2"/>
  <c r="AH115" i="2"/>
  <c r="AN112" i="2"/>
  <c r="AM112" i="2"/>
  <c r="AL112" i="2"/>
  <c r="AK112" i="2"/>
  <c r="AJ112" i="2"/>
  <c r="AI112" i="2"/>
  <c r="AH112" i="2"/>
  <c r="AN109" i="2"/>
  <c r="AM109" i="2"/>
  <c r="AL109" i="2"/>
  <c r="AK109" i="2"/>
  <c r="AJ109" i="2"/>
  <c r="AI109" i="2"/>
  <c r="AH109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X233" i="2"/>
  <c r="W233" i="2"/>
  <c r="V233" i="2"/>
  <c r="G233" i="2"/>
  <c r="Y232" i="2" l="1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AX233" i="2"/>
  <c r="AX232" i="2"/>
  <c r="AX228" i="2"/>
  <c r="AX216" i="2"/>
  <c r="AX213" i="2"/>
  <c r="AX209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<sst xmlns="http://schemas.openxmlformats.org/spreadsheetml/2006/main" count="2910" uniqueCount="609">
  <si>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</si>
  <si>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</si>
  <si>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</si>
  <si>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</si>
  <si>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</si>
  <si>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</si>
  <si>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</si>
  <si>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</si>
  <si>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</si>
  <si>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</si>
  <si>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</si>
  <si>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</si>
  <si>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</si>
  <si>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</si>
  <si>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</si>
  <si>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</si>
  <si>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</si>
  <si>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</si>
  <si>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</si>
  <si>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</si>
  <si>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</si>
  <si>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</si>
  <si>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</si>
  <si>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</si>
  <si>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</si>
  <si>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</si>
  <si>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</si>
  <si>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</si>
  <si>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</si>
  <si>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</si>
  <si>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</si>
  <si>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</si>
  <si>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</si>
  <si>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</si>
  <si>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</si>
  <si>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</si>
  <si>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</si>
  <si>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</si>
  <si>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</si>
  <si>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</si>
  <si>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</si>
  <si>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</si>
  <si>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</si>
  <si>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</si>
  <si>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</si>
  <si>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</si>
  <si>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</si>
  <si>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</si>
  <si>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</si>
  <si>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</si>
  <si>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</si>
  <si>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</si>
  <si>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</si>
  <si>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</si>
  <si>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</si>
  <si>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</si>
  <si>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</si>
  <si>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</si>
  <si>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</si>
  <si>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</si>
  <si>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</si>
  <si>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</si>
  <si>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</si>
  <si>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</si>
  <si>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</si>
  <si>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</si>
  <si>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</si>
  <si>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</si>
  <si>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</si>
  <si>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</si>
  <si>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</si>
  <si>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</si>
  <si>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</si>
  <si>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</si>
  <si>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</si>
  <si>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</si>
  <si>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</si>
  <si>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</si>
  <si>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</si>
  <si>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</si>
  <si>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</si>
  <si>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</si>
  <si>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</si>
  <si>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</si>
  <si>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</si>
  <si>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</si>
  <si>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</si>
  <si>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</si>
  <si>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</si>
  <si>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</si>
  <si>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</si>
  <si>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</si>
  <si>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</si>
  <si>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</si>
  <si>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</si>
  <si>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</si>
  <si>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</si>
  <si>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</si>
  <si>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</si>
  <si>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</si>
  <si>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</si>
  <si>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</si>
  <si>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</si>
  <si>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</si>
  <si>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</si>
  <si>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</si>
  <si>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</si>
  <si>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</si>
  <si>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</si>
  <si>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</si>
  <si>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</si>
  <si>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</si>
  <si>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</si>
  <si>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</si>
  <si>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</si>
  <si>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</si>
  <si>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</si>
  <si>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</si>
  <si>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</si>
  <si>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</si>
  <si>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</si>
  <si>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</si>
  <si>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</si>
  <si>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</si>
  <si>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</si>
  <si>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</si>
  <si>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</si>
  <si>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</si>
  <si>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</si>
  <si>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</si>
  <si>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</si>
  <si>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</si>
  <si>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</si>
  <si>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</si>
  <si>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</si>
  <si>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</si>
  <si>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</si>
  <si>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</si>
  <si>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</si>
  <si>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</si>
  <si>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</si>
  <si>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</si>
  <si>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</si>
  <si>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</si>
  <si>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</si>
  <si>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</si>
  <si>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</si>
  <si>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</si>
  <si>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</si>
  <si>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</si>
  <si>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</si>
  <si>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</si>
  <si>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</si>
  <si>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</si>
  <si>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</si>
  <si>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</si>
  <si>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</si>
  <si>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</si>
  <si>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</si>
  <si>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</si>
  <si>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</si>
  <si>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</si>
  <si>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</si>
  <si>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</si>
  <si>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</si>
  <si>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</si>
  <si>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</si>
  <si>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</si>
  <si>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</si>
  <si>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</si>
  <si>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</si>
  <si>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</si>
  <si>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</si>
  <si>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</si>
  <si>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</si>
  <si>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</si>
  <si>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</si>
  <si>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</si>
  <si>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</si>
  <si>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</si>
  <si>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</si>
  <si>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</si>
  <si>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</si>
  <si>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</si>
  <si>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</si>
  <si>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</si>
  <si>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</si>
  <si>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</si>
  <si>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</si>
  <si>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</si>
  <si>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</si>
  <si>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</si>
  <si>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</si>
  <si>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</si>
  <si>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</si>
  <si>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</si>
  <si>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</si>
  <si>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</si>
  <si>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</si>
  <si>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</si>
  <si>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</si>
  <si>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</si>
  <si>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</si>
  <si>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</si>
  <si>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</si>
  <si>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</si>
  <si>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</si>
  <si>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</si>
  <si>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</si>
  <si>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</si>
  <si>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</si>
  <si>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</si>
  <si>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</si>
  <si>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</si>
  <si>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</si>
  <si>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</si>
  <si>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</si>
  <si>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</si>
  <si>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</si>
  <si>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</si>
  <si>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</si>
  <si>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</si>
  <si>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</si>
  <si>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</si>
  <si>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</si>
  <si>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</si>
  <si>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</si>
  <si>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</si>
  <si>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</si>
  <si>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</si>
  <si>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</si>
  <si>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</si>
  <si>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</si>
  <si>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</si>
  <si>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</si>
  <si>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</si>
  <si>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</si>
  <si>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</si>
  <si>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</si>
  <si>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</si>
  <si>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</si>
  <si>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</si>
  <si>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</si>
  <si>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</si>
  <si>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</si>
  <si>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</si>
  <si>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</si>
  <si>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</si>
  <si>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</si>
  <si>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</si>
  <si>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</si>
  <si>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</si>
  <si>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</si>
  <si>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</si>
  <si>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</si>
  <si>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</si>
  <si>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</si>
  <si>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</si>
  <si>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</si>
  <si>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</si>
  <si>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</si>
  <si>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</si>
  <si>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</si>
  <si>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</si>
  <si>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</si>
  <si>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</si>
  <si>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</si>
  <si>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</si>
  <si>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</si>
  <si>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</si>
  <si>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</si>
  <si>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</si>
  <si>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</si>
  <si>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</si>
  <si>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</si>
  <si>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</si>
  <si>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</si>
  <si>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</si>
  <si>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</si>
  <si>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</si>
  <si>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</si>
  <si>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</si>
  <si>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</si>
  <si>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</si>
  <si>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</si>
  <si>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</si>
  <si>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</si>
  <si>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</si>
  <si>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</si>
  <si>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</si>
  <si>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</si>
  <si>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</si>
  <si>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</si>
  <si>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</si>
  <si>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</si>
  <si>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</si>
  <si>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</si>
  <si>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</si>
  <si>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</si>
  <si>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</si>
  <si>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</si>
  <si>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</si>
  <si>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</si>
  <si>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</si>
  <si>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</si>
  <si>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</si>
  <si>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</si>
  <si>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</si>
  <si>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</si>
  <si>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</si>
  <si>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</si>
  <si>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</si>
  <si>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</si>
  <si>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</si>
  <si>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</si>
  <si>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</si>
  <si>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</si>
  <si>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</si>
  <si>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</si>
  <si>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</si>
  <si>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</si>
  <si>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</si>
  <si>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</si>
  <si>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</si>
  <si>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</si>
  <si>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</si>
  <si>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</si>
  <si>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</si>
  <si>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</si>
  <si>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</si>
  <si>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</si>
  <si>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</si>
  <si>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</si>
  <si>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</si>
  <si>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</si>
  <si>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</si>
  <si>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</si>
  <si>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</si>
  <si>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</si>
  <si>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</si>
  <si>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</si>
  <si>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</si>
  <si>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</si>
  <si>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</si>
  <si>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</si>
  <si>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</si>
  <si>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</si>
  <si>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</si>
  <si>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</si>
  <si>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</si>
  <si>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</si>
  <si>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</si>
  <si>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</si>
  <si>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</si>
  <si>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</si>
  <si>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</si>
  <si>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</si>
  <si>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</si>
  <si>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</si>
  <si>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</si>
  <si>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</si>
  <si>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</si>
  <si>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</si>
  <si>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</si>
  <si>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</si>
  <si>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</si>
  <si>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</si>
  <si>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</si>
  <si>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</si>
  <si>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</si>
  <si>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</si>
  <si>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</si>
  <si>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</si>
  <si>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</si>
  <si>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</si>
  <si>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</si>
  <si>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</si>
  <si>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</si>
  <si>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</si>
  <si>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</si>
  <si>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</si>
  <si>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</si>
  <si>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</si>
  <si>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</si>
  <si>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</si>
  <si>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</si>
  <si>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</si>
  <si>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</si>
  <si>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</si>
  <si>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</si>
  <si>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</si>
  <si>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</si>
  <si>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</si>
  <si>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</si>
  <si>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</si>
  <si>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</si>
  <si>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</si>
  <si>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</si>
  <si>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</si>
  <si>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</si>
  <si>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</si>
  <si>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</si>
  <si>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</si>
  <si>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</si>
  <si>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</si>
  <si>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</si>
  <si>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</si>
  <si>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</si>
  <si>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</si>
  <si>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</si>
  <si>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</si>
  <si>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</si>
  <si>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</si>
  <si>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</si>
  <si>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</si>
  <si>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</si>
  <si>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</si>
  <si>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</si>
  <si>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</si>
  <si>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</si>
  <si>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</si>
  <si>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</si>
  <si>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</si>
  <si>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</si>
  <si>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</si>
  <si>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</si>
  <si>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</si>
  <si>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</si>
  <si>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</si>
  <si>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</si>
  <si>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</si>
  <si>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</si>
  <si>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</si>
  <si>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</si>
  <si>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</si>
  <si>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</si>
  <si>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</si>
  <si>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</si>
  <si>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</si>
  <si>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</si>
  <si>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</si>
  <si>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</si>
  <si>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</si>
  <si>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</si>
  <si>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</si>
  <si>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</si>
  <si>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</si>
  <si>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</si>
  <si>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</si>
  <si>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</si>
  <si>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</si>
  <si>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</si>
  <si>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</si>
  <si>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</si>
  <si>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</si>
  <si>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</si>
  <si>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</si>
  <si>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</si>
  <si>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</si>
  <si>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</si>
  <si>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</si>
  <si>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</si>
  <si>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</si>
  <si>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</si>
  <si>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</si>
  <si>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</si>
  <si>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</si>
  <si>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</si>
  <si>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</si>
  <si>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</si>
  <si>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</si>
  <si>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</si>
  <si>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</si>
  <si>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</si>
  <si>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</si>
  <si>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</si>
  <si>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</si>
  <si>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</si>
  <si>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</si>
  <si>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</si>
  <si>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</si>
  <si>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</si>
  <si>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</si>
  <si>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</si>
  <si>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</si>
  <si>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</si>
  <si>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</si>
  <si>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</si>
  <si>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</si>
  <si>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</si>
  <si>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</si>
  <si>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</si>
  <si>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</si>
  <si>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</si>
  <si>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</si>
  <si>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</si>
  <si>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</si>
  <si>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</si>
  <si>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</si>
  <si>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</si>
  <si>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</si>
  <si>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</si>
  <si>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</si>
  <si>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</si>
  <si>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</si>
  <si>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</si>
  <si>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</si>
  <si>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</si>
  <si>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</si>
  <si>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</si>
  <si>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</si>
  <si>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</si>
  <si>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</si>
  <si>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</si>
  <si>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</si>
  <si>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</si>
  <si>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</si>
  <si>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</si>
  <si>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</si>
  <si>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</si>
  <si>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</si>
  <si>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</si>
  <si>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</si>
  <si>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</si>
  <si>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</si>
  <si>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</si>
  <si>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</si>
  <si>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</si>
  <si>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</si>
  <si>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</si>
  <si>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</si>
  <si>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</si>
  <si>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</si>
  <si>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</si>
  <si>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</si>
  <si>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</si>
  <si>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</si>
  <si>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</si>
  <si>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</si>
  <si>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</si>
  <si>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</si>
  <si>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</si>
  <si>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</si>
  <si>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</si>
  <si>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</si>
  <si>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</si>
  <si>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</si>
  <si>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</si>
  <si>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</si>
  <si>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</si>
  <si>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</si>
  <si>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</si>
  <si>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</si>
  <si>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</si>
  <si>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</si>
  <si>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</si>
  <si>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</si>
  <si>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</si>
  <si>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</si>
  <si>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</si>
  <si>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</si>
  <si>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</si>
  <si>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</si>
  <si>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</si>
  <si>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</si>
  <si>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</si>
  <si>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</si>
  <si>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</si>
  <si>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</si>
  <si>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</si>
  <si>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</si>
  <si>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</si>
  <si>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</si>
  <si>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</si>
  <si>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</si>
  <si>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</si>
  <si>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</si>
  <si>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</si>
  <si>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</si>
  <si>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</si>
  <si>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</si>
  <si>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</si>
  <si>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</si>
  <si>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</si>
  <si>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</si>
  <si>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</si>
  <si>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</si>
  <si>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</si>
  <si>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</si>
  <si>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</si>
  <si>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</si>
  <si>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</si>
  <si>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</si>
  <si>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</si>
  <si>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</si>
  <si>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</si>
  <si>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</si>
  <si>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</si>
  <si>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</si>
  <si>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</si>
  <si>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</si>
  <si>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</si>
  <si>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</si>
  <si>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</si>
  <si>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</si>
  <si>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/10</t>
  </si>
  <si>
    <t>/5</t>
  </si>
  <si>
    <t>Pmax</t>
  </si>
  <si>
    <t>x4*2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</si>
</sst>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6"/>
  <sheetViews>
    <sheetView tabSelected="1" zoomScale="79" zoomScaleNormal="100" workbookViewId="0">
      <pane xSplit="6" ySplit="1" topLeftCell="G152" activePane="bottomRight" state="frozen"/>
      <selection pane="topRight" activeCell="G1" sqref="G1"/>
      <selection pane="bottomLeft" activeCell="A2" sqref="A2"/>
      <selection pane="bottomRight" activeCell="M220" sqref="M220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 t="s">
        <v>604</v>
      </c>
      <c r="O1" s="54" t="s">
        <v>596</v>
      </c>
      <c r="P1" s="54"/>
      <c r="Q1" s="54" t="s">
        <v>570</v>
      </c>
      <c r="R1" s="54" t="s">
        <v>568</v>
      </c>
      <c r="S1" s="54" t="s">
        <v>569</v>
      </c>
      <c r="U1" s="1" t="s">
        <v>567</v>
      </c>
      <c r="V1" s="36" t="s">
        <v>543</v>
      </c>
      <c r="W1" s="36" t="s">
        <v>544</v>
      </c>
      <c r="X1" s="36" t="s">
        <v>545</v>
      </c>
      <c r="Y1" s="36" t="s">
        <v>546</v>
      </c>
      <c r="Z1" s="36" t="s">
        <v>547</v>
      </c>
      <c r="AA1" s="36" t="s">
        <v>548</v>
      </c>
      <c r="AB1" s="36" t="s">
        <v>549</v>
      </c>
      <c r="AC1" s="36" t="s">
        <v>550</v>
      </c>
      <c r="AD1" s="36" t="s">
        <v>551</v>
      </c>
      <c r="AE1" s="36" t="s">
        <v>552</v>
      </c>
      <c r="AF1" s="36" t="s">
        <v>553</v>
      </c>
      <c r="AG1"/>
      <c r="AH1" s="36" t="s">
        <v>554</v>
      </c>
      <c r="AI1" s="36" t="s">
        <v>555</v>
      </c>
      <c r="AJ1" s="36" t="s">
        <v>556</v>
      </c>
      <c r="AK1" s="36" t="s">
        <v>557</v>
      </c>
      <c r="AL1" s="36" t="s">
        <v>558</v>
      </c>
      <c r="AM1" s="36" t="s">
        <v>559</v>
      </c>
      <c r="AN1" s="36" t="s">
        <v>560</v>
      </c>
      <c r="AO1"/>
      <c r="AP1" s="36" t="s">
        <v>563</v>
      </c>
      <c r="AQ1" s="36" t="s">
        <v>564</v>
      </c>
      <c r="AR1" s="36" t="s">
        <v>565</v>
      </c>
      <c r="AS1" s="36" t="s">
        <v>566</v>
      </c>
      <c r="AT1"/>
      <c r="AU1" s="36" t="s">
        <v>562</v>
      </c>
      <c r="AV1"/>
      <c r="AW1"/>
      <c r="AX1" s="36" t="s">
        <v>542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 t="s">
        <v>478</v>
      </c>
      <c r="O2" s="44" t="s">
        <v>478</v>
      </c>
      <c r="P2" s="44"/>
      <c r="Q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 t="s">
        <v>593</v>
      </c>
      <c r="O3" s="44" t="s">
        <v>476</v>
      </c>
      <c r="P3" s="44"/>
      <c r="Q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 t="s">
        <v>476</v>
      </c>
      <c r="O4" s="44" t="s">
        <v>476</v>
      </c>
      <c r="P4" s="44"/>
      <c r="Q4" s="44" t="s">
        <v>476</v>
      </c>
      <c r="R4" s="44" t="s">
        <v>476</v>
      </c>
      <c r="S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/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/>
      <c r="AW4"/>
      <c r="AX4" s="44" t="s">
        <v>476</v>
      </c>
    </row>
    <row r="5" spans="1:50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 t="s">
        <v>86</v>
      </c>
      <c r="O5" s="44" t="s">
        <v>86</v>
      </c>
      <c r="P5" s="44"/>
      <c r="Q5" s="44" t="s">
        <v>86</v>
      </c>
      <c r="R5" s="44" t="s">
        <v>86</v>
      </c>
      <c r="S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/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/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/>
      <c r="AW5"/>
      <c r="AX5" s="44" t="s">
        <v>86</v>
      </c>
    </row>
    <row r="6" spans="1:50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>
        <v>1</v>
      </c>
      <c r="O6" s="44">
        <v>1</v>
      </c>
      <c r="P6" s="44"/>
      <c r="Q6" s="44">
        <v>1</v>
      </c>
      <c r="R6" s="44">
        <v>1</v>
      </c>
      <c r="S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/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/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/>
      <c r="AW6"/>
      <c r="AX6" s="44">
        <v>1</v>
      </c>
    </row>
    <row r="7" spans="1:50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>
        <v>180</v>
      </c>
      <c r="O7" s="44">
        <v>180</v>
      </c>
      <c r="P7" s="44"/>
      <c r="Q7" s="44">
        <v>180</v>
      </c>
      <c r="R7" s="44">
        <v>180</v>
      </c>
      <c r="S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/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/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/>
      <c r="AW7"/>
      <c r="AX7" s="44">
        <v>180</v>
      </c>
    </row>
    <row r="8" spans="1:50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O8" s="44">
        <v>4.1666666999999998E-2</v>
      </c>
      <c r="P8" s="44"/>
      <c r="Q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>
        <v>4.1666666999999998E-2</v>
      </c>
      <c r="O9" s="44">
        <v>4.1666666999999998E-2</v>
      </c>
      <c r="P9" s="44"/>
      <c r="Q9" s="44">
        <v>4.1666666999999998E-2</v>
      </c>
      <c r="R9" s="44">
        <v>4.1666666999999998E-2</v>
      </c>
      <c r="S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/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/>
      <c r="AW9"/>
      <c r="AX9" s="44">
        <v>4.1666666999999998E-2</v>
      </c>
    </row>
    <row r="10" spans="1:50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>
        <v>1</v>
      </c>
      <c r="O10" s="44">
        <v>1</v>
      </c>
      <c r="P10" s="44"/>
      <c r="Q10" s="44">
        <v>1</v>
      </c>
      <c r="R10" s="44">
        <v>1</v>
      </c>
      <c r="S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/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/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/>
      <c r="AW10"/>
      <c r="AX10" s="44">
        <v>1</v>
      </c>
    </row>
    <row r="11" spans="1:50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>
        <v>0</v>
      </c>
      <c r="O11" s="44">
        <v>0</v>
      </c>
      <c r="P11" s="44"/>
      <c r="Q11" s="44">
        <v>0</v>
      </c>
      <c r="R11" s="44">
        <v>0</v>
      </c>
      <c r="S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/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/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/>
      <c r="AW11"/>
      <c r="AX11" s="44">
        <v>0</v>
      </c>
    </row>
    <row r="12" spans="1:50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 t="s">
        <v>87</v>
      </c>
      <c r="O12" s="44" t="s">
        <v>87</v>
      </c>
      <c r="P12" s="44"/>
      <c r="Q12" s="44" t="s">
        <v>87</v>
      </c>
      <c r="R12" s="44" t="s">
        <v>87</v>
      </c>
      <c r="S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/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/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/>
      <c r="AW12"/>
      <c r="AX12" s="44" t="s">
        <v>87</v>
      </c>
    </row>
    <row r="13" spans="1:50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>
        <v>5.0000000000000001E-9</v>
      </c>
      <c r="O13" s="44">
        <v>5.0000000000000001E-9</v>
      </c>
      <c r="P13" s="44"/>
      <c r="Q13" s="44">
        <v>5.0000000000000001E-9</v>
      </c>
      <c r="R13" s="44">
        <v>5.0000000000000001E-9</v>
      </c>
      <c r="S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/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/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/>
      <c r="AW13"/>
      <c r="AX13" s="44">
        <v>5.0000000000000001E-9</v>
      </c>
    </row>
    <row r="14" spans="1:50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>
        <v>10</v>
      </c>
      <c r="O14" s="44">
        <v>10</v>
      </c>
      <c r="P14" s="44"/>
      <c r="Q14" s="44">
        <v>10</v>
      </c>
      <c r="R14" s="44">
        <v>10</v>
      </c>
      <c r="S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/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/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/>
      <c r="AW14"/>
      <c r="AX14" s="44">
        <v>10</v>
      </c>
    </row>
    <row r="15" spans="1:50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 t="s">
        <v>87</v>
      </c>
      <c r="O15" s="44" t="s">
        <v>87</v>
      </c>
      <c r="P15" s="44"/>
      <c r="Q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 t="s">
        <v>87</v>
      </c>
      <c r="O16" s="44" t="s">
        <v>87</v>
      </c>
      <c r="P16" s="44"/>
      <c r="Q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 t="s">
        <v>87</v>
      </c>
      <c r="O17" s="44" t="s">
        <v>87</v>
      </c>
      <c r="P17" s="44"/>
      <c r="Q17" s="44" t="s">
        <v>87</v>
      </c>
      <c r="R17" s="44" t="s">
        <v>87</v>
      </c>
      <c r="S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/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/>
      <c r="AW17"/>
      <c r="AX17" s="44" t="s">
        <v>87</v>
      </c>
    </row>
    <row r="18" spans="1:50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>
        <v>86400</v>
      </c>
      <c r="O18" s="44">
        <v>86400</v>
      </c>
      <c r="P18" s="44"/>
      <c r="Q18" s="44">
        <v>86400</v>
      </c>
      <c r="R18" s="44">
        <v>86400</v>
      </c>
      <c r="S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/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/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/>
      <c r="AW18"/>
      <c r="AX18" s="44">
        <v>86400</v>
      </c>
    </row>
    <row r="19" spans="1:50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 t="s">
        <v>86</v>
      </c>
      <c r="O19" s="44" t="s">
        <v>86</v>
      </c>
      <c r="P19" s="44"/>
      <c r="Q19" s="44" t="s">
        <v>86</v>
      </c>
      <c r="R19" s="44" t="s">
        <v>86</v>
      </c>
      <c r="S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/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/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/>
      <c r="AW19"/>
      <c r="AX19" s="44" t="s">
        <v>86</v>
      </c>
    </row>
    <row r="20" spans="1:50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>
        <v>3</v>
      </c>
      <c r="O20" s="44">
        <v>3</v>
      </c>
      <c r="P20" s="44"/>
      <c r="Q20" s="44">
        <v>3</v>
      </c>
      <c r="R20" s="44">
        <v>3</v>
      </c>
      <c r="S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/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/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/>
      <c r="AW20"/>
      <c r="AX20" s="44">
        <v>3</v>
      </c>
    </row>
    <row r="21" spans="1:50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 t="s">
        <v>87</v>
      </c>
      <c r="O21" s="44" t="s">
        <v>87</v>
      </c>
      <c r="P21" s="44"/>
      <c r="Q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 t="s">
        <v>87</v>
      </c>
      <c r="O22" s="44" t="s">
        <v>87</v>
      </c>
      <c r="P22" s="44"/>
      <c r="Q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 t="s">
        <v>87</v>
      </c>
      <c r="O23" s="44" t="s">
        <v>87</v>
      </c>
      <c r="P23" s="44"/>
      <c r="Q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 t="s">
        <v>87</v>
      </c>
      <c r="O24" s="44" t="s">
        <v>87</v>
      </c>
      <c r="P24" s="44"/>
      <c r="Q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 t="s">
        <v>87</v>
      </c>
      <c r="O25" s="44" t="s">
        <v>87</v>
      </c>
      <c r="P25" s="44"/>
      <c r="Q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 t="s">
        <v>87</v>
      </c>
      <c r="O26" s="44" t="s">
        <v>87</v>
      </c>
      <c r="P26" s="44"/>
      <c r="Q26" s="44" t="s">
        <v>87</v>
      </c>
      <c r="R26" s="44" t="s">
        <v>87</v>
      </c>
      <c r="S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/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/>
      <c r="AW26"/>
      <c r="AX26" s="44" t="s">
        <v>87</v>
      </c>
    </row>
    <row r="27" spans="1:50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>
        <v>0.33</v>
      </c>
      <c r="O27" s="44">
        <v>0.33</v>
      </c>
      <c r="P27" s="44"/>
      <c r="Q27" s="44">
        <v>0.33</v>
      </c>
      <c r="R27" s="44">
        <v>0.33</v>
      </c>
      <c r="S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/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/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/>
      <c r="AW27"/>
      <c r="AX27" s="44">
        <v>0.33</v>
      </c>
    </row>
    <row r="28" spans="1:50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 t="s">
        <v>87</v>
      </c>
      <c r="O28" s="44" t="s">
        <v>87</v>
      </c>
      <c r="P28" s="44"/>
      <c r="Q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 t="s">
        <v>87</v>
      </c>
      <c r="O29" s="44" t="s">
        <v>87</v>
      </c>
      <c r="P29" s="44"/>
      <c r="Q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 t="s">
        <v>87</v>
      </c>
      <c r="O30" s="44" t="s">
        <v>87</v>
      </c>
      <c r="P30" s="44"/>
      <c r="Q30" s="44" t="s">
        <v>87</v>
      </c>
      <c r="R30" s="44" t="s">
        <v>87</v>
      </c>
      <c r="S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/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/>
      <c r="AW30"/>
      <c r="AX30" s="44" t="s">
        <v>87</v>
      </c>
    </row>
    <row r="31" spans="1:50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 t="s">
        <v>86</v>
      </c>
      <c r="O31" s="44" t="s">
        <v>86</v>
      </c>
      <c r="P31" s="44"/>
      <c r="Q31" s="44" t="s">
        <v>86</v>
      </c>
      <c r="R31" s="44" t="s">
        <v>86</v>
      </c>
      <c r="S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/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/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/>
      <c r="AW31"/>
      <c r="AX31" s="44" t="s">
        <v>86</v>
      </c>
    </row>
    <row r="32" spans="1:50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 t="s">
        <v>436</v>
      </c>
      <c r="O32" s="45" t="s">
        <v>436</v>
      </c>
      <c r="P32" s="45"/>
      <c r="Q32" s="45" t="s">
        <v>436</v>
      </c>
      <c r="R32" s="45" t="s">
        <v>436</v>
      </c>
      <c r="S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/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/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/>
      <c r="AW32"/>
      <c r="AX32" s="45" t="s">
        <v>436</v>
      </c>
    </row>
    <row r="33" spans="1:50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>
        <v>9.9999999999999995E-7</v>
      </c>
      <c r="O33" s="44">
        <v>9.9999999999999995E-7</v>
      </c>
      <c r="P33" s="44"/>
      <c r="Q33" s="44">
        <v>9.9999999999999995E-7</v>
      </c>
      <c r="R33" s="44">
        <v>9.9999999999999995E-7</v>
      </c>
      <c r="S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/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/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/>
      <c r="AW33"/>
      <c r="AX33" s="44">
        <v>9.9999999999999995E-7</v>
      </c>
    </row>
    <row r="34" spans="1:50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>
        <v>1E-3</v>
      </c>
      <c r="O34" s="44">
        <v>1E-3</v>
      </c>
      <c r="P34" s="44"/>
      <c r="Q34" s="44">
        <v>1E-3</v>
      </c>
      <c r="R34" s="44">
        <v>1E-3</v>
      </c>
      <c r="S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/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/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/>
      <c r="AW34"/>
      <c r="AX34" s="44">
        <v>1E-3</v>
      </c>
    </row>
    <row r="35" spans="1:50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 t="s">
        <v>86</v>
      </c>
      <c r="O35" s="44" t="s">
        <v>86</v>
      </c>
      <c r="P35" s="44"/>
      <c r="Q35" s="44" t="s">
        <v>86</v>
      </c>
      <c r="R35" s="44" t="s">
        <v>86</v>
      </c>
      <c r="S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/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/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/>
      <c r="AW35"/>
      <c r="AX35" s="44" t="s">
        <v>86</v>
      </c>
    </row>
    <row r="36" spans="1:50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 t="s">
        <v>88</v>
      </c>
      <c r="O36" s="44" t="s">
        <v>88</v>
      </c>
      <c r="P36" s="44"/>
      <c r="Q36" s="44" t="s">
        <v>88</v>
      </c>
      <c r="R36" s="44" t="s">
        <v>88</v>
      </c>
      <c r="S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/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/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/>
      <c r="AW36"/>
      <c r="AX36" s="44" t="s">
        <v>88</v>
      </c>
    </row>
    <row r="37" spans="1:50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 t="s">
        <v>86</v>
      </c>
      <c r="O37" s="44" t="s">
        <v>86</v>
      </c>
      <c r="P37" s="44"/>
      <c r="Q37" s="44" t="s">
        <v>86</v>
      </c>
      <c r="R37" s="44" t="s">
        <v>86</v>
      </c>
      <c r="S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/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/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/>
      <c r="AW37"/>
      <c r="AX37" s="44" t="s">
        <v>86</v>
      </c>
    </row>
    <row r="38" spans="1:50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 t="s">
        <v>87</v>
      </c>
      <c r="O38" s="44" t="s">
        <v>87</v>
      </c>
      <c r="P38" s="44"/>
      <c r="Q38" s="44" t="s">
        <v>87</v>
      </c>
      <c r="R38" s="44" t="s">
        <v>87</v>
      </c>
      <c r="S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/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/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/>
      <c r="AW38"/>
      <c r="AX38" s="44" t="s">
        <v>87</v>
      </c>
    </row>
    <row r="39" spans="1:50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>
        <v>120</v>
      </c>
      <c r="O39" s="44">
        <v>120</v>
      </c>
      <c r="P39" s="44"/>
      <c r="Q39" s="44">
        <v>120</v>
      </c>
      <c r="R39" s="44">
        <v>120</v>
      </c>
      <c r="S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/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/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/>
      <c r="AW39"/>
      <c r="AX39" s="44">
        <v>120</v>
      </c>
    </row>
    <row r="40" spans="1:50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>
        <v>0</v>
      </c>
      <c r="O40" s="44">
        <v>0</v>
      </c>
      <c r="P40" s="44"/>
      <c r="Q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>
        <v>0</v>
      </c>
      <c r="O41" s="44">
        <v>0</v>
      </c>
      <c r="P41" s="44"/>
      <c r="Q41" s="44">
        <v>0</v>
      </c>
      <c r="R41" s="44">
        <v>0</v>
      </c>
      <c r="S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/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/>
      <c r="AW41"/>
      <c r="AX41" s="44">
        <v>0</v>
      </c>
    </row>
    <row r="42" spans="1:50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>
        <v>-0.1</v>
      </c>
      <c r="O42" s="44">
        <v>-0.1</v>
      </c>
      <c r="P42" s="44"/>
      <c r="Q42" s="44">
        <v>-0.1</v>
      </c>
      <c r="R42" s="44">
        <v>-0.1</v>
      </c>
      <c r="S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/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/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/>
      <c r="AW42"/>
      <c r="AX42" s="44">
        <v>-0.1</v>
      </c>
    </row>
    <row r="43" spans="1:50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>
        <v>-0.2</v>
      </c>
      <c r="O43" s="44">
        <v>-0.2</v>
      </c>
      <c r="P43" s="44"/>
      <c r="Q43" s="44">
        <v>-0.2</v>
      </c>
      <c r="R43" s="44">
        <v>-0.2</v>
      </c>
      <c r="S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/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/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/>
      <c r="AW43"/>
      <c r="AX43" s="44">
        <v>-0.2</v>
      </c>
    </row>
    <row r="44" spans="1:50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>
        <v>0.4</v>
      </c>
      <c r="O44" s="44">
        <v>0.4</v>
      </c>
      <c r="P44" s="44"/>
      <c r="Q44" s="44">
        <v>0.4</v>
      </c>
      <c r="R44" s="44">
        <v>0.4</v>
      </c>
      <c r="S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/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/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/>
      <c r="AW44"/>
      <c r="AX44" s="44">
        <v>0.4</v>
      </c>
    </row>
    <row r="45" spans="1:50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>
        <v>0</v>
      </c>
      <c r="O45" s="44">
        <v>0</v>
      </c>
      <c r="P45" s="44"/>
      <c r="Q45" s="44">
        <v>0</v>
      </c>
      <c r="R45" s="44">
        <v>0</v>
      </c>
      <c r="S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/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/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/>
      <c r="AW45"/>
      <c r="AX45" s="44">
        <v>0</v>
      </c>
    </row>
    <row r="46" spans="1:50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>
        <v>1200</v>
      </c>
      <c r="O46" s="44">
        <v>1200</v>
      </c>
      <c r="P46" s="44"/>
      <c r="Q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>
        <v>1200</v>
      </c>
      <c r="O47" s="44">
        <v>1200</v>
      </c>
      <c r="P47" s="44"/>
      <c r="Q47" s="44">
        <v>1200</v>
      </c>
      <c r="R47" s="44">
        <v>1200</v>
      </c>
      <c r="S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/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/>
      <c r="AW47"/>
      <c r="AX47" s="44">
        <v>1200</v>
      </c>
    </row>
    <row r="48" spans="1:50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 t="s">
        <v>462</v>
      </c>
      <c r="O48" s="44" t="s">
        <v>462</v>
      </c>
      <c r="P48" s="44"/>
      <c r="Q48" s="44" t="s">
        <v>462</v>
      </c>
      <c r="R48" s="44" t="s">
        <v>462</v>
      </c>
      <c r="S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/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/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/>
      <c r="AW48"/>
      <c r="AX48" s="44" t="s">
        <v>462</v>
      </c>
    </row>
    <row r="49" spans="1:50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 t="s">
        <v>86</v>
      </c>
      <c r="O49" s="44" t="s">
        <v>86</v>
      </c>
      <c r="P49" s="44"/>
      <c r="Q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 t="s">
        <v>86</v>
      </c>
      <c r="O50" s="44" t="s">
        <v>86</v>
      </c>
      <c r="P50" s="44"/>
      <c r="Q50" s="44" t="s">
        <v>86</v>
      </c>
      <c r="R50" s="44" t="s">
        <v>86</v>
      </c>
      <c r="S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/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/>
      <c r="AW50"/>
      <c r="AX50" s="44" t="s">
        <v>86</v>
      </c>
    </row>
    <row r="51" spans="1:50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>
        <v>0</v>
      </c>
      <c r="O51" s="44">
        <v>0</v>
      </c>
      <c r="P51" s="44"/>
      <c r="Q51" s="44">
        <v>0</v>
      </c>
      <c r="R51" s="44">
        <v>0</v>
      </c>
      <c r="S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/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/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/>
      <c r="AW51"/>
      <c r="AX51" s="44">
        <v>0</v>
      </c>
    </row>
    <row r="52" spans="1:50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>
        <v>0.5</v>
      </c>
      <c r="O52" s="44">
        <v>0.5</v>
      </c>
      <c r="P52" s="44"/>
      <c r="Q52" s="44">
        <v>0.5</v>
      </c>
      <c r="R52" s="44">
        <v>0.5</v>
      </c>
      <c r="S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/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/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/>
      <c r="AW52"/>
      <c r="AX52" s="44">
        <v>0.5</v>
      </c>
    </row>
    <row r="53" spans="1:50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>
        <v>0.05</v>
      </c>
      <c r="O53" s="44">
        <v>0.05</v>
      </c>
      <c r="P53" s="44"/>
      <c r="Q53" s="44">
        <v>0.05</v>
      </c>
      <c r="R53" s="44">
        <v>0.05</v>
      </c>
      <c r="S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/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/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/>
      <c r="AW53"/>
      <c r="AX53" s="44">
        <v>0.05</v>
      </c>
    </row>
    <row r="54" spans="1:50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>
        <v>1E-3</v>
      </c>
      <c r="O54" s="44">
        <v>1E-3</v>
      </c>
      <c r="P54" s="44"/>
      <c r="Q54" s="44">
        <v>1E-3</v>
      </c>
      <c r="R54" s="44">
        <v>1E-3</v>
      </c>
      <c r="S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/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/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/>
      <c r="AW54"/>
      <c r="AX54" s="44">
        <v>1E-3</v>
      </c>
    </row>
    <row r="55" spans="1:50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>
        <v>0</v>
      </c>
      <c r="O55" s="44">
        <v>0</v>
      </c>
      <c r="P55" s="44"/>
      <c r="Q55" s="44">
        <v>0</v>
      </c>
      <c r="R55" s="44">
        <v>0</v>
      </c>
      <c r="S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/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/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/>
      <c r="AW55"/>
      <c r="AX55" s="44">
        <v>0</v>
      </c>
    </row>
    <row r="56" spans="1:50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>
        <v>1E-4</v>
      </c>
      <c r="O56" s="44">
        <v>1E-4</v>
      </c>
      <c r="P56" s="44"/>
      <c r="Q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>
        <v>1E-4</v>
      </c>
      <c r="O57" s="44">
        <v>1E-4</v>
      </c>
      <c r="P57" s="44"/>
      <c r="Q57" s="44">
        <v>1E-4</v>
      </c>
      <c r="R57" s="44">
        <v>1E-4</v>
      </c>
      <c r="S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/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/>
      <c r="AW57"/>
      <c r="AX57" s="44">
        <v>1E-4</v>
      </c>
    </row>
    <row r="58" spans="1:50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>
        <v>6.9999999999999999E-4</v>
      </c>
      <c r="O58" s="44">
        <v>6.9999999999999999E-4</v>
      </c>
      <c r="P58" s="44"/>
      <c r="Q58" s="44">
        <v>6.9999999999999999E-4</v>
      </c>
      <c r="R58" s="44">
        <v>6.9999999999999999E-4</v>
      </c>
      <c r="S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/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/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/>
      <c r="AW58"/>
      <c r="AX58" s="44">
        <v>6.9999999999999999E-4</v>
      </c>
    </row>
    <row r="59" spans="1:50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>
        <v>1.22E-4</v>
      </c>
      <c r="O59" s="44">
        <v>1.22E-4</v>
      </c>
      <c r="P59" s="44"/>
      <c r="Q59" s="44">
        <v>1.22E-4</v>
      </c>
      <c r="R59" s="44">
        <v>1.22E-4</v>
      </c>
      <c r="S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/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/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/>
      <c r="AW59"/>
      <c r="AX59" s="44">
        <v>1.22E-4</v>
      </c>
    </row>
    <row r="60" spans="1:50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>
        <v>1</v>
      </c>
      <c r="O60" s="44">
        <v>1</v>
      </c>
      <c r="P60" s="44"/>
      <c r="Q60" s="44">
        <v>1</v>
      </c>
      <c r="R60" s="44">
        <v>1</v>
      </c>
      <c r="S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/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/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/>
      <c r="AW60"/>
      <c r="AX60" s="44">
        <v>1</v>
      </c>
    </row>
    <row r="61" spans="1:50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>
        <v>0.95</v>
      </c>
      <c r="O61" s="44">
        <v>0.95</v>
      </c>
      <c r="P61" s="44"/>
      <c r="Q61" s="44">
        <v>0.95</v>
      </c>
      <c r="R61" s="44">
        <v>0.95</v>
      </c>
      <c r="S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/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/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/>
      <c r="AW61"/>
      <c r="AX61" s="44">
        <v>0.95</v>
      </c>
    </row>
    <row r="62" spans="1:50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 t="s">
        <v>87</v>
      </c>
      <c r="O62" s="44" t="s">
        <v>87</v>
      </c>
      <c r="P62" s="44"/>
      <c r="Q62" s="44" t="s">
        <v>87</v>
      </c>
      <c r="R62" s="44" t="s">
        <v>87</v>
      </c>
      <c r="S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/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/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/>
      <c r="AW62"/>
      <c r="AX62" s="44" t="s">
        <v>87</v>
      </c>
    </row>
    <row r="63" spans="1:50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>
        <v>5</v>
      </c>
      <c r="O63" s="44">
        <v>5</v>
      </c>
      <c r="P63" s="44"/>
      <c r="Q63" s="44">
        <v>5</v>
      </c>
      <c r="R63" s="44">
        <v>5</v>
      </c>
      <c r="S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/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/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/>
      <c r="AW63"/>
      <c r="AX63" s="44">
        <v>5</v>
      </c>
    </row>
    <row r="64" spans="1:50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 t="s">
        <v>87</v>
      </c>
      <c r="O64" s="44" t="s">
        <v>87</v>
      </c>
      <c r="P64" s="44"/>
      <c r="Q64" s="44" t="s">
        <v>87</v>
      </c>
      <c r="R64" s="44" t="s">
        <v>87</v>
      </c>
      <c r="S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/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/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/>
      <c r="AW64"/>
      <c r="AX64" s="44" t="s">
        <v>87</v>
      </c>
    </row>
    <row r="65" spans="1:50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>
        <v>50</v>
      </c>
      <c r="O65" s="44">
        <v>50</v>
      </c>
      <c r="P65" s="44"/>
      <c r="Q65" s="44">
        <v>50</v>
      </c>
      <c r="R65" s="44">
        <v>50</v>
      </c>
      <c r="S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/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/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/>
      <c r="AW65"/>
      <c r="AX65" s="44">
        <v>50</v>
      </c>
    </row>
    <row r="66" spans="1:50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>
        <v>1453890.8941884842</v>
      </c>
      <c r="O66" s="44">
        <v>1453890.8941884842</v>
      </c>
      <c r="P66" s="44"/>
      <c r="Q66" s="44">
        <v>1453890.8941884842</v>
      </c>
      <c r="R66" s="44">
        <v>1453890.8941884842</v>
      </c>
      <c r="S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/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/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/>
      <c r="AW66"/>
      <c r="AX66" s="44">
        <v>1453890.8941884842</v>
      </c>
    </row>
    <row r="67" spans="1:50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>
        <v>1.3888888888888888E-5</v>
      </c>
      <c r="O67" s="44">
        <v>1.3888888888888888E-5</v>
      </c>
      <c r="P67" s="44"/>
      <c r="Q67" s="44">
        <v>1.3888888888888888E-5</v>
      </c>
      <c r="R67" s="44">
        <v>1.3888888888888888E-5</v>
      </c>
      <c r="S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/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/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/>
      <c r="AW67"/>
      <c r="AX67" s="44">
        <v>1.3888888888888888E-5</v>
      </c>
    </row>
    <row r="68" spans="1:50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>
        <v>6.5011574074074071E-4</v>
      </c>
      <c r="O68" s="44">
        <v>6.5011574074074071E-4</v>
      </c>
      <c r="P68" s="44"/>
      <c r="Q68" s="44">
        <v>6.5011574074074071E-4</v>
      </c>
      <c r="R68" s="44">
        <v>6.5011574074074071E-4</v>
      </c>
      <c r="S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/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/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/>
      <c r="AW68"/>
      <c r="AX68" s="44">
        <v>6.5011574074074071E-4</v>
      </c>
    </row>
    <row r="69" spans="1:50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>
        <v>4.7400000000000003E-3</v>
      </c>
      <c r="O69" s="44">
        <v>4.7400000000000003E-3</v>
      </c>
      <c r="P69" s="44"/>
      <c r="Q69" s="44">
        <v>4.7400000000000003E-3</v>
      </c>
      <c r="R69" s="44">
        <v>4.7400000000000003E-3</v>
      </c>
      <c r="S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/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/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/>
      <c r="AW69"/>
      <c r="AX69" s="44">
        <v>4.7400000000000003E-3</v>
      </c>
    </row>
    <row r="70" spans="1:50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>
        <v>282528</v>
      </c>
      <c r="O70" s="44">
        <v>282528</v>
      </c>
      <c r="P70" s="44"/>
      <c r="Q70" s="44">
        <v>282528</v>
      </c>
      <c r="R70" s="44">
        <v>282528</v>
      </c>
      <c r="S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/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/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/>
      <c r="AW70"/>
      <c r="AX70" s="44">
        <v>282528</v>
      </c>
    </row>
    <row r="71" spans="1:50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>
        <v>0.56999999999999995</v>
      </c>
      <c r="O71" s="44">
        <v>0.56999999999999995</v>
      </c>
      <c r="P71" s="44"/>
      <c r="Q71" s="44">
        <v>0.56999999999999995</v>
      </c>
      <c r="R71" s="44">
        <v>0.56999999999999995</v>
      </c>
      <c r="S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/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/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/>
      <c r="AW71"/>
      <c r="AX71" s="44">
        <v>0.56999999999999995</v>
      </c>
    </row>
    <row r="72" spans="1:50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>
        <v>0.16</v>
      </c>
      <c r="O72" s="44">
        <v>0.16</v>
      </c>
      <c r="P72" s="44"/>
      <c r="Q72" s="44">
        <v>0.16</v>
      </c>
      <c r="R72" s="44">
        <v>0.16</v>
      </c>
      <c r="S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/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/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/>
      <c r="AW72"/>
      <c r="AX72" s="44">
        <v>0.16</v>
      </c>
    </row>
    <row r="73" spans="1:50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>
        <v>0</v>
      </c>
      <c r="O73" s="44">
        <v>0</v>
      </c>
      <c r="P73" s="44"/>
      <c r="Q73" s="44">
        <v>0</v>
      </c>
      <c r="R73" s="44">
        <v>0</v>
      </c>
      <c r="S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/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/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/>
      <c r="AW73"/>
      <c r="AX73" s="44">
        <v>0</v>
      </c>
    </row>
    <row r="74" spans="1:50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>
        <v>745476480000</v>
      </c>
      <c r="O74" s="44">
        <v>745476480000</v>
      </c>
      <c r="P74" s="44"/>
      <c r="Q74" s="44">
        <v>745476480000</v>
      </c>
      <c r="R74" s="44">
        <v>745476480000</v>
      </c>
      <c r="S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/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/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/>
      <c r="AW74"/>
      <c r="AX74" s="44">
        <v>745476480000</v>
      </c>
    </row>
    <row r="75" spans="1:50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>
        <v>100</v>
      </c>
      <c r="O75" s="44">
        <v>100</v>
      </c>
      <c r="P75" s="44"/>
      <c r="Q75" s="44">
        <v>100</v>
      </c>
      <c r="R75" s="44">
        <v>100</v>
      </c>
      <c r="S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/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/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/>
      <c r="AW75"/>
      <c r="AX75" s="44">
        <v>100</v>
      </c>
    </row>
    <row r="76" spans="1:50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 t="s">
        <v>86</v>
      </c>
      <c r="O76" s="44" t="s">
        <v>86</v>
      </c>
      <c r="P76" s="44"/>
      <c r="Q76" s="44" t="s">
        <v>86</v>
      </c>
      <c r="R76" s="44" t="s">
        <v>86</v>
      </c>
      <c r="S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/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/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/>
      <c r="AW76"/>
      <c r="AX76" s="44" t="s">
        <v>86</v>
      </c>
    </row>
    <row r="77" spans="1:50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>
        <v>21600</v>
      </c>
      <c r="O77" s="44">
        <v>21600</v>
      </c>
      <c r="P77" s="44"/>
      <c r="Q77" s="44">
        <v>21600</v>
      </c>
      <c r="R77" s="44">
        <v>21600</v>
      </c>
      <c r="S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/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/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/>
      <c r="AW77"/>
      <c r="AX77" s="44">
        <v>21600</v>
      </c>
    </row>
    <row r="78" spans="1:50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>
        <v>0.5</v>
      </c>
      <c r="O78" s="44">
        <v>0.5</v>
      </c>
      <c r="P78" s="44"/>
      <c r="Q78" s="44">
        <v>0.5</v>
      </c>
      <c r="R78" s="44">
        <v>0.5</v>
      </c>
      <c r="S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/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/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/>
      <c r="AW78"/>
      <c r="AX78" s="44">
        <v>0.5</v>
      </c>
    </row>
    <row r="79" spans="1:50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>
        <v>60479.999999999993</v>
      </c>
      <c r="O79" s="44">
        <v>60479.999999999993</v>
      </c>
      <c r="P79" s="44"/>
      <c r="Q79" s="44">
        <v>60479.999999999993</v>
      </c>
      <c r="R79" s="44">
        <v>60479.999999999993</v>
      </c>
      <c r="S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/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/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/>
      <c r="AW79"/>
      <c r="AX79" s="44">
        <v>60479.999999999993</v>
      </c>
    </row>
    <row r="80" spans="1:50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>
        <v>0.85</v>
      </c>
      <c r="O80" s="44">
        <v>0.85</v>
      </c>
      <c r="P80" s="44"/>
      <c r="Q80" s="44">
        <v>0.85</v>
      </c>
      <c r="R80" s="44">
        <v>0.85</v>
      </c>
      <c r="S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/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/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/>
      <c r="AW80"/>
      <c r="AX80" s="44">
        <v>0.85</v>
      </c>
    </row>
    <row r="81" spans="1:50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>
        <v>518400</v>
      </c>
      <c r="O81" s="44">
        <v>518400</v>
      </c>
      <c r="P81" s="44"/>
      <c r="Q81" s="44">
        <v>518400</v>
      </c>
      <c r="R81" s="44">
        <v>518400</v>
      </c>
      <c r="S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/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/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/>
      <c r="AW81"/>
      <c r="AX81" s="44">
        <v>518400</v>
      </c>
    </row>
    <row r="82" spans="1:50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>
        <v>5184000</v>
      </c>
      <c r="O82" s="44">
        <v>5184000</v>
      </c>
      <c r="P82" s="44"/>
      <c r="Q82" s="44">
        <v>5184000</v>
      </c>
      <c r="R82" s="44">
        <v>5184000</v>
      </c>
      <c r="S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/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/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/>
      <c r="AW82"/>
      <c r="AX82" s="44">
        <v>5184000</v>
      </c>
    </row>
    <row r="83" spans="1:50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>
        <v>50000</v>
      </c>
      <c r="O83" s="44">
        <v>50000</v>
      </c>
      <c r="P83" s="44"/>
      <c r="Q83" s="44">
        <v>50000</v>
      </c>
      <c r="R83" s="44">
        <v>50000</v>
      </c>
      <c r="S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/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/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/>
      <c r="AW83"/>
      <c r="AX83" s="44">
        <v>50000</v>
      </c>
    </row>
    <row r="84" spans="1:50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>
        <v>140000</v>
      </c>
      <c r="O84" s="44">
        <v>140000</v>
      </c>
      <c r="P84" s="44"/>
      <c r="Q84" s="44">
        <v>140000</v>
      </c>
      <c r="R84" s="44">
        <v>140000</v>
      </c>
      <c r="S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/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/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/>
      <c r="AW84"/>
      <c r="AX84" s="44">
        <v>140000</v>
      </c>
    </row>
    <row r="85" spans="1:50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>
        <v>3.6636136999999999E-2</v>
      </c>
      <c r="O85" s="44">
        <v>3.6636136999999999E-2</v>
      </c>
      <c r="P85" s="44"/>
      <c r="Q85" s="44">
        <v>3.6636136999999999E-2</v>
      </c>
      <c r="R85" s="44">
        <v>3.6636136999999999E-2</v>
      </c>
      <c r="S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/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/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/>
      <c r="AW85"/>
      <c r="AX85" s="44">
        <v>3.6636136999999999E-2</v>
      </c>
    </row>
    <row r="86" spans="1:50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>
        <v>4.4999999999999997E-3</v>
      </c>
      <c r="O86" s="44">
        <v>4.4999999999999997E-3</v>
      </c>
      <c r="P86" s="44"/>
      <c r="Q86" s="44">
        <v>4.4999999999999997E-3</v>
      </c>
      <c r="R86" s="44">
        <v>4.4999999999999997E-3</v>
      </c>
      <c r="S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/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/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/>
      <c r="AW86"/>
      <c r="AX86" s="44">
        <v>4.4999999999999997E-3</v>
      </c>
    </row>
    <row r="87" spans="1:50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>
        <v>0.05</v>
      </c>
      <c r="O87" s="44">
        <v>0.05</v>
      </c>
      <c r="P87" s="44"/>
      <c r="Q87" s="44">
        <v>0.05</v>
      </c>
      <c r="R87" s="44">
        <v>0.05</v>
      </c>
      <c r="S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/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/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/>
      <c r="AW87"/>
      <c r="AX87" s="44">
        <v>0.05</v>
      </c>
    </row>
    <row r="88" spans="1:50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>
        <v>6.0000000000000002E-6</v>
      </c>
      <c r="O88" s="44">
        <v>6.0000000000000002E-6</v>
      </c>
      <c r="P88" s="44"/>
      <c r="Q88" s="44">
        <v>6.0000000000000002E-6</v>
      </c>
      <c r="R88" s="44">
        <v>6.0000000000000002E-6</v>
      </c>
      <c r="S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/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/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/>
      <c r="AW88"/>
      <c r="AX88" s="44">
        <v>6.0000000000000002E-6</v>
      </c>
    </row>
    <row r="89" spans="1:50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>
        <v>1E-3</v>
      </c>
      <c r="O89" s="44">
        <v>1E-3</v>
      </c>
      <c r="P89" s="44"/>
      <c r="Q89" s="44">
        <v>1E-3</v>
      </c>
      <c r="R89" s="44">
        <v>1E-3</v>
      </c>
      <c r="S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/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/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/>
      <c r="AW89"/>
      <c r="AX89" s="44">
        <v>1E-3</v>
      </c>
    </row>
    <row r="90" spans="1:50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>
        <v>374999999.99999994</v>
      </c>
      <c r="O90" s="44">
        <v>374999999.99999994</v>
      </c>
      <c r="P90" s="44"/>
      <c r="Q90" s="44">
        <v>374999999.99999994</v>
      </c>
      <c r="R90" s="44">
        <v>374999999.99999994</v>
      </c>
      <c r="S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/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/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/>
      <c r="AW90"/>
      <c r="AX90" s="44">
        <v>374999999.99999994</v>
      </c>
    </row>
    <row r="91" spans="1:50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>
        <v>3.7037037037037038E-3</v>
      </c>
      <c r="O91" s="44">
        <v>3.7037037037037038E-3</v>
      </c>
      <c r="P91" s="44"/>
      <c r="Q91" s="44">
        <v>3.7037037037037038E-3</v>
      </c>
      <c r="R91" s="44">
        <v>3.7037037037037038E-3</v>
      </c>
      <c r="S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/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/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/>
      <c r="AW91"/>
      <c r="AX91" s="44">
        <v>3.7037037037037038E-3</v>
      </c>
    </row>
    <row r="92" spans="1:50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>
        <v>165600</v>
      </c>
      <c r="O92" s="44">
        <v>165600</v>
      </c>
      <c r="P92" s="44"/>
      <c r="Q92" s="44">
        <v>165600</v>
      </c>
      <c r="R92" s="44">
        <v>165600</v>
      </c>
      <c r="S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/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/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/>
      <c r="AW92"/>
      <c r="AX92" s="44">
        <v>165600</v>
      </c>
    </row>
    <row r="93" spans="1:50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>
        <v>20</v>
      </c>
      <c r="O93" s="44">
        <v>20</v>
      </c>
      <c r="P93" s="44"/>
      <c r="Q93" s="44">
        <v>20</v>
      </c>
      <c r="R93" s="44">
        <v>20</v>
      </c>
      <c r="S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/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/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/>
      <c r="AW93"/>
      <c r="AX93" s="44">
        <v>20</v>
      </c>
    </row>
    <row r="94" spans="1:50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>
        <v>1</v>
      </c>
      <c r="O94" s="44">
        <v>1</v>
      </c>
      <c r="P94" s="44"/>
      <c r="Q94" s="44">
        <v>1</v>
      </c>
      <c r="R94" s="44">
        <v>1</v>
      </c>
      <c r="S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/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/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/>
      <c r="AW94"/>
      <c r="AX94" s="44">
        <v>1</v>
      </c>
    </row>
    <row r="95" spans="1:50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>
        <v>21</v>
      </c>
      <c r="O95" s="44">
        <v>21</v>
      </c>
      <c r="P95" s="44"/>
      <c r="Q95" s="44">
        <v>21</v>
      </c>
      <c r="R95" s="44">
        <v>21</v>
      </c>
      <c r="S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/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/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/>
      <c r="AW95"/>
      <c r="AX95" s="44">
        <v>21</v>
      </c>
    </row>
    <row r="96" spans="1:50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>
        <v>0.64</v>
      </c>
      <c r="O96" s="44">
        <v>0.64</v>
      </c>
      <c r="P96" s="44"/>
      <c r="Q96" s="44">
        <v>0.64</v>
      </c>
      <c r="R96" s="44">
        <v>0.64</v>
      </c>
      <c r="S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/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/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/>
      <c r="AW96"/>
      <c r="AX96" s="44">
        <v>0.64</v>
      </c>
    </row>
    <row r="97" spans="1:50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>
        <v>8</v>
      </c>
      <c r="O97" s="44">
        <v>8</v>
      </c>
      <c r="P97" s="44"/>
      <c r="Q97" s="44">
        <v>8</v>
      </c>
      <c r="R97" s="44">
        <v>8</v>
      </c>
      <c r="S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/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/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/>
      <c r="AW97"/>
      <c r="AX97" s="44">
        <v>8</v>
      </c>
    </row>
    <row r="98" spans="1:50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>
        <v>10</v>
      </c>
      <c r="O98" s="44">
        <v>10</v>
      </c>
      <c r="P98" s="44"/>
      <c r="Q98" s="44">
        <v>10</v>
      </c>
      <c r="R98" s="44">
        <v>10</v>
      </c>
      <c r="S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/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/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/>
      <c r="AW98"/>
      <c r="AX98" s="44">
        <v>10</v>
      </c>
    </row>
    <row r="99" spans="1:50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>
        <v>8</v>
      </c>
      <c r="O99" s="44">
        <v>8</v>
      </c>
      <c r="P99" s="44"/>
      <c r="Q99" s="44">
        <v>8</v>
      </c>
      <c r="R99" s="44">
        <v>8</v>
      </c>
      <c r="S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/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/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/>
      <c r="AW99"/>
      <c r="AX99" s="44">
        <v>8</v>
      </c>
    </row>
    <row r="100" spans="1:50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>
        <v>1</v>
      </c>
      <c r="O100" s="44">
        <v>1</v>
      </c>
      <c r="P100" s="44"/>
      <c r="Q100" s="44">
        <v>1</v>
      </c>
      <c r="R100" s="44">
        <v>1</v>
      </c>
      <c r="S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/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/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/>
      <c r="AW100"/>
      <c r="AX100" s="44">
        <v>1</v>
      </c>
    </row>
    <row r="101" spans="1:50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>
        <v>0.5</v>
      </c>
      <c r="O101" s="44">
        <v>0.5</v>
      </c>
      <c r="P101" s="44"/>
      <c r="Q101" s="44">
        <v>0.5</v>
      </c>
      <c r="R101" s="44">
        <v>0.5</v>
      </c>
      <c r="S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/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/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/>
      <c r="AW101"/>
      <c r="AX101" s="44">
        <v>0.5</v>
      </c>
    </row>
    <row r="102" spans="1:50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X102" si="1">10/0.1</f>
        <v>100</v>
      </c>
      <c r="K102" s="44">
        <f t="shared" si="1"/>
        <v>100</v>
      </c>
      <c r="L102" s="44">
        <f t="shared" si="1"/>
        <v>100</v>
      </c>
      <c r="M102" s="44">
        <f t="shared" si="1"/>
        <v>100</v>
      </c>
      <c r="O102" s="44">
        <f t="shared" si="1"/>
        <v>100</v>
      </c>
      <c r="P102" s="44"/>
      <c r="Q102" s="44">
        <f t="shared" si="1"/>
        <v>100</v>
      </c>
      <c r="R102" s="44">
        <f t="shared" si="1"/>
        <v>100</v>
      </c>
      <c r="S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/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/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/>
      <c r="AW102"/>
      <c r="AX102" s="44">
        <f t="shared" si="1"/>
        <v>100</v>
      </c>
    </row>
    <row r="103" spans="1:50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X103" si="2">150/0.1</f>
        <v>1500</v>
      </c>
      <c r="K103" s="44">
        <f t="shared" si="2"/>
        <v>1500</v>
      </c>
      <c r="L103" s="44">
        <f t="shared" si="2"/>
        <v>1500</v>
      </c>
      <c r="M103" s="44">
        <f t="shared" si="2"/>
        <v>1500</v>
      </c>
      <c r="O103" s="44">
        <f t="shared" si="2"/>
        <v>1500</v>
      </c>
      <c r="P103" s="44"/>
      <c r="Q103" s="44">
        <f t="shared" si="2"/>
        <v>1500</v>
      </c>
      <c r="R103" s="44">
        <f t="shared" si="2"/>
        <v>1500</v>
      </c>
      <c r="S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/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/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/>
      <c r="AW103"/>
      <c r="AX103" s="44">
        <f t="shared" si="2"/>
        <v>1500</v>
      </c>
    </row>
    <row r="104" spans="1:50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X104" si="4">20/0.1</f>
        <v>200</v>
      </c>
      <c r="K104" s="44">
        <f t="shared" si="4"/>
        <v>200</v>
      </c>
      <c r="L104" s="44">
        <f t="shared" si="4"/>
        <v>200</v>
      </c>
      <c r="M104" s="44">
        <f t="shared" si="4"/>
        <v>200</v>
      </c>
      <c r="O104" s="44">
        <f t="shared" si="4"/>
        <v>200</v>
      </c>
      <c r="P104" s="44"/>
      <c r="Q104" s="44">
        <f t="shared" si="4"/>
        <v>200</v>
      </c>
      <c r="R104" s="44">
        <f t="shared" si="4"/>
        <v>200</v>
      </c>
      <c r="S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/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/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/>
      <c r="AW104"/>
      <c r="AX104" s="44">
        <f t="shared" si="4"/>
        <v>200</v>
      </c>
    </row>
    <row r="105" spans="1:50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X105" si="5">400/0.1</f>
        <v>4000</v>
      </c>
      <c r="K105" s="44">
        <f t="shared" si="5"/>
        <v>4000</v>
      </c>
      <c r="L105" s="44">
        <f t="shared" si="5"/>
        <v>4000</v>
      </c>
      <c r="M105" s="44">
        <f t="shared" si="5"/>
        <v>4000</v>
      </c>
      <c r="O105" s="44">
        <f t="shared" si="5"/>
        <v>4000</v>
      </c>
      <c r="P105" s="44"/>
      <c r="Q105" s="44">
        <f t="shared" si="5"/>
        <v>4000</v>
      </c>
      <c r="R105" s="44">
        <f t="shared" si="5"/>
        <v>4000</v>
      </c>
      <c r="S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/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/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/>
      <c r="AW105"/>
      <c r="AX105" s="44">
        <f t="shared" si="5"/>
        <v>4000</v>
      </c>
    </row>
    <row r="106" spans="1:50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X106" si="6">10/0.1</f>
        <v>100</v>
      </c>
      <c r="K106" s="44">
        <f t="shared" si="6"/>
        <v>100</v>
      </c>
      <c r="L106" s="44">
        <f t="shared" si="6"/>
        <v>100</v>
      </c>
      <c r="M106" s="44">
        <f t="shared" si="6"/>
        <v>100</v>
      </c>
      <c r="O106" s="44">
        <f t="shared" si="6"/>
        <v>100</v>
      </c>
      <c r="P106" s="44"/>
      <c r="Q106" s="44">
        <f t="shared" si="6"/>
        <v>100</v>
      </c>
      <c r="R106" s="44">
        <f t="shared" si="6"/>
        <v>100</v>
      </c>
      <c r="S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/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/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/>
      <c r="AW106"/>
      <c r="AX106" s="44">
        <f t="shared" si="6"/>
        <v>100</v>
      </c>
    </row>
    <row r="107" spans="1:50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X107" si="7">150/0.1</f>
        <v>1500</v>
      </c>
      <c r="K107" s="44">
        <f t="shared" si="7"/>
        <v>1500</v>
      </c>
      <c r="L107" s="44">
        <f t="shared" si="7"/>
        <v>1500</v>
      </c>
      <c r="M107" s="44">
        <f t="shared" si="7"/>
        <v>1500</v>
      </c>
      <c r="O107" s="44">
        <f t="shared" si="7"/>
        <v>1500</v>
      </c>
      <c r="P107" s="44"/>
      <c r="Q107" s="44">
        <f t="shared" si="7"/>
        <v>1500</v>
      </c>
      <c r="R107" s="44">
        <f t="shared" si="7"/>
        <v>1500</v>
      </c>
      <c r="S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/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/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/>
      <c r="AW107"/>
      <c r="AX107" s="44">
        <f t="shared" si="7"/>
        <v>1500</v>
      </c>
    </row>
    <row r="108" spans="1:50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X108" si="8">20/0.1</f>
        <v>200</v>
      </c>
      <c r="K108" s="44">
        <f t="shared" si="8"/>
        <v>200</v>
      </c>
      <c r="L108" s="44">
        <f t="shared" si="8"/>
        <v>200</v>
      </c>
      <c r="M108" s="44">
        <f t="shared" si="8"/>
        <v>200</v>
      </c>
      <c r="O108" s="44">
        <f t="shared" si="8"/>
        <v>200</v>
      </c>
      <c r="P108" s="44"/>
      <c r="Q108" s="44">
        <f t="shared" si="8"/>
        <v>200</v>
      </c>
      <c r="R108" s="44">
        <f t="shared" si="8"/>
        <v>200</v>
      </c>
      <c r="S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/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/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/>
      <c r="AW108"/>
      <c r="AX108" s="44">
        <f t="shared" si="8"/>
        <v>200</v>
      </c>
    </row>
    <row r="109" spans="1:50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X109" si="9">400/0.1</f>
        <v>4000</v>
      </c>
      <c r="K109" s="44">
        <f t="shared" si="9"/>
        <v>4000</v>
      </c>
      <c r="L109" s="44">
        <f t="shared" si="9"/>
        <v>4000</v>
      </c>
      <c r="M109" s="44">
        <f t="shared" si="9"/>
        <v>4000</v>
      </c>
      <c r="O109" s="44">
        <f t="shared" si="9"/>
        <v>4000</v>
      </c>
      <c r="P109" s="44"/>
      <c r="Q109" s="44">
        <f t="shared" si="9"/>
        <v>4000</v>
      </c>
      <c r="R109" s="44">
        <f t="shared" si="9"/>
        <v>4000</v>
      </c>
      <c r="S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/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/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/>
      <c r="AW109"/>
      <c r="AX109" s="44">
        <f t="shared" si="9"/>
        <v>4000</v>
      </c>
    </row>
    <row r="110" spans="1:50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>
        <v>100</v>
      </c>
      <c r="O110" s="44">
        <v>100</v>
      </c>
      <c r="P110" s="44"/>
      <c r="Q110" s="44">
        <v>100</v>
      </c>
      <c r="R110" s="44">
        <v>100</v>
      </c>
      <c r="S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/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/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/>
      <c r="AW110"/>
      <c r="AX110" s="44">
        <v>100</v>
      </c>
    </row>
    <row r="111" spans="1:50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>
        <v>280800</v>
      </c>
      <c r="O111" s="44">
        <v>280800</v>
      </c>
      <c r="P111" s="44"/>
      <c r="Q111" s="44">
        <v>280800</v>
      </c>
      <c r="R111" s="44">
        <v>280800</v>
      </c>
      <c r="S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/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/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/>
      <c r="AW111"/>
      <c r="AX111" s="44">
        <v>280800</v>
      </c>
    </row>
    <row r="112" spans="1:50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X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>
        <f t="shared" si="10"/>
        <v>0.11100000000000002</v>
      </c>
      <c r="O112" s="44">
        <f t="shared" si="10"/>
        <v>0.11100000000000002</v>
      </c>
      <c r="P112" s="44"/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/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/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/>
      <c r="AW112"/>
      <c r="AX112" s="44">
        <f t="shared" si="10"/>
        <v>0.11100000000000002</v>
      </c>
    </row>
    <row r="113" spans="1:50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>
        <v>100</v>
      </c>
      <c r="O113" s="44">
        <v>100</v>
      </c>
      <c r="P113" s="44"/>
      <c r="Q113" s="44">
        <v>100</v>
      </c>
      <c r="R113" s="44">
        <v>100</v>
      </c>
      <c r="S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/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/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/>
      <c r="AW113"/>
      <c r="AX113" s="44">
        <v>100</v>
      </c>
    </row>
    <row r="114" spans="1:50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>
        <v>459648</v>
      </c>
      <c r="O114" s="44">
        <v>459648</v>
      </c>
      <c r="P114" s="44"/>
      <c r="Q114" s="44">
        <v>459648</v>
      </c>
      <c r="R114" s="44">
        <v>459648</v>
      </c>
      <c r="S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/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/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/>
      <c r="AW114"/>
      <c r="AX114" s="44">
        <v>459648</v>
      </c>
    </row>
    <row r="115" spans="1:50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X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>
        <f t="shared" si="11"/>
        <v>0.13875000000000001</v>
      </c>
      <c r="O115" s="44">
        <f t="shared" si="11"/>
        <v>0.13875000000000001</v>
      </c>
      <c r="P115" s="44"/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/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/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/>
      <c r="AW115"/>
      <c r="AX115" s="44">
        <f t="shared" si="11"/>
        <v>0.13875000000000001</v>
      </c>
    </row>
    <row r="116" spans="1:50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>
        <v>21600</v>
      </c>
      <c r="O116" s="44">
        <v>21600</v>
      </c>
      <c r="P116" s="44"/>
      <c r="Q116" s="44">
        <v>21600</v>
      </c>
      <c r="R116" s="44">
        <v>21600</v>
      </c>
      <c r="S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/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/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/>
      <c r="AW116"/>
      <c r="AX116" s="44">
        <v>21600</v>
      </c>
    </row>
    <row r="117" spans="1:50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>
        <v>43200</v>
      </c>
      <c r="O117" s="44">
        <v>43200</v>
      </c>
      <c r="P117" s="44"/>
      <c r="Q117" s="44">
        <v>43200</v>
      </c>
      <c r="R117" s="44">
        <v>43200</v>
      </c>
      <c r="S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/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/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/>
      <c r="AW117"/>
      <c r="AX117" s="44">
        <v>43200</v>
      </c>
    </row>
    <row r="118" spans="1:50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>
        <v>0.8</v>
      </c>
      <c r="O118" s="44">
        <v>0.8</v>
      </c>
      <c r="P118" s="44"/>
      <c r="Q118" s="44">
        <v>0.8</v>
      </c>
      <c r="R118" s="44">
        <v>0.8</v>
      </c>
      <c r="S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/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/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/>
      <c r="AW118"/>
      <c r="AX118" s="44">
        <v>0.8</v>
      </c>
    </row>
    <row r="119" spans="1:50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>
        <f>0.000208333333333333 / 2</f>
        <v>1.041666666666665E-4</v>
      </c>
      <c r="N119" s="1" t="s">
        <v>595</v>
      </c>
      <c r="O119" s="44">
        <f>0.000208333333333333 / 2</f>
        <v>1.041666666666665E-4</v>
      </c>
      <c r="P119" s="44"/>
      <c r="Q119" s="44">
        <v>2.0833333333333335E-4</v>
      </c>
      <c r="R119" s="44">
        <v>2.0833333333333335E-4</v>
      </c>
      <c r="S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/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/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/>
      <c r="AW119"/>
      <c r="AX119" s="44">
        <v>2.0833333333333335E-4</v>
      </c>
    </row>
    <row r="120" spans="1:50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>
        <v>5.7899999999999998E-7</v>
      </c>
      <c r="O120" s="44">
        <v>5.7899999999999998E-7</v>
      </c>
      <c r="P120" s="44"/>
      <c r="Q120" s="44">
        <v>5.7899999999999998E-7</v>
      </c>
      <c r="R120" s="44">
        <v>5.7899999999999998E-7</v>
      </c>
      <c r="S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/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/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/>
      <c r="AW120"/>
      <c r="AX120" s="44">
        <v>5.7899999999999998E-7</v>
      </c>
    </row>
    <row r="121" spans="1:50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>
        <v>2.0833333333333335E-4</v>
      </c>
      <c r="O121" s="44">
        <v>2.0833333333333335E-4</v>
      </c>
      <c r="P121" s="44"/>
      <c r="Q121" s="44">
        <v>2.0833333333333335E-4</v>
      </c>
      <c r="R121" s="44">
        <v>2.0833333333333335E-4</v>
      </c>
      <c r="S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/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/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/>
      <c r="AW121"/>
      <c r="AX121" s="44">
        <v>2.0833333333333335E-4</v>
      </c>
    </row>
    <row r="122" spans="1:50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>
        <v>0</v>
      </c>
      <c r="O122" s="44">
        <v>0</v>
      </c>
      <c r="P122" s="44"/>
      <c r="Q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>
        <v>0</v>
      </c>
      <c r="O123" s="44">
        <v>0</v>
      </c>
      <c r="P123" s="44"/>
      <c r="Q123" s="44">
        <v>0</v>
      </c>
      <c r="R123" s="44">
        <v>0</v>
      </c>
      <c r="S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/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/>
      <c r="AW123"/>
      <c r="AX123" s="44">
        <v>0</v>
      </c>
    </row>
    <row r="124" spans="1:50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>
        <v>0</v>
      </c>
      <c r="O124" s="44">
        <v>0</v>
      </c>
      <c r="P124" s="44"/>
      <c r="Q124" s="44">
        <v>5.9999999999999997E-7</v>
      </c>
      <c r="R124" s="44">
        <v>5.9999999999999997E-7</v>
      </c>
      <c r="S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/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/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/>
      <c r="AW124"/>
      <c r="AX124" s="44">
        <v>9.9999999999999995E-8</v>
      </c>
    </row>
    <row r="125" spans="1:50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X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>
        <f t="shared" si="12"/>
        <v>8.3333333333333331E-5</v>
      </c>
      <c r="O125" s="44">
        <f t="shared" si="12"/>
        <v>8.3333333333333331E-5</v>
      </c>
      <c r="P125" s="44"/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/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/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/>
      <c r="AW125"/>
      <c r="AX125" s="44">
        <f t="shared" si="12"/>
        <v>8.3333333333333331E-5</v>
      </c>
    </row>
    <row r="126" spans="1:50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 t="s">
        <v>86</v>
      </c>
      <c r="O126" s="44" t="s">
        <v>86</v>
      </c>
      <c r="P126" s="44"/>
      <c r="Q126" s="44" t="s">
        <v>86</v>
      </c>
      <c r="R126" s="44" t="s">
        <v>86</v>
      </c>
      <c r="S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/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/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/>
      <c r="AW126"/>
      <c r="AX126" s="44" t="s">
        <v>86</v>
      </c>
    </row>
    <row r="127" spans="1:50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>
        <v>5.0000000000000001E-4</v>
      </c>
      <c r="O127" s="44">
        <v>5.0000000000000001E-4</v>
      </c>
      <c r="P127" s="44"/>
      <c r="Q127" s="44">
        <v>5.0000000000000001E-4</v>
      </c>
      <c r="R127" s="44">
        <v>5.0000000000000001E-4</v>
      </c>
      <c r="S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/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/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/>
      <c r="AW127"/>
      <c r="AX127" s="44">
        <v>5.0000000000000001E-4</v>
      </c>
    </row>
    <row r="128" spans="1:50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>
        <f>0.0000000000005 / 100</f>
        <v>5E-15</v>
      </c>
      <c r="O128" s="44">
        <f>0.00000000000003/2/2/2</f>
        <v>3.7499999999999998E-15</v>
      </c>
      <c r="P128" s="44"/>
      <c r="Q128" s="44">
        <v>4.9999999999999999E-13</v>
      </c>
      <c r="R128" s="44">
        <v>4.9999999999999999E-13</v>
      </c>
      <c r="S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/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/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/>
      <c r="AW128"/>
      <c r="AX128" s="44">
        <v>4.9999999999999999E-13</v>
      </c>
    </row>
    <row r="129" spans="1:50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>
        <f>0.000005/3600/10</f>
        <v>1.3888888888888891E-10</v>
      </c>
      <c r="O129" s="44">
        <f>0.00000000000003/2/2/2</f>
        <v>3.7499999999999998E-15</v>
      </c>
      <c r="P129" s="44"/>
      <c r="Q129" s="44">
        <v>4.9999999999999999E-13</v>
      </c>
      <c r="R129" s="44">
        <v>4.9999999999999999E-13</v>
      </c>
      <c r="S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/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/>
      <c r="AW129"/>
      <c r="AX129" s="44">
        <v>4.9999999999999999E-13</v>
      </c>
    </row>
    <row r="130" spans="1:50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>
        <v>10</v>
      </c>
      <c r="O130" s="44">
        <v>10</v>
      </c>
      <c r="P130" s="44"/>
      <c r="Q130" s="44">
        <v>10</v>
      </c>
      <c r="R130" s="44">
        <v>10</v>
      </c>
      <c r="S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/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/>
      <c r="AW130"/>
      <c r="AX130" s="44">
        <v>10</v>
      </c>
    </row>
    <row r="131" spans="1:50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>
        <v>-0.04</v>
      </c>
      <c r="O131" s="44">
        <v>-0.04</v>
      </c>
      <c r="P131" s="44"/>
      <c r="Q131" s="44">
        <v>-0.04</v>
      </c>
      <c r="R131" s="44">
        <v>-0.04</v>
      </c>
      <c r="S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/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/>
      <c r="AW131"/>
      <c r="AX131" s="44">
        <v>-0.04</v>
      </c>
    </row>
    <row r="132" spans="1:50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>
        <v>2.9</v>
      </c>
      <c r="O132" s="44">
        <v>2.9</v>
      </c>
      <c r="P132" s="44"/>
      <c r="Q132" s="44">
        <v>2.9</v>
      </c>
      <c r="R132" s="44">
        <v>2.9</v>
      </c>
      <c r="S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/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/>
      <c r="AW132"/>
      <c r="AX132" s="44">
        <v>2.9</v>
      </c>
    </row>
    <row r="133" spans="1:50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>
        <v>1</v>
      </c>
      <c r="O133" s="44">
        <v>1</v>
      </c>
      <c r="P133" s="44"/>
      <c r="Q133" s="44">
        <v>1</v>
      </c>
      <c r="R133" s="44">
        <v>1</v>
      </c>
      <c r="S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/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/>
      <c r="AW133"/>
      <c r="AX133" s="44">
        <v>1</v>
      </c>
    </row>
    <row r="134" spans="1:50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>
        <v>1.9999999999999999E-7</v>
      </c>
      <c r="O134" s="44">
        <v>1.9999999999999999E-7</v>
      </c>
      <c r="P134" s="44"/>
      <c r="Q134" s="44">
        <v>1.9999999999999999E-7</v>
      </c>
      <c r="R134" s="44">
        <v>1.9999999999999999E-7</v>
      </c>
      <c r="S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/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/>
      <c r="AW134"/>
      <c r="AX134" s="44">
        <v>1.9999999999999999E-7</v>
      </c>
    </row>
    <row r="135" spans="1:50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>
        <v>0</v>
      </c>
      <c r="O135" s="55">
        <v>0</v>
      </c>
      <c r="P135" s="55"/>
      <c r="Q135" s="44">
        <v>1.9999999999999999E-7</v>
      </c>
      <c r="R135" s="44">
        <v>1.9999999999999999E-7</v>
      </c>
      <c r="S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/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/>
      <c r="AW135"/>
      <c r="AX135" s="44">
        <v>1.9999999999999999E-7</v>
      </c>
    </row>
    <row r="136" spans="1:50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>
        <v>10</v>
      </c>
      <c r="O136" s="44">
        <v>10</v>
      </c>
      <c r="P136" s="44"/>
      <c r="Q136" s="44">
        <v>10</v>
      </c>
      <c r="R136" s="44">
        <v>10</v>
      </c>
      <c r="S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/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/>
      <c r="AW136"/>
      <c r="AX136" s="44">
        <v>10</v>
      </c>
    </row>
    <row r="137" spans="1:50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>
        <v>-0.04</v>
      </c>
      <c r="O137" s="44">
        <v>-0.04</v>
      </c>
      <c r="P137" s="44"/>
      <c r="Q137" s="44">
        <v>-0.04</v>
      </c>
      <c r="R137" s="44">
        <v>-0.04</v>
      </c>
      <c r="S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/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/>
      <c r="AW137"/>
      <c r="AX137" s="44">
        <v>-0.04</v>
      </c>
    </row>
    <row r="138" spans="1:50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>
        <v>2.9</v>
      </c>
      <c r="O138" s="44">
        <v>2.9</v>
      </c>
      <c r="P138" s="44"/>
      <c r="Q138" s="44">
        <v>2.9</v>
      </c>
      <c r="R138" s="44">
        <v>2.9</v>
      </c>
      <c r="S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/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/>
      <c r="AW138"/>
      <c r="AX138" s="44">
        <v>2.9</v>
      </c>
    </row>
    <row r="139" spans="1:50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>
        <v>1</v>
      </c>
      <c r="O139" s="44">
        <v>1</v>
      </c>
      <c r="P139" s="44"/>
      <c r="Q139" s="44">
        <v>1</v>
      </c>
      <c r="R139" s="44">
        <v>1</v>
      </c>
      <c r="S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/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/>
      <c r="AW139"/>
      <c r="AX139" s="44">
        <v>1</v>
      </c>
    </row>
    <row r="140" spans="1:50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>
        <v>0</v>
      </c>
      <c r="O140" s="44">
        <v>0</v>
      </c>
      <c r="P140" s="44"/>
      <c r="Q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>
        <v>5.0000000000000004E-6</v>
      </c>
      <c r="O141" s="44">
        <v>5.0000000000000004E-6</v>
      </c>
      <c r="P141" s="44"/>
      <c r="Q141" s="44">
        <v>5.0000000000000004E-6</v>
      </c>
      <c r="R141" s="44">
        <v>5.0000000000000004E-6</v>
      </c>
      <c r="S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/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/>
      <c r="AW141"/>
      <c r="AX141" s="44">
        <v>5.0000000000000004E-6</v>
      </c>
    </row>
    <row r="142" spans="1:50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>
        <v>0</v>
      </c>
      <c r="O142" s="44">
        <v>0</v>
      </c>
      <c r="P142" s="44"/>
      <c r="Q142" s="44">
        <v>0</v>
      </c>
      <c r="R142" s="44">
        <v>0</v>
      </c>
      <c r="S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/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/>
      <c r="AW142"/>
      <c r="AX142" s="44">
        <v>0</v>
      </c>
    </row>
    <row r="143" spans="1:50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>
        <v>2E-3</v>
      </c>
      <c r="O143" s="44">
        <v>2E-3</v>
      </c>
      <c r="P143" s="44"/>
      <c r="Q143" s="44">
        <v>2E-3</v>
      </c>
      <c r="R143" s="44">
        <v>2E-3</v>
      </c>
      <c r="S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/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/>
      <c r="AW143"/>
      <c r="AX143" s="44">
        <v>2E-3</v>
      </c>
    </row>
    <row r="144" spans="1:50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>
        <v>3.9999999999999998E-6</v>
      </c>
      <c r="O144" s="44">
        <v>3.9999999999999998E-6</v>
      </c>
      <c r="P144" s="44"/>
      <c r="Q144" s="44">
        <v>3.9999999999999998E-6</v>
      </c>
      <c r="R144" s="44">
        <v>3.9999999999999998E-6</v>
      </c>
      <c r="S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/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/>
      <c r="AW144"/>
      <c r="AX144" s="44">
        <v>3.9999999999999998E-6</v>
      </c>
    </row>
    <row r="145" spans="1:50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>
        <v>3.7699999999999999E-10</v>
      </c>
      <c r="O145" s="44">
        <v>3.7699999999999999E-10</v>
      </c>
      <c r="P145" s="44"/>
      <c r="Q145" s="44">
        <v>3.7699999999999999E-10</v>
      </c>
      <c r="R145" s="44">
        <v>3.7699999999999999E-10</v>
      </c>
      <c r="S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/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/>
      <c r="AW145"/>
      <c r="AX145" s="44">
        <v>3.7699999999999999E-10</v>
      </c>
    </row>
    <row r="146" spans="1:50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>
        <v>20</v>
      </c>
      <c r="O146" s="44">
        <v>20</v>
      </c>
      <c r="P146" s="44"/>
      <c r="Q146" s="44">
        <v>20</v>
      </c>
      <c r="R146" s="44">
        <v>20</v>
      </c>
      <c r="S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/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/>
      <c r="AW146"/>
      <c r="AX146" s="44">
        <v>20</v>
      </c>
    </row>
    <row r="147" spans="1:50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>
        <v>-0.06</v>
      </c>
      <c r="O147" s="44">
        <v>-0.06</v>
      </c>
      <c r="P147" s="44"/>
      <c r="Q147" s="44">
        <v>-0.06</v>
      </c>
      <c r="R147" s="44">
        <v>-0.06</v>
      </c>
      <c r="S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/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/>
      <c r="AW147"/>
      <c r="AX147" s="44">
        <v>-0.06</v>
      </c>
    </row>
    <row r="148" spans="1:50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>
        <v>0.89100000000000001</v>
      </c>
      <c r="O148" s="44">
        <v>0.89100000000000001</v>
      </c>
      <c r="P148" s="44"/>
      <c r="Q148" s="44">
        <v>0.89100000000000001</v>
      </c>
      <c r="R148" s="44">
        <v>0.89100000000000001</v>
      </c>
      <c r="S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/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/>
      <c r="AW148"/>
      <c r="AX148" s="44">
        <v>0.89100000000000001</v>
      </c>
    </row>
    <row r="149" spans="1:50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>
        <v>1</v>
      </c>
      <c r="O149" s="44">
        <v>1</v>
      </c>
      <c r="P149" s="44"/>
      <c r="Q149" s="44">
        <v>1</v>
      </c>
      <c r="R149" s="44">
        <v>1</v>
      </c>
      <c r="S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/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/>
      <c r="AW149"/>
      <c r="AX149" s="44">
        <v>1</v>
      </c>
    </row>
    <row r="150" spans="1:50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>
        <v>4.0000000000000003E-5</v>
      </c>
      <c r="O150" s="44">
        <v>4.0000000000000003E-5</v>
      </c>
      <c r="P150" s="44"/>
      <c r="Q150" s="44">
        <v>4.0000000000000003E-5</v>
      </c>
      <c r="R150" s="44">
        <v>4.0000000000000003E-5</v>
      </c>
      <c r="S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/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/>
      <c r="AW150"/>
      <c r="AX150" s="44">
        <v>4.0000000000000003E-5</v>
      </c>
    </row>
    <row r="151" spans="1:50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>
        <v>5.8333333333333335E-9</v>
      </c>
      <c r="O151" s="44">
        <v>5.8333333333333335E-9</v>
      </c>
      <c r="P151" s="44"/>
      <c r="Q151" s="44">
        <v>5.8333333333333335E-9</v>
      </c>
      <c r="R151" s="44">
        <v>5.8333333333333335E-9</v>
      </c>
      <c r="S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/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/>
      <c r="AW151"/>
      <c r="AX151" s="44">
        <v>5.8333333333333335E-9</v>
      </c>
    </row>
    <row r="152" spans="1:50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>
        <v>20</v>
      </c>
      <c r="O152" s="44">
        <v>20</v>
      </c>
      <c r="P152" s="44"/>
      <c r="Q152" s="44">
        <v>20</v>
      </c>
      <c r="R152" s="44">
        <v>20</v>
      </c>
      <c r="S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/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/>
      <c r="AW152"/>
      <c r="AX152" s="44">
        <v>20</v>
      </c>
    </row>
    <row r="153" spans="1:50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>
        <v>-0.06</v>
      </c>
      <c r="O153" s="44">
        <v>-0.06</v>
      </c>
      <c r="P153" s="44"/>
      <c r="Q153" s="44">
        <v>-0.06</v>
      </c>
      <c r="R153" s="44">
        <v>-0.06</v>
      </c>
      <c r="S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/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/>
      <c r="AW153"/>
      <c r="AX153" s="44">
        <v>-0.06</v>
      </c>
    </row>
    <row r="154" spans="1:50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>
        <v>0.89100000000000001</v>
      </c>
      <c r="O154" s="44">
        <v>0.89100000000000001</v>
      </c>
      <c r="P154" s="44"/>
      <c r="Q154" s="44">
        <v>0.89100000000000001</v>
      </c>
      <c r="R154" s="44">
        <v>0.89100000000000001</v>
      </c>
      <c r="S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/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/>
      <c r="AW154"/>
      <c r="AX154" s="44">
        <v>0.89100000000000001</v>
      </c>
    </row>
    <row r="155" spans="1:50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>
        <v>1</v>
      </c>
      <c r="O155" s="44">
        <v>1</v>
      </c>
      <c r="P155" s="44"/>
      <c r="Q155" s="44">
        <v>1</v>
      </c>
      <c r="R155" s="44">
        <v>1</v>
      </c>
      <c r="S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/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/>
      <c r="AW155"/>
      <c r="AX155" s="44">
        <v>1</v>
      </c>
    </row>
    <row r="156" spans="1:50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>
        <v>4.0000000000000003E-5</v>
      </c>
      <c r="O156" s="44">
        <v>4.0000000000000003E-5</v>
      </c>
      <c r="P156" s="44"/>
      <c r="Q156" s="44">
        <v>4.0000000000000003E-5</v>
      </c>
      <c r="R156" s="44">
        <v>4.0000000000000003E-5</v>
      </c>
      <c r="S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/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/>
      <c r="AW156"/>
      <c r="AX156" s="44">
        <v>4.0000000000000003E-5</v>
      </c>
    </row>
    <row r="157" spans="1:50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>
        <v>4.0000000000000001E-8</v>
      </c>
      <c r="O157" s="44">
        <v>4.0000000000000001E-8</v>
      </c>
      <c r="P157" s="44"/>
      <c r="Q157" s="44">
        <v>4.0000000000000001E-8</v>
      </c>
      <c r="R157" s="44">
        <v>4.0000000000000001E-8</v>
      </c>
      <c r="S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/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/>
      <c r="AW157"/>
      <c r="AX157" s="44">
        <v>4.0000000000000001E-8</v>
      </c>
    </row>
    <row r="158" spans="1:50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>
        <v>20</v>
      </c>
      <c r="O158" s="44">
        <v>20</v>
      </c>
      <c r="P158" s="44"/>
      <c r="Q158" s="44">
        <v>20</v>
      </c>
      <c r="R158" s="44">
        <v>20</v>
      </c>
      <c r="S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/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/>
      <c r="AW158"/>
      <c r="AX158" s="44">
        <v>20</v>
      </c>
    </row>
    <row r="159" spans="1:50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>
        <v>-4.4200000000000003E-2</v>
      </c>
      <c r="O159" s="44">
        <v>-4.4200000000000003E-2</v>
      </c>
      <c r="P159" s="44"/>
      <c r="Q159" s="44">
        <v>-4.4200000000000003E-2</v>
      </c>
      <c r="R159" s="44">
        <v>-4.4200000000000003E-2</v>
      </c>
      <c r="S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/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/>
      <c r="AW159"/>
      <c r="AX159" s="44">
        <v>-4.4200000000000003E-2</v>
      </c>
    </row>
    <row r="160" spans="1:50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>
        <v>1.55</v>
      </c>
      <c r="O160" s="44">
        <v>1.55</v>
      </c>
      <c r="P160" s="44"/>
      <c r="Q160" s="44">
        <v>1.55</v>
      </c>
      <c r="R160" s="44">
        <v>1.55</v>
      </c>
      <c r="S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/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/>
      <c r="AW160"/>
      <c r="AX160" s="44">
        <v>1.55</v>
      </c>
    </row>
    <row r="161" spans="1:50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>
        <v>1</v>
      </c>
      <c r="O161" s="44">
        <v>1</v>
      </c>
      <c r="P161" s="44"/>
      <c r="Q161" s="44">
        <v>1</v>
      </c>
      <c r="R161" s="44">
        <v>1</v>
      </c>
      <c r="S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/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/>
      <c r="AW161"/>
      <c r="AX161" s="44">
        <v>1</v>
      </c>
    </row>
    <row r="162" spans="1:50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>
        <v>2.7799999999999998E-4</v>
      </c>
      <c r="O162" s="44">
        <v>2.7799999999999998E-4</v>
      </c>
      <c r="P162" s="44"/>
      <c r="Q162" s="44">
        <v>2.7799999999999998E-4</v>
      </c>
      <c r="R162" s="44">
        <v>2.7799999999999998E-4</v>
      </c>
      <c r="S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/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/>
      <c r="AW162"/>
      <c r="AX162" s="44">
        <v>2.7799999999999998E-4</v>
      </c>
    </row>
    <row r="163" spans="1:50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>
        <f>0.0000000000025/5</f>
        <v>4.9999999999999999E-13</v>
      </c>
      <c r="N163" s="1" t="s">
        <v>606</v>
      </c>
      <c r="O163" s="44">
        <v>2.4999999999999998E-12</v>
      </c>
      <c r="P163" s="44"/>
      <c r="Q163" s="44">
        <v>2.4999999999999998E-12</v>
      </c>
      <c r="R163" s="44">
        <v>2.4999999999999998E-12</v>
      </c>
      <c r="S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/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/>
      <c r="AW163"/>
      <c r="AX163" s="44">
        <v>2.4999999999999998E-12</v>
      </c>
    </row>
    <row r="164" spans="1:50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>
        <v>20</v>
      </c>
      <c r="O164" s="44">
        <v>20</v>
      </c>
      <c r="P164" s="44"/>
      <c r="Q164" s="44">
        <v>20</v>
      </c>
      <c r="R164" s="44">
        <v>20</v>
      </c>
      <c r="S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/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/>
      <c r="AW164"/>
      <c r="AX164" s="44">
        <v>20</v>
      </c>
    </row>
    <row r="165" spans="1:50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>
        <v>0</v>
      </c>
      <c r="O165" s="44">
        <v>0</v>
      </c>
      <c r="P165" s="44"/>
      <c r="Q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>
        <v>1</v>
      </c>
      <c r="O166" s="44">
        <v>1</v>
      </c>
      <c r="P166" s="44"/>
      <c r="Q166" s="44">
        <v>1</v>
      </c>
      <c r="R166" s="44">
        <v>1</v>
      </c>
      <c r="S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/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/>
      <c r="AW166"/>
      <c r="AX166" s="44">
        <v>1</v>
      </c>
    </row>
    <row r="167" spans="1:50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>
        <v>0</v>
      </c>
      <c r="O167" s="44">
        <v>0</v>
      </c>
      <c r="P167" s="44"/>
      <c r="Q167" s="44">
        <v>0</v>
      </c>
      <c r="R167" s="44">
        <v>0</v>
      </c>
      <c r="S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/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/>
      <c r="AW167"/>
      <c r="AX167" s="44">
        <v>0</v>
      </c>
    </row>
    <row r="168" spans="1:50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>
        <v>0.4</v>
      </c>
      <c r="O168" s="44">
        <v>0.4</v>
      </c>
      <c r="P168" s="44"/>
      <c r="Q168" s="44">
        <v>0.4</v>
      </c>
      <c r="R168" s="44">
        <v>0.4</v>
      </c>
      <c r="S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/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/>
      <c r="AW168"/>
      <c r="AX168" s="44">
        <v>0.4</v>
      </c>
    </row>
    <row r="169" spans="1:50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>
        <v>2.0000000000000001E-9</v>
      </c>
      <c r="O169" s="44">
        <v>2.0000000000000001E-9</v>
      </c>
      <c r="P169" s="44"/>
      <c r="Q169" s="44">
        <v>2.0000000000000001E-9</v>
      </c>
      <c r="R169" s="44">
        <v>2.0000000000000001E-9</v>
      </c>
      <c r="S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/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/>
      <c r="AW169"/>
      <c r="AX169" s="44">
        <v>2.0000000000000001E-9</v>
      </c>
    </row>
    <row r="170" spans="1:50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>
        <v>25</v>
      </c>
      <c r="O170" s="44">
        <v>25</v>
      </c>
      <c r="P170" s="44"/>
      <c r="Q170" s="44">
        <v>25</v>
      </c>
      <c r="R170" s="44">
        <v>25</v>
      </c>
      <c r="S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/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/>
      <c r="AW170"/>
      <c r="AX170" s="44">
        <v>25</v>
      </c>
    </row>
    <row r="171" spans="1:50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>
        <v>0</v>
      </c>
      <c r="O171" s="44">
        <v>0</v>
      </c>
      <c r="P171" s="44"/>
      <c r="Q171" s="44">
        <v>0</v>
      </c>
      <c r="R171" s="44">
        <v>0</v>
      </c>
      <c r="S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/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/>
      <c r="AW171"/>
      <c r="AX171" s="44">
        <v>0</v>
      </c>
    </row>
    <row r="172" spans="1:50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>
        <v>3.98</v>
      </c>
      <c r="O172" s="44">
        <v>3.98</v>
      </c>
      <c r="P172" s="44"/>
      <c r="Q172" s="44">
        <v>3.98</v>
      </c>
      <c r="R172" s="44">
        <v>3.98</v>
      </c>
      <c r="S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/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/>
      <c r="AW172"/>
      <c r="AX172" s="44">
        <v>3.98</v>
      </c>
    </row>
    <row r="173" spans="1:50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>
        <v>1</v>
      </c>
      <c r="O173" s="44">
        <v>1</v>
      </c>
      <c r="P173" s="44"/>
      <c r="Q173" s="44">
        <v>1</v>
      </c>
      <c r="R173" s="44">
        <v>1</v>
      </c>
      <c r="S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/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/>
      <c r="AW173"/>
      <c r="AX173" s="44">
        <v>1</v>
      </c>
    </row>
    <row r="174" spans="1:50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>
        <v>1.6666666666666666E-4</v>
      </c>
      <c r="O174" s="44">
        <v>1.6666666666666666E-4</v>
      </c>
      <c r="P174" s="44"/>
      <c r="Q174" s="44">
        <v>1.6666666666666666E-4</v>
      </c>
      <c r="R174" s="44">
        <v>1.6666666666666666E-4</v>
      </c>
      <c r="S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/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/>
      <c r="AW174"/>
      <c r="AX174" s="44">
        <v>1.6666666666666666E-4</v>
      </c>
    </row>
    <row r="175" spans="1:50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>
        <v>1E-8</v>
      </c>
      <c r="O175" s="44">
        <v>1E-8</v>
      </c>
      <c r="P175" s="44"/>
      <c r="Q175" s="44">
        <v>1E-8</v>
      </c>
      <c r="R175" s="44">
        <v>1E-8</v>
      </c>
      <c r="S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/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/>
      <c r="AW175"/>
      <c r="AX175" s="44">
        <v>1E-8</v>
      </c>
    </row>
    <row r="176" spans="1:50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>
        <v>20</v>
      </c>
      <c r="O176" s="44">
        <v>20</v>
      </c>
      <c r="P176" s="44"/>
      <c r="Q176" s="44">
        <v>20</v>
      </c>
      <c r="R176" s="44">
        <v>20</v>
      </c>
      <c r="S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/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/>
      <c r="AW176"/>
      <c r="AX176" s="44">
        <v>20</v>
      </c>
    </row>
    <row r="177" spans="1:50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>
        <v>0</v>
      </c>
      <c r="O177" s="44">
        <v>0</v>
      </c>
      <c r="P177" s="44"/>
      <c r="Q177" s="44">
        <v>0</v>
      </c>
      <c r="R177" s="44">
        <v>0</v>
      </c>
      <c r="S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/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/>
      <c r="AW177"/>
      <c r="AX177" s="44">
        <v>0</v>
      </c>
    </row>
    <row r="178" spans="1:50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>
        <v>2</v>
      </c>
      <c r="O178" s="44">
        <v>2</v>
      </c>
      <c r="P178" s="44"/>
      <c r="Q178" s="44">
        <v>2</v>
      </c>
      <c r="R178" s="44">
        <v>2</v>
      </c>
      <c r="S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/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/>
      <c r="AW178"/>
      <c r="AX178" s="44">
        <v>2</v>
      </c>
    </row>
    <row r="179" spans="1:50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>
        <v>1</v>
      </c>
      <c r="O179" s="44">
        <v>1</v>
      </c>
      <c r="P179" s="44"/>
      <c r="Q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>
        <v>8.3333333333333331E-5</v>
      </c>
      <c r="O180" s="44">
        <v>8.3333333333333331E-5</v>
      </c>
      <c r="P180" s="44"/>
      <c r="Q180" s="44">
        <v>8.3333333333333331E-5</v>
      </c>
      <c r="R180" s="44">
        <v>8.3333333333333331E-5</v>
      </c>
      <c r="S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/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/>
      <c r="AW180"/>
      <c r="AX180" s="44">
        <v>8.3333333333333331E-5</v>
      </c>
    </row>
    <row r="181" spans="1:50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>
        <v>1</v>
      </c>
      <c r="O181" s="44">
        <v>1</v>
      </c>
      <c r="P181" s="44"/>
      <c r="Q181" s="44">
        <v>1</v>
      </c>
      <c r="R181" s="44">
        <v>1</v>
      </c>
      <c r="S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/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/>
      <c r="AW181"/>
      <c r="AX181" s="44">
        <v>1</v>
      </c>
    </row>
    <row r="182" spans="1:50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>
        <v>2.3533050791148899E-8</v>
      </c>
      <c r="O182" s="44">
        <v>2.3533050791148899E-8</v>
      </c>
      <c r="P182" s="44"/>
      <c r="Q182" s="44">
        <v>2.3533050791148899E-8</v>
      </c>
      <c r="R182" s="44">
        <v>2.3533050791148899E-8</v>
      </c>
      <c r="S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/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/>
      <c r="AW182"/>
      <c r="AX182" s="44">
        <v>2.3533050791148899E-8</v>
      </c>
    </row>
    <row r="183" spans="1:50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>
        <v>20</v>
      </c>
      <c r="O183" s="44">
        <v>20</v>
      </c>
      <c r="P183" s="44"/>
      <c r="Q183" s="44">
        <v>20</v>
      </c>
      <c r="R183" s="44">
        <v>20</v>
      </c>
      <c r="S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/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/>
      <c r="AW183"/>
      <c r="AX183" s="44">
        <v>20</v>
      </c>
    </row>
    <row r="184" spans="1:50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>
        <v>-0.187</v>
      </c>
      <c r="O184" s="44">
        <v>-0.187</v>
      </c>
      <c r="P184" s="44"/>
      <c r="Q184" s="44">
        <v>-0.187</v>
      </c>
      <c r="R184" s="44">
        <v>-0.187</v>
      </c>
      <c r="S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/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/>
      <c r="AW184"/>
      <c r="AX184" s="44">
        <v>-0.187</v>
      </c>
    </row>
    <row r="185" spans="1:50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>
        <v>2.48</v>
      </c>
      <c r="O185" s="44">
        <v>2.48</v>
      </c>
      <c r="P185" s="44"/>
      <c r="Q185" s="44">
        <v>2.48</v>
      </c>
      <c r="R185" s="44">
        <v>2.48</v>
      </c>
      <c r="S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/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/>
      <c r="AW185"/>
      <c r="AX185" s="44">
        <v>2.48</v>
      </c>
    </row>
    <row r="186" spans="1:50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>
        <v>1</v>
      </c>
      <c r="O186" s="44">
        <v>1</v>
      </c>
      <c r="P186" s="44"/>
      <c r="Q186" s="44">
        <v>1</v>
      </c>
      <c r="R186" s="44">
        <v>1</v>
      </c>
      <c r="S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/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/>
      <c r="AW186"/>
      <c r="AX186" s="44">
        <v>1</v>
      </c>
    </row>
    <row r="187" spans="1:50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>
        <v>6.1060227588121015E-4</v>
      </c>
      <c r="O187" s="44">
        <v>6.1060227588121015E-4</v>
      </c>
      <c r="P187" s="44"/>
      <c r="Q187" s="44">
        <v>6.1060227588121015E-4</v>
      </c>
      <c r="R187" s="44">
        <v>6.1060227588121015E-4</v>
      </c>
      <c r="S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/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/>
      <c r="AW187"/>
      <c r="AX187" s="44">
        <v>6.1060227588121015E-4</v>
      </c>
    </row>
    <row r="188" spans="1:50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>
        <v>3.9999999999999998E-7</v>
      </c>
      <c r="O188" s="44">
        <v>3.9999999999999998E-7</v>
      </c>
      <c r="P188" s="44"/>
      <c r="Q188" s="44">
        <v>3.9999999999999998E-7</v>
      </c>
      <c r="R188" s="44">
        <v>3.9999999999999998E-7</v>
      </c>
      <c r="S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/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/>
      <c r="AW188"/>
      <c r="AX188" s="44">
        <v>3.9999999999999998E-7</v>
      </c>
    </row>
    <row r="189" spans="1:50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>
        <v>25</v>
      </c>
      <c r="O189" s="44">
        <v>25</v>
      </c>
      <c r="P189" s="44"/>
      <c r="Q189" s="44">
        <v>25</v>
      </c>
      <c r="R189" s="44">
        <v>25</v>
      </c>
      <c r="S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/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/>
      <c r="AW189"/>
      <c r="AX189" s="44">
        <v>25</v>
      </c>
    </row>
    <row r="190" spans="1:50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>
        <v>0</v>
      </c>
      <c r="O190" s="44">
        <v>0</v>
      </c>
      <c r="P190" s="44"/>
      <c r="Q190" s="44">
        <v>0</v>
      </c>
      <c r="R190" s="44">
        <v>0</v>
      </c>
      <c r="S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/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/>
      <c r="AW190"/>
      <c r="AX190" s="44">
        <v>0</v>
      </c>
    </row>
    <row r="191" spans="1:50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>
        <v>3.98</v>
      </c>
      <c r="O191" s="44">
        <v>3.98</v>
      </c>
      <c r="P191" s="44"/>
      <c r="Q191" s="44">
        <v>3.98</v>
      </c>
      <c r="R191" s="44">
        <v>3.98</v>
      </c>
      <c r="S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/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/>
      <c r="AW191"/>
      <c r="AX191" s="44">
        <v>3.98</v>
      </c>
    </row>
    <row r="192" spans="1:50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>
        <v>1</v>
      </c>
      <c r="O192" s="44">
        <v>1</v>
      </c>
      <c r="P192" s="44"/>
      <c r="Q192" s="44">
        <v>1</v>
      </c>
      <c r="R192" s="44">
        <v>1</v>
      </c>
      <c r="S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/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/>
      <c r="AW192"/>
      <c r="AX192" s="44">
        <v>1</v>
      </c>
    </row>
    <row r="193" spans="1:58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>
        <v>8.3333333333333331E-5</v>
      </c>
      <c r="O193" s="44">
        <v>8.3333333333333331E-5</v>
      </c>
      <c r="P193" s="44"/>
      <c r="Q193" s="44">
        <v>8.3333333333333331E-5</v>
      </c>
      <c r="R193" s="44">
        <v>8.3333333333333331E-5</v>
      </c>
      <c r="S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/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/>
      <c r="AW193"/>
      <c r="AX193" s="44">
        <v>8.3333333333333331E-5</v>
      </c>
    </row>
    <row r="194" spans="1:58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>
        <v>3.9999999999999998E-7</v>
      </c>
      <c r="O194" s="44">
        <v>3.9999999999999998E-7</v>
      </c>
      <c r="P194" s="44"/>
      <c r="Q194" s="44">
        <v>3.9999999999999998E-7</v>
      </c>
      <c r="R194" s="44">
        <v>3.9999999999999998E-7</v>
      </c>
      <c r="S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/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/>
      <c r="AW194"/>
      <c r="AX194" s="44">
        <v>3.9999999999999998E-7</v>
      </c>
    </row>
    <row r="195" spans="1:58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>
        <v>25</v>
      </c>
      <c r="O195" s="44">
        <v>25</v>
      </c>
      <c r="P195" s="44"/>
      <c r="Q195" s="44">
        <v>25</v>
      </c>
      <c r="R195" s="44">
        <v>25</v>
      </c>
      <c r="S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/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/>
      <c r="AW195"/>
      <c r="AX195" s="44">
        <v>25</v>
      </c>
    </row>
    <row r="196" spans="1:58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>
        <v>0</v>
      </c>
      <c r="O196" s="44">
        <v>0</v>
      </c>
      <c r="P196" s="44"/>
      <c r="Q196" s="44">
        <v>0</v>
      </c>
      <c r="R196" s="44">
        <v>0</v>
      </c>
      <c r="S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/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/>
      <c r="AW196"/>
      <c r="AX196" s="44">
        <v>0</v>
      </c>
    </row>
    <row r="197" spans="1:58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>
        <v>3.98</v>
      </c>
      <c r="O197" s="44">
        <v>3.98</v>
      </c>
      <c r="P197" s="44"/>
      <c r="Q197" s="44">
        <v>3.98</v>
      </c>
      <c r="R197" s="44">
        <v>3.98</v>
      </c>
      <c r="S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/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/>
      <c r="AW197"/>
      <c r="AX197" s="44">
        <v>3.98</v>
      </c>
    </row>
    <row r="198" spans="1:58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>
        <v>1</v>
      </c>
      <c r="O198" s="44">
        <v>1</v>
      </c>
      <c r="P198" s="44"/>
      <c r="Q198" s="44">
        <v>1</v>
      </c>
      <c r="R198" s="44">
        <v>1</v>
      </c>
      <c r="S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/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/>
      <c r="AW198"/>
      <c r="AX198" s="44">
        <v>1</v>
      </c>
    </row>
    <row r="199" spans="1:58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>
        <v>8.3333333333333331E-5</v>
      </c>
      <c r="O199" s="44">
        <v>8.3333333333333331E-5</v>
      </c>
      <c r="P199" s="44"/>
      <c r="Q199" s="44">
        <v>8.3333333333333331E-5</v>
      </c>
      <c r="R199" s="44">
        <v>8.3333333333333331E-5</v>
      </c>
      <c r="S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/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/>
      <c r="AW199"/>
      <c r="AX199" s="44">
        <v>8.3333333333333331E-5</v>
      </c>
    </row>
    <row r="200" spans="1:58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>
        <v>1.9999999999999999E-7</v>
      </c>
      <c r="O200" s="44">
        <v>1.9999999999999999E-7</v>
      </c>
      <c r="P200" s="44"/>
      <c r="Q200" s="44">
        <v>1.9999999999999999E-7</v>
      </c>
      <c r="R200" s="44">
        <v>1.9999999999999999E-7</v>
      </c>
      <c r="S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/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/>
      <c r="AW200"/>
      <c r="AX200" s="44">
        <v>1.9999999999999999E-7</v>
      </c>
    </row>
    <row r="201" spans="1:58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>
        <v>25</v>
      </c>
      <c r="O201" s="44">
        <v>25</v>
      </c>
      <c r="P201" s="44"/>
      <c r="Q201" s="44">
        <v>25</v>
      </c>
      <c r="R201" s="44">
        <v>25</v>
      </c>
      <c r="S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/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/>
      <c r="AW201"/>
      <c r="AX201" s="44">
        <v>25</v>
      </c>
    </row>
    <row r="202" spans="1:58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>
        <v>0</v>
      </c>
      <c r="O202" s="44">
        <v>0</v>
      </c>
      <c r="P202" s="44"/>
      <c r="Q202" s="44">
        <v>0</v>
      </c>
      <c r="R202" s="44">
        <v>0</v>
      </c>
      <c r="S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/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/>
      <c r="AW202"/>
      <c r="AX202" s="44">
        <v>0</v>
      </c>
    </row>
    <row r="203" spans="1:58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>
        <v>3.98</v>
      </c>
      <c r="O203" s="44">
        <v>3.98</v>
      </c>
      <c r="P203" s="44"/>
      <c r="Q203" s="44">
        <v>3.98</v>
      </c>
      <c r="R203" s="44">
        <v>3.98</v>
      </c>
      <c r="S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/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/>
      <c r="AW203"/>
      <c r="AX203" s="44">
        <v>3.98</v>
      </c>
    </row>
    <row r="204" spans="1:58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>
        <v>1</v>
      </c>
      <c r="O204" s="44">
        <v>1</v>
      </c>
      <c r="P204" s="44"/>
      <c r="Q204" s="44">
        <v>1</v>
      </c>
      <c r="R204" s="44">
        <v>1</v>
      </c>
      <c r="S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/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/>
      <c r="AW204"/>
      <c r="AX204" s="44">
        <v>1</v>
      </c>
    </row>
    <row r="205" spans="1:58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>
        <v>8.3333333333333331E-5</v>
      </c>
      <c r="O205" s="44">
        <v>8.3333333333333331E-5</v>
      </c>
      <c r="P205" s="44"/>
      <c r="Q205" s="44">
        <v>8.3333333333333331E-5</v>
      </c>
      <c r="R205" s="44">
        <v>8.3333333333333331E-5</v>
      </c>
      <c r="S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/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/>
      <c r="AW205"/>
      <c r="AX205" s="44">
        <v>8.3333333333333331E-5</v>
      </c>
    </row>
    <row r="206" spans="1:58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 t="s">
        <v>89</v>
      </c>
      <c r="O206" s="44" t="s">
        <v>89</v>
      </c>
      <c r="P206" s="44"/>
      <c r="Q206" s="44" t="s">
        <v>89</v>
      </c>
      <c r="R206" s="44" t="s">
        <v>89</v>
      </c>
      <c r="S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/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/>
      <c r="AW206"/>
      <c r="AX206" s="44" t="s">
        <v>89</v>
      </c>
    </row>
    <row r="207" spans="1:58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>
        <f>0.0000005*0.4285*10/2.028*4</f>
        <v>4.2258382642998024E-6</v>
      </c>
      <c r="O207" s="44">
        <f>0.0000005*0.4285*10/2.028*4</f>
        <v>4.2258382642998024E-6</v>
      </c>
      <c r="P207" s="44"/>
      <c r="Q207" s="44">
        <f t="shared" ref="Q207:AX207" si="13">0.00002</f>
        <v>2.0000000000000002E-5</v>
      </c>
      <c r="R207" s="44">
        <f t="shared" si="13"/>
        <v>2.0000000000000002E-5</v>
      </c>
      <c r="S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/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/>
      <c r="AW207"/>
      <c r="AX207" s="44">
        <f t="shared" si="13"/>
        <v>2.0000000000000002E-5</v>
      </c>
      <c r="AY207" s="1"/>
      <c r="AZ207" s="1"/>
      <c r="BA207" s="1"/>
      <c r="BB207" s="1"/>
      <c r="BC207" s="1"/>
      <c r="BD207" s="1"/>
      <c r="BE207" s="1"/>
      <c r="BF207" s="1"/>
    </row>
    <row r="208" spans="1:58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>
        <v>0.25</v>
      </c>
      <c r="O208" s="44">
        <v>0.25</v>
      </c>
      <c r="P208" s="44"/>
      <c r="Q208" s="44">
        <v>0.3</v>
      </c>
      <c r="R208" s="44">
        <v>0.3</v>
      </c>
      <c r="S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/>
      <c r="AH208" s="44">
        <v>0.3</v>
      </c>
      <c r="AI208" s="44">
        <v>0.3</v>
      </c>
      <c r="AJ208" s="44">
        <v>0.3</v>
      </c>
      <c r="AK208" s="44">
        <v>0.3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/>
      <c r="AW208"/>
      <c r="AX208" s="44">
        <v>0.3</v>
      </c>
      <c r="AY208" s="51"/>
      <c r="AZ208" s="51"/>
      <c r="BA208" s="51"/>
      <c r="BB208" s="51"/>
      <c r="BC208" s="51"/>
      <c r="BD208" s="51"/>
      <c r="BE208" s="51"/>
      <c r="BF208" s="51"/>
    </row>
    <row r="209" spans="1:58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X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>
        <f t="shared" si="14"/>
        <v>1.4285714285714286E-6</v>
      </c>
      <c r="O209" s="44">
        <f t="shared" si="14"/>
        <v>1.4285714285714286E-6</v>
      </c>
      <c r="P209" s="44"/>
      <c r="Q209" s="44">
        <f t="shared" si="14"/>
        <v>1.4285714285714286E-6</v>
      </c>
      <c r="R209" s="44">
        <v>2E-3</v>
      </c>
      <c r="S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/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v>2E-3</v>
      </c>
      <c r="AV209"/>
      <c r="AW209"/>
      <c r="AX209" s="44">
        <f t="shared" si="14"/>
        <v>1.4285714285714286E-6</v>
      </c>
      <c r="AY209" s="37"/>
      <c r="AZ209" s="37"/>
      <c r="BA209" s="37"/>
      <c r="BB209" s="37"/>
      <c r="BC209" s="37"/>
      <c r="BD209" s="37"/>
      <c r="BE209" s="37"/>
      <c r="BF209" s="37"/>
    </row>
    <row r="210" spans="1:58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 t="s">
        <v>485</v>
      </c>
      <c r="O210" s="44" t="s">
        <v>485</v>
      </c>
      <c r="P210" s="44"/>
      <c r="Q210" s="44" t="s">
        <v>485</v>
      </c>
      <c r="R210" s="44">
        <v>0.1</v>
      </c>
      <c r="S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/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>
        <v>0.1</v>
      </c>
      <c r="AV210"/>
      <c r="AW210"/>
      <c r="AX210" s="44" t="s">
        <v>485</v>
      </c>
      <c r="AY210" s="37"/>
      <c r="AZ210" s="37"/>
      <c r="BA210" s="37"/>
      <c r="BB210" s="37"/>
      <c r="BC210" s="37"/>
      <c r="BD210" s="37"/>
      <c r="BE210" s="37"/>
      <c r="BF210" s="37"/>
    </row>
    <row r="211" spans="1:58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>
        <v>0</v>
      </c>
      <c r="O211" s="44">
        <v>0</v>
      </c>
      <c r="P211" s="44"/>
      <c r="Q211" s="44">
        <v>0</v>
      </c>
      <c r="R211" s="44">
        <v>0.04</v>
      </c>
      <c r="S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/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0.04</v>
      </c>
      <c r="AV211"/>
      <c r="AW211"/>
      <c r="AX211" s="44">
        <v>0</v>
      </c>
      <c r="AY211" s="37"/>
      <c r="AZ211" s="37"/>
      <c r="BA211" s="37"/>
      <c r="BB211" s="37"/>
      <c r="BC211" s="37"/>
      <c r="BD211" s="37"/>
      <c r="BE211" s="37"/>
      <c r="BF211" s="37"/>
    </row>
    <row r="212" spans="1:58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>
        <v>1E-3</v>
      </c>
      <c r="O212" s="44">
        <v>1E-3</v>
      </c>
      <c r="P212" s="44"/>
      <c r="Q212" s="44">
        <v>1E-3</v>
      </c>
      <c r="R212" s="44">
        <v>1E-3</v>
      </c>
      <c r="S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/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/>
      <c r="AW212"/>
      <c r="AX212" s="44">
        <v>1E-3</v>
      </c>
      <c r="AY212" s="37"/>
      <c r="AZ212" s="37"/>
      <c r="BA212" s="37"/>
      <c r="BB212" s="37"/>
      <c r="BC212" s="37"/>
      <c r="BD212" s="37"/>
      <c r="BE212" s="37"/>
      <c r="BF212" s="37"/>
    </row>
    <row r="213" spans="1:58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X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>
        <f>1250*0.000001/5</f>
        <v>2.5000000000000001E-4</v>
      </c>
      <c r="O213" s="44">
        <f t="shared" si="15"/>
        <v>2.5000000000000001E-4</v>
      </c>
      <c r="P213" s="44"/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/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/>
      <c r="AW213"/>
      <c r="AX213" s="44">
        <f t="shared" si="15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58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O214" s="44">
        <v>2.0000000000000001E-4</v>
      </c>
      <c r="P214" s="44"/>
      <c r="Q214" s="44">
        <v>2.0000000000000001E-4</v>
      </c>
      <c r="R214" s="44">
        <v>2.0000000000000001E-4</v>
      </c>
      <c r="S214" s="44">
        <v>2.0000000000000001E-4</v>
      </c>
      <c r="T214" s="1">
        <f>44.4365413894298/21.9053373</f>
        <v>2.0285714290019081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58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>
        <f>M163</f>
        <v>4.9999999999999999E-13</v>
      </c>
      <c r="N215" s="1" t="s">
        <v>607</v>
      </c>
      <c r="O215" s="44">
        <f>0.0000000000025/50</f>
        <v>4.9999999999999995E-14</v>
      </c>
      <c r="P215" s="44"/>
      <c r="Q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58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>
        <f>0.00000000005*10</f>
        <v>5.0000000000000003E-10</v>
      </c>
      <c r="O216" s="44">
        <f>0.00000000005*2 / 10 / 2</f>
        <v>5.0000000000000005E-12</v>
      </c>
      <c r="P216" s="44"/>
      <c r="Q216" s="44">
        <f t="shared" ref="Q216:AU217" si="16">0.00000012*100</f>
        <v>1.1999999999999999E-5</v>
      </c>
      <c r="R216" s="44">
        <f t="shared" si="16"/>
        <v>1.1999999999999999E-5</v>
      </c>
      <c r="S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/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/>
      <c r="AU216" s="44">
        <f t="shared" si="16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58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>
        <f>M216*3</f>
        <v>1.5000000000000002E-9</v>
      </c>
      <c r="O217" s="44">
        <f>0.00000000005*2 / 10 / 2</f>
        <v>5.0000000000000005E-12</v>
      </c>
      <c r="P217" s="44"/>
      <c r="Q217" s="44">
        <f t="shared" si="16"/>
        <v>1.1999999999999999E-5</v>
      </c>
      <c r="R217" s="44">
        <f t="shared" si="16"/>
        <v>1.1999999999999999E-5</v>
      </c>
      <c r="S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/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/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/>
      <c r="AU217" s="44">
        <f t="shared" si="16"/>
        <v>1.1999999999999999E-5</v>
      </c>
      <c r="AV217"/>
      <c r="AW217"/>
      <c r="AX217" s="44">
        <f>0.00000012*100</f>
        <v>1.1999999999999999E-5</v>
      </c>
      <c r="AY217" s="51"/>
      <c r="AZ217" s="51"/>
      <c r="BA217" s="51"/>
      <c r="BB217" s="51"/>
      <c r="BC217" s="51"/>
      <c r="BD217" s="51"/>
      <c r="BE217" s="51"/>
      <c r="BF217" s="51"/>
    </row>
    <row r="218" spans="1:58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>
        <f>0</f>
        <v>0</v>
      </c>
      <c r="O218" s="44">
        <f>0</f>
        <v>0</v>
      </c>
      <c r="P218" s="44"/>
      <c r="Q218" s="44"/>
      <c r="R218" s="44"/>
      <c r="S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/>
      <c r="AH218" s="44"/>
      <c r="AI218" s="44"/>
      <c r="AJ218" s="44"/>
      <c r="AK218" s="44"/>
      <c r="AL218" s="44"/>
      <c r="AM218" s="44"/>
      <c r="AN218" s="44"/>
      <c r="AO218"/>
      <c r="AP218" s="44"/>
      <c r="AQ218" s="44"/>
      <c r="AR218" s="44"/>
      <c r="AS218" s="44"/>
      <c r="AT218"/>
      <c r="AU218" s="44"/>
      <c r="AV218"/>
      <c r="AW218"/>
      <c r="AX218" s="44"/>
      <c r="AY218" s="51"/>
      <c r="AZ218" s="51"/>
      <c r="BA218" s="51"/>
      <c r="BB218" s="51"/>
      <c r="BC218" s="51"/>
      <c r="BD218" s="51"/>
      <c r="BE218" s="51"/>
      <c r="BF218" s="51"/>
    </row>
    <row r="219" spans="1:58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>
        <f>100</f>
        <v>100</v>
      </c>
      <c r="O219" s="44">
        <f>100</f>
        <v>100</v>
      </c>
      <c r="P219" s="44"/>
      <c r="Q219" s="44"/>
      <c r="R219" s="44"/>
      <c r="S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/>
      <c r="AH219" s="44"/>
      <c r="AI219" s="44"/>
      <c r="AJ219" s="44"/>
      <c r="AK219" s="44"/>
      <c r="AL219" s="44"/>
      <c r="AM219" s="44"/>
      <c r="AN219" s="44"/>
      <c r="AO219"/>
      <c r="AP219" s="44"/>
      <c r="AQ219" s="44"/>
      <c r="AR219" s="44"/>
      <c r="AS219" s="44"/>
      <c r="AT219"/>
      <c r="AU219" s="44"/>
      <c r="AV219"/>
      <c r="AW219"/>
      <c r="AX219" s="44"/>
      <c r="AY219" s="51"/>
      <c r="AZ219" s="51"/>
      <c r="BA219" s="51"/>
      <c r="BB219" s="51"/>
      <c r="BC219" s="51"/>
      <c r="BD219" s="51"/>
      <c r="BE219" s="51"/>
      <c r="BF219" s="51"/>
    </row>
    <row r="220" spans="1:58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>
        <f>0.000001 / 10000 *2 * 3/10 *4 * 10</f>
        <v>2.4E-9</v>
      </c>
      <c r="N220" s="1" t="s">
        <v>608</v>
      </c>
      <c r="O220" s="44">
        <f>0.000001 / 10000 *2 * 3</f>
        <v>6E-10</v>
      </c>
      <c r="P220" s="44"/>
      <c r="Q220" s="44">
        <v>9.9999999999999995E-7</v>
      </c>
      <c r="R220" s="44">
        <v>9.9999999999999995E-7</v>
      </c>
      <c r="S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/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 s="44">
        <v>9.9999999999999995E-7</v>
      </c>
      <c r="AR220" s="44">
        <v>9.9999999999999995E-7</v>
      </c>
      <c r="AS220" s="44">
        <v>9.9999999999999995E-7</v>
      </c>
      <c r="AT220"/>
      <c r="AU220" s="44">
        <v>9.9999999999999995E-7</v>
      </c>
      <c r="AV220"/>
      <c r="AW220"/>
      <c r="AX220" s="44">
        <v>9.9999999999999995E-7</v>
      </c>
      <c r="AY220" s="51"/>
      <c r="AZ220" s="51"/>
      <c r="BA220" s="51"/>
      <c r="BB220" s="51"/>
      <c r="BC220" s="51"/>
      <c r="BD220" s="51"/>
      <c r="BE220" s="51"/>
      <c r="BF220" s="51"/>
    </row>
    <row r="221" spans="1:58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>
        <f>0.000001 / 10000 / 4 / 10/10</f>
        <v>2.4999999999999999E-13</v>
      </c>
      <c r="N221" s="1" t="s">
        <v>605</v>
      </c>
      <c r="O221" s="44">
        <f>0.000001 / 10000 / 4 / 10</f>
        <v>2.4999999999999998E-12</v>
      </c>
      <c r="P221" s="44"/>
      <c r="Q221" s="44">
        <v>9.9999999999999995E-7</v>
      </c>
      <c r="R221" s="44">
        <v>9.9999999999999995E-7</v>
      </c>
      <c r="S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/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/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/>
      <c r="AW221"/>
      <c r="AX221" s="44">
        <v>9.9999999999999995E-7</v>
      </c>
      <c r="AY221" s="51"/>
      <c r="AZ221" s="51"/>
      <c r="BA221" s="51"/>
      <c r="BB221" s="51"/>
      <c r="BC221" s="51"/>
      <c r="BD221" s="51"/>
      <c r="BE221" s="51"/>
      <c r="BF221" s="51"/>
    </row>
    <row r="222" spans="1:58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>
        <v>0</v>
      </c>
      <c r="O222" s="44">
        <f>0.00001 / 10/2/4</f>
        <v>1.2500000000000002E-7</v>
      </c>
      <c r="P222" s="44"/>
      <c r="Q222" s="44">
        <v>2E-8</v>
      </c>
      <c r="R222" s="44">
        <v>2E-8</v>
      </c>
      <c r="S222" s="44">
        <v>2E-8</v>
      </c>
      <c r="V222" s="44">
        <v>5.0000000000000002E-5</v>
      </c>
      <c r="W222" s="44">
        <v>5.0000000000000002E-5</v>
      </c>
      <c r="X222" s="44">
        <v>5.0000000000000002E-5</v>
      </c>
      <c r="Y222" s="44">
        <v>5.0000000000000002E-5</v>
      </c>
      <c r="Z222" s="44">
        <v>2.0000000000000002E-5</v>
      </c>
      <c r="AA222" s="44">
        <v>1.0000000000000001E-5</v>
      </c>
      <c r="AB222" s="44">
        <v>5.0000000000000004E-6</v>
      </c>
      <c r="AC222" s="44">
        <v>1.9999999999999999E-6</v>
      </c>
      <c r="AD222" s="44">
        <v>9.9999999999999995E-7</v>
      </c>
      <c r="AE222" s="44">
        <v>4.9999999999999998E-7</v>
      </c>
      <c r="AF222" s="44">
        <v>1.9999999999999999E-7</v>
      </c>
      <c r="AG222"/>
      <c r="AH222" s="44">
        <v>2.0000000000000002E-5</v>
      </c>
      <c r="AI222" s="44">
        <v>1.0000000000000001E-5</v>
      </c>
      <c r="AJ222" s="44">
        <v>5.0000000000000004E-6</v>
      </c>
      <c r="AK222" s="44">
        <v>1.9999999999999999E-6</v>
      </c>
      <c r="AL222" s="44">
        <v>9.9999999999999995E-7</v>
      </c>
      <c r="AM222" s="44">
        <v>4.9999999999999998E-7</v>
      </c>
      <c r="AN222" s="44">
        <v>1.9999999999999999E-7</v>
      </c>
      <c r="AO222"/>
      <c r="AP222" s="44">
        <v>2E-8</v>
      </c>
      <c r="AQ222" s="44">
        <v>2E-8</v>
      </c>
      <c r="AR222" s="44">
        <v>2.0000000000000001E-9</v>
      </c>
      <c r="AS222" s="44">
        <v>2.0000000000000001E-9</v>
      </c>
      <c r="AT222"/>
      <c r="AU222" s="44">
        <v>9.9999999999999995E-7</v>
      </c>
      <c r="AV222"/>
      <c r="AW222"/>
      <c r="AX222" s="44">
        <v>5.0000000000000002E-5</v>
      </c>
      <c r="AY222" s="51"/>
      <c r="AZ222" s="51"/>
      <c r="BA222" s="51"/>
      <c r="BB222" s="51"/>
      <c r="BC222" s="51"/>
      <c r="BD222" s="51"/>
      <c r="BE222" s="51"/>
      <c r="BF222" s="51"/>
    </row>
    <row r="223" spans="1:58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>
        <f xml:space="preserve"> 0.001 / 10</f>
        <v>1E-4</v>
      </c>
      <c r="O223" s="44">
        <f xml:space="preserve"> 0.001 / 10</f>
        <v>1E-4</v>
      </c>
      <c r="P223" s="44"/>
      <c r="Q223" s="44"/>
      <c r="R223" s="44"/>
      <c r="S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/>
      <c r="AH223" s="44"/>
      <c r="AI223" s="44"/>
      <c r="AJ223" s="44"/>
      <c r="AK223" s="44"/>
      <c r="AL223" s="44"/>
      <c r="AM223" s="44"/>
      <c r="AN223" s="44"/>
      <c r="AO223"/>
      <c r="AP223" s="44"/>
      <c r="AQ223" s="44"/>
      <c r="AR223" s="44"/>
      <c r="AS223" s="44"/>
      <c r="AT223"/>
      <c r="AU223" s="44"/>
      <c r="AV223"/>
      <c r="AW223"/>
      <c r="AX223" s="44"/>
      <c r="AY223" s="51"/>
      <c r="AZ223" s="51"/>
      <c r="BA223" s="51"/>
      <c r="BB223" s="51"/>
      <c r="BC223" s="51"/>
      <c r="BD223" s="51"/>
      <c r="BE223" s="51"/>
      <c r="BF223" s="51"/>
    </row>
    <row r="224" spans="1:58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>
        <v>0</v>
      </c>
      <c r="O224" s="44">
        <f>0.00001 /5 /2/4</f>
        <v>2.5000000000000004E-7</v>
      </c>
      <c r="P224" s="44"/>
      <c r="Q224" s="44"/>
      <c r="R224" s="44"/>
      <c r="S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/>
      <c r="AH224" s="44"/>
      <c r="AI224" s="44"/>
      <c r="AJ224" s="44"/>
      <c r="AK224" s="44"/>
      <c r="AL224" s="44"/>
      <c r="AM224" s="44"/>
      <c r="AN224" s="44"/>
      <c r="AO224"/>
      <c r="AP224" s="44"/>
      <c r="AQ224" s="44"/>
      <c r="AR224" s="44"/>
      <c r="AS224" s="44"/>
      <c r="AT224"/>
      <c r="AU224" s="44"/>
      <c r="AV224"/>
      <c r="AW224"/>
      <c r="AX224" s="44"/>
      <c r="AY224" s="51"/>
      <c r="AZ224" s="51"/>
      <c r="BA224" s="51"/>
      <c r="BB224" s="51"/>
      <c r="BC224" s="51"/>
      <c r="BD224" s="51"/>
      <c r="BE224" s="51"/>
      <c r="BF224" s="51"/>
    </row>
    <row r="225" spans="1:73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>
        <f>0.0000001</f>
        <v>9.9999999999999995E-8</v>
      </c>
      <c r="O225" s="44">
        <f>0.0000001</f>
        <v>9.9999999999999995E-8</v>
      </c>
      <c r="P225" s="44"/>
      <c r="Q225" s="44">
        <v>5.0000000000000003E-10</v>
      </c>
      <c r="R225" s="44">
        <v>5.0000000000000003E-10</v>
      </c>
      <c r="S225" s="44">
        <v>9.9999999999999995E-8</v>
      </c>
      <c r="V225" s="44">
        <v>4.9999999999999998E-8</v>
      </c>
      <c r="W225" s="44">
        <v>2E-8</v>
      </c>
      <c r="X225" s="44">
        <v>1E-8</v>
      </c>
      <c r="Y225" s="44">
        <v>1.0000000000000001E-9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/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/>
      <c r="AP225" s="44">
        <v>1E-8</v>
      </c>
      <c r="AQ225" s="44">
        <v>1.0000000000000001E-9</v>
      </c>
      <c r="AR225" s="44">
        <v>1E-8</v>
      </c>
      <c r="AS225" s="44">
        <v>1.0000000000000001E-9</v>
      </c>
      <c r="AT225"/>
      <c r="AU225" s="44">
        <v>1.0000000000000001E-9</v>
      </c>
      <c r="AV225"/>
      <c r="AW225"/>
      <c r="AX225" s="44">
        <v>9.9999999999999995E-8</v>
      </c>
    </row>
    <row r="226" spans="1:73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>
        <v>0.2</v>
      </c>
      <c r="N226" s="1" t="s">
        <v>600</v>
      </c>
      <c r="O226" s="44">
        <v>0.2</v>
      </c>
      <c r="P226" s="44"/>
      <c r="Q226" s="44">
        <v>0.2</v>
      </c>
      <c r="R226" s="44">
        <v>0.2</v>
      </c>
      <c r="S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/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/>
      <c r="AP226" s="44">
        <v>0.2</v>
      </c>
      <c r="AQ226" s="44">
        <v>0.2</v>
      </c>
      <c r="AR226" s="44">
        <v>0.2</v>
      </c>
      <c r="AS226" s="44">
        <v>0.2</v>
      </c>
      <c r="AT226"/>
      <c r="AU226" s="44">
        <v>0.2</v>
      </c>
      <c r="AV226"/>
      <c r="AW226"/>
      <c r="AX226" s="44">
        <v>0.2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 t="s">
        <v>485</v>
      </c>
      <c r="O227" s="44" t="s">
        <v>485</v>
      </c>
      <c r="P227" s="44"/>
      <c r="Q227" s="44" t="s">
        <v>485</v>
      </c>
      <c r="R227" s="44" t="s">
        <v>485</v>
      </c>
      <c r="S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/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/>
      <c r="AP227" s="44" t="s">
        <v>485</v>
      </c>
      <c r="AQ227" s="44" t="s">
        <v>485</v>
      </c>
      <c r="AR227" s="44" t="s">
        <v>485</v>
      </c>
      <c r="AS227" s="44" t="s">
        <v>485</v>
      </c>
      <c r="AT227"/>
      <c r="AU227" s="44" t="s">
        <v>485</v>
      </c>
      <c r="AV227"/>
      <c r="AW227"/>
      <c r="AX227" s="44" t="s">
        <v>485</v>
      </c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</row>
    <row r="228" spans="1:73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X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>
        <f t="shared" si="17"/>
        <v>0.2</v>
      </c>
      <c r="O228" s="44">
        <f t="shared" si="17"/>
        <v>0.2</v>
      </c>
      <c r="P228" s="44"/>
      <c r="Q228" s="44">
        <f t="shared" si="17"/>
        <v>0.2</v>
      </c>
      <c r="R228" s="44">
        <f t="shared" si="17"/>
        <v>0.2</v>
      </c>
      <c r="S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/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/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/>
      <c r="AU228" s="44">
        <f t="shared" si="17"/>
        <v>0.2</v>
      </c>
      <c r="AV228"/>
      <c r="AW228"/>
      <c r="AX228" s="44">
        <f t="shared" si="17"/>
        <v>0.2</v>
      </c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</row>
    <row r="229" spans="1:73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>
        <v>1E-3</v>
      </c>
      <c r="O229" s="44">
        <v>1E-3</v>
      </c>
      <c r="P229" s="44"/>
      <c r="Q229" s="44">
        <v>1E-3</v>
      </c>
      <c r="R229" s="44">
        <v>1E-3</v>
      </c>
      <c r="S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/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/>
      <c r="AP229" s="44">
        <v>1E-3</v>
      </c>
      <c r="AQ229" s="44">
        <v>1E-3</v>
      </c>
      <c r="AR229" s="44">
        <v>1E-3</v>
      </c>
      <c r="AS229" s="44">
        <v>1E-3</v>
      </c>
      <c r="AT229"/>
      <c r="AU229" s="44">
        <v>1E-3</v>
      </c>
      <c r="AV229"/>
      <c r="AW229"/>
      <c r="AX229" s="44">
        <v>1E-3</v>
      </c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</row>
    <row r="230" spans="1:73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>
        <f>0.00001 / 2 * 10</f>
        <v>5.0000000000000002E-5</v>
      </c>
      <c r="O230" s="44">
        <f>0.00001 / 2</f>
        <v>5.0000000000000004E-6</v>
      </c>
      <c r="P230" s="44"/>
      <c r="Q230" s="44">
        <v>1.0000000000000001E-5</v>
      </c>
      <c r="R230" s="44">
        <v>1.0000000000000001E-5</v>
      </c>
      <c r="S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/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/>
      <c r="AP230" s="44">
        <v>1.0000000000000001E-5</v>
      </c>
      <c r="AQ230" s="44">
        <v>1.0000000000000001E-5</v>
      </c>
      <c r="AR230" s="44">
        <v>1.0000000000000001E-5</v>
      </c>
      <c r="AS230" s="44">
        <v>1.0000000000000001E-5</v>
      </c>
      <c r="AT230"/>
      <c r="AU230" s="44">
        <v>1.0000000000000001E-5</v>
      </c>
      <c r="AV230"/>
      <c r="AW230"/>
      <c r="AX230" s="44">
        <v>1.0000000000000001E-5</v>
      </c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1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</row>
    <row r="231" spans="1:73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O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>
        <f>0.000000005 / 5 *10</f>
        <v>1E-8</v>
      </c>
      <c r="O231" s="44">
        <f t="shared" si="18"/>
        <v>1.0000000000000001E-9</v>
      </c>
      <c r="P231" s="44"/>
      <c r="Q231" s="44"/>
      <c r="R231" s="44"/>
      <c r="S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/>
      <c r="AH231" s="44"/>
      <c r="AI231" s="44"/>
      <c r="AJ231" s="44"/>
      <c r="AK231" s="44"/>
      <c r="AL231" s="44"/>
      <c r="AM231" s="44"/>
      <c r="AN231" s="44"/>
      <c r="AO231"/>
      <c r="AP231" s="44"/>
      <c r="AQ231" s="44"/>
      <c r="AR231" s="44"/>
      <c r="AS231" s="44"/>
      <c r="AT231"/>
      <c r="AU231" s="44"/>
      <c r="AV231"/>
      <c r="AW231"/>
      <c r="AX231" s="44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1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</row>
    <row r="232" spans="1:73" x14ac:dyDescent="0.25">
      <c r="A232" s="2" t="s">
        <v>540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X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>
        <v>0</v>
      </c>
      <c r="O232" s="44">
        <v>0</v>
      </c>
      <c r="P232" s="44"/>
      <c r="Q232" s="44">
        <f t="shared" si="19"/>
        <v>2.8571428571428575E-7</v>
      </c>
      <c r="R232" s="44">
        <f t="shared" si="19"/>
        <v>2.8571428571428575E-7</v>
      </c>
      <c r="S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/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/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/>
      <c r="AU232" s="44">
        <f t="shared" si="19"/>
        <v>2.8571428571428575E-7</v>
      </c>
      <c r="AV232"/>
      <c r="AW232"/>
      <c r="AX232" s="44">
        <f t="shared" si="19"/>
        <v>2.8571428571428575E-7</v>
      </c>
      <c r="AY232" s="1"/>
      <c r="AZ232" s="1"/>
      <c r="BA232" s="1"/>
      <c r="BB232" s="1"/>
      <c r="BC232" s="1"/>
      <c r="BD232" s="1"/>
      <c r="BE232" s="1"/>
      <c r="BF232" s="1"/>
    </row>
    <row r="233" spans="1:73" x14ac:dyDescent="0.25">
      <c r="A233" s="2" t="s">
        <v>541</v>
      </c>
      <c r="B233" s="3" t="s">
        <v>473</v>
      </c>
      <c r="C233" s="3" t="s">
        <v>483</v>
      </c>
      <c r="D233" s="3" t="s">
        <v>521</v>
      </c>
      <c r="E233" s="30" t="s">
        <v>537</v>
      </c>
      <c r="F233" s="30" t="s">
        <v>536</v>
      </c>
      <c r="G233" s="44">
        <f t="shared" ref="G233:AU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>
        <v>0</v>
      </c>
      <c r="O233" s="44">
        <v>0</v>
      </c>
      <c r="P233" s="44"/>
      <c r="Q233" s="44">
        <f t="shared" si="20"/>
        <v>2.8571428571428575E-8</v>
      </c>
      <c r="R233" s="44">
        <f t="shared" si="20"/>
        <v>2.8571428571428575E-8</v>
      </c>
      <c r="S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/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/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/>
      <c r="AU233" s="44">
        <f t="shared" si="20"/>
        <v>2.8571428571428575E-8</v>
      </c>
      <c r="AV233"/>
      <c r="AW233"/>
      <c r="AX233" s="44">
        <f t="shared" si="19"/>
        <v>2.8571428571428575E-7</v>
      </c>
      <c r="AY233" s="1"/>
      <c r="AZ233" s="1"/>
      <c r="BA233" s="1"/>
      <c r="BB233" s="1"/>
      <c r="BC233" s="1"/>
      <c r="BD233" s="1"/>
      <c r="BE233" s="1"/>
      <c r="BF233" s="1"/>
    </row>
    <row r="234" spans="1:73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 t="s">
        <v>86</v>
      </c>
      <c r="O234" s="44" t="s">
        <v>86</v>
      </c>
      <c r="P234" s="44"/>
      <c r="Q234" s="44">
        <v>-1</v>
      </c>
      <c r="R234" s="44">
        <v>-1</v>
      </c>
      <c r="S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1"/>
      <c r="AZ234" s="1"/>
      <c r="BA234" s="1"/>
      <c r="BB234" s="1"/>
      <c r="BC234" s="1"/>
      <c r="BD234" s="1"/>
      <c r="BE234" s="1"/>
      <c r="BF234" s="1"/>
    </row>
    <row r="235" spans="1:73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>
        <f>M128* (6 * 12 / 0.44) * 0.0173 / 14 / 1.4</f>
        <v>7.2217068645640066E-16</v>
      </c>
      <c r="N235" s="1" t="s">
        <v>599</v>
      </c>
      <c r="O235" s="44">
        <f>O129* 6 * 12 / 0.44 * 0.015 / 14 / 1.4 /2/2/2</f>
        <v>5.8702458256029672E-17</v>
      </c>
      <c r="P235" s="44"/>
      <c r="Q235" s="44">
        <v>4.9999999999999999E-13</v>
      </c>
      <c r="R235" s="44">
        <v>4.9999999999999999E-13</v>
      </c>
      <c r="S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/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/>
      <c r="AP235" s="44">
        <v>4.9999999999999999E-13</v>
      </c>
      <c r="AQ235" s="44">
        <v>4.9999999999999999E-13</v>
      </c>
      <c r="AR235" s="44">
        <v>4.9999999999999999E-13</v>
      </c>
      <c r="AS235" s="44">
        <v>4.9999999999999999E-13</v>
      </c>
      <c r="AT235"/>
      <c r="AU235" s="44">
        <v>4.9999999999999999E-13</v>
      </c>
      <c r="AV235"/>
      <c r="AW235"/>
      <c r="AX235" s="44">
        <v>4.9999999999999999E-13</v>
      </c>
    </row>
    <row r="236" spans="1:73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>
        <f>0.000001/3600/10/10</f>
        <v>2.7777777777777777E-12</v>
      </c>
      <c r="O236" s="44">
        <f>O130* 6 * 12 / 0.44 * 0.015 / 14 / 1.4 /2/2/2</f>
        <v>0.15653988868274582</v>
      </c>
      <c r="P236" s="44"/>
      <c r="Q236" s="44">
        <v>4.9999999999999999E-13</v>
      </c>
      <c r="R236" s="44">
        <v>4.9999999999999999E-13</v>
      </c>
      <c r="S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/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/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/>
      <c r="AW236"/>
      <c r="AX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M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M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M207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M208"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M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M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M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M221"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M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M223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M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M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M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M234"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:P2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5:P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:P20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:P20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3:P2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5:P21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6:P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8:P21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0:P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2:P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4:P2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6:P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0:P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1:P2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2:P23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4:P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5:S225 AX225 I225:M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 O2:S2 I2:M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4 AX3:AX4 G3:G4 Q3:S4 I3:M4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 O5:S5 I5:M5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 O6:S6 I6:M6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 O7:S7 I7:M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 O8:S8 I8:M8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 O9:S9 I9:M9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 O10:S10 I10:M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 O11:S11 I11:M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 O12:S12 I12:M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 O13:S13 I13:M13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 O14:S14 I14:M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 O15:S15 I15:M15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 O16:S16 I16:M16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 O17:S17 I17:M17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 O18:S18 I18:M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 O19:S19 I19:M19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 O20:S20 I20:M20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 O21:S21 I21:M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Y22 AX22 G22 O22:S22 I22:M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 O25:S25 I25:M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 O26:S26 I26:M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 O27:S27 I27:M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 O28:S28 I28:M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 O29:S29 I29:M29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 O30:S30 I30:M30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 O31:S31 I31:M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 O32:S32 I32:M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 O33:S33 I33:M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 O34:S34 I34:M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 O35:S35 I35:M35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 O36:S36 I36:M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 O37:S37 I37:M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 O38:S38 I38:M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 O39:S39 I39:M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 O40:S40 I40:M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 O41:S41 I41:M41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 O42:S42 I42:M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 O43:S43 I43:M43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 O44:S44 I44:M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 O45:S45 I45:M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 O46:S46 I46:M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 O47:S47 I47:M47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 O48:S48 I48:M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 O49:S49 I49:M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 O50:S50 I50:M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 O51:S51 I51:M51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 O52:S52 I52:M52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 O53:S53 I53:M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 O54:S54 I54:M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 O55:S55 I55:M55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 O56:S56 I56:M56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 O57:S57 I57:M57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 O58:S58 I58:M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 O59:S59 I59:M59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 O60:S60 I60:M60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 O61:S61 I61:M61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 O62:S62 I62:M62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 O63:S63 I63:M63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 O64:S64 I64:M64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 O65:S65 I65:M65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 O66:S66 I66:M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 O67:S67 I67:M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 O68:S68 I68:M68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 O69:S69 I69:M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 O70:S70 I70:M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 O71:S71 I71:M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 O72:S72 I72:M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 O73:S73 I73:M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 O74:S74 I74:M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 O75:S75 I75:M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 O76:S76 I76:M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 O77:S77 I77:M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 O78:S78 I78:M78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 O79:S79 I79:M79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 O80:S80 I80:M80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 O81:S81 I81:M81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 O82:S82 I82:M82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 O83:S83 I83:M83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 O84:S84 I84:M84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 O85:S85 I85:M85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 O86:S86 I86:M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 O87:S87 I87:M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 O88:S88 I88:M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 O89:S89 I89:M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 O90:S90 I90:M90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 O91:S91 I91:M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 O92:S92 I92:M92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 O93:S93 I93:M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 O94:S94 I94:M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 O95:S95 I95:M95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 O96:S96 I96:M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 O97:S97 I97:M97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 O98:S98 I98:M98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 O99:S99 I99:M99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 O100:S100 I100:M100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 O101:S101 I101:M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 O102:S102 I102:M102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 O103:S103 I103:M103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 O104:S104 I104:M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 O105:S105 I105:M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 O106:S106 I106:M106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 O107:S107 I107:M107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 O108:S108 I108:M108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 O109:S109 I109:M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 O110:S110 I110:M110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 O111:S111 I111:M111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 O112:S112 I112:M112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 O113:S113 I113:M113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 O114:S114 I114:M114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 O115:S115 I115:M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 O116:S116 I116:M116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 O117:S117 I117:M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 O118:S118 I118:M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 O119:S119 I119:M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 O120:S120 I120:M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 O121:S121 I121:M121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 O122:S122 I122:M122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 O123:S123 I123:M123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 O124:S124 I124:M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 O125:S125 I125:M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 O126:S126 I126:M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 Q127:S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9 AX128:AX129 G128:G129 O128:S129 I128:M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 O130:S130 I130:M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 O131:S131 I131:M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 O132:S132 I132:M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 O133:S133 I133:M13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 O134:S134 I134:M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 Q135:S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 O136:S136 I136:M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 O137:S137 I137:M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 O138:S138 I138:M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 O139:S139 I139:M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 O140:S140 I140:M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 O141:S141 I141:M14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 O142:S142 I142:M14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 O143:S143 I143:M14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 O144:S144 I144:M14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 O145:S145 I145:M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 O146:S146 I146:M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 O147:S147 I147:M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 O148:S148 I148:M14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 O149:S149 I149:M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 O150:S150 I150:M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 O151:S151 I151:M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 O152:S152 I152:M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 O153:S153 I153:M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 O154:S154 I154:M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 O155:S155 I155:M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 O156:S156 I156:M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 O157:S157 I157:M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 O158:S158 I158:M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 O159:S159 I159:M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 O160:S160 I160:M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 O161:S161 I161:M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 O162:S162 I162:M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 O163:S163 I163:M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 O164:S164 I164:M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 O165:S165 I165:M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 O166:S166 I166:M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 O167:S167 I167:M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 O168:S168 I168:M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 O169:S169 I169:M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 O170:S170 I170:M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 O171:S171 I171:M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 O172:S172 I172:M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 O173:S173 I173:M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 O174:S174 I174:M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 O175:S175 I175:M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 O176:S176 I176:M17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 O177:S177 I177:M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 O178:S178 I178:M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 O179:S179 I179:M17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 O180:S180 I180:M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 O181:S181 I181:M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 O182:S182 I182:M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 O183:S183 I183:M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 O184:S184 I184:M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 O185:S185 I185:M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 O186:S186 I186:M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 O187:S187 I187:M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 O188:S188 I188:M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 O189:S189 I189:M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 O190:S190 I190:M190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 O191:S191 I191:M191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 O192:S192 I192:M192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 O193:S193 I193:M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 O194:S194 I194:M194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 O195:S195 I195:M195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 O196:S196 I196:M196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 O197:S197 I197:M197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 O198:S198 I198:M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 O199:S199 I199:M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 O200:S200 I200:M200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 O201:S201 I201:M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 O202:S202 I202:M202"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 O203:S203 I203:M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 O204:S204 I204:M204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 O205:S205 I205:M205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 O206:S206 I206:M206"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 Q207:S207"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 Q208:S208"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 O209:Q209 I209:M209"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 O210:Q210 I210:M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 O211:Q211 I211:M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 O212:Q212 I212:M212"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"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 Q214:S214"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 Q215:S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9 AX216:AX219 G216:G219 Q216:S219"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1 AX220:AX221 G220:G221 Q220:S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4 AX222:AX224 G222:G223 Q222:S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Y225"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5:Y236 AX235:AX236 G235:G236 O235:S236 I235:M23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AF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1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4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AF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5:AF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4 AP3:AS4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N22 AP22:AS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9 AP216:AS219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1 AP220:AS221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4 AP222:AS224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N225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5:AN236 AP235:AS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S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:AS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:AS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S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S23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S233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:AU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:AU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:AU219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:AU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U224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U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2:AU233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5:AU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 V23:Y24 G23:G24 Q23:S24 I23:M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 G213 Q213:S213 I213:M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 V226:Y231 G226:G230 Q226:S231 I226:M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 V232:Y233 G232:G234 Q232:S234 V234:AX234 I234 I232:M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2025-10-20T06:57:34Z</dcterms:modified>
</cp:coreProperties>
</file>