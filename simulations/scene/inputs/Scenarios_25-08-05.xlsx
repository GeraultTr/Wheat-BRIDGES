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7192\work_home\tigerault\Wheat-BRIDGES_framework\Wheat-BRIDGES\simulations\scene\inputs\"/>
    </mc:Choice>
  </mc:AlternateContent>
  <xr:revisionPtr revIDLastSave="0" documentId="13_ncr:1_{4BFA6218-7B60-4B5F-B705-84C8D3AB15AD}" xr6:coauthVersionLast="47" xr6:coauthVersionMax="47" xr10:uidLastSave="{00000000-0000-0000-0000-000000000000}"/>
  <bookViews>
    <workbookView xWindow="28680" yWindow="-1980" windowWidth="29040" windowHeight="1644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8" i="2" l="1"/>
  <c r="P236" i="2"/>
  <c r="P235" i="2"/>
  <c r="P231" i="2"/>
  <c r="P230" i="2"/>
  <c r="P228" i="2"/>
  <c r="P225" i="2"/>
  <c r="P224" i="2"/>
  <c r="P223" i="2"/>
  <c r="P222" i="2"/>
  <c r="P220" i="2"/>
  <c r="P219" i="2"/>
  <c r="P218" i="2"/>
  <c r="P216" i="2"/>
  <c r="P217" i="2" s="1"/>
  <c r="P215" i="2"/>
  <c r="P213" i="2"/>
  <c r="P209" i="2"/>
  <c r="P207" i="2"/>
  <c r="P163" i="2"/>
  <c r="P129" i="2"/>
  <c r="P125" i="2"/>
  <c r="P119" i="2"/>
  <c r="P115" i="2"/>
  <c r="P112" i="2"/>
  <c r="P109" i="2"/>
  <c r="P108" i="2"/>
  <c r="P107" i="2"/>
  <c r="P106" i="2"/>
  <c r="P105" i="2"/>
  <c r="P104" i="2"/>
  <c r="P103" i="2"/>
  <c r="P102" i="2"/>
  <c r="N235" i="2"/>
  <c r="N218" i="2"/>
  <c r="N224" i="2"/>
  <c r="N231" i="2"/>
  <c r="N230" i="2"/>
  <c r="N216" i="2"/>
  <c r="N217" i="2" s="1"/>
  <c r="N222" i="2"/>
  <c r="N220" i="2"/>
  <c r="N128" i="2"/>
  <c r="N129" i="2"/>
  <c r="N119" i="2" l="1"/>
  <c r="N213" i="2"/>
  <c r="N236" i="2"/>
  <c r="N163" i="2"/>
  <c r="N215" i="2" s="1"/>
  <c r="N228" i="2"/>
  <c r="N225" i="2"/>
  <c r="N223" i="2"/>
  <c r="N219" i="2"/>
  <c r="N209" i="2"/>
  <c r="N207" i="2"/>
  <c r="N125" i="2"/>
  <c r="N115" i="2"/>
  <c r="N112" i="2"/>
  <c r="N109" i="2"/>
  <c r="N108" i="2"/>
  <c r="N107" i="2"/>
  <c r="N106" i="2"/>
  <c r="N105" i="2"/>
  <c r="N104" i="2"/>
  <c r="N103" i="2"/>
  <c r="N102" i="2"/>
  <c r="L231" i="2" l="1"/>
  <c r="L221" i="2"/>
  <c r="L230" i="2"/>
  <c r="L119" i="2"/>
  <c r="L213" i="2"/>
  <c r="L129" i="2"/>
  <c r="L236" i="2"/>
  <c r="L216" i="2"/>
  <c r="L217" i="2" s="1"/>
  <c r="R128" i="2"/>
  <c r="L128" i="2"/>
  <c r="L235" i="2" s="1"/>
  <c r="K128" i="2"/>
  <c r="J128" i="2"/>
  <c r="R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BA217" i="2"/>
  <c r="AX217" i="2"/>
  <c r="AV217" i="2"/>
  <c r="AU217" i="2"/>
  <c r="AT217" i="2"/>
  <c r="AS217" i="2"/>
  <c r="AQ217" i="2"/>
  <c r="AP217" i="2"/>
  <c r="AO217" i="2"/>
  <c r="AN217" i="2"/>
  <c r="AM217" i="2"/>
  <c r="AL217" i="2"/>
  <c r="AK217" i="2"/>
  <c r="AI217" i="2"/>
  <c r="AH217" i="2"/>
  <c r="AG217" i="2"/>
  <c r="AF217" i="2"/>
  <c r="AE217" i="2"/>
  <c r="AD217" i="2"/>
  <c r="AC217" i="2"/>
  <c r="AB217" i="2"/>
  <c r="AA217" i="2"/>
  <c r="Z217" i="2"/>
  <c r="Y217" i="2"/>
  <c r="V217" i="2"/>
  <c r="U217" i="2"/>
  <c r="T217" i="2"/>
  <c r="R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R231" i="2"/>
  <c r="R230" i="2"/>
  <c r="R228" i="2"/>
  <c r="R225" i="2"/>
  <c r="R224" i="2"/>
  <c r="R223" i="2"/>
  <c r="R222" i="2"/>
  <c r="R221" i="2"/>
  <c r="R220" i="2"/>
  <c r="R219" i="2"/>
  <c r="R218" i="2"/>
  <c r="R216" i="2"/>
  <c r="R215" i="2"/>
  <c r="R213" i="2"/>
  <c r="R209" i="2"/>
  <c r="R207" i="2"/>
  <c r="R129" i="2"/>
  <c r="R235" i="2" s="1"/>
  <c r="R125" i="2"/>
  <c r="R119" i="2"/>
  <c r="R115" i="2"/>
  <c r="R112" i="2"/>
  <c r="R109" i="2"/>
  <c r="R108" i="2"/>
  <c r="R107" i="2"/>
  <c r="R106" i="2"/>
  <c r="R105" i="2"/>
  <c r="R104" i="2"/>
  <c r="R103" i="2"/>
  <c r="R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W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T233" i="2" l="1"/>
  <c r="T232" i="2"/>
  <c r="T228" i="2"/>
  <c r="T216" i="2"/>
  <c r="T213" i="2"/>
  <c r="T209" i="2"/>
  <c r="T207" i="2"/>
  <c r="T125" i="2"/>
  <c r="T115" i="2"/>
  <c r="T112" i="2"/>
  <c r="T109" i="2"/>
  <c r="T108" i="2"/>
  <c r="T107" i="2"/>
  <c r="T106" i="2"/>
  <c r="T105" i="2"/>
  <c r="T104" i="2"/>
  <c r="T103" i="2"/>
  <c r="T102" i="2"/>
  <c r="V233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U233" i="2"/>
  <c r="U232" i="2"/>
  <c r="U228" i="2"/>
  <c r="U216" i="2"/>
  <c r="U213" i="2"/>
  <c r="U207" i="2"/>
  <c r="U125" i="2"/>
  <c r="U115" i="2"/>
  <c r="U112" i="2"/>
  <c r="U109" i="2"/>
  <c r="U108" i="2"/>
  <c r="U107" i="2"/>
  <c r="U106" i="2"/>
  <c r="U105" i="2"/>
  <c r="U104" i="2"/>
  <c r="U103" i="2"/>
  <c r="U102" i="2"/>
  <c r="AV233" i="2"/>
  <c r="AU233" i="2"/>
  <c r="AV232" i="2"/>
  <c r="AU232" i="2"/>
  <c r="AV228" i="2"/>
  <c r="AU228" i="2"/>
  <c r="AV216" i="2"/>
  <c r="AU216" i="2"/>
  <c r="AV213" i="2"/>
  <c r="AU213" i="2"/>
  <c r="AV209" i="2"/>
  <c r="AU209" i="2"/>
  <c r="AV207" i="2"/>
  <c r="AU207" i="2"/>
  <c r="AV125" i="2"/>
  <c r="AU125" i="2"/>
  <c r="AV115" i="2"/>
  <c r="AU115" i="2"/>
  <c r="AV112" i="2"/>
  <c r="AU112" i="2"/>
  <c r="AV109" i="2"/>
  <c r="AU109" i="2"/>
  <c r="AV108" i="2"/>
  <c r="AU108" i="2"/>
  <c r="AV107" i="2"/>
  <c r="AU107" i="2"/>
  <c r="AV106" i="2"/>
  <c r="AU106" i="2"/>
  <c r="AV105" i="2"/>
  <c r="AU105" i="2"/>
  <c r="AV104" i="2"/>
  <c r="AU104" i="2"/>
  <c r="AV103" i="2"/>
  <c r="AU103" i="2"/>
  <c r="AV102" i="2"/>
  <c r="AU102" i="2"/>
  <c r="AT233" i="2"/>
  <c r="AT232" i="2"/>
  <c r="AT228" i="2"/>
  <c r="AT216" i="2"/>
  <c r="AT213" i="2"/>
  <c r="AT209" i="2"/>
  <c r="AT207" i="2"/>
  <c r="AT125" i="2"/>
  <c r="AT115" i="2"/>
  <c r="AT112" i="2"/>
  <c r="AT109" i="2"/>
  <c r="AT108" i="2"/>
  <c r="AT107" i="2"/>
  <c r="AT106" i="2"/>
  <c r="AT105" i="2"/>
  <c r="AT104" i="2"/>
  <c r="AT103" i="2"/>
  <c r="AT102" i="2"/>
  <c r="AS233" i="2"/>
  <c r="AS232" i="2"/>
  <c r="AS228" i="2"/>
  <c r="AS216" i="2"/>
  <c r="AS213" i="2"/>
  <c r="AS209" i="2"/>
  <c r="AS207" i="2"/>
  <c r="AS125" i="2"/>
  <c r="AS115" i="2"/>
  <c r="AS112" i="2"/>
  <c r="AS109" i="2"/>
  <c r="AS108" i="2"/>
  <c r="AS107" i="2"/>
  <c r="AS106" i="2"/>
  <c r="AS105" i="2"/>
  <c r="AS104" i="2"/>
  <c r="AS103" i="2"/>
  <c r="AS102" i="2"/>
  <c r="AX233" i="2"/>
  <c r="AX232" i="2"/>
  <c r="AX228" i="2"/>
  <c r="AX216" i="2"/>
  <c r="AX213" i="2"/>
  <c r="AX207" i="2"/>
  <c r="AX125" i="2"/>
  <c r="AX115" i="2"/>
  <c r="AX112" i="2"/>
  <c r="AX109" i="2"/>
  <c r="AX108" i="2"/>
  <c r="AX107" i="2"/>
  <c r="AX106" i="2"/>
  <c r="AX105" i="2"/>
  <c r="AX104" i="2"/>
  <c r="AX103" i="2"/>
  <c r="AX102" i="2"/>
  <c r="AQ233" i="2"/>
  <c r="AP233" i="2"/>
  <c r="AO233" i="2"/>
  <c r="AN233" i="2"/>
  <c r="AM233" i="2"/>
  <c r="AL233" i="2"/>
  <c r="AK233" i="2"/>
  <c r="AQ232" i="2"/>
  <c r="AP232" i="2"/>
  <c r="AO232" i="2"/>
  <c r="AN232" i="2"/>
  <c r="AM232" i="2"/>
  <c r="AL232" i="2"/>
  <c r="AK232" i="2"/>
  <c r="AQ228" i="2"/>
  <c r="AP228" i="2"/>
  <c r="AO228" i="2"/>
  <c r="AN228" i="2"/>
  <c r="AM228" i="2"/>
  <c r="AL228" i="2"/>
  <c r="AK228" i="2"/>
  <c r="AQ216" i="2"/>
  <c r="AP216" i="2"/>
  <c r="AO216" i="2"/>
  <c r="AN216" i="2"/>
  <c r="AM216" i="2"/>
  <c r="AL216" i="2"/>
  <c r="AK216" i="2"/>
  <c r="AQ213" i="2"/>
  <c r="AP213" i="2"/>
  <c r="AO213" i="2"/>
  <c r="AN213" i="2"/>
  <c r="AM213" i="2"/>
  <c r="AL213" i="2"/>
  <c r="AK213" i="2"/>
  <c r="AQ209" i="2"/>
  <c r="AP209" i="2"/>
  <c r="AO209" i="2"/>
  <c r="AN209" i="2"/>
  <c r="AM209" i="2"/>
  <c r="AL209" i="2"/>
  <c r="AK209" i="2"/>
  <c r="AQ207" i="2"/>
  <c r="AP207" i="2"/>
  <c r="AO207" i="2"/>
  <c r="AN207" i="2"/>
  <c r="AM207" i="2"/>
  <c r="AL207" i="2"/>
  <c r="AK207" i="2"/>
  <c r="AQ125" i="2"/>
  <c r="AP125" i="2"/>
  <c r="AO125" i="2"/>
  <c r="AN125" i="2"/>
  <c r="AM125" i="2"/>
  <c r="AL125" i="2"/>
  <c r="AK125" i="2"/>
  <c r="AQ115" i="2"/>
  <c r="AP115" i="2"/>
  <c r="AO115" i="2"/>
  <c r="AN115" i="2"/>
  <c r="AM115" i="2"/>
  <c r="AL115" i="2"/>
  <c r="AK115" i="2"/>
  <c r="AQ112" i="2"/>
  <c r="AP112" i="2"/>
  <c r="AO112" i="2"/>
  <c r="AN112" i="2"/>
  <c r="AM112" i="2"/>
  <c r="AL112" i="2"/>
  <c r="AK112" i="2"/>
  <c r="AQ109" i="2"/>
  <c r="AP109" i="2"/>
  <c r="AO109" i="2"/>
  <c r="AN109" i="2"/>
  <c r="AM109" i="2"/>
  <c r="AL109" i="2"/>
  <c r="AK109" i="2"/>
  <c r="AQ108" i="2"/>
  <c r="AP108" i="2"/>
  <c r="AO108" i="2"/>
  <c r="AN108" i="2"/>
  <c r="AM108" i="2"/>
  <c r="AL108" i="2"/>
  <c r="AK108" i="2"/>
  <c r="AQ107" i="2"/>
  <c r="AP107" i="2"/>
  <c r="AO107" i="2"/>
  <c r="AN107" i="2"/>
  <c r="AM107" i="2"/>
  <c r="AL107" i="2"/>
  <c r="AK107" i="2"/>
  <c r="AQ106" i="2"/>
  <c r="AP106" i="2"/>
  <c r="AO106" i="2"/>
  <c r="AN106" i="2"/>
  <c r="AM106" i="2"/>
  <c r="AL106" i="2"/>
  <c r="AK106" i="2"/>
  <c r="AQ105" i="2"/>
  <c r="AP105" i="2"/>
  <c r="AO105" i="2"/>
  <c r="AN105" i="2"/>
  <c r="AM105" i="2"/>
  <c r="AL105" i="2"/>
  <c r="AK105" i="2"/>
  <c r="AQ104" i="2"/>
  <c r="AP104" i="2"/>
  <c r="AO104" i="2"/>
  <c r="AN104" i="2"/>
  <c r="AM104" i="2"/>
  <c r="AL104" i="2"/>
  <c r="AK104" i="2"/>
  <c r="AQ103" i="2"/>
  <c r="AP103" i="2"/>
  <c r="AO103" i="2"/>
  <c r="AN103" i="2"/>
  <c r="AM103" i="2"/>
  <c r="AL103" i="2"/>
  <c r="AK103" i="2"/>
  <c r="AQ102" i="2"/>
  <c r="AP102" i="2"/>
  <c r="AO102" i="2"/>
  <c r="AN102" i="2"/>
  <c r="AM102" i="2"/>
  <c r="AL102" i="2"/>
  <c r="AK102" i="2"/>
  <c r="AI233" i="2"/>
  <c r="AI232" i="2"/>
  <c r="AI228" i="2"/>
  <c r="AI216" i="2"/>
  <c r="AI213" i="2"/>
  <c r="AI209" i="2"/>
  <c r="AI207" i="2"/>
  <c r="AI125" i="2"/>
  <c r="AI115" i="2"/>
  <c r="AI112" i="2"/>
  <c r="AI109" i="2"/>
  <c r="AI108" i="2"/>
  <c r="AI107" i="2"/>
  <c r="AI106" i="2"/>
  <c r="AI105" i="2"/>
  <c r="AI104" i="2"/>
  <c r="AI103" i="2"/>
  <c r="AI102" i="2"/>
  <c r="AH233" i="2"/>
  <c r="AH232" i="2"/>
  <c r="AH228" i="2"/>
  <c r="AH216" i="2"/>
  <c r="AH213" i="2"/>
  <c r="AH209" i="2"/>
  <c r="AH207" i="2"/>
  <c r="AH125" i="2"/>
  <c r="AH115" i="2"/>
  <c r="AH112" i="2"/>
  <c r="AH109" i="2"/>
  <c r="AH108" i="2"/>
  <c r="AH107" i="2"/>
  <c r="AH106" i="2"/>
  <c r="AH105" i="2"/>
  <c r="AH104" i="2"/>
  <c r="AH103" i="2"/>
  <c r="AH102" i="2"/>
  <c r="AG233" i="2"/>
  <c r="AG232" i="2"/>
  <c r="AG228" i="2"/>
  <c r="AG216" i="2"/>
  <c r="AG213" i="2"/>
  <c r="AG209" i="2"/>
  <c r="AG207" i="2"/>
  <c r="AG125" i="2"/>
  <c r="AG115" i="2"/>
  <c r="AG112" i="2"/>
  <c r="AG109" i="2"/>
  <c r="AG108" i="2"/>
  <c r="AG107" i="2"/>
  <c r="AG106" i="2"/>
  <c r="AG105" i="2"/>
  <c r="AG104" i="2"/>
  <c r="AG103" i="2"/>
  <c r="AG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A233" i="2"/>
  <c r="Z233" i="2"/>
  <c r="Y233" i="2"/>
  <c r="G233" i="2"/>
  <c r="AB232" i="2" l="1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2" i="2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BA233" i="2"/>
  <c r="BA232" i="2"/>
  <c r="BA228" i="2"/>
  <c r="BA216" i="2"/>
  <c r="BA213" i="2"/>
  <c r="BA209" i="2"/>
  <c r="BA207" i="2"/>
  <c r="BA125" i="2"/>
  <c r="BA115" i="2"/>
  <c r="BA112" i="2"/>
  <c r="BA109" i="2"/>
  <c r="BA108" i="2"/>
  <c r="BA107" i="2"/>
  <c r="BA106" i="2"/>
  <c r="BA105" i="2"/>
  <c r="BA104" i="2"/>
  <c r="BA103" i="2"/>
  <c r="BA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<sst xmlns="http://schemas.openxmlformats.org/spreadsheetml/2006/main" count="2945" uniqueCount="609">
  <si>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</si>
  <si>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</si>
  <si>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</si>
  <si>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</si>
  <si>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</si>
  <si>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</si>
  <si>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</si>
  <si>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</si>
  <si>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</si>
  <si>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</si>
  <si>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</si>
  <si>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</si>
  <si>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</si>
  <si>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</si>
  <si>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</si>
  <si>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</si>
  <si>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</si>
  <si>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</si>
  <si>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</si>
  <si>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</si>
  <si>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</si>
  <si>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</si>
  <si>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</si>
  <si>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</si>
  <si>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</si>
  <si>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</si>
  <si>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</si>
  <si>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</si>
  <si>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</si>
  <si>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</si>
  <si>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</si>
  <si>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</si>
  <si>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</si>
  <si>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</si>
  <si>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</si>
  <si>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</si>
  <si>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</si>
  <si>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</si>
  <si>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</si>
  <si>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</si>
  <si>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</si>
  <si>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</si>
  <si>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</si>
  <si>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</si>
  <si>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</si>
  <si>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</si>
  <si>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</si>
  <si>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</si>
  <si>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</si>
  <si>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</si>
  <si>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</si>
  <si>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</si>
  <si>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</si>
  <si>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</si>
  <si>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</si>
  <si>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</si>
  <si>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</si>
  <si>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</si>
  <si>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</si>
  <si>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</si>
  <si>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</si>
  <si>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</si>
  <si>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</si>
  <si>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</si>
  <si>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</si>
  <si>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</si>
  <si>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</si>
  <si>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</si>
  <si>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</si>
  <si>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</si>
  <si>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</si>
  <si>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</si>
  <si>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</si>
  <si>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</si>
  <si>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</si>
  <si>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</si>
  <si>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</si>
  <si>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</si>
  <si>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</si>
  <si>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</si>
  <si>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</si>
  <si>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</si>
  <si>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</si>
  <si>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</si>
  <si>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</si>
  <si>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</si>
  <si>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</si>
  <si>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</si>
  <si>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</si>
  <si>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</si>
  <si>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</si>
  <si>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</si>
  <si>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</si>
  <si>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</si>
  <si>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</si>
  <si>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</si>
  <si>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</si>
  <si>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</si>
  <si>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</si>
  <si>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</si>
  <si>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</si>
  <si>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</si>
  <si>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</si>
  <si>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</si>
  <si>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</si>
  <si>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</si>
  <si>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</si>
  <si>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</si>
  <si>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</si>
  <si>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</si>
  <si>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</si>
  <si>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</si>
  <si>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</si>
  <si>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</si>
  <si>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</si>
  <si>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</si>
  <si>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</si>
  <si>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</si>
  <si>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</si>
  <si>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</si>
  <si>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</si>
  <si>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</si>
  <si>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</si>
  <si>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</si>
  <si>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</si>
  <si>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</si>
  <si>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</si>
  <si>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</si>
  <si>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</si>
  <si>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</si>
  <si>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</si>
  <si>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</si>
  <si>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</si>
  <si>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</si>
  <si>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</si>
  <si>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</si>
  <si>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</si>
  <si>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</si>
  <si>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</si>
  <si>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</si>
  <si>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</si>
  <si>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</si>
  <si>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</si>
  <si>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</si>
  <si>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</si>
  <si>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</si>
  <si>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</si>
  <si>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</si>
  <si>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</si>
  <si>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</si>
  <si>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</si>
  <si>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</si>
  <si>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</si>
  <si>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</si>
  <si>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</si>
  <si>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</si>
  <si>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</si>
  <si>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</si>
  <si>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</si>
  <si>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</si>
  <si>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</si>
  <si>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</si>
  <si>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</si>
  <si>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</si>
  <si>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</si>
  <si>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</si>
  <si>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</si>
  <si>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</si>
  <si>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</si>
  <si>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</si>
  <si>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</si>
  <si>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</si>
  <si>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</si>
  <si>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</si>
  <si>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</si>
  <si>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</si>
  <si>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</si>
  <si>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</si>
  <si>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</si>
  <si>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</si>
  <si>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</si>
  <si>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</si>
  <si>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</si>
  <si>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</si>
  <si>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</si>
  <si>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</si>
  <si>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</si>
  <si>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</si>
  <si>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</si>
  <si>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</si>
  <si>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</si>
  <si>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</si>
  <si>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</si>
  <si>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</si>
  <si>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</si>
  <si>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</si>
  <si>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</si>
  <si>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</si>
  <si>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</si>
  <si>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</si>
  <si>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</si>
  <si>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</si>
  <si>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</si>
  <si>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</si>
  <si>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</si>
  <si>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</si>
  <si>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</si>
  <si>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</si>
  <si>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</si>
  <si>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</si>
  <si>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</si>
  <si>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</si>
  <si>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</si>
  <si>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</si>
  <si>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</si>
  <si>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</si>
  <si>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</si>
  <si>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</si>
  <si>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</si>
  <si>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</si>
  <si>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</si>
  <si>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</si>
  <si>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</si>
  <si>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</si>
  <si>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</si>
  <si>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</si>
  <si>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</si>
  <si>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</si>
  <si>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</si>
  <si>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</si>
  <si>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</si>
  <si>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</si>
  <si>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</si>
  <si>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</si>
  <si>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</si>
  <si>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</si>
  <si>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</si>
  <si>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</si>
  <si>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</si>
  <si>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</si>
  <si>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</si>
  <si>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</si>
  <si>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</si>
  <si>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</si>
  <si>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</si>
  <si>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</si>
  <si>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</si>
  <si>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</si>
  <si>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</si>
  <si>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</si>
  <si>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</si>
  <si>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</si>
  <si>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</si>
  <si>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</si>
  <si>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</si>
  <si>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</si>
  <si>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</si>
  <si>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</si>
  <si>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</si>
  <si>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</si>
  <si>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</si>
  <si>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</si>
  <si>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</si>
  <si>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</si>
  <si>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</si>
  <si>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</si>
  <si>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</si>
  <si>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</si>
  <si>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</si>
  <si>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</si>
  <si>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</si>
  <si>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</si>
  <si>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</si>
  <si>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</si>
  <si>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</si>
  <si>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</si>
  <si>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</si>
  <si>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</si>
  <si>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</si>
  <si>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</si>
  <si>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</si>
  <si>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</si>
  <si>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</si>
  <si>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</si>
  <si>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</si>
  <si>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</si>
  <si>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</si>
  <si>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</si>
  <si>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</si>
  <si>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</si>
  <si>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</si>
  <si>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</si>
  <si>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</si>
  <si>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</si>
  <si>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</si>
  <si>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</si>
  <si>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</si>
  <si>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</si>
  <si>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</si>
  <si>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</si>
  <si>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</si>
  <si>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</si>
  <si>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</si>
  <si>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</si>
  <si>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</si>
  <si>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</si>
  <si>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</si>
  <si>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</si>
  <si>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</si>
  <si>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</si>
  <si>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</si>
  <si>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</si>
  <si>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</si>
  <si>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</si>
  <si>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</si>
  <si>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</si>
  <si>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</si>
  <si>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</si>
  <si>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</si>
  <si>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</si>
  <si>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</si>
  <si>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</si>
  <si>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</si>
  <si>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</si>
  <si>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</si>
  <si>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</si>
  <si>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</si>
  <si>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</si>
  <si>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</si>
  <si>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</si>
  <si>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</si>
  <si>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</si>
  <si>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</si>
  <si>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</si>
  <si>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</si>
  <si>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</si>
  <si>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</si>
  <si>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</si>
  <si>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</si>
  <si>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</si>
  <si>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</si>
  <si>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</si>
  <si>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</si>
  <si>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</si>
  <si>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</si>
  <si>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</si>
  <si>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</si>
  <si>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</si>
  <si>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</si>
  <si>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</si>
  <si>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</si>
  <si>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</si>
  <si>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</si>
  <si>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</si>
  <si>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</si>
  <si>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</si>
  <si>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</si>
  <si>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</si>
  <si>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</si>
  <si>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</si>
  <si>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</si>
  <si>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</si>
  <si>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</si>
  <si>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</si>
  <si>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</si>
  <si>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</si>
  <si>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</si>
  <si>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</si>
  <si>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</si>
  <si>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</si>
  <si>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</si>
  <si>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</si>
  <si>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</si>
  <si>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</si>
  <si>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</si>
  <si>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</si>
  <si>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</si>
  <si>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</si>
  <si>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</si>
  <si>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</si>
  <si>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</si>
  <si>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</si>
  <si>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</si>
  <si>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</si>
  <si>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</si>
  <si>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</si>
  <si>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</si>
  <si>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</si>
  <si>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</si>
  <si>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</si>
  <si>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</si>
  <si>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</si>
  <si>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</si>
  <si>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</si>
  <si>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</si>
  <si>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</si>
  <si>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</si>
  <si>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</si>
  <si>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</si>
  <si>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</si>
  <si>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</si>
  <si>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</si>
  <si>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</si>
  <si>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</si>
  <si>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</si>
  <si>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</si>
  <si>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</si>
  <si>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</si>
  <si>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</si>
  <si>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</si>
  <si>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</si>
  <si>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</si>
  <si>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</si>
  <si>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</si>
  <si>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</si>
  <si>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</si>
  <si>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</si>
  <si>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</si>
  <si>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</si>
  <si>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</si>
  <si>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</si>
  <si>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</si>
  <si>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</si>
  <si>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</si>
  <si>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</si>
  <si>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</si>
  <si>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</si>
  <si>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</si>
  <si>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</si>
  <si>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</si>
  <si>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</si>
  <si>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</si>
  <si>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</si>
  <si>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</si>
  <si>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</si>
  <si>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</si>
  <si>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</si>
  <si>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</si>
  <si>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</si>
  <si>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</si>
  <si>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</si>
  <si>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</si>
  <si>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</si>
  <si>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</si>
  <si>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</si>
  <si>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</si>
  <si>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</si>
  <si>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</si>
  <si>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</si>
  <si>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</si>
  <si>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</si>
  <si>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</si>
  <si>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</si>
  <si>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</si>
  <si>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</si>
  <si>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</si>
  <si>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</si>
  <si>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</si>
  <si>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</si>
  <si>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</si>
  <si>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</si>
  <si>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</si>
  <si>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</si>
  <si>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</si>
  <si>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</si>
  <si>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</si>
  <si>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</si>
  <si>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</si>
  <si>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</si>
  <si>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</si>
  <si>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</si>
  <si>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</si>
  <si>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</si>
  <si>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</si>
  <si>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</si>
  <si>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</si>
  <si>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</si>
  <si>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</si>
  <si>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</si>
  <si>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</si>
  <si>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</si>
  <si>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</si>
  <si>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</si>
  <si>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</si>
  <si>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</si>
  <si>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</si>
  <si>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</si>
  <si>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</si>
  <si>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</si>
  <si>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</si>
  <si>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</si>
  <si>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</si>
  <si>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</si>
  <si>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</si>
  <si>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</si>
  <si>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</si>
  <si>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</si>
  <si>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</si>
  <si>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</si>
  <si>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</si>
  <si>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</si>
  <si>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</si>
  <si>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</si>
  <si>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</si>
  <si>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</si>
  <si>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</si>
  <si>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</si>
  <si>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</si>
  <si>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</si>
  <si>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</si>
  <si>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</si>
  <si>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</si>
  <si>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</si>
  <si>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</si>
  <si>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</si>
  <si>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</si>
  <si>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</si>
  <si>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</si>
  <si>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</si>
  <si>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</si>
  <si>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</si>
  <si>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</si>
  <si>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</si>
  <si>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</si>
  <si>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</si>
  <si>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</si>
  <si>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</si>
  <si>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</si>
  <si>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</si>
  <si>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</si>
  <si>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</si>
  <si>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</si>
  <si>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</si>
  <si>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</si>
  <si>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</si>
  <si>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</si>
  <si>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</si>
  <si>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</si>
  <si>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</si>
  <si>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</si>
  <si>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</si>
  <si>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</si>
  <si>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</si>
  <si>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</si>
  <si>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</si>
  <si>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</si>
  <si>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</si>
  <si>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</si>
  <si>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</si>
  <si>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</si>
  <si>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</si>
  <si>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</si>
  <si>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</si>
  <si>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</si>
  <si>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</si>
  <si>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</si>
  <si>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</si>
  <si>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</si>
  <si>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</si>
  <si>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</si>
  <si>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</si>
  <si>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</si>
  <si>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</si>
  <si>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</si>
  <si>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</si>
  <si>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</si>
  <si>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</si>
  <si>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</si>
  <si>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</si>
  <si>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</si>
  <si>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</si>
  <si>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</si>
  <si>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</si>
  <si>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</si>
  <si>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</si>
  <si>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</si>
  <si>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</si>
  <si>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</si>
  <si>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</si>
  <si>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</si>
  <si>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</si>
  <si>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</si>
  <si>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</si>
  <si>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</si>
  <si>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</si>
  <si>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</si>
  <si>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</si>
  <si>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</si>
  <si>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</si>
  <si>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</si>
  <si>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</si>
  <si>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</si>
  <si>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</si>
  <si>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</si>
  <si>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</si>
  <si>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</si>
  <si>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</si>
  <si>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</si>
  <si>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</si>
  <si>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</si>
  <si>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</si>
  <si>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</si>
  <si>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</si>
  <si>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</si>
  <si>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</si>
  <si>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</si>
  <si>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</si>
  <si>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</si>
  <si>
    <t>WB_debug3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</si>
</sst>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  <xf numFmtId="11" fontId="0" fillId="0" borderId="10" xfId="0" applyNumberForma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236"/>
  <sheetViews>
    <sheetView tabSelected="1" zoomScale="79" zoomScaleNormal="100" workbookViewId="0">
      <pane xSplit="6" ySplit="1" topLeftCell="J106" activePane="bottomRight" state="frozen"/>
      <selection pane="topRight" activeCell="G1" sqref="G1"/>
      <selection pane="bottomLeft" activeCell="A2" sqref="A2"/>
      <selection pane="bottomRight" activeCell="P136" sqref="P136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3" width="21.5703125" style="1" customWidth="1"/>
  </cols>
  <sheetData>
    <row r="1" spans="1:53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/>
      <c r="N1" s="54" t="s">
        <v>604</v>
      </c>
      <c r="P1" s="54" t="s">
        <v>608</v>
      </c>
      <c r="R1" s="54" t="s">
        <v>596</v>
      </c>
      <c r="S1" s="54"/>
      <c r="T1" s="54" t="s">
        <v>570</v>
      </c>
      <c r="U1" s="54" t="s">
        <v>568</v>
      </c>
      <c r="V1" s="54" t="s">
        <v>569</v>
      </c>
      <c r="X1" s="1" t="s">
        <v>567</v>
      </c>
      <c r="Y1" s="36" t="s">
        <v>543</v>
      </c>
      <c r="Z1" s="36" t="s">
        <v>544</v>
      </c>
      <c r="AA1" s="36" t="s">
        <v>545</v>
      </c>
      <c r="AB1" s="36" t="s">
        <v>546</v>
      </c>
      <c r="AC1" s="36" t="s">
        <v>547</v>
      </c>
      <c r="AD1" s="36" t="s">
        <v>548</v>
      </c>
      <c r="AE1" s="36" t="s">
        <v>549</v>
      </c>
      <c r="AF1" s="36" t="s">
        <v>550</v>
      </c>
      <c r="AG1" s="36" t="s">
        <v>551</v>
      </c>
      <c r="AH1" s="36" t="s">
        <v>552</v>
      </c>
      <c r="AI1" s="36" t="s">
        <v>553</v>
      </c>
      <c r="AJ1"/>
      <c r="AK1" s="36" t="s">
        <v>554</v>
      </c>
      <c r="AL1" s="36" t="s">
        <v>555</v>
      </c>
      <c r="AM1" s="36" t="s">
        <v>556</v>
      </c>
      <c r="AN1" s="36" t="s">
        <v>557</v>
      </c>
      <c r="AO1" s="36" t="s">
        <v>558</v>
      </c>
      <c r="AP1" s="36" t="s">
        <v>559</v>
      </c>
      <c r="AQ1" s="36" t="s">
        <v>560</v>
      </c>
      <c r="AR1"/>
      <c r="AS1" s="36" t="s">
        <v>563</v>
      </c>
      <c r="AT1" s="36" t="s">
        <v>564</v>
      </c>
      <c r="AU1" s="36" t="s">
        <v>565</v>
      </c>
      <c r="AV1" s="36" t="s">
        <v>566</v>
      </c>
      <c r="AW1"/>
      <c r="AX1" s="36" t="s">
        <v>562</v>
      </c>
      <c r="AY1"/>
      <c r="AZ1"/>
      <c r="BA1" s="36" t="s">
        <v>542</v>
      </c>
    </row>
    <row r="2" spans="1:53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/>
      <c r="N2" s="44" t="s">
        <v>478</v>
      </c>
      <c r="P2" s="44" t="s">
        <v>478</v>
      </c>
      <c r="R2" s="44" t="s">
        <v>478</v>
      </c>
      <c r="S2" s="44"/>
      <c r="T2" s="44" t="s">
        <v>478</v>
      </c>
      <c r="U2" s="44" t="s">
        <v>478</v>
      </c>
      <c r="V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/>
      <c r="AK2" s="44" t="s">
        <v>478</v>
      </c>
      <c r="AL2" s="44" t="s">
        <v>478</v>
      </c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/>
      <c r="AS2" s="44" t="s">
        <v>478</v>
      </c>
      <c r="AT2" s="44" t="s">
        <v>478</v>
      </c>
      <c r="AU2" s="44" t="s">
        <v>478</v>
      </c>
      <c r="AV2" s="44" t="s">
        <v>478</v>
      </c>
      <c r="AW2"/>
      <c r="AX2" s="44" t="s">
        <v>478</v>
      </c>
      <c r="AY2"/>
      <c r="AZ2"/>
      <c r="BA2" s="44" t="s">
        <v>478</v>
      </c>
    </row>
    <row r="3" spans="1:53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/>
      <c r="N3" s="44" t="s">
        <v>593</v>
      </c>
      <c r="P3" s="44" t="s">
        <v>593</v>
      </c>
      <c r="R3" s="44" t="s">
        <v>476</v>
      </c>
      <c r="S3" s="44"/>
      <c r="T3" s="44" t="s">
        <v>476</v>
      </c>
      <c r="U3" s="44" t="s">
        <v>476</v>
      </c>
      <c r="V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/>
      <c r="AK3" s="44" t="s">
        <v>476</v>
      </c>
      <c r="AL3" s="44" t="s">
        <v>476</v>
      </c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/>
      <c r="AS3" s="44" t="s">
        <v>476</v>
      </c>
      <c r="AT3" s="44" t="s">
        <v>476</v>
      </c>
      <c r="AU3" s="44" t="s">
        <v>476</v>
      </c>
      <c r="AV3" s="44" t="s">
        <v>476</v>
      </c>
      <c r="AW3"/>
      <c r="AX3" s="44" t="s">
        <v>476</v>
      </c>
      <c r="AY3"/>
      <c r="AZ3"/>
      <c r="BA3" s="44" t="s">
        <v>476</v>
      </c>
    </row>
    <row r="4" spans="1:53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/>
      <c r="N4" s="44" t="s">
        <v>476</v>
      </c>
      <c r="P4" s="44" t="s">
        <v>476</v>
      </c>
      <c r="R4" s="44" t="s">
        <v>476</v>
      </c>
      <c r="S4" s="44"/>
      <c r="T4" s="44" t="s">
        <v>476</v>
      </c>
      <c r="U4" s="44" t="s">
        <v>476</v>
      </c>
      <c r="V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/>
      <c r="AK4" s="44" t="s">
        <v>476</v>
      </c>
      <c r="AL4" s="44" t="s">
        <v>476</v>
      </c>
      <c r="AM4" s="44" t="s">
        <v>476</v>
      </c>
      <c r="AN4" s="44" t="s">
        <v>476</v>
      </c>
      <c r="AO4" s="44" t="s">
        <v>476</v>
      </c>
      <c r="AP4" s="44" t="s">
        <v>476</v>
      </c>
      <c r="AQ4" s="44" t="s">
        <v>476</v>
      </c>
      <c r="AR4"/>
      <c r="AS4" s="44" t="s">
        <v>476</v>
      </c>
      <c r="AT4" s="44" t="s">
        <v>476</v>
      </c>
      <c r="AU4" s="44" t="s">
        <v>476</v>
      </c>
      <c r="AV4" s="44" t="s">
        <v>476</v>
      </c>
      <c r="AW4"/>
      <c r="AX4" s="44" t="s">
        <v>476</v>
      </c>
      <c r="AY4"/>
      <c r="AZ4"/>
      <c r="BA4" s="44" t="s">
        <v>476</v>
      </c>
    </row>
    <row r="5" spans="1:53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/>
      <c r="N5" s="44" t="s">
        <v>86</v>
      </c>
      <c r="P5" s="44" t="s">
        <v>86</v>
      </c>
      <c r="R5" s="44" t="s">
        <v>86</v>
      </c>
      <c r="S5" s="44"/>
      <c r="T5" s="44" t="s">
        <v>86</v>
      </c>
      <c r="U5" s="44" t="s">
        <v>86</v>
      </c>
      <c r="V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/>
      <c r="AK5" s="44" t="s">
        <v>86</v>
      </c>
      <c r="AL5" s="44" t="s">
        <v>86</v>
      </c>
      <c r="AM5" s="44" t="s">
        <v>86</v>
      </c>
      <c r="AN5" s="44" t="s">
        <v>86</v>
      </c>
      <c r="AO5" s="44" t="s">
        <v>86</v>
      </c>
      <c r="AP5" s="44" t="s">
        <v>86</v>
      </c>
      <c r="AQ5" s="44" t="s">
        <v>86</v>
      </c>
      <c r="AR5"/>
      <c r="AS5" s="44" t="s">
        <v>86</v>
      </c>
      <c r="AT5" s="44" t="s">
        <v>86</v>
      </c>
      <c r="AU5" s="44" t="s">
        <v>86</v>
      </c>
      <c r="AV5" s="44" t="s">
        <v>86</v>
      </c>
      <c r="AW5"/>
      <c r="AX5" s="44" t="s">
        <v>86</v>
      </c>
      <c r="AY5"/>
      <c r="AZ5"/>
      <c r="BA5" s="44" t="s">
        <v>86</v>
      </c>
    </row>
    <row r="6" spans="1:53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/>
      <c r="N6" s="44">
        <v>1</v>
      </c>
      <c r="P6" s="44">
        <v>1</v>
      </c>
      <c r="R6" s="44">
        <v>1</v>
      </c>
      <c r="S6" s="44"/>
      <c r="T6" s="44">
        <v>1</v>
      </c>
      <c r="U6" s="44">
        <v>1</v>
      </c>
      <c r="V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/>
      <c r="AK6" s="44">
        <v>1</v>
      </c>
      <c r="AL6" s="44">
        <v>1</v>
      </c>
      <c r="AM6" s="44">
        <v>1</v>
      </c>
      <c r="AN6" s="44">
        <v>1</v>
      </c>
      <c r="AO6" s="44">
        <v>1</v>
      </c>
      <c r="AP6" s="44">
        <v>1</v>
      </c>
      <c r="AQ6" s="44">
        <v>1</v>
      </c>
      <c r="AR6"/>
      <c r="AS6" s="44">
        <v>1</v>
      </c>
      <c r="AT6" s="44">
        <v>1</v>
      </c>
      <c r="AU6" s="44">
        <v>1</v>
      </c>
      <c r="AV6" s="44">
        <v>1</v>
      </c>
      <c r="AW6"/>
      <c r="AX6" s="44">
        <v>1</v>
      </c>
      <c r="AY6"/>
      <c r="AZ6"/>
      <c r="BA6" s="44">
        <v>1</v>
      </c>
    </row>
    <row r="7" spans="1:53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/>
      <c r="N7" s="44">
        <v>180</v>
      </c>
      <c r="P7" s="44">
        <v>180</v>
      </c>
      <c r="R7" s="44">
        <v>180</v>
      </c>
      <c r="S7" s="44"/>
      <c r="T7" s="44">
        <v>180</v>
      </c>
      <c r="U7" s="44">
        <v>180</v>
      </c>
      <c r="V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/>
      <c r="AK7" s="44">
        <v>180</v>
      </c>
      <c r="AL7" s="44">
        <v>180</v>
      </c>
      <c r="AM7" s="44">
        <v>180</v>
      </c>
      <c r="AN7" s="44">
        <v>180</v>
      </c>
      <c r="AO7" s="44">
        <v>180</v>
      </c>
      <c r="AP7" s="44">
        <v>180</v>
      </c>
      <c r="AQ7" s="44">
        <v>180</v>
      </c>
      <c r="AR7"/>
      <c r="AS7" s="44">
        <v>180</v>
      </c>
      <c r="AT7" s="44">
        <v>180</v>
      </c>
      <c r="AU7" s="44">
        <v>180</v>
      </c>
      <c r="AV7" s="44">
        <v>180</v>
      </c>
      <c r="AW7"/>
      <c r="AX7" s="44">
        <v>180</v>
      </c>
      <c r="AY7"/>
      <c r="AZ7"/>
      <c r="BA7" s="44">
        <v>180</v>
      </c>
    </row>
    <row r="8" spans="1:53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/>
      <c r="N8" s="44">
        <v>4.1666666999999998E-2</v>
      </c>
      <c r="P8" s="44">
        <v>4.1666666999999998E-2</v>
      </c>
      <c r="R8" s="44">
        <v>4.1666666999999998E-2</v>
      </c>
      <c r="S8" s="44"/>
      <c r="T8" s="44">
        <v>4.1666666999999998E-2</v>
      </c>
      <c r="U8" s="44">
        <v>4.1666666999999998E-2</v>
      </c>
      <c r="V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/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/>
      <c r="AS8" s="44">
        <v>4.1666666999999998E-2</v>
      </c>
      <c r="AT8" s="44">
        <v>4.1666666999999998E-2</v>
      </c>
      <c r="AU8" s="44">
        <v>4.1666666999999998E-2</v>
      </c>
      <c r="AV8" s="44">
        <v>4.1666666999999998E-2</v>
      </c>
      <c r="AW8"/>
      <c r="AX8" s="44">
        <v>4.1666666999999998E-2</v>
      </c>
      <c r="AY8"/>
      <c r="AZ8"/>
      <c r="BA8" s="44">
        <v>4.1666666999999998E-2</v>
      </c>
    </row>
    <row r="9" spans="1:53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/>
      <c r="N9" s="44">
        <v>4.1666666999999998E-2</v>
      </c>
      <c r="P9" s="44">
        <v>4.1666666999999998E-2</v>
      </c>
      <c r="R9" s="44">
        <v>4.1666666999999998E-2</v>
      </c>
      <c r="S9" s="44"/>
      <c r="T9" s="44">
        <v>4.1666666999999998E-2</v>
      </c>
      <c r="U9" s="44">
        <v>4.1666666999999998E-2</v>
      </c>
      <c r="V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/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 s="44">
        <v>4.1666666999999998E-2</v>
      </c>
      <c r="AP9" s="44">
        <v>4.1666666999999998E-2</v>
      </c>
      <c r="AQ9" s="44">
        <v>4.1666666999999998E-2</v>
      </c>
      <c r="AR9"/>
      <c r="AS9" s="44">
        <v>4.1666666999999998E-2</v>
      </c>
      <c r="AT9" s="44">
        <v>4.1666666999999998E-2</v>
      </c>
      <c r="AU9" s="44">
        <v>4.1666666999999998E-2</v>
      </c>
      <c r="AV9" s="44">
        <v>4.1666666999999998E-2</v>
      </c>
      <c r="AW9"/>
      <c r="AX9" s="44">
        <v>4.1666666999999998E-2</v>
      </c>
      <c r="AY9"/>
      <c r="AZ9"/>
      <c r="BA9" s="44">
        <v>4.1666666999999998E-2</v>
      </c>
    </row>
    <row r="10" spans="1:53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/>
      <c r="N10" s="44">
        <v>1</v>
      </c>
      <c r="P10" s="44">
        <v>1</v>
      </c>
      <c r="R10" s="44">
        <v>1</v>
      </c>
      <c r="S10" s="44"/>
      <c r="T10" s="44">
        <v>1</v>
      </c>
      <c r="U10" s="44">
        <v>1</v>
      </c>
      <c r="V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/>
      <c r="AK10" s="44">
        <v>1</v>
      </c>
      <c r="AL10" s="44">
        <v>1</v>
      </c>
      <c r="AM10" s="44">
        <v>1</v>
      </c>
      <c r="AN10" s="44">
        <v>1</v>
      </c>
      <c r="AO10" s="44">
        <v>1</v>
      </c>
      <c r="AP10" s="44">
        <v>1</v>
      </c>
      <c r="AQ10" s="44">
        <v>1</v>
      </c>
      <c r="AR10"/>
      <c r="AS10" s="44">
        <v>1</v>
      </c>
      <c r="AT10" s="44">
        <v>1</v>
      </c>
      <c r="AU10" s="44">
        <v>1</v>
      </c>
      <c r="AV10" s="44">
        <v>1</v>
      </c>
      <c r="AW10"/>
      <c r="AX10" s="44">
        <v>1</v>
      </c>
      <c r="AY10"/>
      <c r="AZ10"/>
      <c r="BA10" s="44">
        <v>1</v>
      </c>
    </row>
    <row r="11" spans="1:53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/>
      <c r="N11" s="44">
        <v>0</v>
      </c>
      <c r="P11" s="44">
        <v>0</v>
      </c>
      <c r="R11" s="44">
        <v>0</v>
      </c>
      <c r="S11" s="44"/>
      <c r="T11" s="44">
        <v>0</v>
      </c>
      <c r="U11" s="44">
        <v>0</v>
      </c>
      <c r="V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/>
      <c r="AK11" s="44">
        <v>0</v>
      </c>
      <c r="AL11" s="44">
        <v>0</v>
      </c>
      <c r="AM11" s="44">
        <v>0</v>
      </c>
      <c r="AN11" s="44">
        <v>0</v>
      </c>
      <c r="AO11" s="44">
        <v>0</v>
      </c>
      <c r="AP11" s="44">
        <v>0</v>
      </c>
      <c r="AQ11" s="44">
        <v>0</v>
      </c>
      <c r="AR11"/>
      <c r="AS11" s="44">
        <v>0</v>
      </c>
      <c r="AT11" s="44">
        <v>0</v>
      </c>
      <c r="AU11" s="44">
        <v>0</v>
      </c>
      <c r="AV11" s="44">
        <v>0</v>
      </c>
      <c r="AW11"/>
      <c r="AX11" s="44">
        <v>0</v>
      </c>
      <c r="AY11"/>
      <c r="AZ11"/>
      <c r="BA11" s="44">
        <v>0</v>
      </c>
    </row>
    <row r="12" spans="1:53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/>
      <c r="N12" s="44" t="s">
        <v>87</v>
      </c>
      <c r="P12" s="44" t="s">
        <v>87</v>
      </c>
      <c r="R12" s="44" t="s">
        <v>87</v>
      </c>
      <c r="S12" s="44"/>
      <c r="T12" s="44" t="s">
        <v>87</v>
      </c>
      <c r="U12" s="44" t="s">
        <v>87</v>
      </c>
      <c r="V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/>
      <c r="AK12" s="44" t="s">
        <v>87</v>
      </c>
      <c r="AL12" s="44" t="s">
        <v>87</v>
      </c>
      <c r="AM12" s="44" t="s">
        <v>87</v>
      </c>
      <c r="AN12" s="44" t="s">
        <v>87</v>
      </c>
      <c r="AO12" s="44" t="s">
        <v>87</v>
      </c>
      <c r="AP12" s="44" t="s">
        <v>87</v>
      </c>
      <c r="AQ12" s="44" t="s">
        <v>87</v>
      </c>
      <c r="AR12"/>
      <c r="AS12" s="44" t="s">
        <v>87</v>
      </c>
      <c r="AT12" s="44" t="s">
        <v>87</v>
      </c>
      <c r="AU12" s="44" t="s">
        <v>87</v>
      </c>
      <c r="AV12" s="44" t="s">
        <v>87</v>
      </c>
      <c r="AW12"/>
      <c r="AX12" s="44" t="s">
        <v>87</v>
      </c>
      <c r="AY12"/>
      <c r="AZ12"/>
      <c r="BA12" s="44" t="s">
        <v>87</v>
      </c>
    </row>
    <row r="13" spans="1:53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/>
      <c r="N13" s="44">
        <v>5.0000000000000001E-9</v>
      </c>
      <c r="P13" s="44">
        <v>5.0000000000000001E-9</v>
      </c>
      <c r="R13" s="44">
        <v>5.0000000000000001E-9</v>
      </c>
      <c r="S13" s="44"/>
      <c r="T13" s="44">
        <v>5.0000000000000001E-9</v>
      </c>
      <c r="U13" s="44">
        <v>5.0000000000000001E-9</v>
      </c>
      <c r="V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/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 s="44">
        <v>5.0000000000000001E-9</v>
      </c>
      <c r="AP13" s="44">
        <v>5.0000000000000001E-9</v>
      </c>
      <c r="AQ13" s="44">
        <v>5.0000000000000001E-9</v>
      </c>
      <c r="AR13"/>
      <c r="AS13" s="44">
        <v>5.0000000000000001E-9</v>
      </c>
      <c r="AT13" s="44">
        <v>5.0000000000000001E-9</v>
      </c>
      <c r="AU13" s="44">
        <v>5.0000000000000001E-9</v>
      </c>
      <c r="AV13" s="44">
        <v>5.0000000000000001E-9</v>
      </c>
      <c r="AW13"/>
      <c r="AX13" s="44">
        <v>5.0000000000000001E-9</v>
      </c>
      <c r="AY13"/>
      <c r="AZ13"/>
      <c r="BA13" s="44">
        <v>5.0000000000000001E-9</v>
      </c>
    </row>
    <row r="14" spans="1:53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/>
      <c r="N14" s="44">
        <v>10</v>
      </c>
      <c r="P14" s="44">
        <v>10</v>
      </c>
      <c r="R14" s="44">
        <v>10</v>
      </c>
      <c r="S14" s="44"/>
      <c r="T14" s="44">
        <v>10</v>
      </c>
      <c r="U14" s="44">
        <v>10</v>
      </c>
      <c r="V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/>
      <c r="AK14" s="44">
        <v>10</v>
      </c>
      <c r="AL14" s="44">
        <v>10</v>
      </c>
      <c r="AM14" s="44">
        <v>10</v>
      </c>
      <c r="AN14" s="44">
        <v>10</v>
      </c>
      <c r="AO14" s="44">
        <v>10</v>
      </c>
      <c r="AP14" s="44">
        <v>10</v>
      </c>
      <c r="AQ14" s="44">
        <v>10</v>
      </c>
      <c r="AR14"/>
      <c r="AS14" s="44">
        <v>10</v>
      </c>
      <c r="AT14" s="44">
        <v>10</v>
      </c>
      <c r="AU14" s="44">
        <v>10</v>
      </c>
      <c r="AV14" s="44">
        <v>10</v>
      </c>
      <c r="AW14"/>
      <c r="AX14" s="44">
        <v>10</v>
      </c>
      <c r="AY14"/>
      <c r="AZ14"/>
      <c r="BA14" s="44">
        <v>10</v>
      </c>
    </row>
    <row r="15" spans="1:53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/>
      <c r="N15" s="44" t="s">
        <v>87</v>
      </c>
      <c r="P15" s="44" t="s">
        <v>87</v>
      </c>
      <c r="R15" s="44" t="s">
        <v>87</v>
      </c>
      <c r="S15" s="44"/>
      <c r="T15" s="44" t="s">
        <v>87</v>
      </c>
      <c r="U15" s="44" t="s">
        <v>87</v>
      </c>
      <c r="V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/>
      <c r="AK15" s="44" t="s">
        <v>87</v>
      </c>
      <c r="AL15" s="44" t="s">
        <v>87</v>
      </c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/>
      <c r="AS15" s="44" t="s">
        <v>87</v>
      </c>
      <c r="AT15" s="44" t="s">
        <v>87</v>
      </c>
      <c r="AU15" s="44" t="s">
        <v>87</v>
      </c>
      <c r="AV15" s="44" t="s">
        <v>87</v>
      </c>
      <c r="AW15"/>
      <c r="AX15" s="44" t="s">
        <v>87</v>
      </c>
      <c r="AY15"/>
      <c r="AZ15"/>
      <c r="BA15" s="44" t="s">
        <v>87</v>
      </c>
    </row>
    <row r="16" spans="1:53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/>
      <c r="N16" s="44" t="s">
        <v>87</v>
      </c>
      <c r="P16" s="44" t="s">
        <v>87</v>
      </c>
      <c r="R16" s="44" t="s">
        <v>87</v>
      </c>
      <c r="S16" s="44"/>
      <c r="T16" s="44" t="s">
        <v>87</v>
      </c>
      <c r="U16" s="44" t="s">
        <v>87</v>
      </c>
      <c r="V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/>
      <c r="AK16" s="44" t="s">
        <v>87</v>
      </c>
      <c r="AL16" s="44" t="s">
        <v>87</v>
      </c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/>
      <c r="AS16" s="44" t="s">
        <v>87</v>
      </c>
      <c r="AT16" s="44" t="s">
        <v>87</v>
      </c>
      <c r="AU16" s="44" t="s">
        <v>87</v>
      </c>
      <c r="AV16" s="44" t="s">
        <v>87</v>
      </c>
      <c r="AW16"/>
      <c r="AX16" s="44" t="s">
        <v>87</v>
      </c>
      <c r="AY16"/>
      <c r="AZ16"/>
      <c r="BA16" s="44" t="s">
        <v>87</v>
      </c>
    </row>
    <row r="17" spans="1:53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/>
      <c r="N17" s="44" t="s">
        <v>87</v>
      </c>
      <c r="P17" s="44" t="s">
        <v>87</v>
      </c>
      <c r="R17" s="44" t="s">
        <v>87</v>
      </c>
      <c r="S17" s="44"/>
      <c r="T17" s="44" t="s">
        <v>87</v>
      </c>
      <c r="U17" s="44" t="s">
        <v>87</v>
      </c>
      <c r="V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/>
      <c r="AK17" s="44" t="s">
        <v>87</v>
      </c>
      <c r="AL17" s="44" t="s">
        <v>87</v>
      </c>
      <c r="AM17" s="44" t="s">
        <v>87</v>
      </c>
      <c r="AN17" s="44" t="s">
        <v>87</v>
      </c>
      <c r="AO17" s="44" t="s">
        <v>87</v>
      </c>
      <c r="AP17" s="44" t="s">
        <v>87</v>
      </c>
      <c r="AQ17" s="44" t="s">
        <v>87</v>
      </c>
      <c r="AR17"/>
      <c r="AS17" s="44" t="s">
        <v>87</v>
      </c>
      <c r="AT17" s="44" t="s">
        <v>87</v>
      </c>
      <c r="AU17" s="44" t="s">
        <v>87</v>
      </c>
      <c r="AV17" s="44" t="s">
        <v>87</v>
      </c>
      <c r="AW17"/>
      <c r="AX17" s="44" t="s">
        <v>87</v>
      </c>
      <c r="AY17"/>
      <c r="AZ17"/>
      <c r="BA17" s="44" t="s">
        <v>87</v>
      </c>
    </row>
    <row r="18" spans="1:53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/>
      <c r="N18" s="44">
        <v>86400</v>
      </c>
      <c r="P18" s="44">
        <v>86400</v>
      </c>
      <c r="R18" s="44">
        <v>86400</v>
      </c>
      <c r="S18" s="44"/>
      <c r="T18" s="44">
        <v>86400</v>
      </c>
      <c r="U18" s="44">
        <v>86400</v>
      </c>
      <c r="V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/>
      <c r="AK18" s="44">
        <v>86400</v>
      </c>
      <c r="AL18" s="44">
        <v>86400</v>
      </c>
      <c r="AM18" s="44">
        <v>86400</v>
      </c>
      <c r="AN18" s="44">
        <v>86400</v>
      </c>
      <c r="AO18" s="44">
        <v>86400</v>
      </c>
      <c r="AP18" s="44">
        <v>86400</v>
      </c>
      <c r="AQ18" s="44">
        <v>86400</v>
      </c>
      <c r="AR18"/>
      <c r="AS18" s="44">
        <v>86400</v>
      </c>
      <c r="AT18" s="44">
        <v>86400</v>
      </c>
      <c r="AU18" s="44">
        <v>86400</v>
      </c>
      <c r="AV18" s="44">
        <v>86400</v>
      </c>
      <c r="AW18"/>
      <c r="AX18" s="44">
        <v>86400</v>
      </c>
      <c r="AY18"/>
      <c r="AZ18"/>
      <c r="BA18" s="44">
        <v>86400</v>
      </c>
    </row>
    <row r="19" spans="1:53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/>
      <c r="N19" s="44" t="s">
        <v>86</v>
      </c>
      <c r="P19" s="44" t="s">
        <v>86</v>
      </c>
      <c r="R19" s="44" t="s">
        <v>86</v>
      </c>
      <c r="S19" s="44"/>
      <c r="T19" s="44" t="s">
        <v>86</v>
      </c>
      <c r="U19" s="44" t="s">
        <v>86</v>
      </c>
      <c r="V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/>
      <c r="AK19" s="44" t="s">
        <v>86</v>
      </c>
      <c r="AL19" s="44" t="s">
        <v>86</v>
      </c>
      <c r="AM19" s="44" t="s">
        <v>86</v>
      </c>
      <c r="AN19" s="44" t="s">
        <v>86</v>
      </c>
      <c r="AO19" s="44" t="s">
        <v>86</v>
      </c>
      <c r="AP19" s="44" t="s">
        <v>86</v>
      </c>
      <c r="AQ19" s="44" t="s">
        <v>86</v>
      </c>
      <c r="AR19"/>
      <c r="AS19" s="44" t="s">
        <v>86</v>
      </c>
      <c r="AT19" s="44" t="s">
        <v>86</v>
      </c>
      <c r="AU19" s="44" t="s">
        <v>86</v>
      </c>
      <c r="AV19" s="44" t="s">
        <v>86</v>
      </c>
      <c r="AW19"/>
      <c r="AX19" s="44" t="s">
        <v>86</v>
      </c>
      <c r="AY19"/>
      <c r="AZ19"/>
      <c r="BA19" s="44" t="s">
        <v>86</v>
      </c>
    </row>
    <row r="20" spans="1:53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/>
      <c r="N20" s="44">
        <v>3</v>
      </c>
      <c r="P20" s="44">
        <v>3</v>
      </c>
      <c r="R20" s="44">
        <v>3</v>
      </c>
      <c r="S20" s="44"/>
      <c r="T20" s="44">
        <v>3</v>
      </c>
      <c r="U20" s="44">
        <v>3</v>
      </c>
      <c r="V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/>
      <c r="AK20" s="44">
        <v>3</v>
      </c>
      <c r="AL20" s="44">
        <v>3</v>
      </c>
      <c r="AM20" s="44">
        <v>3</v>
      </c>
      <c r="AN20" s="44">
        <v>3</v>
      </c>
      <c r="AO20" s="44">
        <v>3</v>
      </c>
      <c r="AP20" s="44">
        <v>3</v>
      </c>
      <c r="AQ20" s="44">
        <v>3</v>
      </c>
      <c r="AR20"/>
      <c r="AS20" s="44">
        <v>3</v>
      </c>
      <c r="AT20" s="44">
        <v>3</v>
      </c>
      <c r="AU20" s="44">
        <v>3</v>
      </c>
      <c r="AV20" s="44">
        <v>3</v>
      </c>
      <c r="AW20"/>
      <c r="AX20" s="44">
        <v>3</v>
      </c>
      <c r="AY20"/>
      <c r="AZ20"/>
      <c r="BA20" s="44">
        <v>3</v>
      </c>
    </row>
    <row r="21" spans="1:53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/>
      <c r="N21" s="44" t="s">
        <v>87</v>
      </c>
      <c r="P21" s="44" t="s">
        <v>87</v>
      </c>
      <c r="R21" s="44" t="s">
        <v>87</v>
      </c>
      <c r="S21" s="44"/>
      <c r="T21" s="44" t="s">
        <v>87</v>
      </c>
      <c r="U21" s="44" t="s">
        <v>87</v>
      </c>
      <c r="V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/>
      <c r="AK21" s="44" t="s">
        <v>87</v>
      </c>
      <c r="AL21" s="44" t="s">
        <v>87</v>
      </c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/>
      <c r="AS21" s="44" t="s">
        <v>87</v>
      </c>
      <c r="AT21" s="44" t="s">
        <v>87</v>
      </c>
      <c r="AU21" s="44" t="s">
        <v>87</v>
      </c>
      <c r="AV21" s="44" t="s">
        <v>87</v>
      </c>
      <c r="AW21"/>
      <c r="AX21" s="44" t="s">
        <v>87</v>
      </c>
      <c r="AY21"/>
      <c r="AZ21"/>
      <c r="BA21" s="44" t="s">
        <v>87</v>
      </c>
    </row>
    <row r="22" spans="1:53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/>
      <c r="N22" s="44" t="s">
        <v>87</v>
      </c>
      <c r="P22" s="44" t="s">
        <v>87</v>
      </c>
      <c r="R22" s="44" t="s">
        <v>87</v>
      </c>
      <c r="S22" s="44"/>
      <c r="T22" s="44" t="s">
        <v>87</v>
      </c>
      <c r="U22" s="44" t="s">
        <v>87</v>
      </c>
      <c r="V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/>
      <c r="AK22" s="44" t="s">
        <v>87</v>
      </c>
      <c r="AL22" s="44" t="s">
        <v>87</v>
      </c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/>
      <c r="AS22" s="44" t="s">
        <v>87</v>
      </c>
      <c r="AT22" s="44" t="s">
        <v>87</v>
      </c>
      <c r="AU22" s="44" t="s">
        <v>87</v>
      </c>
      <c r="AV22" s="44" t="s">
        <v>87</v>
      </c>
      <c r="AW22"/>
      <c r="AX22" s="44" t="s">
        <v>87</v>
      </c>
      <c r="AY22"/>
      <c r="AZ22"/>
      <c r="BA22" s="44" t="s">
        <v>87</v>
      </c>
    </row>
    <row r="23" spans="1:53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/>
      <c r="N23" s="44" t="s">
        <v>87</v>
      </c>
      <c r="P23" s="44" t="s">
        <v>87</v>
      </c>
      <c r="R23" s="44" t="s">
        <v>87</v>
      </c>
      <c r="S23" s="44"/>
      <c r="T23" s="44" t="s">
        <v>87</v>
      </c>
      <c r="U23" s="44" t="s">
        <v>87</v>
      </c>
      <c r="V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/>
      <c r="AK23" s="44" t="s">
        <v>87</v>
      </c>
      <c r="AL23" s="44" t="s">
        <v>87</v>
      </c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/>
      <c r="AS23" s="44" t="s">
        <v>87</v>
      </c>
      <c r="AT23" s="44" t="s">
        <v>87</v>
      </c>
      <c r="AU23" s="44" t="s">
        <v>87</v>
      </c>
      <c r="AV23" s="44" t="s">
        <v>87</v>
      </c>
      <c r="AW23"/>
      <c r="AX23" s="44" t="s">
        <v>87</v>
      </c>
      <c r="AY23"/>
      <c r="AZ23"/>
      <c r="BA23" s="44" t="s">
        <v>87</v>
      </c>
    </row>
    <row r="24" spans="1:53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/>
      <c r="N24" s="44" t="s">
        <v>87</v>
      </c>
      <c r="P24" s="44" t="s">
        <v>87</v>
      </c>
      <c r="R24" s="44" t="s">
        <v>87</v>
      </c>
      <c r="S24" s="44"/>
      <c r="T24" s="44" t="s">
        <v>87</v>
      </c>
      <c r="U24" s="44" t="s">
        <v>87</v>
      </c>
      <c r="V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/>
      <c r="AK24" s="44" t="s">
        <v>87</v>
      </c>
      <c r="AL24" s="44" t="s">
        <v>87</v>
      </c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/>
      <c r="AS24" s="44" t="s">
        <v>87</v>
      </c>
      <c r="AT24" s="44" t="s">
        <v>87</v>
      </c>
      <c r="AU24" s="44" t="s">
        <v>87</v>
      </c>
      <c r="AV24" s="44" t="s">
        <v>87</v>
      </c>
      <c r="AW24"/>
      <c r="AX24" s="44" t="s">
        <v>87</v>
      </c>
      <c r="AY24"/>
      <c r="AZ24"/>
      <c r="BA24" s="44" t="s">
        <v>87</v>
      </c>
    </row>
    <row r="25" spans="1:53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/>
      <c r="N25" s="44" t="s">
        <v>87</v>
      </c>
      <c r="P25" s="44" t="s">
        <v>87</v>
      </c>
      <c r="R25" s="44" t="s">
        <v>87</v>
      </c>
      <c r="S25" s="44"/>
      <c r="T25" s="44" t="s">
        <v>87</v>
      </c>
      <c r="U25" s="44" t="s">
        <v>87</v>
      </c>
      <c r="V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/>
      <c r="AK25" s="44" t="s">
        <v>87</v>
      </c>
      <c r="AL25" s="44" t="s">
        <v>87</v>
      </c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/>
      <c r="AS25" s="44" t="s">
        <v>87</v>
      </c>
      <c r="AT25" s="44" t="s">
        <v>87</v>
      </c>
      <c r="AU25" s="44" t="s">
        <v>87</v>
      </c>
      <c r="AV25" s="44" t="s">
        <v>87</v>
      </c>
      <c r="AW25"/>
      <c r="AX25" s="44" t="s">
        <v>87</v>
      </c>
      <c r="AY25"/>
      <c r="AZ25"/>
      <c r="BA25" s="44" t="s">
        <v>87</v>
      </c>
    </row>
    <row r="26" spans="1:53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/>
      <c r="N26" s="44" t="s">
        <v>87</v>
      </c>
      <c r="P26" s="44" t="s">
        <v>87</v>
      </c>
      <c r="R26" s="44" t="s">
        <v>87</v>
      </c>
      <c r="S26" s="44"/>
      <c r="T26" s="44" t="s">
        <v>87</v>
      </c>
      <c r="U26" s="44" t="s">
        <v>87</v>
      </c>
      <c r="V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/>
      <c r="AK26" s="44" t="s">
        <v>87</v>
      </c>
      <c r="AL26" s="44" t="s">
        <v>87</v>
      </c>
      <c r="AM26" s="44" t="s">
        <v>87</v>
      </c>
      <c r="AN26" s="44" t="s">
        <v>87</v>
      </c>
      <c r="AO26" s="44" t="s">
        <v>87</v>
      </c>
      <c r="AP26" s="44" t="s">
        <v>87</v>
      </c>
      <c r="AQ26" s="44" t="s">
        <v>87</v>
      </c>
      <c r="AR26"/>
      <c r="AS26" s="44" t="s">
        <v>87</v>
      </c>
      <c r="AT26" s="44" t="s">
        <v>87</v>
      </c>
      <c r="AU26" s="44" t="s">
        <v>87</v>
      </c>
      <c r="AV26" s="44" t="s">
        <v>87</v>
      </c>
      <c r="AW26"/>
      <c r="AX26" s="44" t="s">
        <v>87</v>
      </c>
      <c r="AY26"/>
      <c r="AZ26"/>
      <c r="BA26" s="44" t="s">
        <v>87</v>
      </c>
    </row>
    <row r="27" spans="1:53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/>
      <c r="N27" s="44">
        <v>0.33</v>
      </c>
      <c r="P27" s="44">
        <v>0.33</v>
      </c>
      <c r="R27" s="44">
        <v>0.33</v>
      </c>
      <c r="S27" s="44"/>
      <c r="T27" s="44">
        <v>0.33</v>
      </c>
      <c r="U27" s="44">
        <v>0.33</v>
      </c>
      <c r="V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/>
      <c r="AK27" s="44">
        <v>0.33</v>
      </c>
      <c r="AL27" s="44">
        <v>0.33</v>
      </c>
      <c r="AM27" s="44">
        <v>0.33</v>
      </c>
      <c r="AN27" s="44">
        <v>0.33</v>
      </c>
      <c r="AO27" s="44">
        <v>0.33</v>
      </c>
      <c r="AP27" s="44">
        <v>0.33</v>
      </c>
      <c r="AQ27" s="44">
        <v>0.33</v>
      </c>
      <c r="AR27"/>
      <c r="AS27" s="44">
        <v>0.33</v>
      </c>
      <c r="AT27" s="44">
        <v>0.33</v>
      </c>
      <c r="AU27" s="44">
        <v>0.33</v>
      </c>
      <c r="AV27" s="44">
        <v>0.33</v>
      </c>
      <c r="AW27"/>
      <c r="AX27" s="44">
        <v>0.33</v>
      </c>
      <c r="AY27"/>
      <c r="AZ27"/>
      <c r="BA27" s="44">
        <v>0.33</v>
      </c>
    </row>
    <row r="28" spans="1:53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/>
      <c r="N28" s="44" t="s">
        <v>87</v>
      </c>
      <c r="P28" s="44" t="s">
        <v>87</v>
      </c>
      <c r="R28" s="44" t="s">
        <v>87</v>
      </c>
      <c r="S28" s="44"/>
      <c r="T28" s="44" t="s">
        <v>87</v>
      </c>
      <c r="U28" s="44" t="s">
        <v>87</v>
      </c>
      <c r="V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/>
      <c r="AK28" s="44" t="s">
        <v>87</v>
      </c>
      <c r="AL28" s="44" t="s">
        <v>87</v>
      </c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/>
      <c r="AS28" s="44" t="s">
        <v>87</v>
      </c>
      <c r="AT28" s="44" t="s">
        <v>87</v>
      </c>
      <c r="AU28" s="44" t="s">
        <v>87</v>
      </c>
      <c r="AV28" s="44" t="s">
        <v>87</v>
      </c>
      <c r="AW28"/>
      <c r="AX28" s="44" t="s">
        <v>87</v>
      </c>
      <c r="AY28"/>
      <c r="AZ28"/>
      <c r="BA28" s="44" t="s">
        <v>87</v>
      </c>
    </row>
    <row r="29" spans="1:53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/>
      <c r="N29" s="44" t="s">
        <v>87</v>
      </c>
      <c r="P29" s="44" t="s">
        <v>87</v>
      </c>
      <c r="R29" s="44" t="s">
        <v>87</v>
      </c>
      <c r="S29" s="44"/>
      <c r="T29" s="44" t="s">
        <v>87</v>
      </c>
      <c r="U29" s="44" t="s">
        <v>87</v>
      </c>
      <c r="V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/>
      <c r="AK29" s="44" t="s">
        <v>87</v>
      </c>
      <c r="AL29" s="44" t="s">
        <v>87</v>
      </c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/>
      <c r="AS29" s="44" t="s">
        <v>87</v>
      </c>
      <c r="AT29" s="44" t="s">
        <v>87</v>
      </c>
      <c r="AU29" s="44" t="s">
        <v>87</v>
      </c>
      <c r="AV29" s="44" t="s">
        <v>87</v>
      </c>
      <c r="AW29"/>
      <c r="AX29" s="44" t="s">
        <v>87</v>
      </c>
      <c r="AY29"/>
      <c r="AZ29"/>
      <c r="BA29" s="44" t="s">
        <v>87</v>
      </c>
    </row>
    <row r="30" spans="1:53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/>
      <c r="N30" s="44" t="s">
        <v>87</v>
      </c>
      <c r="P30" s="44" t="s">
        <v>87</v>
      </c>
      <c r="R30" s="44" t="s">
        <v>87</v>
      </c>
      <c r="S30" s="44"/>
      <c r="T30" s="44" t="s">
        <v>87</v>
      </c>
      <c r="U30" s="44" t="s">
        <v>87</v>
      </c>
      <c r="V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/>
      <c r="AK30" s="44" t="s">
        <v>87</v>
      </c>
      <c r="AL30" s="44" t="s">
        <v>87</v>
      </c>
      <c r="AM30" s="44" t="s">
        <v>87</v>
      </c>
      <c r="AN30" s="44" t="s">
        <v>87</v>
      </c>
      <c r="AO30" s="44" t="s">
        <v>87</v>
      </c>
      <c r="AP30" s="44" t="s">
        <v>87</v>
      </c>
      <c r="AQ30" s="44" t="s">
        <v>87</v>
      </c>
      <c r="AR30"/>
      <c r="AS30" s="44" t="s">
        <v>87</v>
      </c>
      <c r="AT30" s="44" t="s">
        <v>87</v>
      </c>
      <c r="AU30" s="44" t="s">
        <v>87</v>
      </c>
      <c r="AV30" s="44" t="s">
        <v>87</v>
      </c>
      <c r="AW30"/>
      <c r="AX30" s="44" t="s">
        <v>87</v>
      </c>
      <c r="AY30"/>
      <c r="AZ30"/>
      <c r="BA30" s="44" t="s">
        <v>87</v>
      </c>
    </row>
    <row r="31" spans="1:53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/>
      <c r="N31" s="44" t="s">
        <v>86</v>
      </c>
      <c r="P31" s="44" t="s">
        <v>86</v>
      </c>
      <c r="R31" s="44" t="s">
        <v>86</v>
      </c>
      <c r="S31" s="44"/>
      <c r="T31" s="44" t="s">
        <v>86</v>
      </c>
      <c r="U31" s="44" t="s">
        <v>86</v>
      </c>
      <c r="V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/>
      <c r="AK31" s="44" t="s">
        <v>86</v>
      </c>
      <c r="AL31" s="44" t="s">
        <v>86</v>
      </c>
      <c r="AM31" s="44" t="s">
        <v>86</v>
      </c>
      <c r="AN31" s="44" t="s">
        <v>86</v>
      </c>
      <c r="AO31" s="44" t="s">
        <v>86</v>
      </c>
      <c r="AP31" s="44" t="s">
        <v>86</v>
      </c>
      <c r="AQ31" s="44" t="s">
        <v>86</v>
      </c>
      <c r="AR31"/>
      <c r="AS31" s="44" t="s">
        <v>86</v>
      </c>
      <c r="AT31" s="44" t="s">
        <v>86</v>
      </c>
      <c r="AU31" s="44" t="s">
        <v>86</v>
      </c>
      <c r="AV31" s="44" t="s">
        <v>86</v>
      </c>
      <c r="AW31"/>
      <c r="AX31" s="44" t="s">
        <v>86</v>
      </c>
      <c r="AY31"/>
      <c r="AZ31"/>
      <c r="BA31" s="44" t="s">
        <v>86</v>
      </c>
    </row>
    <row r="32" spans="1:53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/>
      <c r="N32" s="45" t="s">
        <v>436</v>
      </c>
      <c r="P32" s="45" t="s">
        <v>436</v>
      </c>
      <c r="R32" s="45" t="s">
        <v>436</v>
      </c>
      <c r="S32" s="45"/>
      <c r="T32" s="45" t="s">
        <v>436</v>
      </c>
      <c r="U32" s="45" t="s">
        <v>436</v>
      </c>
      <c r="V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/>
      <c r="AK32" s="45" t="s">
        <v>436</v>
      </c>
      <c r="AL32" s="45" t="s">
        <v>436</v>
      </c>
      <c r="AM32" s="45" t="s">
        <v>436</v>
      </c>
      <c r="AN32" s="45" t="s">
        <v>436</v>
      </c>
      <c r="AO32" s="45" t="s">
        <v>436</v>
      </c>
      <c r="AP32" s="45" t="s">
        <v>436</v>
      </c>
      <c r="AQ32" s="45" t="s">
        <v>436</v>
      </c>
      <c r="AR32"/>
      <c r="AS32" s="45" t="s">
        <v>436</v>
      </c>
      <c r="AT32" s="45" t="s">
        <v>436</v>
      </c>
      <c r="AU32" s="45" t="s">
        <v>436</v>
      </c>
      <c r="AV32" s="45" t="s">
        <v>436</v>
      </c>
      <c r="AW32"/>
      <c r="AX32" s="45" t="s">
        <v>436</v>
      </c>
      <c r="AY32"/>
      <c r="AZ32"/>
      <c r="BA32" s="45" t="s">
        <v>436</v>
      </c>
    </row>
    <row r="33" spans="1:53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/>
      <c r="N33" s="44">
        <v>9.9999999999999995E-7</v>
      </c>
      <c r="P33" s="44">
        <v>9.9999999999999995E-7</v>
      </c>
      <c r="R33" s="44">
        <v>9.9999999999999995E-7</v>
      </c>
      <c r="S33" s="44"/>
      <c r="T33" s="44">
        <v>9.9999999999999995E-7</v>
      </c>
      <c r="U33" s="44">
        <v>9.9999999999999995E-7</v>
      </c>
      <c r="V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/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 s="44">
        <v>9.9999999999999995E-7</v>
      </c>
      <c r="AP33" s="44">
        <v>9.9999999999999995E-7</v>
      </c>
      <c r="AQ33" s="44">
        <v>9.9999999999999995E-7</v>
      </c>
      <c r="AR33"/>
      <c r="AS33" s="44">
        <v>9.9999999999999995E-7</v>
      </c>
      <c r="AT33" s="44">
        <v>9.9999999999999995E-7</v>
      </c>
      <c r="AU33" s="44">
        <v>9.9999999999999995E-7</v>
      </c>
      <c r="AV33" s="44">
        <v>9.9999999999999995E-7</v>
      </c>
      <c r="AW33"/>
      <c r="AX33" s="44">
        <v>9.9999999999999995E-7</v>
      </c>
      <c r="AY33"/>
      <c r="AZ33"/>
      <c r="BA33" s="44">
        <v>9.9999999999999995E-7</v>
      </c>
    </row>
    <row r="34" spans="1:53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/>
      <c r="N34" s="44">
        <v>1E-3</v>
      </c>
      <c r="P34" s="44">
        <v>1E-3</v>
      </c>
      <c r="R34" s="44">
        <v>1E-3</v>
      </c>
      <c r="S34" s="44"/>
      <c r="T34" s="44">
        <v>1E-3</v>
      </c>
      <c r="U34" s="44">
        <v>1E-3</v>
      </c>
      <c r="V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/>
      <c r="AK34" s="44">
        <v>1E-3</v>
      </c>
      <c r="AL34" s="44">
        <v>1E-3</v>
      </c>
      <c r="AM34" s="44">
        <v>1E-3</v>
      </c>
      <c r="AN34" s="44">
        <v>1E-3</v>
      </c>
      <c r="AO34" s="44">
        <v>1E-3</v>
      </c>
      <c r="AP34" s="44">
        <v>1E-3</v>
      </c>
      <c r="AQ34" s="44">
        <v>1E-3</v>
      </c>
      <c r="AR34"/>
      <c r="AS34" s="44">
        <v>1E-3</v>
      </c>
      <c r="AT34" s="44">
        <v>1E-3</v>
      </c>
      <c r="AU34" s="44">
        <v>1E-3</v>
      </c>
      <c r="AV34" s="44">
        <v>1E-3</v>
      </c>
      <c r="AW34"/>
      <c r="AX34" s="44">
        <v>1E-3</v>
      </c>
      <c r="AY34"/>
      <c r="AZ34"/>
      <c r="BA34" s="44">
        <v>1E-3</v>
      </c>
    </row>
    <row r="35" spans="1:53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/>
      <c r="N35" s="44" t="s">
        <v>86</v>
      </c>
      <c r="P35" s="44" t="s">
        <v>86</v>
      </c>
      <c r="R35" s="44" t="s">
        <v>86</v>
      </c>
      <c r="S35" s="44"/>
      <c r="T35" s="44" t="s">
        <v>86</v>
      </c>
      <c r="U35" s="44" t="s">
        <v>86</v>
      </c>
      <c r="V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/>
      <c r="AK35" s="44" t="s">
        <v>86</v>
      </c>
      <c r="AL35" s="44" t="s">
        <v>86</v>
      </c>
      <c r="AM35" s="44" t="s">
        <v>86</v>
      </c>
      <c r="AN35" s="44" t="s">
        <v>86</v>
      </c>
      <c r="AO35" s="44" t="s">
        <v>86</v>
      </c>
      <c r="AP35" s="44" t="s">
        <v>86</v>
      </c>
      <c r="AQ35" s="44" t="s">
        <v>86</v>
      </c>
      <c r="AR35"/>
      <c r="AS35" s="44" t="s">
        <v>86</v>
      </c>
      <c r="AT35" s="44" t="s">
        <v>86</v>
      </c>
      <c r="AU35" s="44" t="s">
        <v>86</v>
      </c>
      <c r="AV35" s="44" t="s">
        <v>86</v>
      </c>
      <c r="AW35"/>
      <c r="AX35" s="44" t="s">
        <v>86</v>
      </c>
      <c r="AY35"/>
      <c r="AZ35"/>
      <c r="BA35" s="44" t="s">
        <v>86</v>
      </c>
    </row>
    <row r="36" spans="1:53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/>
      <c r="N36" s="44" t="s">
        <v>88</v>
      </c>
      <c r="P36" s="44" t="s">
        <v>88</v>
      </c>
      <c r="R36" s="44" t="s">
        <v>88</v>
      </c>
      <c r="S36" s="44"/>
      <c r="T36" s="44" t="s">
        <v>88</v>
      </c>
      <c r="U36" s="44" t="s">
        <v>88</v>
      </c>
      <c r="V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/>
      <c r="AK36" s="44" t="s">
        <v>88</v>
      </c>
      <c r="AL36" s="44" t="s">
        <v>88</v>
      </c>
      <c r="AM36" s="44" t="s">
        <v>88</v>
      </c>
      <c r="AN36" s="44" t="s">
        <v>88</v>
      </c>
      <c r="AO36" s="44" t="s">
        <v>88</v>
      </c>
      <c r="AP36" s="44" t="s">
        <v>88</v>
      </c>
      <c r="AQ36" s="44" t="s">
        <v>88</v>
      </c>
      <c r="AR36"/>
      <c r="AS36" s="44" t="s">
        <v>88</v>
      </c>
      <c r="AT36" s="44" t="s">
        <v>88</v>
      </c>
      <c r="AU36" s="44" t="s">
        <v>88</v>
      </c>
      <c r="AV36" s="44" t="s">
        <v>88</v>
      </c>
      <c r="AW36"/>
      <c r="AX36" s="44" t="s">
        <v>88</v>
      </c>
      <c r="AY36"/>
      <c r="AZ36"/>
      <c r="BA36" s="44" t="s">
        <v>88</v>
      </c>
    </row>
    <row r="37" spans="1:53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/>
      <c r="N37" s="44" t="s">
        <v>86</v>
      </c>
      <c r="P37" s="44" t="s">
        <v>86</v>
      </c>
      <c r="R37" s="44" t="s">
        <v>86</v>
      </c>
      <c r="S37" s="44"/>
      <c r="T37" s="44" t="s">
        <v>86</v>
      </c>
      <c r="U37" s="44" t="s">
        <v>86</v>
      </c>
      <c r="V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/>
      <c r="AK37" s="44" t="s">
        <v>86</v>
      </c>
      <c r="AL37" s="44" t="s">
        <v>86</v>
      </c>
      <c r="AM37" s="44" t="s">
        <v>86</v>
      </c>
      <c r="AN37" s="44" t="s">
        <v>86</v>
      </c>
      <c r="AO37" s="44" t="s">
        <v>86</v>
      </c>
      <c r="AP37" s="44" t="s">
        <v>86</v>
      </c>
      <c r="AQ37" s="44" t="s">
        <v>86</v>
      </c>
      <c r="AR37"/>
      <c r="AS37" s="44" t="s">
        <v>86</v>
      </c>
      <c r="AT37" s="44" t="s">
        <v>86</v>
      </c>
      <c r="AU37" s="44" t="s">
        <v>86</v>
      </c>
      <c r="AV37" s="44" t="s">
        <v>86</v>
      </c>
      <c r="AW37"/>
      <c r="AX37" s="44" t="s">
        <v>86</v>
      </c>
      <c r="AY37"/>
      <c r="AZ37"/>
      <c r="BA37" s="44" t="s">
        <v>86</v>
      </c>
    </row>
    <row r="38" spans="1:53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/>
      <c r="N38" s="44" t="s">
        <v>87</v>
      </c>
      <c r="P38" s="44" t="s">
        <v>87</v>
      </c>
      <c r="R38" s="44" t="s">
        <v>87</v>
      </c>
      <c r="S38" s="44"/>
      <c r="T38" s="44" t="s">
        <v>87</v>
      </c>
      <c r="U38" s="44" t="s">
        <v>87</v>
      </c>
      <c r="V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/>
      <c r="AK38" s="44" t="s">
        <v>87</v>
      </c>
      <c r="AL38" s="44" t="s">
        <v>87</v>
      </c>
      <c r="AM38" s="44" t="s">
        <v>87</v>
      </c>
      <c r="AN38" s="44" t="s">
        <v>87</v>
      </c>
      <c r="AO38" s="44" t="s">
        <v>87</v>
      </c>
      <c r="AP38" s="44" t="s">
        <v>87</v>
      </c>
      <c r="AQ38" s="44" t="s">
        <v>87</v>
      </c>
      <c r="AR38"/>
      <c r="AS38" s="44" t="s">
        <v>87</v>
      </c>
      <c r="AT38" s="44" t="s">
        <v>87</v>
      </c>
      <c r="AU38" s="44" t="s">
        <v>87</v>
      </c>
      <c r="AV38" s="44" t="s">
        <v>87</v>
      </c>
      <c r="AW38"/>
      <c r="AX38" s="44" t="s">
        <v>87</v>
      </c>
      <c r="AY38"/>
      <c r="AZ38"/>
      <c r="BA38" s="44" t="s">
        <v>87</v>
      </c>
    </row>
    <row r="39" spans="1:53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/>
      <c r="N39" s="44">
        <v>120</v>
      </c>
      <c r="P39" s="44">
        <v>120</v>
      </c>
      <c r="R39" s="44">
        <v>120</v>
      </c>
      <c r="S39" s="44"/>
      <c r="T39" s="44">
        <v>120</v>
      </c>
      <c r="U39" s="44">
        <v>120</v>
      </c>
      <c r="V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/>
      <c r="AK39" s="44">
        <v>120</v>
      </c>
      <c r="AL39" s="44">
        <v>120</v>
      </c>
      <c r="AM39" s="44">
        <v>120</v>
      </c>
      <c r="AN39" s="44">
        <v>120</v>
      </c>
      <c r="AO39" s="44">
        <v>120</v>
      </c>
      <c r="AP39" s="44">
        <v>120</v>
      </c>
      <c r="AQ39" s="44">
        <v>120</v>
      </c>
      <c r="AR39"/>
      <c r="AS39" s="44">
        <v>120</v>
      </c>
      <c r="AT39" s="44">
        <v>120</v>
      </c>
      <c r="AU39" s="44">
        <v>120</v>
      </c>
      <c r="AV39" s="44">
        <v>120</v>
      </c>
      <c r="AW39"/>
      <c r="AX39" s="44">
        <v>120</v>
      </c>
      <c r="AY39"/>
      <c r="AZ39"/>
      <c r="BA39" s="44">
        <v>120</v>
      </c>
    </row>
    <row r="40" spans="1:53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/>
      <c r="N40" s="44">
        <v>0</v>
      </c>
      <c r="P40" s="44">
        <v>0</v>
      </c>
      <c r="R40" s="44">
        <v>0</v>
      </c>
      <c r="S40" s="44"/>
      <c r="T40" s="44">
        <v>0</v>
      </c>
      <c r="U40" s="44">
        <v>0</v>
      </c>
      <c r="V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/>
      <c r="AK40" s="44">
        <v>0</v>
      </c>
      <c r="AL40" s="44">
        <v>0</v>
      </c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/>
      <c r="AS40" s="44">
        <v>0</v>
      </c>
      <c r="AT40" s="44">
        <v>0</v>
      </c>
      <c r="AU40" s="44">
        <v>0</v>
      </c>
      <c r="AV40" s="44">
        <v>0</v>
      </c>
      <c r="AW40"/>
      <c r="AX40" s="44">
        <v>0</v>
      </c>
      <c r="AY40"/>
      <c r="AZ40"/>
      <c r="BA40" s="44">
        <v>0</v>
      </c>
    </row>
    <row r="41" spans="1:53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/>
      <c r="N41" s="44">
        <v>0</v>
      </c>
      <c r="P41" s="44">
        <v>0</v>
      </c>
      <c r="R41" s="44">
        <v>0</v>
      </c>
      <c r="S41" s="44"/>
      <c r="T41" s="44">
        <v>0</v>
      </c>
      <c r="U41" s="44">
        <v>0</v>
      </c>
      <c r="V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/>
      <c r="AK41" s="44">
        <v>0</v>
      </c>
      <c r="AL41" s="44">
        <v>0</v>
      </c>
      <c r="AM41" s="44">
        <v>0</v>
      </c>
      <c r="AN41" s="44">
        <v>0</v>
      </c>
      <c r="AO41" s="44">
        <v>0</v>
      </c>
      <c r="AP41" s="44">
        <v>0</v>
      </c>
      <c r="AQ41" s="44">
        <v>0</v>
      </c>
      <c r="AR41"/>
      <c r="AS41" s="44">
        <v>0</v>
      </c>
      <c r="AT41" s="44">
        <v>0</v>
      </c>
      <c r="AU41" s="44">
        <v>0</v>
      </c>
      <c r="AV41" s="44">
        <v>0</v>
      </c>
      <c r="AW41"/>
      <c r="AX41" s="44">
        <v>0</v>
      </c>
      <c r="AY41"/>
      <c r="AZ41"/>
      <c r="BA41" s="44">
        <v>0</v>
      </c>
    </row>
    <row r="42" spans="1:53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/>
      <c r="N42" s="44">
        <v>-0.1</v>
      </c>
      <c r="P42" s="44">
        <v>-0.1</v>
      </c>
      <c r="R42" s="44">
        <v>-0.1</v>
      </c>
      <c r="S42" s="44"/>
      <c r="T42" s="44">
        <v>-0.1</v>
      </c>
      <c r="U42" s="44">
        <v>-0.1</v>
      </c>
      <c r="V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/>
      <c r="AK42" s="44">
        <v>-0.1</v>
      </c>
      <c r="AL42" s="44">
        <v>-0.1</v>
      </c>
      <c r="AM42" s="44">
        <v>-0.1</v>
      </c>
      <c r="AN42" s="44">
        <v>-0.1</v>
      </c>
      <c r="AO42" s="44">
        <v>-0.1</v>
      </c>
      <c r="AP42" s="44">
        <v>-0.1</v>
      </c>
      <c r="AQ42" s="44">
        <v>-0.1</v>
      </c>
      <c r="AR42"/>
      <c r="AS42" s="44">
        <v>-0.1</v>
      </c>
      <c r="AT42" s="44">
        <v>-0.1</v>
      </c>
      <c r="AU42" s="44">
        <v>-0.1</v>
      </c>
      <c r="AV42" s="44">
        <v>-0.1</v>
      </c>
      <c r="AW42"/>
      <c r="AX42" s="44">
        <v>-0.1</v>
      </c>
      <c r="AY42"/>
      <c r="AZ42"/>
      <c r="BA42" s="44">
        <v>-0.1</v>
      </c>
    </row>
    <row r="43" spans="1:53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/>
      <c r="N43" s="44">
        <v>-0.2</v>
      </c>
      <c r="P43" s="44">
        <v>-0.2</v>
      </c>
      <c r="R43" s="44">
        <v>-0.2</v>
      </c>
      <c r="S43" s="44"/>
      <c r="T43" s="44">
        <v>-0.2</v>
      </c>
      <c r="U43" s="44">
        <v>-0.2</v>
      </c>
      <c r="V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/>
      <c r="AK43" s="44">
        <v>-0.2</v>
      </c>
      <c r="AL43" s="44">
        <v>-0.2</v>
      </c>
      <c r="AM43" s="44">
        <v>-0.2</v>
      </c>
      <c r="AN43" s="44">
        <v>-0.2</v>
      </c>
      <c r="AO43" s="44">
        <v>-0.2</v>
      </c>
      <c r="AP43" s="44">
        <v>-0.2</v>
      </c>
      <c r="AQ43" s="44">
        <v>-0.2</v>
      </c>
      <c r="AR43"/>
      <c r="AS43" s="44">
        <v>-0.2</v>
      </c>
      <c r="AT43" s="44">
        <v>-0.2</v>
      </c>
      <c r="AU43" s="44">
        <v>-0.2</v>
      </c>
      <c r="AV43" s="44">
        <v>-0.2</v>
      </c>
      <c r="AW43"/>
      <c r="AX43" s="44">
        <v>-0.2</v>
      </c>
      <c r="AY43"/>
      <c r="AZ43"/>
      <c r="BA43" s="44">
        <v>-0.2</v>
      </c>
    </row>
    <row r="44" spans="1:53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/>
      <c r="N44" s="44">
        <v>0.4</v>
      </c>
      <c r="P44" s="44">
        <v>0.4</v>
      </c>
      <c r="R44" s="44">
        <v>0.4</v>
      </c>
      <c r="S44" s="44"/>
      <c r="T44" s="44">
        <v>0.4</v>
      </c>
      <c r="U44" s="44">
        <v>0.4</v>
      </c>
      <c r="V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/>
      <c r="AK44" s="44">
        <v>0.4</v>
      </c>
      <c r="AL44" s="44">
        <v>0.4</v>
      </c>
      <c r="AM44" s="44">
        <v>0.4</v>
      </c>
      <c r="AN44" s="44">
        <v>0.4</v>
      </c>
      <c r="AO44" s="44">
        <v>0.4</v>
      </c>
      <c r="AP44" s="44">
        <v>0.4</v>
      </c>
      <c r="AQ44" s="44">
        <v>0.4</v>
      </c>
      <c r="AR44"/>
      <c r="AS44" s="44">
        <v>0.4</v>
      </c>
      <c r="AT44" s="44">
        <v>0.4</v>
      </c>
      <c r="AU44" s="44">
        <v>0.4</v>
      </c>
      <c r="AV44" s="44">
        <v>0.4</v>
      </c>
      <c r="AW44"/>
      <c r="AX44" s="44">
        <v>0.4</v>
      </c>
      <c r="AY44"/>
      <c r="AZ44"/>
      <c r="BA44" s="44">
        <v>0.4</v>
      </c>
    </row>
    <row r="45" spans="1:53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/>
      <c r="N45" s="44">
        <v>0</v>
      </c>
      <c r="P45" s="44">
        <v>0</v>
      </c>
      <c r="R45" s="44">
        <v>0</v>
      </c>
      <c r="S45" s="44"/>
      <c r="T45" s="44">
        <v>0</v>
      </c>
      <c r="U45" s="44">
        <v>0</v>
      </c>
      <c r="V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/>
      <c r="AK45" s="44">
        <v>0</v>
      </c>
      <c r="AL45" s="44">
        <v>0</v>
      </c>
      <c r="AM45" s="44">
        <v>0</v>
      </c>
      <c r="AN45" s="44">
        <v>0</v>
      </c>
      <c r="AO45" s="44">
        <v>0</v>
      </c>
      <c r="AP45" s="44">
        <v>0</v>
      </c>
      <c r="AQ45" s="44">
        <v>0</v>
      </c>
      <c r="AR45"/>
      <c r="AS45" s="44">
        <v>0</v>
      </c>
      <c r="AT45" s="44">
        <v>0</v>
      </c>
      <c r="AU45" s="44">
        <v>0</v>
      </c>
      <c r="AV45" s="44">
        <v>0</v>
      </c>
      <c r="AW45"/>
      <c r="AX45" s="44">
        <v>0</v>
      </c>
      <c r="AY45"/>
      <c r="AZ45"/>
      <c r="BA45" s="44">
        <v>0</v>
      </c>
    </row>
    <row r="46" spans="1:53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/>
      <c r="N46" s="44">
        <v>1200</v>
      </c>
      <c r="P46" s="44">
        <v>1200</v>
      </c>
      <c r="R46" s="44">
        <v>1200</v>
      </c>
      <c r="S46" s="44"/>
      <c r="T46" s="44">
        <v>1200</v>
      </c>
      <c r="U46" s="44">
        <v>1200</v>
      </c>
      <c r="V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/>
      <c r="AK46" s="44">
        <v>1200</v>
      </c>
      <c r="AL46" s="44">
        <v>1200</v>
      </c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/>
      <c r="AS46" s="44">
        <v>1200</v>
      </c>
      <c r="AT46" s="44">
        <v>1200</v>
      </c>
      <c r="AU46" s="44">
        <v>1200</v>
      </c>
      <c r="AV46" s="44">
        <v>1200</v>
      </c>
      <c r="AW46"/>
      <c r="AX46" s="44">
        <v>1200</v>
      </c>
      <c r="AY46"/>
      <c r="AZ46"/>
      <c r="BA46" s="44">
        <v>1200</v>
      </c>
    </row>
    <row r="47" spans="1:53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/>
      <c r="N47" s="44">
        <v>1200</v>
      </c>
      <c r="P47" s="44">
        <v>1200</v>
      </c>
      <c r="R47" s="44">
        <v>1200</v>
      </c>
      <c r="S47" s="44"/>
      <c r="T47" s="44">
        <v>1200</v>
      </c>
      <c r="U47" s="44">
        <v>1200</v>
      </c>
      <c r="V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/>
      <c r="AK47" s="44">
        <v>1200</v>
      </c>
      <c r="AL47" s="44">
        <v>1200</v>
      </c>
      <c r="AM47" s="44">
        <v>1200</v>
      </c>
      <c r="AN47" s="44">
        <v>1200</v>
      </c>
      <c r="AO47" s="44">
        <v>1200</v>
      </c>
      <c r="AP47" s="44">
        <v>1200</v>
      </c>
      <c r="AQ47" s="44">
        <v>1200</v>
      </c>
      <c r="AR47"/>
      <c r="AS47" s="44">
        <v>1200</v>
      </c>
      <c r="AT47" s="44">
        <v>1200</v>
      </c>
      <c r="AU47" s="44">
        <v>1200</v>
      </c>
      <c r="AV47" s="44">
        <v>1200</v>
      </c>
      <c r="AW47"/>
      <c r="AX47" s="44">
        <v>1200</v>
      </c>
      <c r="AY47"/>
      <c r="AZ47"/>
      <c r="BA47" s="44">
        <v>1200</v>
      </c>
    </row>
    <row r="48" spans="1:53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/>
      <c r="N48" s="44" t="s">
        <v>462</v>
      </c>
      <c r="P48" s="44" t="s">
        <v>462</v>
      </c>
      <c r="R48" s="44" t="s">
        <v>462</v>
      </c>
      <c r="S48" s="44"/>
      <c r="T48" s="44" t="s">
        <v>462</v>
      </c>
      <c r="U48" s="44" t="s">
        <v>462</v>
      </c>
      <c r="V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/>
      <c r="AK48" s="44" t="s">
        <v>462</v>
      </c>
      <c r="AL48" s="44" t="s">
        <v>462</v>
      </c>
      <c r="AM48" s="44" t="s">
        <v>462</v>
      </c>
      <c r="AN48" s="44" t="s">
        <v>462</v>
      </c>
      <c r="AO48" s="44" t="s">
        <v>462</v>
      </c>
      <c r="AP48" s="44" t="s">
        <v>462</v>
      </c>
      <c r="AQ48" s="44" t="s">
        <v>462</v>
      </c>
      <c r="AR48"/>
      <c r="AS48" s="44" t="s">
        <v>462</v>
      </c>
      <c r="AT48" s="44" t="s">
        <v>462</v>
      </c>
      <c r="AU48" s="44" t="s">
        <v>462</v>
      </c>
      <c r="AV48" s="44" t="s">
        <v>462</v>
      </c>
      <c r="AW48"/>
      <c r="AX48" s="44" t="s">
        <v>462</v>
      </c>
      <c r="AY48"/>
      <c r="AZ48"/>
      <c r="BA48" s="44" t="s">
        <v>462</v>
      </c>
    </row>
    <row r="49" spans="1:53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/>
      <c r="N49" s="44" t="s">
        <v>86</v>
      </c>
      <c r="P49" s="44" t="s">
        <v>86</v>
      </c>
      <c r="R49" s="44" t="s">
        <v>86</v>
      </c>
      <c r="S49" s="44"/>
      <c r="T49" s="44" t="s">
        <v>86</v>
      </c>
      <c r="U49" s="44" t="s">
        <v>86</v>
      </c>
      <c r="V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/>
      <c r="AK49" s="44" t="s">
        <v>86</v>
      </c>
      <c r="AL49" s="44" t="s">
        <v>86</v>
      </c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/>
      <c r="AS49" s="44" t="s">
        <v>86</v>
      </c>
      <c r="AT49" s="44" t="s">
        <v>86</v>
      </c>
      <c r="AU49" s="44" t="s">
        <v>86</v>
      </c>
      <c r="AV49" s="44" t="s">
        <v>86</v>
      </c>
      <c r="AW49"/>
      <c r="AX49" s="44" t="s">
        <v>86</v>
      </c>
      <c r="AY49"/>
      <c r="AZ49"/>
      <c r="BA49" s="44" t="s">
        <v>86</v>
      </c>
    </row>
    <row r="50" spans="1:53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/>
      <c r="N50" s="44" t="s">
        <v>86</v>
      </c>
      <c r="P50" s="44" t="s">
        <v>86</v>
      </c>
      <c r="R50" s="44" t="s">
        <v>86</v>
      </c>
      <c r="S50" s="44"/>
      <c r="T50" s="44" t="s">
        <v>86</v>
      </c>
      <c r="U50" s="44" t="s">
        <v>86</v>
      </c>
      <c r="V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/>
      <c r="AK50" s="44" t="s">
        <v>86</v>
      </c>
      <c r="AL50" s="44" t="s">
        <v>86</v>
      </c>
      <c r="AM50" s="44" t="s">
        <v>86</v>
      </c>
      <c r="AN50" s="44" t="s">
        <v>86</v>
      </c>
      <c r="AO50" s="44" t="s">
        <v>86</v>
      </c>
      <c r="AP50" s="44" t="s">
        <v>86</v>
      </c>
      <c r="AQ50" s="44" t="s">
        <v>86</v>
      </c>
      <c r="AR50"/>
      <c r="AS50" s="44" t="s">
        <v>86</v>
      </c>
      <c r="AT50" s="44" t="s">
        <v>86</v>
      </c>
      <c r="AU50" s="44" t="s">
        <v>86</v>
      </c>
      <c r="AV50" s="44" t="s">
        <v>86</v>
      </c>
      <c r="AW50"/>
      <c r="AX50" s="44" t="s">
        <v>86</v>
      </c>
      <c r="AY50"/>
      <c r="AZ50"/>
      <c r="BA50" s="44" t="s">
        <v>86</v>
      </c>
    </row>
    <row r="51" spans="1:53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/>
      <c r="N51" s="44">
        <v>0</v>
      </c>
      <c r="P51" s="44">
        <v>0</v>
      </c>
      <c r="R51" s="44">
        <v>0</v>
      </c>
      <c r="S51" s="44"/>
      <c r="T51" s="44">
        <v>0</v>
      </c>
      <c r="U51" s="44">
        <v>0</v>
      </c>
      <c r="V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/>
      <c r="AK51" s="44">
        <v>0</v>
      </c>
      <c r="AL51" s="44">
        <v>0</v>
      </c>
      <c r="AM51" s="44">
        <v>0</v>
      </c>
      <c r="AN51" s="44">
        <v>0</v>
      </c>
      <c r="AO51" s="44">
        <v>0</v>
      </c>
      <c r="AP51" s="44">
        <v>0</v>
      </c>
      <c r="AQ51" s="44">
        <v>0</v>
      </c>
      <c r="AR51"/>
      <c r="AS51" s="44">
        <v>0</v>
      </c>
      <c r="AT51" s="44">
        <v>0</v>
      </c>
      <c r="AU51" s="44">
        <v>0</v>
      </c>
      <c r="AV51" s="44">
        <v>0</v>
      </c>
      <c r="AW51"/>
      <c r="AX51" s="44">
        <v>0</v>
      </c>
      <c r="AY51"/>
      <c r="AZ51"/>
      <c r="BA51" s="44">
        <v>0</v>
      </c>
    </row>
    <row r="52" spans="1:53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/>
      <c r="N52" s="44">
        <v>0.5</v>
      </c>
      <c r="P52" s="44">
        <v>0.5</v>
      </c>
      <c r="R52" s="44">
        <v>0.5</v>
      </c>
      <c r="S52" s="44"/>
      <c r="T52" s="44">
        <v>0.5</v>
      </c>
      <c r="U52" s="44">
        <v>0.5</v>
      </c>
      <c r="V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/>
      <c r="AK52" s="44">
        <v>0.5</v>
      </c>
      <c r="AL52" s="44">
        <v>0.5</v>
      </c>
      <c r="AM52" s="44">
        <v>0.5</v>
      </c>
      <c r="AN52" s="44">
        <v>0.5</v>
      </c>
      <c r="AO52" s="44">
        <v>0.5</v>
      </c>
      <c r="AP52" s="44">
        <v>0.5</v>
      </c>
      <c r="AQ52" s="44">
        <v>0.5</v>
      </c>
      <c r="AR52"/>
      <c r="AS52" s="44">
        <v>0.5</v>
      </c>
      <c r="AT52" s="44">
        <v>0.5</v>
      </c>
      <c r="AU52" s="44">
        <v>0.5</v>
      </c>
      <c r="AV52" s="44">
        <v>0.5</v>
      </c>
      <c r="AW52"/>
      <c r="AX52" s="44">
        <v>0.5</v>
      </c>
      <c r="AY52"/>
      <c r="AZ52"/>
      <c r="BA52" s="44">
        <v>0.5</v>
      </c>
    </row>
    <row r="53" spans="1:53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/>
      <c r="N53" s="44">
        <v>0.05</v>
      </c>
      <c r="P53" s="44">
        <v>0.05</v>
      </c>
      <c r="R53" s="44">
        <v>0.05</v>
      </c>
      <c r="S53" s="44"/>
      <c r="T53" s="44">
        <v>0.05</v>
      </c>
      <c r="U53" s="44">
        <v>0.05</v>
      </c>
      <c r="V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/>
      <c r="AK53" s="44">
        <v>0.05</v>
      </c>
      <c r="AL53" s="44">
        <v>0.05</v>
      </c>
      <c r="AM53" s="44">
        <v>0.05</v>
      </c>
      <c r="AN53" s="44">
        <v>0.05</v>
      </c>
      <c r="AO53" s="44">
        <v>0.05</v>
      </c>
      <c r="AP53" s="44">
        <v>0.05</v>
      </c>
      <c r="AQ53" s="44">
        <v>0.05</v>
      </c>
      <c r="AR53"/>
      <c r="AS53" s="44">
        <v>0.05</v>
      </c>
      <c r="AT53" s="44">
        <v>0.05</v>
      </c>
      <c r="AU53" s="44">
        <v>0.05</v>
      </c>
      <c r="AV53" s="44">
        <v>0.05</v>
      </c>
      <c r="AW53"/>
      <c r="AX53" s="44">
        <v>0.05</v>
      </c>
      <c r="AY53"/>
      <c r="AZ53"/>
      <c r="BA53" s="44">
        <v>0.05</v>
      </c>
    </row>
    <row r="54" spans="1:53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/>
      <c r="N54" s="44">
        <v>1E-3</v>
      </c>
      <c r="P54" s="44">
        <v>1E-3</v>
      </c>
      <c r="R54" s="44">
        <v>1E-3</v>
      </c>
      <c r="S54" s="44"/>
      <c r="T54" s="44">
        <v>1E-3</v>
      </c>
      <c r="U54" s="44">
        <v>1E-3</v>
      </c>
      <c r="V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/>
      <c r="AK54" s="44">
        <v>1E-3</v>
      </c>
      <c r="AL54" s="44">
        <v>1E-3</v>
      </c>
      <c r="AM54" s="44">
        <v>1E-3</v>
      </c>
      <c r="AN54" s="44">
        <v>1E-3</v>
      </c>
      <c r="AO54" s="44">
        <v>1E-3</v>
      </c>
      <c r="AP54" s="44">
        <v>1E-3</v>
      </c>
      <c r="AQ54" s="44">
        <v>1E-3</v>
      </c>
      <c r="AR54"/>
      <c r="AS54" s="44">
        <v>1E-3</v>
      </c>
      <c r="AT54" s="44">
        <v>1E-3</v>
      </c>
      <c r="AU54" s="44">
        <v>1E-3</v>
      </c>
      <c r="AV54" s="44">
        <v>1E-3</v>
      </c>
      <c r="AW54"/>
      <c r="AX54" s="44">
        <v>1E-3</v>
      </c>
      <c r="AY54"/>
      <c r="AZ54"/>
      <c r="BA54" s="44">
        <v>1E-3</v>
      </c>
    </row>
    <row r="55" spans="1:53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/>
      <c r="N55" s="44">
        <v>0</v>
      </c>
      <c r="P55" s="44">
        <v>0</v>
      </c>
      <c r="R55" s="44">
        <v>0</v>
      </c>
      <c r="S55" s="44"/>
      <c r="T55" s="44">
        <v>0</v>
      </c>
      <c r="U55" s="44">
        <v>0</v>
      </c>
      <c r="V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/>
      <c r="AK55" s="44">
        <v>0</v>
      </c>
      <c r="AL55" s="44">
        <v>0</v>
      </c>
      <c r="AM55" s="44">
        <v>0</v>
      </c>
      <c r="AN55" s="44">
        <v>0</v>
      </c>
      <c r="AO55" s="44">
        <v>0</v>
      </c>
      <c r="AP55" s="44">
        <v>0</v>
      </c>
      <c r="AQ55" s="44">
        <v>0</v>
      </c>
      <c r="AR55"/>
      <c r="AS55" s="44">
        <v>0</v>
      </c>
      <c r="AT55" s="44">
        <v>0</v>
      </c>
      <c r="AU55" s="44">
        <v>0</v>
      </c>
      <c r="AV55" s="44">
        <v>0</v>
      </c>
      <c r="AW55"/>
      <c r="AX55" s="44">
        <v>0</v>
      </c>
      <c r="AY55"/>
      <c r="AZ55"/>
      <c r="BA55" s="44">
        <v>0</v>
      </c>
    </row>
    <row r="56" spans="1:53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/>
      <c r="N56" s="44">
        <v>1E-4</v>
      </c>
      <c r="P56" s="44">
        <v>1E-4</v>
      </c>
      <c r="R56" s="44">
        <v>1E-4</v>
      </c>
      <c r="S56" s="44"/>
      <c r="T56" s="44">
        <v>1E-4</v>
      </c>
      <c r="U56" s="44">
        <v>1E-4</v>
      </c>
      <c r="V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/>
      <c r="AK56" s="44">
        <v>1E-4</v>
      </c>
      <c r="AL56" s="44">
        <v>1E-4</v>
      </c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/>
      <c r="AS56" s="44">
        <v>1E-4</v>
      </c>
      <c r="AT56" s="44">
        <v>1E-4</v>
      </c>
      <c r="AU56" s="44">
        <v>1E-4</v>
      </c>
      <c r="AV56" s="44">
        <v>1E-4</v>
      </c>
      <c r="AW56"/>
      <c r="AX56" s="44">
        <v>1E-4</v>
      </c>
      <c r="AY56"/>
      <c r="AZ56"/>
      <c r="BA56" s="44">
        <v>1E-4</v>
      </c>
    </row>
    <row r="57" spans="1:53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/>
      <c r="N57" s="44">
        <v>1E-4</v>
      </c>
      <c r="P57" s="44">
        <v>1E-4</v>
      </c>
      <c r="R57" s="44">
        <v>1E-4</v>
      </c>
      <c r="S57" s="44"/>
      <c r="T57" s="44">
        <v>1E-4</v>
      </c>
      <c r="U57" s="44">
        <v>1E-4</v>
      </c>
      <c r="V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/>
      <c r="AK57" s="44">
        <v>1E-4</v>
      </c>
      <c r="AL57" s="44">
        <v>1E-4</v>
      </c>
      <c r="AM57" s="44">
        <v>1E-4</v>
      </c>
      <c r="AN57" s="44">
        <v>1E-4</v>
      </c>
      <c r="AO57" s="44">
        <v>1E-4</v>
      </c>
      <c r="AP57" s="44">
        <v>1E-4</v>
      </c>
      <c r="AQ57" s="44">
        <v>1E-4</v>
      </c>
      <c r="AR57"/>
      <c r="AS57" s="44">
        <v>1E-4</v>
      </c>
      <c r="AT57" s="44">
        <v>1E-4</v>
      </c>
      <c r="AU57" s="44">
        <v>1E-4</v>
      </c>
      <c r="AV57" s="44">
        <v>1E-4</v>
      </c>
      <c r="AW57"/>
      <c r="AX57" s="44">
        <v>1E-4</v>
      </c>
      <c r="AY57"/>
      <c r="AZ57"/>
      <c r="BA57" s="44">
        <v>1E-4</v>
      </c>
    </row>
    <row r="58" spans="1:53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/>
      <c r="N58" s="44">
        <v>6.9999999999999999E-4</v>
      </c>
      <c r="P58" s="44">
        <v>6.9999999999999999E-4</v>
      </c>
      <c r="R58" s="44">
        <v>6.9999999999999999E-4</v>
      </c>
      <c r="S58" s="44"/>
      <c r="T58" s="44">
        <v>6.9999999999999999E-4</v>
      </c>
      <c r="U58" s="44">
        <v>6.9999999999999999E-4</v>
      </c>
      <c r="V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/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 s="44">
        <v>6.9999999999999999E-4</v>
      </c>
      <c r="AP58" s="44">
        <v>6.9999999999999999E-4</v>
      </c>
      <c r="AQ58" s="44">
        <v>6.9999999999999999E-4</v>
      </c>
      <c r="AR58"/>
      <c r="AS58" s="44">
        <v>6.9999999999999999E-4</v>
      </c>
      <c r="AT58" s="44">
        <v>6.9999999999999999E-4</v>
      </c>
      <c r="AU58" s="44">
        <v>6.9999999999999999E-4</v>
      </c>
      <c r="AV58" s="44">
        <v>6.9999999999999999E-4</v>
      </c>
      <c r="AW58"/>
      <c r="AX58" s="44">
        <v>6.9999999999999999E-4</v>
      </c>
      <c r="AY58"/>
      <c r="AZ58"/>
      <c r="BA58" s="44">
        <v>6.9999999999999999E-4</v>
      </c>
    </row>
    <row r="59" spans="1:53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/>
      <c r="N59" s="44">
        <v>1.22E-4</v>
      </c>
      <c r="P59" s="44">
        <v>1.22E-4</v>
      </c>
      <c r="R59" s="44">
        <v>1.22E-4</v>
      </c>
      <c r="S59" s="44"/>
      <c r="T59" s="44">
        <v>1.22E-4</v>
      </c>
      <c r="U59" s="44">
        <v>1.22E-4</v>
      </c>
      <c r="V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/>
      <c r="AK59" s="44">
        <v>1.22E-4</v>
      </c>
      <c r="AL59" s="44">
        <v>1.22E-4</v>
      </c>
      <c r="AM59" s="44">
        <v>1.22E-4</v>
      </c>
      <c r="AN59" s="44">
        <v>1.22E-4</v>
      </c>
      <c r="AO59" s="44">
        <v>1.22E-4</v>
      </c>
      <c r="AP59" s="44">
        <v>1.22E-4</v>
      </c>
      <c r="AQ59" s="44">
        <v>1.22E-4</v>
      </c>
      <c r="AR59"/>
      <c r="AS59" s="44">
        <v>1.22E-4</v>
      </c>
      <c r="AT59" s="44">
        <v>1.22E-4</v>
      </c>
      <c r="AU59" s="44">
        <v>1.22E-4</v>
      </c>
      <c r="AV59" s="44">
        <v>1.22E-4</v>
      </c>
      <c r="AW59"/>
      <c r="AX59" s="44">
        <v>1.22E-4</v>
      </c>
      <c r="AY59"/>
      <c r="AZ59"/>
      <c r="BA59" s="44">
        <v>1.22E-4</v>
      </c>
    </row>
    <row r="60" spans="1:53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/>
      <c r="N60" s="44">
        <v>1</v>
      </c>
      <c r="P60" s="44">
        <v>1</v>
      </c>
      <c r="R60" s="44">
        <v>1</v>
      </c>
      <c r="S60" s="44"/>
      <c r="T60" s="44">
        <v>1</v>
      </c>
      <c r="U60" s="44">
        <v>1</v>
      </c>
      <c r="V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/>
      <c r="AK60" s="44">
        <v>1</v>
      </c>
      <c r="AL60" s="44">
        <v>1</v>
      </c>
      <c r="AM60" s="44">
        <v>1</v>
      </c>
      <c r="AN60" s="44">
        <v>1</v>
      </c>
      <c r="AO60" s="44">
        <v>1</v>
      </c>
      <c r="AP60" s="44">
        <v>1</v>
      </c>
      <c r="AQ60" s="44">
        <v>1</v>
      </c>
      <c r="AR60"/>
      <c r="AS60" s="44">
        <v>1</v>
      </c>
      <c r="AT60" s="44">
        <v>1</v>
      </c>
      <c r="AU60" s="44">
        <v>1</v>
      </c>
      <c r="AV60" s="44">
        <v>1</v>
      </c>
      <c r="AW60"/>
      <c r="AX60" s="44">
        <v>1</v>
      </c>
      <c r="AY60"/>
      <c r="AZ60"/>
      <c r="BA60" s="44">
        <v>1</v>
      </c>
    </row>
    <row r="61" spans="1:53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/>
      <c r="N61" s="44">
        <v>0.95</v>
      </c>
      <c r="P61" s="44">
        <v>0.95</v>
      </c>
      <c r="R61" s="44">
        <v>0.95</v>
      </c>
      <c r="S61" s="44"/>
      <c r="T61" s="44">
        <v>0.95</v>
      </c>
      <c r="U61" s="44">
        <v>0.95</v>
      </c>
      <c r="V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/>
      <c r="AK61" s="44">
        <v>0.95</v>
      </c>
      <c r="AL61" s="44">
        <v>0.95</v>
      </c>
      <c r="AM61" s="44">
        <v>0.95</v>
      </c>
      <c r="AN61" s="44">
        <v>0.95</v>
      </c>
      <c r="AO61" s="44">
        <v>0.95</v>
      </c>
      <c r="AP61" s="44">
        <v>0.95</v>
      </c>
      <c r="AQ61" s="44">
        <v>0.95</v>
      </c>
      <c r="AR61"/>
      <c r="AS61" s="44">
        <v>0.95</v>
      </c>
      <c r="AT61" s="44">
        <v>0.95</v>
      </c>
      <c r="AU61" s="44">
        <v>0.95</v>
      </c>
      <c r="AV61" s="44">
        <v>0.95</v>
      </c>
      <c r="AW61"/>
      <c r="AX61" s="44">
        <v>0.95</v>
      </c>
      <c r="AY61"/>
      <c r="AZ61"/>
      <c r="BA61" s="44">
        <v>0.95</v>
      </c>
    </row>
    <row r="62" spans="1:53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/>
      <c r="N62" s="44" t="s">
        <v>87</v>
      </c>
      <c r="P62" s="44" t="s">
        <v>87</v>
      </c>
      <c r="R62" s="44" t="s">
        <v>87</v>
      </c>
      <c r="S62" s="44"/>
      <c r="T62" s="44" t="s">
        <v>87</v>
      </c>
      <c r="U62" s="44" t="s">
        <v>87</v>
      </c>
      <c r="V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/>
      <c r="AK62" s="44" t="s">
        <v>87</v>
      </c>
      <c r="AL62" s="44" t="s">
        <v>87</v>
      </c>
      <c r="AM62" s="44" t="s">
        <v>87</v>
      </c>
      <c r="AN62" s="44" t="s">
        <v>87</v>
      </c>
      <c r="AO62" s="44" t="s">
        <v>87</v>
      </c>
      <c r="AP62" s="44" t="s">
        <v>87</v>
      </c>
      <c r="AQ62" s="44" t="s">
        <v>87</v>
      </c>
      <c r="AR62"/>
      <c r="AS62" s="44" t="s">
        <v>87</v>
      </c>
      <c r="AT62" s="44" t="s">
        <v>87</v>
      </c>
      <c r="AU62" s="44" t="s">
        <v>87</v>
      </c>
      <c r="AV62" s="44" t="s">
        <v>87</v>
      </c>
      <c r="AW62"/>
      <c r="AX62" s="44" t="s">
        <v>87</v>
      </c>
      <c r="AY62"/>
      <c r="AZ62"/>
      <c r="BA62" s="44" t="s">
        <v>87</v>
      </c>
    </row>
    <row r="63" spans="1:53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/>
      <c r="N63" s="44">
        <v>5</v>
      </c>
      <c r="P63" s="44">
        <v>5</v>
      </c>
      <c r="R63" s="44">
        <v>5</v>
      </c>
      <c r="S63" s="44"/>
      <c r="T63" s="44">
        <v>5</v>
      </c>
      <c r="U63" s="44">
        <v>5</v>
      </c>
      <c r="V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/>
      <c r="AK63" s="44">
        <v>5</v>
      </c>
      <c r="AL63" s="44">
        <v>5</v>
      </c>
      <c r="AM63" s="44">
        <v>5</v>
      </c>
      <c r="AN63" s="44">
        <v>5</v>
      </c>
      <c r="AO63" s="44">
        <v>5</v>
      </c>
      <c r="AP63" s="44">
        <v>5</v>
      </c>
      <c r="AQ63" s="44">
        <v>5</v>
      </c>
      <c r="AR63"/>
      <c r="AS63" s="44">
        <v>5</v>
      </c>
      <c r="AT63" s="44">
        <v>5</v>
      </c>
      <c r="AU63" s="44">
        <v>5</v>
      </c>
      <c r="AV63" s="44">
        <v>5</v>
      </c>
      <c r="AW63"/>
      <c r="AX63" s="44">
        <v>5</v>
      </c>
      <c r="AY63"/>
      <c r="AZ63"/>
      <c r="BA63" s="44">
        <v>5</v>
      </c>
    </row>
    <row r="64" spans="1:53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/>
      <c r="N64" s="44" t="s">
        <v>87</v>
      </c>
      <c r="P64" s="44" t="s">
        <v>87</v>
      </c>
      <c r="R64" s="44" t="s">
        <v>87</v>
      </c>
      <c r="S64" s="44"/>
      <c r="T64" s="44" t="s">
        <v>87</v>
      </c>
      <c r="U64" s="44" t="s">
        <v>87</v>
      </c>
      <c r="V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/>
      <c r="AK64" s="44" t="s">
        <v>87</v>
      </c>
      <c r="AL64" s="44" t="s">
        <v>87</v>
      </c>
      <c r="AM64" s="44" t="s">
        <v>87</v>
      </c>
      <c r="AN64" s="44" t="s">
        <v>87</v>
      </c>
      <c r="AO64" s="44" t="s">
        <v>87</v>
      </c>
      <c r="AP64" s="44" t="s">
        <v>87</v>
      </c>
      <c r="AQ64" s="44" t="s">
        <v>87</v>
      </c>
      <c r="AR64"/>
      <c r="AS64" s="44" t="s">
        <v>87</v>
      </c>
      <c r="AT64" s="44" t="s">
        <v>87</v>
      </c>
      <c r="AU64" s="44" t="s">
        <v>87</v>
      </c>
      <c r="AV64" s="44" t="s">
        <v>87</v>
      </c>
      <c r="AW64"/>
      <c r="AX64" s="44" t="s">
        <v>87</v>
      </c>
      <c r="AY64"/>
      <c r="AZ64"/>
      <c r="BA64" s="44" t="s">
        <v>87</v>
      </c>
    </row>
    <row r="65" spans="1:53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/>
      <c r="N65" s="44">
        <v>50</v>
      </c>
      <c r="P65" s="44">
        <v>50</v>
      </c>
      <c r="R65" s="44">
        <v>50</v>
      </c>
      <c r="S65" s="44"/>
      <c r="T65" s="44">
        <v>50</v>
      </c>
      <c r="U65" s="44">
        <v>50</v>
      </c>
      <c r="V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/>
      <c r="AK65" s="44">
        <v>50</v>
      </c>
      <c r="AL65" s="44">
        <v>50</v>
      </c>
      <c r="AM65" s="44">
        <v>50</v>
      </c>
      <c r="AN65" s="44">
        <v>50</v>
      </c>
      <c r="AO65" s="44">
        <v>50</v>
      </c>
      <c r="AP65" s="44">
        <v>50</v>
      </c>
      <c r="AQ65" s="44">
        <v>50</v>
      </c>
      <c r="AR65"/>
      <c r="AS65" s="44">
        <v>50</v>
      </c>
      <c r="AT65" s="44">
        <v>50</v>
      </c>
      <c r="AU65" s="44">
        <v>50</v>
      </c>
      <c r="AV65" s="44">
        <v>50</v>
      </c>
      <c r="AW65"/>
      <c r="AX65" s="44">
        <v>50</v>
      </c>
      <c r="AY65"/>
      <c r="AZ65"/>
      <c r="BA65" s="44">
        <v>50</v>
      </c>
    </row>
    <row r="66" spans="1:53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/>
      <c r="N66" s="44">
        <v>1453890.8941884842</v>
      </c>
      <c r="P66" s="44">
        <v>1453890.8941884842</v>
      </c>
      <c r="R66" s="44">
        <v>1453890.8941884842</v>
      </c>
      <c r="S66" s="44"/>
      <c r="T66" s="44">
        <v>1453890.8941884842</v>
      </c>
      <c r="U66" s="44">
        <v>1453890.8941884842</v>
      </c>
      <c r="V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/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 s="44">
        <v>1453890.8941884842</v>
      </c>
      <c r="AP66" s="44">
        <v>1453890.8941884842</v>
      </c>
      <c r="AQ66" s="44">
        <v>1453890.8941884842</v>
      </c>
      <c r="AR66"/>
      <c r="AS66" s="44">
        <v>1453890.8941884842</v>
      </c>
      <c r="AT66" s="44">
        <v>1453890.8941884842</v>
      </c>
      <c r="AU66" s="44">
        <v>1453890.8941884842</v>
      </c>
      <c r="AV66" s="44">
        <v>1453890.8941884842</v>
      </c>
      <c r="AW66"/>
      <c r="AX66" s="44">
        <v>1453890.8941884842</v>
      </c>
      <c r="AY66"/>
      <c r="AZ66"/>
      <c r="BA66" s="44">
        <v>1453890.8941884842</v>
      </c>
    </row>
    <row r="67" spans="1:53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/>
      <c r="N67" s="44">
        <v>1.3888888888888888E-5</v>
      </c>
      <c r="P67" s="44">
        <v>1.3888888888888888E-5</v>
      </c>
      <c r="R67" s="44">
        <v>1.3888888888888888E-5</v>
      </c>
      <c r="S67" s="44"/>
      <c r="T67" s="44">
        <v>1.3888888888888888E-5</v>
      </c>
      <c r="U67" s="44">
        <v>1.3888888888888888E-5</v>
      </c>
      <c r="V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/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 s="44">
        <v>1.3888888888888888E-5</v>
      </c>
      <c r="AP67" s="44">
        <v>1.3888888888888888E-5</v>
      </c>
      <c r="AQ67" s="44">
        <v>1.3888888888888888E-5</v>
      </c>
      <c r="AR67"/>
      <c r="AS67" s="44">
        <v>1.3888888888888888E-5</v>
      </c>
      <c r="AT67" s="44">
        <v>1.3888888888888888E-5</v>
      </c>
      <c r="AU67" s="44">
        <v>1.3888888888888888E-5</v>
      </c>
      <c r="AV67" s="44">
        <v>1.3888888888888888E-5</v>
      </c>
      <c r="AW67"/>
      <c r="AX67" s="44">
        <v>1.3888888888888888E-5</v>
      </c>
      <c r="AY67"/>
      <c r="AZ67"/>
      <c r="BA67" s="44">
        <v>1.3888888888888888E-5</v>
      </c>
    </row>
    <row r="68" spans="1:53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/>
      <c r="N68" s="44">
        <v>6.5011574074074071E-4</v>
      </c>
      <c r="P68" s="44">
        <v>6.5011574074074071E-4</v>
      </c>
      <c r="R68" s="44">
        <v>6.5011574074074071E-4</v>
      </c>
      <c r="S68" s="44"/>
      <c r="T68" s="44">
        <v>6.5011574074074071E-4</v>
      </c>
      <c r="U68" s="44">
        <v>6.5011574074074071E-4</v>
      </c>
      <c r="V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/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 s="44">
        <v>6.5011574074074071E-4</v>
      </c>
      <c r="AP68" s="44">
        <v>6.5011574074074071E-4</v>
      </c>
      <c r="AQ68" s="44">
        <v>6.5011574074074071E-4</v>
      </c>
      <c r="AR68"/>
      <c r="AS68" s="44">
        <v>6.5011574074074071E-4</v>
      </c>
      <c r="AT68" s="44">
        <v>6.5011574074074071E-4</v>
      </c>
      <c r="AU68" s="44">
        <v>6.5011574074074071E-4</v>
      </c>
      <c r="AV68" s="44">
        <v>6.5011574074074071E-4</v>
      </c>
      <c r="AW68"/>
      <c r="AX68" s="44">
        <v>6.5011574074074071E-4</v>
      </c>
      <c r="AY68"/>
      <c r="AZ68"/>
      <c r="BA68" s="44">
        <v>6.5011574074074071E-4</v>
      </c>
    </row>
    <row r="69" spans="1:53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/>
      <c r="N69" s="44">
        <v>4.7400000000000003E-3</v>
      </c>
      <c r="P69" s="44">
        <v>4.7400000000000003E-3</v>
      </c>
      <c r="R69" s="44">
        <v>4.7400000000000003E-3</v>
      </c>
      <c r="S69" s="44"/>
      <c r="T69" s="44">
        <v>4.7400000000000003E-3</v>
      </c>
      <c r="U69" s="44">
        <v>4.7400000000000003E-3</v>
      </c>
      <c r="V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/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 s="44">
        <v>4.7400000000000003E-3</v>
      </c>
      <c r="AP69" s="44">
        <v>4.7400000000000003E-3</v>
      </c>
      <c r="AQ69" s="44">
        <v>4.7400000000000003E-3</v>
      </c>
      <c r="AR69"/>
      <c r="AS69" s="44">
        <v>4.7400000000000003E-3</v>
      </c>
      <c r="AT69" s="44">
        <v>4.7400000000000003E-3</v>
      </c>
      <c r="AU69" s="44">
        <v>4.7400000000000003E-3</v>
      </c>
      <c r="AV69" s="44">
        <v>4.7400000000000003E-3</v>
      </c>
      <c r="AW69"/>
      <c r="AX69" s="44">
        <v>4.7400000000000003E-3</v>
      </c>
      <c r="AY69"/>
      <c r="AZ69"/>
      <c r="BA69" s="44">
        <v>4.7400000000000003E-3</v>
      </c>
    </row>
    <row r="70" spans="1:53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/>
      <c r="N70" s="44">
        <v>282528</v>
      </c>
      <c r="P70" s="44">
        <v>282528</v>
      </c>
      <c r="R70" s="44">
        <v>282528</v>
      </c>
      <c r="S70" s="44"/>
      <c r="T70" s="44">
        <v>282528</v>
      </c>
      <c r="U70" s="44">
        <v>282528</v>
      </c>
      <c r="V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/>
      <c r="AK70" s="44">
        <v>282528</v>
      </c>
      <c r="AL70" s="44">
        <v>282528</v>
      </c>
      <c r="AM70" s="44">
        <v>282528</v>
      </c>
      <c r="AN70" s="44">
        <v>282528</v>
      </c>
      <c r="AO70" s="44">
        <v>282528</v>
      </c>
      <c r="AP70" s="44">
        <v>282528</v>
      </c>
      <c r="AQ70" s="44">
        <v>282528</v>
      </c>
      <c r="AR70"/>
      <c r="AS70" s="44">
        <v>282528</v>
      </c>
      <c r="AT70" s="44">
        <v>282528</v>
      </c>
      <c r="AU70" s="44">
        <v>282528</v>
      </c>
      <c r="AV70" s="44">
        <v>282528</v>
      </c>
      <c r="AW70"/>
      <c r="AX70" s="44">
        <v>282528</v>
      </c>
      <c r="AY70"/>
      <c r="AZ70"/>
      <c r="BA70" s="44">
        <v>282528</v>
      </c>
    </row>
    <row r="71" spans="1:53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/>
      <c r="N71" s="44">
        <v>0.56999999999999995</v>
      </c>
      <c r="P71" s="44">
        <v>0.56999999999999995</v>
      </c>
      <c r="R71" s="44">
        <v>0.56999999999999995</v>
      </c>
      <c r="S71" s="44"/>
      <c r="T71" s="44">
        <v>0.56999999999999995</v>
      </c>
      <c r="U71" s="44">
        <v>0.56999999999999995</v>
      </c>
      <c r="V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/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 s="44">
        <v>0.56999999999999995</v>
      </c>
      <c r="AP71" s="44">
        <v>0.56999999999999995</v>
      </c>
      <c r="AQ71" s="44">
        <v>0.56999999999999995</v>
      </c>
      <c r="AR71"/>
      <c r="AS71" s="44">
        <v>0.56999999999999995</v>
      </c>
      <c r="AT71" s="44">
        <v>0.56999999999999995</v>
      </c>
      <c r="AU71" s="44">
        <v>0.56999999999999995</v>
      </c>
      <c r="AV71" s="44">
        <v>0.56999999999999995</v>
      </c>
      <c r="AW71"/>
      <c r="AX71" s="44">
        <v>0.56999999999999995</v>
      </c>
      <c r="AY71"/>
      <c r="AZ71"/>
      <c r="BA71" s="44">
        <v>0.56999999999999995</v>
      </c>
    </row>
    <row r="72" spans="1:53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/>
      <c r="N72" s="44">
        <v>0.16</v>
      </c>
      <c r="P72" s="44">
        <v>0.16</v>
      </c>
      <c r="R72" s="44">
        <v>0.16</v>
      </c>
      <c r="S72" s="44"/>
      <c r="T72" s="44">
        <v>0.16</v>
      </c>
      <c r="U72" s="44">
        <v>0.16</v>
      </c>
      <c r="V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/>
      <c r="AK72" s="44">
        <v>0.16</v>
      </c>
      <c r="AL72" s="44">
        <v>0.16</v>
      </c>
      <c r="AM72" s="44">
        <v>0.16</v>
      </c>
      <c r="AN72" s="44">
        <v>0.16</v>
      </c>
      <c r="AO72" s="44">
        <v>0.16</v>
      </c>
      <c r="AP72" s="44">
        <v>0.16</v>
      </c>
      <c r="AQ72" s="44">
        <v>0.16</v>
      </c>
      <c r="AR72"/>
      <c r="AS72" s="44">
        <v>0.16</v>
      </c>
      <c r="AT72" s="44">
        <v>0.16</v>
      </c>
      <c r="AU72" s="44">
        <v>0.16</v>
      </c>
      <c r="AV72" s="44">
        <v>0.16</v>
      </c>
      <c r="AW72"/>
      <c r="AX72" s="44">
        <v>0.16</v>
      </c>
      <c r="AY72"/>
      <c r="AZ72"/>
      <c r="BA72" s="44">
        <v>0.16</v>
      </c>
    </row>
    <row r="73" spans="1:53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/>
      <c r="N73" s="44">
        <v>0</v>
      </c>
      <c r="P73" s="44">
        <v>0</v>
      </c>
      <c r="R73" s="44">
        <v>0</v>
      </c>
      <c r="S73" s="44"/>
      <c r="T73" s="44">
        <v>0</v>
      </c>
      <c r="U73" s="44">
        <v>0</v>
      </c>
      <c r="V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/>
      <c r="AK73" s="44">
        <v>0</v>
      </c>
      <c r="AL73" s="44">
        <v>0</v>
      </c>
      <c r="AM73" s="44">
        <v>0</v>
      </c>
      <c r="AN73" s="44">
        <v>0</v>
      </c>
      <c r="AO73" s="44">
        <v>0</v>
      </c>
      <c r="AP73" s="44">
        <v>0</v>
      </c>
      <c r="AQ73" s="44">
        <v>0</v>
      </c>
      <c r="AR73"/>
      <c r="AS73" s="44">
        <v>0</v>
      </c>
      <c r="AT73" s="44">
        <v>0</v>
      </c>
      <c r="AU73" s="44">
        <v>0</v>
      </c>
      <c r="AV73" s="44">
        <v>0</v>
      </c>
      <c r="AW73"/>
      <c r="AX73" s="44">
        <v>0</v>
      </c>
      <c r="AY73"/>
      <c r="AZ73"/>
      <c r="BA73" s="44">
        <v>0</v>
      </c>
    </row>
    <row r="74" spans="1:53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/>
      <c r="N74" s="44">
        <v>745476480000</v>
      </c>
      <c r="P74" s="44">
        <v>745476480000</v>
      </c>
      <c r="R74" s="44">
        <v>745476480000</v>
      </c>
      <c r="S74" s="44"/>
      <c r="T74" s="44">
        <v>745476480000</v>
      </c>
      <c r="U74" s="44">
        <v>745476480000</v>
      </c>
      <c r="V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/>
      <c r="AK74" s="44">
        <v>745476480000</v>
      </c>
      <c r="AL74" s="44">
        <v>745476480000</v>
      </c>
      <c r="AM74" s="44">
        <v>745476480000</v>
      </c>
      <c r="AN74" s="44">
        <v>745476480000</v>
      </c>
      <c r="AO74" s="44">
        <v>745476480000</v>
      </c>
      <c r="AP74" s="44">
        <v>745476480000</v>
      </c>
      <c r="AQ74" s="44">
        <v>745476480000</v>
      </c>
      <c r="AR74"/>
      <c r="AS74" s="44">
        <v>745476480000</v>
      </c>
      <c r="AT74" s="44">
        <v>745476480000</v>
      </c>
      <c r="AU74" s="44">
        <v>745476480000</v>
      </c>
      <c r="AV74" s="44">
        <v>745476480000</v>
      </c>
      <c r="AW74"/>
      <c r="AX74" s="44">
        <v>745476480000</v>
      </c>
      <c r="AY74"/>
      <c r="AZ74"/>
      <c r="BA74" s="44">
        <v>745476480000</v>
      </c>
    </row>
    <row r="75" spans="1:53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/>
      <c r="N75" s="44">
        <v>100</v>
      </c>
      <c r="P75" s="44">
        <v>100</v>
      </c>
      <c r="R75" s="44">
        <v>100</v>
      </c>
      <c r="S75" s="44"/>
      <c r="T75" s="44">
        <v>100</v>
      </c>
      <c r="U75" s="44">
        <v>100</v>
      </c>
      <c r="V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/>
      <c r="AK75" s="44">
        <v>100</v>
      </c>
      <c r="AL75" s="44">
        <v>100</v>
      </c>
      <c r="AM75" s="44">
        <v>100</v>
      </c>
      <c r="AN75" s="44">
        <v>100</v>
      </c>
      <c r="AO75" s="44">
        <v>100</v>
      </c>
      <c r="AP75" s="44">
        <v>100</v>
      </c>
      <c r="AQ75" s="44">
        <v>100</v>
      </c>
      <c r="AR75"/>
      <c r="AS75" s="44">
        <v>100</v>
      </c>
      <c r="AT75" s="44">
        <v>100</v>
      </c>
      <c r="AU75" s="44">
        <v>100</v>
      </c>
      <c r="AV75" s="44">
        <v>100</v>
      </c>
      <c r="AW75"/>
      <c r="AX75" s="44">
        <v>100</v>
      </c>
      <c r="AY75"/>
      <c r="AZ75"/>
      <c r="BA75" s="44">
        <v>100</v>
      </c>
    </row>
    <row r="76" spans="1:53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/>
      <c r="N76" s="44" t="s">
        <v>86</v>
      </c>
      <c r="P76" s="44" t="s">
        <v>86</v>
      </c>
      <c r="R76" s="44" t="s">
        <v>86</v>
      </c>
      <c r="S76" s="44"/>
      <c r="T76" s="44" t="s">
        <v>86</v>
      </c>
      <c r="U76" s="44" t="s">
        <v>86</v>
      </c>
      <c r="V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/>
      <c r="AK76" s="44" t="s">
        <v>86</v>
      </c>
      <c r="AL76" s="44" t="s">
        <v>86</v>
      </c>
      <c r="AM76" s="44" t="s">
        <v>86</v>
      </c>
      <c r="AN76" s="44" t="s">
        <v>86</v>
      </c>
      <c r="AO76" s="44" t="s">
        <v>86</v>
      </c>
      <c r="AP76" s="44" t="s">
        <v>86</v>
      </c>
      <c r="AQ76" s="44" t="s">
        <v>86</v>
      </c>
      <c r="AR76"/>
      <c r="AS76" s="44" t="s">
        <v>86</v>
      </c>
      <c r="AT76" s="44" t="s">
        <v>86</v>
      </c>
      <c r="AU76" s="44" t="s">
        <v>86</v>
      </c>
      <c r="AV76" s="44" t="s">
        <v>86</v>
      </c>
      <c r="AW76"/>
      <c r="AX76" s="44" t="s">
        <v>86</v>
      </c>
      <c r="AY76"/>
      <c r="AZ76"/>
      <c r="BA76" s="44" t="s">
        <v>86</v>
      </c>
    </row>
    <row r="77" spans="1:53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/>
      <c r="N77" s="44">
        <v>21600</v>
      </c>
      <c r="P77" s="44">
        <v>21600</v>
      </c>
      <c r="R77" s="44">
        <v>21600</v>
      </c>
      <c r="S77" s="44"/>
      <c r="T77" s="44">
        <v>21600</v>
      </c>
      <c r="U77" s="44">
        <v>21600</v>
      </c>
      <c r="V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/>
      <c r="AK77" s="44">
        <v>21600</v>
      </c>
      <c r="AL77" s="44">
        <v>21600</v>
      </c>
      <c r="AM77" s="44">
        <v>21600</v>
      </c>
      <c r="AN77" s="44">
        <v>21600</v>
      </c>
      <c r="AO77" s="44">
        <v>21600</v>
      </c>
      <c r="AP77" s="44">
        <v>21600</v>
      </c>
      <c r="AQ77" s="44">
        <v>21600</v>
      </c>
      <c r="AR77"/>
      <c r="AS77" s="44">
        <v>21600</v>
      </c>
      <c r="AT77" s="44">
        <v>21600</v>
      </c>
      <c r="AU77" s="44">
        <v>21600</v>
      </c>
      <c r="AV77" s="44">
        <v>21600</v>
      </c>
      <c r="AW77"/>
      <c r="AX77" s="44">
        <v>21600</v>
      </c>
      <c r="AY77"/>
      <c r="AZ77"/>
      <c r="BA77" s="44">
        <v>21600</v>
      </c>
    </row>
    <row r="78" spans="1:53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/>
      <c r="N78" s="44">
        <v>0.5</v>
      </c>
      <c r="P78" s="44">
        <v>0.5</v>
      </c>
      <c r="R78" s="44">
        <v>0.5</v>
      </c>
      <c r="S78" s="44"/>
      <c r="T78" s="44">
        <v>0.5</v>
      </c>
      <c r="U78" s="44">
        <v>0.5</v>
      </c>
      <c r="V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/>
      <c r="AK78" s="44">
        <v>0.5</v>
      </c>
      <c r="AL78" s="44">
        <v>0.5</v>
      </c>
      <c r="AM78" s="44">
        <v>0.5</v>
      </c>
      <c r="AN78" s="44">
        <v>0.5</v>
      </c>
      <c r="AO78" s="44">
        <v>0.5</v>
      </c>
      <c r="AP78" s="44">
        <v>0.5</v>
      </c>
      <c r="AQ78" s="44">
        <v>0.5</v>
      </c>
      <c r="AR78"/>
      <c r="AS78" s="44">
        <v>0.5</v>
      </c>
      <c r="AT78" s="44">
        <v>0.5</v>
      </c>
      <c r="AU78" s="44">
        <v>0.5</v>
      </c>
      <c r="AV78" s="44">
        <v>0.5</v>
      </c>
      <c r="AW78"/>
      <c r="AX78" s="44">
        <v>0.5</v>
      </c>
      <c r="AY78"/>
      <c r="AZ78"/>
      <c r="BA78" s="44">
        <v>0.5</v>
      </c>
    </row>
    <row r="79" spans="1:53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/>
      <c r="N79" s="44">
        <v>60479.999999999993</v>
      </c>
      <c r="P79" s="44">
        <v>60479.999999999993</v>
      </c>
      <c r="R79" s="44">
        <v>60479.999999999993</v>
      </c>
      <c r="S79" s="44"/>
      <c r="T79" s="44">
        <v>60479.999999999993</v>
      </c>
      <c r="U79" s="44">
        <v>60479.999999999993</v>
      </c>
      <c r="V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/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 s="44">
        <v>60479.999999999993</v>
      </c>
      <c r="AP79" s="44">
        <v>60479.999999999993</v>
      </c>
      <c r="AQ79" s="44">
        <v>60479.999999999993</v>
      </c>
      <c r="AR79"/>
      <c r="AS79" s="44">
        <v>60479.999999999993</v>
      </c>
      <c r="AT79" s="44">
        <v>60479.999999999993</v>
      </c>
      <c r="AU79" s="44">
        <v>60479.999999999993</v>
      </c>
      <c r="AV79" s="44">
        <v>60479.999999999993</v>
      </c>
      <c r="AW79"/>
      <c r="AX79" s="44">
        <v>60479.999999999993</v>
      </c>
      <c r="AY79"/>
      <c r="AZ79"/>
      <c r="BA79" s="44">
        <v>60479.999999999993</v>
      </c>
    </row>
    <row r="80" spans="1:53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/>
      <c r="N80" s="44">
        <v>0.85</v>
      </c>
      <c r="P80" s="44">
        <v>0.85</v>
      </c>
      <c r="R80" s="44">
        <v>0.85</v>
      </c>
      <c r="S80" s="44"/>
      <c r="T80" s="44">
        <v>0.85</v>
      </c>
      <c r="U80" s="44">
        <v>0.85</v>
      </c>
      <c r="V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/>
      <c r="AK80" s="44">
        <v>0.85</v>
      </c>
      <c r="AL80" s="44">
        <v>0.85</v>
      </c>
      <c r="AM80" s="44">
        <v>0.85</v>
      </c>
      <c r="AN80" s="44">
        <v>0.85</v>
      </c>
      <c r="AO80" s="44">
        <v>0.85</v>
      </c>
      <c r="AP80" s="44">
        <v>0.85</v>
      </c>
      <c r="AQ80" s="44">
        <v>0.85</v>
      </c>
      <c r="AR80"/>
      <c r="AS80" s="44">
        <v>0.85</v>
      </c>
      <c r="AT80" s="44">
        <v>0.85</v>
      </c>
      <c r="AU80" s="44">
        <v>0.85</v>
      </c>
      <c r="AV80" s="44">
        <v>0.85</v>
      </c>
      <c r="AW80"/>
      <c r="AX80" s="44">
        <v>0.85</v>
      </c>
      <c r="AY80"/>
      <c r="AZ80"/>
      <c r="BA80" s="44">
        <v>0.85</v>
      </c>
    </row>
    <row r="81" spans="1:53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/>
      <c r="N81" s="44">
        <v>518400</v>
      </c>
      <c r="P81" s="44">
        <v>518400</v>
      </c>
      <c r="R81" s="44">
        <v>518400</v>
      </c>
      <c r="S81" s="44"/>
      <c r="T81" s="44">
        <v>518400</v>
      </c>
      <c r="U81" s="44">
        <v>518400</v>
      </c>
      <c r="V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/>
      <c r="AK81" s="44">
        <v>518400</v>
      </c>
      <c r="AL81" s="44">
        <v>518400</v>
      </c>
      <c r="AM81" s="44">
        <v>518400</v>
      </c>
      <c r="AN81" s="44">
        <v>518400</v>
      </c>
      <c r="AO81" s="44">
        <v>518400</v>
      </c>
      <c r="AP81" s="44">
        <v>518400</v>
      </c>
      <c r="AQ81" s="44">
        <v>518400</v>
      </c>
      <c r="AR81"/>
      <c r="AS81" s="44">
        <v>518400</v>
      </c>
      <c r="AT81" s="44">
        <v>518400</v>
      </c>
      <c r="AU81" s="44">
        <v>518400</v>
      </c>
      <c r="AV81" s="44">
        <v>518400</v>
      </c>
      <c r="AW81"/>
      <c r="AX81" s="44">
        <v>518400</v>
      </c>
      <c r="AY81"/>
      <c r="AZ81"/>
      <c r="BA81" s="44">
        <v>518400</v>
      </c>
    </row>
    <row r="82" spans="1:53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/>
      <c r="N82" s="44">
        <v>5184000</v>
      </c>
      <c r="P82" s="44">
        <v>5184000</v>
      </c>
      <c r="R82" s="44">
        <v>5184000</v>
      </c>
      <c r="S82" s="44"/>
      <c r="T82" s="44">
        <v>5184000</v>
      </c>
      <c r="U82" s="44">
        <v>5184000</v>
      </c>
      <c r="V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/>
      <c r="AK82" s="44">
        <v>5184000</v>
      </c>
      <c r="AL82" s="44">
        <v>5184000</v>
      </c>
      <c r="AM82" s="44">
        <v>5184000</v>
      </c>
      <c r="AN82" s="44">
        <v>5184000</v>
      </c>
      <c r="AO82" s="44">
        <v>5184000</v>
      </c>
      <c r="AP82" s="44">
        <v>5184000</v>
      </c>
      <c r="AQ82" s="44">
        <v>5184000</v>
      </c>
      <c r="AR82"/>
      <c r="AS82" s="44">
        <v>5184000</v>
      </c>
      <c r="AT82" s="44">
        <v>5184000</v>
      </c>
      <c r="AU82" s="44">
        <v>5184000</v>
      </c>
      <c r="AV82" s="44">
        <v>5184000</v>
      </c>
      <c r="AW82"/>
      <c r="AX82" s="44">
        <v>5184000</v>
      </c>
      <c r="AY82"/>
      <c r="AZ82"/>
      <c r="BA82" s="44">
        <v>5184000</v>
      </c>
    </row>
    <row r="83" spans="1:53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/>
      <c r="N83" s="44">
        <v>50000</v>
      </c>
      <c r="P83" s="44">
        <v>50000</v>
      </c>
      <c r="R83" s="44">
        <v>50000</v>
      </c>
      <c r="S83" s="44"/>
      <c r="T83" s="44">
        <v>50000</v>
      </c>
      <c r="U83" s="44">
        <v>50000</v>
      </c>
      <c r="V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/>
      <c r="AK83" s="44">
        <v>50000</v>
      </c>
      <c r="AL83" s="44">
        <v>50000</v>
      </c>
      <c r="AM83" s="44">
        <v>50000</v>
      </c>
      <c r="AN83" s="44">
        <v>50000</v>
      </c>
      <c r="AO83" s="44">
        <v>50000</v>
      </c>
      <c r="AP83" s="44">
        <v>50000</v>
      </c>
      <c r="AQ83" s="44">
        <v>50000</v>
      </c>
      <c r="AR83"/>
      <c r="AS83" s="44">
        <v>50000</v>
      </c>
      <c r="AT83" s="44">
        <v>50000</v>
      </c>
      <c r="AU83" s="44">
        <v>50000</v>
      </c>
      <c r="AV83" s="44">
        <v>50000</v>
      </c>
      <c r="AW83"/>
      <c r="AX83" s="44">
        <v>50000</v>
      </c>
      <c r="AY83"/>
      <c r="AZ83"/>
      <c r="BA83" s="44">
        <v>50000</v>
      </c>
    </row>
    <row r="84" spans="1:53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/>
      <c r="N84" s="44">
        <v>140000</v>
      </c>
      <c r="P84" s="44">
        <v>140000</v>
      </c>
      <c r="R84" s="44">
        <v>140000</v>
      </c>
      <c r="S84" s="44"/>
      <c r="T84" s="44">
        <v>140000</v>
      </c>
      <c r="U84" s="44">
        <v>140000</v>
      </c>
      <c r="V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/>
      <c r="AK84" s="44">
        <v>140000</v>
      </c>
      <c r="AL84" s="44">
        <v>140000</v>
      </c>
      <c r="AM84" s="44">
        <v>140000</v>
      </c>
      <c r="AN84" s="44">
        <v>140000</v>
      </c>
      <c r="AO84" s="44">
        <v>140000</v>
      </c>
      <c r="AP84" s="44">
        <v>140000</v>
      </c>
      <c r="AQ84" s="44">
        <v>140000</v>
      </c>
      <c r="AR84"/>
      <c r="AS84" s="44">
        <v>140000</v>
      </c>
      <c r="AT84" s="44">
        <v>140000</v>
      </c>
      <c r="AU84" s="44">
        <v>140000</v>
      </c>
      <c r="AV84" s="44">
        <v>140000</v>
      </c>
      <c r="AW84"/>
      <c r="AX84" s="44">
        <v>140000</v>
      </c>
      <c r="AY84"/>
      <c r="AZ84"/>
      <c r="BA84" s="44">
        <v>140000</v>
      </c>
    </row>
    <row r="85" spans="1:53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/>
      <c r="N85" s="44">
        <v>3.6636136999999999E-2</v>
      </c>
      <c r="P85" s="44">
        <v>3.6636136999999999E-2</v>
      </c>
      <c r="R85" s="44">
        <v>3.6636136999999999E-2</v>
      </c>
      <c r="S85" s="44"/>
      <c r="T85" s="44">
        <v>3.6636136999999999E-2</v>
      </c>
      <c r="U85" s="44">
        <v>3.6636136999999999E-2</v>
      </c>
      <c r="V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/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 s="44">
        <v>3.6636136999999999E-2</v>
      </c>
      <c r="AP85" s="44">
        <v>3.6636136999999999E-2</v>
      </c>
      <c r="AQ85" s="44">
        <v>3.6636136999999999E-2</v>
      </c>
      <c r="AR85"/>
      <c r="AS85" s="44">
        <v>3.6636136999999999E-2</v>
      </c>
      <c r="AT85" s="44">
        <v>3.6636136999999999E-2</v>
      </c>
      <c r="AU85" s="44">
        <v>3.6636136999999999E-2</v>
      </c>
      <c r="AV85" s="44">
        <v>3.6636136999999999E-2</v>
      </c>
      <c r="AW85"/>
      <c r="AX85" s="44">
        <v>3.6636136999999999E-2</v>
      </c>
      <c r="AY85"/>
      <c r="AZ85"/>
      <c r="BA85" s="44">
        <v>3.6636136999999999E-2</v>
      </c>
    </row>
    <row r="86" spans="1:53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/>
      <c r="N86" s="44">
        <v>4.4999999999999997E-3</v>
      </c>
      <c r="P86" s="44">
        <v>4.4999999999999997E-3</v>
      </c>
      <c r="R86" s="44">
        <v>4.4999999999999997E-3</v>
      </c>
      <c r="S86" s="44"/>
      <c r="T86" s="44">
        <v>4.4999999999999997E-3</v>
      </c>
      <c r="U86" s="44">
        <v>4.4999999999999997E-3</v>
      </c>
      <c r="V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/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 s="44">
        <v>4.4999999999999997E-3</v>
      </c>
      <c r="AP86" s="44">
        <v>4.4999999999999997E-3</v>
      </c>
      <c r="AQ86" s="44">
        <v>4.4999999999999997E-3</v>
      </c>
      <c r="AR86"/>
      <c r="AS86" s="44">
        <v>4.4999999999999997E-3</v>
      </c>
      <c r="AT86" s="44">
        <v>4.4999999999999997E-3</v>
      </c>
      <c r="AU86" s="44">
        <v>4.4999999999999997E-3</v>
      </c>
      <c r="AV86" s="44">
        <v>4.4999999999999997E-3</v>
      </c>
      <c r="AW86"/>
      <c r="AX86" s="44">
        <v>4.4999999999999997E-3</v>
      </c>
      <c r="AY86"/>
      <c r="AZ86"/>
      <c r="BA86" s="44">
        <v>4.4999999999999997E-3</v>
      </c>
    </row>
    <row r="87" spans="1:53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/>
      <c r="N87" s="44">
        <v>0.05</v>
      </c>
      <c r="P87" s="44">
        <v>0.05</v>
      </c>
      <c r="R87" s="44">
        <v>0.05</v>
      </c>
      <c r="S87" s="44"/>
      <c r="T87" s="44">
        <v>0.05</v>
      </c>
      <c r="U87" s="44">
        <v>0.05</v>
      </c>
      <c r="V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/>
      <c r="AK87" s="44">
        <v>0.05</v>
      </c>
      <c r="AL87" s="44">
        <v>0.05</v>
      </c>
      <c r="AM87" s="44">
        <v>0.05</v>
      </c>
      <c r="AN87" s="44">
        <v>0.05</v>
      </c>
      <c r="AO87" s="44">
        <v>0.05</v>
      </c>
      <c r="AP87" s="44">
        <v>0.05</v>
      </c>
      <c r="AQ87" s="44">
        <v>0.05</v>
      </c>
      <c r="AR87"/>
      <c r="AS87" s="44">
        <v>0.05</v>
      </c>
      <c r="AT87" s="44">
        <v>0.05</v>
      </c>
      <c r="AU87" s="44">
        <v>0.05</v>
      </c>
      <c r="AV87" s="44">
        <v>0.05</v>
      </c>
      <c r="AW87"/>
      <c r="AX87" s="44">
        <v>0.05</v>
      </c>
      <c r="AY87"/>
      <c r="AZ87"/>
      <c r="BA87" s="44">
        <v>0.05</v>
      </c>
    </row>
    <row r="88" spans="1:53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/>
      <c r="N88" s="44">
        <v>6.0000000000000002E-6</v>
      </c>
      <c r="P88" s="44">
        <v>6.0000000000000002E-6</v>
      </c>
      <c r="R88" s="44">
        <v>6.0000000000000002E-6</v>
      </c>
      <c r="S88" s="44"/>
      <c r="T88" s="44">
        <v>6.0000000000000002E-6</v>
      </c>
      <c r="U88" s="44">
        <v>6.0000000000000002E-6</v>
      </c>
      <c r="V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/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 s="44">
        <v>6.0000000000000002E-6</v>
      </c>
      <c r="AP88" s="44">
        <v>6.0000000000000002E-6</v>
      </c>
      <c r="AQ88" s="44">
        <v>6.0000000000000002E-6</v>
      </c>
      <c r="AR88"/>
      <c r="AS88" s="44">
        <v>6.0000000000000002E-6</v>
      </c>
      <c r="AT88" s="44">
        <v>6.0000000000000002E-6</v>
      </c>
      <c r="AU88" s="44">
        <v>6.0000000000000002E-6</v>
      </c>
      <c r="AV88" s="44">
        <v>6.0000000000000002E-6</v>
      </c>
      <c r="AW88"/>
      <c r="AX88" s="44">
        <v>6.0000000000000002E-6</v>
      </c>
      <c r="AY88"/>
      <c r="AZ88"/>
      <c r="BA88" s="44">
        <v>6.0000000000000002E-6</v>
      </c>
    </row>
    <row r="89" spans="1:53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/>
      <c r="N89" s="44">
        <v>1E-3</v>
      </c>
      <c r="P89" s="44">
        <v>1E-3</v>
      </c>
      <c r="R89" s="44">
        <v>1E-3</v>
      </c>
      <c r="S89" s="44"/>
      <c r="T89" s="44">
        <v>1E-3</v>
      </c>
      <c r="U89" s="44">
        <v>1E-3</v>
      </c>
      <c r="V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/>
      <c r="AK89" s="44">
        <v>1E-3</v>
      </c>
      <c r="AL89" s="44">
        <v>1E-3</v>
      </c>
      <c r="AM89" s="44">
        <v>1E-3</v>
      </c>
      <c r="AN89" s="44">
        <v>1E-3</v>
      </c>
      <c r="AO89" s="44">
        <v>1E-3</v>
      </c>
      <c r="AP89" s="44">
        <v>1E-3</v>
      </c>
      <c r="AQ89" s="44">
        <v>1E-3</v>
      </c>
      <c r="AR89"/>
      <c r="AS89" s="44">
        <v>1E-3</v>
      </c>
      <c r="AT89" s="44">
        <v>1E-3</v>
      </c>
      <c r="AU89" s="44">
        <v>1E-3</v>
      </c>
      <c r="AV89" s="44">
        <v>1E-3</v>
      </c>
      <c r="AW89"/>
      <c r="AX89" s="44">
        <v>1E-3</v>
      </c>
      <c r="AY89"/>
      <c r="AZ89"/>
      <c r="BA89" s="44">
        <v>1E-3</v>
      </c>
    </row>
    <row r="90" spans="1:53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/>
      <c r="N90" s="44">
        <v>374999999.99999994</v>
      </c>
      <c r="P90" s="44">
        <v>374999999.99999994</v>
      </c>
      <c r="R90" s="44">
        <v>374999999.99999994</v>
      </c>
      <c r="S90" s="44"/>
      <c r="T90" s="44">
        <v>374999999.99999994</v>
      </c>
      <c r="U90" s="44">
        <v>374999999.99999994</v>
      </c>
      <c r="V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/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 s="44">
        <v>374999999.99999994</v>
      </c>
      <c r="AP90" s="44">
        <v>374999999.99999994</v>
      </c>
      <c r="AQ90" s="44">
        <v>374999999.99999994</v>
      </c>
      <c r="AR90"/>
      <c r="AS90" s="44">
        <v>374999999.99999994</v>
      </c>
      <c r="AT90" s="44">
        <v>374999999.99999994</v>
      </c>
      <c r="AU90" s="44">
        <v>374999999.99999994</v>
      </c>
      <c r="AV90" s="44">
        <v>374999999.99999994</v>
      </c>
      <c r="AW90"/>
      <c r="AX90" s="44">
        <v>374999999.99999994</v>
      </c>
      <c r="AY90"/>
      <c r="AZ90"/>
      <c r="BA90" s="44">
        <v>374999999.99999994</v>
      </c>
    </row>
    <row r="91" spans="1:53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/>
      <c r="N91" s="44">
        <v>3.7037037037037038E-3</v>
      </c>
      <c r="P91" s="44">
        <v>3.7037037037037038E-3</v>
      </c>
      <c r="R91" s="44">
        <v>3.7037037037037038E-3</v>
      </c>
      <c r="S91" s="44"/>
      <c r="T91" s="44">
        <v>3.7037037037037038E-3</v>
      </c>
      <c r="U91" s="44">
        <v>3.7037037037037038E-3</v>
      </c>
      <c r="V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/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 s="44">
        <v>3.7037037037037038E-3</v>
      </c>
      <c r="AP91" s="44">
        <v>3.7037037037037038E-3</v>
      </c>
      <c r="AQ91" s="44">
        <v>3.7037037037037038E-3</v>
      </c>
      <c r="AR91"/>
      <c r="AS91" s="44">
        <v>3.7037037037037038E-3</v>
      </c>
      <c r="AT91" s="44">
        <v>3.7037037037037038E-3</v>
      </c>
      <c r="AU91" s="44">
        <v>3.7037037037037038E-3</v>
      </c>
      <c r="AV91" s="44">
        <v>3.7037037037037038E-3</v>
      </c>
      <c r="AW91"/>
      <c r="AX91" s="44">
        <v>3.7037037037037038E-3</v>
      </c>
      <c r="AY91"/>
      <c r="AZ91"/>
      <c r="BA91" s="44">
        <v>3.7037037037037038E-3</v>
      </c>
    </row>
    <row r="92" spans="1:53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/>
      <c r="N92" s="44">
        <v>165600</v>
      </c>
      <c r="P92" s="44">
        <v>165600</v>
      </c>
      <c r="R92" s="44">
        <v>165600</v>
      </c>
      <c r="S92" s="44"/>
      <c r="T92" s="44">
        <v>165600</v>
      </c>
      <c r="U92" s="44">
        <v>165600</v>
      </c>
      <c r="V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/>
      <c r="AK92" s="44">
        <v>165600</v>
      </c>
      <c r="AL92" s="44">
        <v>165600</v>
      </c>
      <c r="AM92" s="44">
        <v>165600</v>
      </c>
      <c r="AN92" s="44">
        <v>165600</v>
      </c>
      <c r="AO92" s="44">
        <v>165600</v>
      </c>
      <c r="AP92" s="44">
        <v>165600</v>
      </c>
      <c r="AQ92" s="44">
        <v>165600</v>
      </c>
      <c r="AR92"/>
      <c r="AS92" s="44">
        <v>165600</v>
      </c>
      <c r="AT92" s="44">
        <v>165600</v>
      </c>
      <c r="AU92" s="44">
        <v>165600</v>
      </c>
      <c r="AV92" s="44">
        <v>165600</v>
      </c>
      <c r="AW92"/>
      <c r="AX92" s="44">
        <v>165600</v>
      </c>
      <c r="AY92"/>
      <c r="AZ92"/>
      <c r="BA92" s="44">
        <v>165600</v>
      </c>
    </row>
    <row r="93" spans="1:53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/>
      <c r="N93" s="44">
        <v>20</v>
      </c>
      <c r="P93" s="44">
        <v>20</v>
      </c>
      <c r="R93" s="44">
        <v>20</v>
      </c>
      <c r="S93" s="44"/>
      <c r="T93" s="44">
        <v>20</v>
      </c>
      <c r="U93" s="44">
        <v>20</v>
      </c>
      <c r="V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/>
      <c r="AK93" s="44">
        <v>20</v>
      </c>
      <c r="AL93" s="44">
        <v>20</v>
      </c>
      <c r="AM93" s="44">
        <v>20</v>
      </c>
      <c r="AN93" s="44">
        <v>20</v>
      </c>
      <c r="AO93" s="44">
        <v>20</v>
      </c>
      <c r="AP93" s="44">
        <v>20</v>
      </c>
      <c r="AQ93" s="44">
        <v>20</v>
      </c>
      <c r="AR93"/>
      <c r="AS93" s="44">
        <v>20</v>
      </c>
      <c r="AT93" s="44">
        <v>20</v>
      </c>
      <c r="AU93" s="44">
        <v>20</v>
      </c>
      <c r="AV93" s="44">
        <v>20</v>
      </c>
      <c r="AW93"/>
      <c r="AX93" s="44">
        <v>20</v>
      </c>
      <c r="AY93"/>
      <c r="AZ93"/>
      <c r="BA93" s="44">
        <v>20</v>
      </c>
    </row>
    <row r="94" spans="1:53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/>
      <c r="N94" s="44">
        <v>1</v>
      </c>
      <c r="P94" s="44">
        <v>1</v>
      </c>
      <c r="R94" s="44">
        <v>1</v>
      </c>
      <c r="S94" s="44"/>
      <c r="T94" s="44">
        <v>1</v>
      </c>
      <c r="U94" s="44">
        <v>1</v>
      </c>
      <c r="V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/>
      <c r="AK94" s="44">
        <v>1</v>
      </c>
      <c r="AL94" s="44">
        <v>1</v>
      </c>
      <c r="AM94" s="44">
        <v>1</v>
      </c>
      <c r="AN94" s="44">
        <v>1</v>
      </c>
      <c r="AO94" s="44">
        <v>1</v>
      </c>
      <c r="AP94" s="44">
        <v>1</v>
      </c>
      <c r="AQ94" s="44">
        <v>1</v>
      </c>
      <c r="AR94"/>
      <c r="AS94" s="44">
        <v>1</v>
      </c>
      <c r="AT94" s="44">
        <v>1</v>
      </c>
      <c r="AU94" s="44">
        <v>1</v>
      </c>
      <c r="AV94" s="44">
        <v>1</v>
      </c>
      <c r="AW94"/>
      <c r="AX94" s="44">
        <v>1</v>
      </c>
      <c r="AY94"/>
      <c r="AZ94"/>
      <c r="BA94" s="44">
        <v>1</v>
      </c>
    </row>
    <row r="95" spans="1:53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/>
      <c r="N95" s="44">
        <v>21</v>
      </c>
      <c r="P95" s="44">
        <v>21</v>
      </c>
      <c r="R95" s="44">
        <v>21</v>
      </c>
      <c r="S95" s="44"/>
      <c r="T95" s="44">
        <v>21</v>
      </c>
      <c r="U95" s="44">
        <v>21</v>
      </c>
      <c r="V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/>
      <c r="AK95" s="44">
        <v>21</v>
      </c>
      <c r="AL95" s="44">
        <v>21</v>
      </c>
      <c r="AM95" s="44">
        <v>21</v>
      </c>
      <c r="AN95" s="44">
        <v>21</v>
      </c>
      <c r="AO95" s="44">
        <v>21</v>
      </c>
      <c r="AP95" s="44">
        <v>21</v>
      </c>
      <c r="AQ95" s="44">
        <v>21</v>
      </c>
      <c r="AR95"/>
      <c r="AS95" s="44">
        <v>21</v>
      </c>
      <c r="AT95" s="44">
        <v>21</v>
      </c>
      <c r="AU95" s="44">
        <v>21</v>
      </c>
      <c r="AV95" s="44">
        <v>21</v>
      </c>
      <c r="AW95"/>
      <c r="AX95" s="44">
        <v>21</v>
      </c>
      <c r="AY95"/>
      <c r="AZ95"/>
      <c r="BA95" s="44">
        <v>21</v>
      </c>
    </row>
    <row r="96" spans="1:53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/>
      <c r="N96" s="44">
        <v>0.64</v>
      </c>
      <c r="P96" s="44">
        <v>0.64</v>
      </c>
      <c r="R96" s="44">
        <v>0.64</v>
      </c>
      <c r="S96" s="44"/>
      <c r="T96" s="44">
        <v>0.64</v>
      </c>
      <c r="U96" s="44">
        <v>0.64</v>
      </c>
      <c r="V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/>
      <c r="AK96" s="44">
        <v>0.64</v>
      </c>
      <c r="AL96" s="44">
        <v>0.64</v>
      </c>
      <c r="AM96" s="44">
        <v>0.64</v>
      </c>
      <c r="AN96" s="44">
        <v>0.64</v>
      </c>
      <c r="AO96" s="44">
        <v>0.64</v>
      </c>
      <c r="AP96" s="44">
        <v>0.64</v>
      </c>
      <c r="AQ96" s="44">
        <v>0.64</v>
      </c>
      <c r="AR96"/>
      <c r="AS96" s="44">
        <v>0.64</v>
      </c>
      <c r="AT96" s="44">
        <v>0.64</v>
      </c>
      <c r="AU96" s="44">
        <v>0.64</v>
      </c>
      <c r="AV96" s="44">
        <v>0.64</v>
      </c>
      <c r="AW96"/>
      <c r="AX96" s="44">
        <v>0.64</v>
      </c>
      <c r="AY96"/>
      <c r="AZ96"/>
      <c r="BA96" s="44">
        <v>0.64</v>
      </c>
    </row>
    <row r="97" spans="1:53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/>
      <c r="N97" s="44">
        <v>8</v>
      </c>
      <c r="P97" s="44">
        <v>8</v>
      </c>
      <c r="R97" s="44">
        <v>8</v>
      </c>
      <c r="S97" s="44"/>
      <c r="T97" s="44">
        <v>8</v>
      </c>
      <c r="U97" s="44">
        <v>8</v>
      </c>
      <c r="V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/>
      <c r="AK97" s="44">
        <v>8</v>
      </c>
      <c r="AL97" s="44">
        <v>8</v>
      </c>
      <c r="AM97" s="44">
        <v>8</v>
      </c>
      <c r="AN97" s="44">
        <v>8</v>
      </c>
      <c r="AO97" s="44">
        <v>8</v>
      </c>
      <c r="AP97" s="44">
        <v>8</v>
      </c>
      <c r="AQ97" s="44">
        <v>8</v>
      </c>
      <c r="AR97"/>
      <c r="AS97" s="44">
        <v>8</v>
      </c>
      <c r="AT97" s="44">
        <v>8</v>
      </c>
      <c r="AU97" s="44">
        <v>8</v>
      </c>
      <c r="AV97" s="44">
        <v>8</v>
      </c>
      <c r="AW97"/>
      <c r="AX97" s="44">
        <v>8</v>
      </c>
      <c r="AY97"/>
      <c r="AZ97"/>
      <c r="BA97" s="44">
        <v>8</v>
      </c>
    </row>
    <row r="98" spans="1:53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/>
      <c r="N98" s="44">
        <v>10</v>
      </c>
      <c r="P98" s="44">
        <v>10</v>
      </c>
      <c r="R98" s="44">
        <v>10</v>
      </c>
      <c r="S98" s="44"/>
      <c r="T98" s="44">
        <v>10</v>
      </c>
      <c r="U98" s="44">
        <v>10</v>
      </c>
      <c r="V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/>
      <c r="AK98" s="44">
        <v>10</v>
      </c>
      <c r="AL98" s="44">
        <v>10</v>
      </c>
      <c r="AM98" s="44">
        <v>10</v>
      </c>
      <c r="AN98" s="44">
        <v>10</v>
      </c>
      <c r="AO98" s="44">
        <v>10</v>
      </c>
      <c r="AP98" s="44">
        <v>10</v>
      </c>
      <c r="AQ98" s="44">
        <v>10</v>
      </c>
      <c r="AR98"/>
      <c r="AS98" s="44">
        <v>10</v>
      </c>
      <c r="AT98" s="44">
        <v>10</v>
      </c>
      <c r="AU98" s="44">
        <v>10</v>
      </c>
      <c r="AV98" s="44">
        <v>10</v>
      </c>
      <c r="AW98"/>
      <c r="AX98" s="44">
        <v>10</v>
      </c>
      <c r="AY98"/>
      <c r="AZ98"/>
      <c r="BA98" s="44">
        <v>10</v>
      </c>
    </row>
    <row r="99" spans="1:53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/>
      <c r="N99" s="44">
        <v>8</v>
      </c>
      <c r="P99" s="44">
        <v>8</v>
      </c>
      <c r="R99" s="44">
        <v>8</v>
      </c>
      <c r="S99" s="44"/>
      <c r="T99" s="44">
        <v>8</v>
      </c>
      <c r="U99" s="44">
        <v>8</v>
      </c>
      <c r="V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/>
      <c r="AK99" s="44">
        <v>8</v>
      </c>
      <c r="AL99" s="44">
        <v>8</v>
      </c>
      <c r="AM99" s="44">
        <v>8</v>
      </c>
      <c r="AN99" s="44">
        <v>8</v>
      </c>
      <c r="AO99" s="44">
        <v>8</v>
      </c>
      <c r="AP99" s="44">
        <v>8</v>
      </c>
      <c r="AQ99" s="44">
        <v>8</v>
      </c>
      <c r="AR99"/>
      <c r="AS99" s="44">
        <v>8</v>
      </c>
      <c r="AT99" s="44">
        <v>8</v>
      </c>
      <c r="AU99" s="44">
        <v>8</v>
      </c>
      <c r="AV99" s="44">
        <v>8</v>
      </c>
      <c r="AW99"/>
      <c r="AX99" s="44">
        <v>8</v>
      </c>
      <c r="AY99"/>
      <c r="AZ99"/>
      <c r="BA99" s="44">
        <v>8</v>
      </c>
    </row>
    <row r="100" spans="1:53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/>
      <c r="N100" s="44">
        <v>1</v>
      </c>
      <c r="P100" s="44">
        <v>1</v>
      </c>
      <c r="R100" s="44">
        <v>1</v>
      </c>
      <c r="S100" s="44"/>
      <c r="T100" s="44">
        <v>1</v>
      </c>
      <c r="U100" s="44">
        <v>1</v>
      </c>
      <c r="V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/>
      <c r="AK100" s="44">
        <v>1</v>
      </c>
      <c r="AL100" s="44">
        <v>1</v>
      </c>
      <c r="AM100" s="44">
        <v>1</v>
      </c>
      <c r="AN100" s="44">
        <v>1</v>
      </c>
      <c r="AO100" s="44">
        <v>1</v>
      </c>
      <c r="AP100" s="44">
        <v>1</v>
      </c>
      <c r="AQ100" s="44">
        <v>1</v>
      </c>
      <c r="AR100"/>
      <c r="AS100" s="44">
        <v>1</v>
      </c>
      <c r="AT100" s="44">
        <v>1</v>
      </c>
      <c r="AU100" s="44">
        <v>1</v>
      </c>
      <c r="AV100" s="44">
        <v>1</v>
      </c>
      <c r="AW100"/>
      <c r="AX100" s="44">
        <v>1</v>
      </c>
      <c r="AY100"/>
      <c r="AZ100"/>
      <c r="BA100" s="44">
        <v>1</v>
      </c>
    </row>
    <row r="101" spans="1:53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/>
      <c r="N101" s="44">
        <v>0.5</v>
      </c>
      <c r="P101" s="44">
        <v>0.5</v>
      </c>
      <c r="R101" s="44">
        <v>0.5</v>
      </c>
      <c r="S101" s="44"/>
      <c r="T101" s="44">
        <v>0.5</v>
      </c>
      <c r="U101" s="44">
        <v>0.5</v>
      </c>
      <c r="V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/>
      <c r="AK101" s="44">
        <v>0.5</v>
      </c>
      <c r="AL101" s="44">
        <v>0.5</v>
      </c>
      <c r="AM101" s="44">
        <v>0.5</v>
      </c>
      <c r="AN101" s="44">
        <v>0.5</v>
      </c>
      <c r="AO101" s="44">
        <v>0.5</v>
      </c>
      <c r="AP101" s="44">
        <v>0.5</v>
      </c>
      <c r="AQ101" s="44">
        <v>0.5</v>
      </c>
      <c r="AR101"/>
      <c r="AS101" s="44">
        <v>0.5</v>
      </c>
      <c r="AT101" s="44">
        <v>0.5</v>
      </c>
      <c r="AU101" s="44">
        <v>0.5</v>
      </c>
      <c r="AV101" s="44">
        <v>0.5</v>
      </c>
      <c r="AW101"/>
      <c r="AX101" s="44">
        <v>0.5</v>
      </c>
      <c r="AY101"/>
      <c r="AZ101"/>
      <c r="BA101" s="44">
        <v>0.5</v>
      </c>
    </row>
    <row r="102" spans="1:53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BA102" si="1">10/0.1</f>
        <v>100</v>
      </c>
      <c r="K102" s="44">
        <f t="shared" si="1"/>
        <v>100</v>
      </c>
      <c r="L102" s="44">
        <f t="shared" si="1"/>
        <v>100</v>
      </c>
      <c r="M102" s="44"/>
      <c r="N102" s="44">
        <f t="shared" si="1"/>
        <v>100</v>
      </c>
      <c r="P102" s="44">
        <f t="shared" si="1"/>
        <v>100</v>
      </c>
      <c r="R102" s="44">
        <f t="shared" si="1"/>
        <v>100</v>
      </c>
      <c r="S102" s="44"/>
      <c r="T102" s="44">
        <f t="shared" si="1"/>
        <v>100</v>
      </c>
      <c r="U102" s="44">
        <f t="shared" si="1"/>
        <v>100</v>
      </c>
      <c r="V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/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/>
      <c r="AS102" s="44">
        <f t="shared" si="1"/>
        <v>100</v>
      </c>
      <c r="AT102" s="44">
        <f t="shared" si="1"/>
        <v>100</v>
      </c>
      <c r="AU102" s="44">
        <f t="shared" si="1"/>
        <v>100</v>
      </c>
      <c r="AV102" s="44">
        <f t="shared" si="1"/>
        <v>100</v>
      </c>
      <c r="AW102"/>
      <c r="AX102" s="44">
        <f t="shared" si="1"/>
        <v>100</v>
      </c>
      <c r="AY102"/>
      <c r="AZ102"/>
      <c r="BA102" s="44">
        <f t="shared" si="1"/>
        <v>100</v>
      </c>
    </row>
    <row r="103" spans="1:53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BA103" si="2">150/0.1</f>
        <v>1500</v>
      </c>
      <c r="K103" s="44">
        <f t="shared" si="2"/>
        <v>1500</v>
      </c>
      <c r="L103" s="44">
        <f t="shared" si="2"/>
        <v>1500</v>
      </c>
      <c r="M103" s="44"/>
      <c r="N103" s="44">
        <f t="shared" si="2"/>
        <v>1500</v>
      </c>
      <c r="P103" s="44">
        <f t="shared" si="2"/>
        <v>1500</v>
      </c>
      <c r="R103" s="44">
        <f t="shared" si="2"/>
        <v>1500</v>
      </c>
      <c r="S103" s="44"/>
      <c r="T103" s="44">
        <f t="shared" si="2"/>
        <v>1500</v>
      </c>
      <c r="U103" s="44">
        <f t="shared" si="2"/>
        <v>1500</v>
      </c>
      <c r="V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/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/>
      <c r="AS103" s="44">
        <f t="shared" si="2"/>
        <v>1500</v>
      </c>
      <c r="AT103" s="44">
        <f t="shared" si="2"/>
        <v>1500</v>
      </c>
      <c r="AU103" s="44">
        <f t="shared" si="2"/>
        <v>1500</v>
      </c>
      <c r="AV103" s="44">
        <f t="shared" si="2"/>
        <v>1500</v>
      </c>
      <c r="AW103"/>
      <c r="AX103" s="44">
        <f t="shared" si="2"/>
        <v>1500</v>
      </c>
      <c r="AY103"/>
      <c r="AZ103"/>
      <c r="BA103" s="44">
        <f t="shared" si="2"/>
        <v>1500</v>
      </c>
    </row>
    <row r="104" spans="1:53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BA104" si="4">20/0.1</f>
        <v>200</v>
      </c>
      <c r="K104" s="44">
        <f t="shared" si="4"/>
        <v>200</v>
      </c>
      <c r="L104" s="44">
        <f t="shared" si="4"/>
        <v>200</v>
      </c>
      <c r="M104" s="44"/>
      <c r="N104" s="44">
        <f t="shared" si="4"/>
        <v>200</v>
      </c>
      <c r="P104" s="44">
        <f t="shared" si="4"/>
        <v>200</v>
      </c>
      <c r="R104" s="44">
        <f t="shared" si="4"/>
        <v>200</v>
      </c>
      <c r="S104" s="44"/>
      <c r="T104" s="44">
        <f t="shared" si="4"/>
        <v>200</v>
      </c>
      <c r="U104" s="44">
        <f t="shared" si="4"/>
        <v>200</v>
      </c>
      <c r="V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/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/>
      <c r="AS104" s="44">
        <f t="shared" si="4"/>
        <v>200</v>
      </c>
      <c r="AT104" s="44">
        <f t="shared" si="4"/>
        <v>200</v>
      </c>
      <c r="AU104" s="44">
        <f t="shared" si="4"/>
        <v>200</v>
      </c>
      <c r="AV104" s="44">
        <f t="shared" si="4"/>
        <v>200</v>
      </c>
      <c r="AW104"/>
      <c r="AX104" s="44">
        <f t="shared" si="4"/>
        <v>200</v>
      </c>
      <c r="AY104"/>
      <c r="AZ104"/>
      <c r="BA104" s="44">
        <f t="shared" si="4"/>
        <v>200</v>
      </c>
    </row>
    <row r="105" spans="1:53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BA105" si="5">400/0.1</f>
        <v>4000</v>
      </c>
      <c r="K105" s="44">
        <f t="shared" si="5"/>
        <v>4000</v>
      </c>
      <c r="L105" s="44">
        <f t="shared" si="5"/>
        <v>4000</v>
      </c>
      <c r="M105" s="44"/>
      <c r="N105" s="44">
        <f t="shared" si="5"/>
        <v>4000</v>
      </c>
      <c r="P105" s="44">
        <f t="shared" si="5"/>
        <v>4000</v>
      </c>
      <c r="R105" s="44">
        <f t="shared" si="5"/>
        <v>4000</v>
      </c>
      <c r="S105" s="44"/>
      <c r="T105" s="44">
        <f t="shared" si="5"/>
        <v>4000</v>
      </c>
      <c r="U105" s="44">
        <f t="shared" si="5"/>
        <v>4000</v>
      </c>
      <c r="V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/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/>
      <c r="AS105" s="44">
        <f t="shared" si="5"/>
        <v>4000</v>
      </c>
      <c r="AT105" s="44">
        <f t="shared" si="5"/>
        <v>4000</v>
      </c>
      <c r="AU105" s="44">
        <f t="shared" si="5"/>
        <v>4000</v>
      </c>
      <c r="AV105" s="44">
        <f t="shared" si="5"/>
        <v>4000</v>
      </c>
      <c r="AW105"/>
      <c r="AX105" s="44">
        <f t="shared" si="5"/>
        <v>4000</v>
      </c>
      <c r="AY105"/>
      <c r="AZ105"/>
      <c r="BA105" s="44">
        <f t="shared" si="5"/>
        <v>4000</v>
      </c>
    </row>
    <row r="106" spans="1:53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BA106" si="6">10/0.1</f>
        <v>100</v>
      </c>
      <c r="K106" s="44">
        <f t="shared" si="6"/>
        <v>100</v>
      </c>
      <c r="L106" s="44">
        <f t="shared" si="6"/>
        <v>100</v>
      </c>
      <c r="M106" s="44"/>
      <c r="N106" s="44">
        <f t="shared" si="6"/>
        <v>100</v>
      </c>
      <c r="P106" s="44">
        <f t="shared" si="6"/>
        <v>100</v>
      </c>
      <c r="R106" s="44">
        <f t="shared" si="6"/>
        <v>100</v>
      </c>
      <c r="S106" s="44"/>
      <c r="T106" s="44">
        <f t="shared" si="6"/>
        <v>100</v>
      </c>
      <c r="U106" s="44">
        <f t="shared" si="6"/>
        <v>100</v>
      </c>
      <c r="V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/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/>
      <c r="AS106" s="44">
        <f t="shared" si="6"/>
        <v>100</v>
      </c>
      <c r="AT106" s="44">
        <f t="shared" si="6"/>
        <v>100</v>
      </c>
      <c r="AU106" s="44">
        <f t="shared" si="6"/>
        <v>100</v>
      </c>
      <c r="AV106" s="44">
        <f t="shared" si="6"/>
        <v>100</v>
      </c>
      <c r="AW106"/>
      <c r="AX106" s="44">
        <f t="shared" si="6"/>
        <v>100</v>
      </c>
      <c r="AY106"/>
      <c r="AZ106"/>
      <c r="BA106" s="44">
        <f t="shared" si="6"/>
        <v>100</v>
      </c>
    </row>
    <row r="107" spans="1:53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BA107" si="7">150/0.1</f>
        <v>1500</v>
      </c>
      <c r="K107" s="44">
        <f t="shared" si="7"/>
        <v>1500</v>
      </c>
      <c r="L107" s="44">
        <f t="shared" si="7"/>
        <v>1500</v>
      </c>
      <c r="M107" s="44"/>
      <c r="N107" s="44">
        <f t="shared" si="7"/>
        <v>1500</v>
      </c>
      <c r="P107" s="44">
        <f t="shared" si="7"/>
        <v>1500</v>
      </c>
      <c r="R107" s="44">
        <f t="shared" si="7"/>
        <v>1500</v>
      </c>
      <c r="S107" s="44"/>
      <c r="T107" s="44">
        <f t="shared" si="7"/>
        <v>1500</v>
      </c>
      <c r="U107" s="44">
        <f t="shared" si="7"/>
        <v>1500</v>
      </c>
      <c r="V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/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/>
      <c r="AS107" s="44">
        <f t="shared" si="7"/>
        <v>1500</v>
      </c>
      <c r="AT107" s="44">
        <f t="shared" si="7"/>
        <v>1500</v>
      </c>
      <c r="AU107" s="44">
        <f t="shared" si="7"/>
        <v>1500</v>
      </c>
      <c r="AV107" s="44">
        <f t="shared" si="7"/>
        <v>1500</v>
      </c>
      <c r="AW107"/>
      <c r="AX107" s="44">
        <f t="shared" si="7"/>
        <v>1500</v>
      </c>
      <c r="AY107"/>
      <c r="AZ107"/>
      <c r="BA107" s="44">
        <f t="shared" si="7"/>
        <v>1500</v>
      </c>
    </row>
    <row r="108" spans="1:53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BA108" si="8">20/0.1</f>
        <v>200</v>
      </c>
      <c r="K108" s="44">
        <f t="shared" si="8"/>
        <v>200</v>
      </c>
      <c r="L108" s="44">
        <f t="shared" si="8"/>
        <v>200</v>
      </c>
      <c r="M108" s="44"/>
      <c r="N108" s="44">
        <f t="shared" si="8"/>
        <v>200</v>
      </c>
      <c r="P108" s="44">
        <f t="shared" si="8"/>
        <v>200</v>
      </c>
      <c r="R108" s="44">
        <f t="shared" si="8"/>
        <v>200</v>
      </c>
      <c r="S108" s="44"/>
      <c r="T108" s="44">
        <f t="shared" si="8"/>
        <v>200</v>
      </c>
      <c r="U108" s="44">
        <f t="shared" si="8"/>
        <v>200</v>
      </c>
      <c r="V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/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/>
      <c r="AS108" s="44">
        <f t="shared" si="8"/>
        <v>200</v>
      </c>
      <c r="AT108" s="44">
        <f t="shared" si="8"/>
        <v>200</v>
      </c>
      <c r="AU108" s="44">
        <f t="shared" si="8"/>
        <v>200</v>
      </c>
      <c r="AV108" s="44">
        <f t="shared" si="8"/>
        <v>200</v>
      </c>
      <c r="AW108"/>
      <c r="AX108" s="44">
        <f t="shared" si="8"/>
        <v>200</v>
      </c>
      <c r="AY108"/>
      <c r="AZ108"/>
      <c r="BA108" s="44">
        <f t="shared" si="8"/>
        <v>200</v>
      </c>
    </row>
    <row r="109" spans="1:53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BA109" si="9">400/0.1</f>
        <v>4000</v>
      </c>
      <c r="K109" s="44">
        <f t="shared" si="9"/>
        <v>4000</v>
      </c>
      <c r="L109" s="44">
        <f t="shared" si="9"/>
        <v>4000</v>
      </c>
      <c r="M109" s="44"/>
      <c r="N109" s="44">
        <f t="shared" si="9"/>
        <v>4000</v>
      </c>
      <c r="P109" s="44">
        <f t="shared" si="9"/>
        <v>4000</v>
      </c>
      <c r="R109" s="44">
        <f t="shared" si="9"/>
        <v>4000</v>
      </c>
      <c r="S109" s="44"/>
      <c r="T109" s="44">
        <f t="shared" si="9"/>
        <v>4000</v>
      </c>
      <c r="U109" s="44">
        <f t="shared" si="9"/>
        <v>4000</v>
      </c>
      <c r="V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/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/>
      <c r="AS109" s="44">
        <f t="shared" si="9"/>
        <v>4000</v>
      </c>
      <c r="AT109" s="44">
        <f t="shared" si="9"/>
        <v>4000</v>
      </c>
      <c r="AU109" s="44">
        <f t="shared" si="9"/>
        <v>4000</v>
      </c>
      <c r="AV109" s="44">
        <f t="shared" si="9"/>
        <v>4000</v>
      </c>
      <c r="AW109"/>
      <c r="AX109" s="44">
        <f t="shared" si="9"/>
        <v>4000</v>
      </c>
      <c r="AY109"/>
      <c r="AZ109"/>
      <c r="BA109" s="44">
        <f t="shared" si="9"/>
        <v>4000</v>
      </c>
    </row>
    <row r="110" spans="1:53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/>
      <c r="N110" s="44">
        <v>100</v>
      </c>
      <c r="P110" s="44">
        <v>100</v>
      </c>
      <c r="R110" s="44">
        <v>100</v>
      </c>
      <c r="S110" s="44"/>
      <c r="T110" s="44">
        <v>100</v>
      </c>
      <c r="U110" s="44">
        <v>100</v>
      </c>
      <c r="V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/>
      <c r="AK110" s="44">
        <v>100</v>
      </c>
      <c r="AL110" s="44">
        <v>100</v>
      </c>
      <c r="AM110" s="44">
        <v>100</v>
      </c>
      <c r="AN110" s="44">
        <v>100</v>
      </c>
      <c r="AO110" s="44">
        <v>100</v>
      </c>
      <c r="AP110" s="44">
        <v>100</v>
      </c>
      <c r="AQ110" s="44">
        <v>100</v>
      </c>
      <c r="AR110"/>
      <c r="AS110" s="44">
        <v>100</v>
      </c>
      <c r="AT110" s="44">
        <v>100</v>
      </c>
      <c r="AU110" s="44">
        <v>100</v>
      </c>
      <c r="AV110" s="44">
        <v>100</v>
      </c>
      <c r="AW110"/>
      <c r="AX110" s="44">
        <v>100</v>
      </c>
      <c r="AY110"/>
      <c r="AZ110"/>
      <c r="BA110" s="44">
        <v>100</v>
      </c>
    </row>
    <row r="111" spans="1:53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/>
      <c r="N111" s="44">
        <v>280800</v>
      </c>
      <c r="P111" s="44">
        <v>280800</v>
      </c>
      <c r="R111" s="44">
        <v>280800</v>
      </c>
      <c r="S111" s="44"/>
      <c r="T111" s="44">
        <v>280800</v>
      </c>
      <c r="U111" s="44">
        <v>280800</v>
      </c>
      <c r="V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/>
      <c r="AK111" s="44">
        <v>280800</v>
      </c>
      <c r="AL111" s="44">
        <v>280800</v>
      </c>
      <c r="AM111" s="44">
        <v>280800</v>
      </c>
      <c r="AN111" s="44">
        <v>280800</v>
      </c>
      <c r="AO111" s="44">
        <v>280800</v>
      </c>
      <c r="AP111" s="44">
        <v>280800</v>
      </c>
      <c r="AQ111" s="44">
        <v>280800</v>
      </c>
      <c r="AR111"/>
      <c r="AS111" s="44">
        <v>280800</v>
      </c>
      <c r="AT111" s="44">
        <v>280800</v>
      </c>
      <c r="AU111" s="44">
        <v>280800</v>
      </c>
      <c r="AV111" s="44">
        <v>280800</v>
      </c>
      <c r="AW111"/>
      <c r="AX111" s="44">
        <v>280800</v>
      </c>
      <c r="AY111"/>
      <c r="AZ111"/>
      <c r="BA111" s="44">
        <v>280800</v>
      </c>
    </row>
    <row r="112" spans="1:53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BA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P112" s="44">
        <f t="shared" si="10"/>
        <v>0.11100000000000002</v>
      </c>
      <c r="R112" s="44">
        <f t="shared" si="10"/>
        <v>0.11100000000000002</v>
      </c>
      <c r="S112" s="44"/>
      <c r="T112" s="44">
        <f t="shared" si="10"/>
        <v>0.11100000000000002</v>
      </c>
      <c r="U112" s="44">
        <f t="shared" si="10"/>
        <v>0.11100000000000002</v>
      </c>
      <c r="V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/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/>
      <c r="AS112" s="44">
        <f t="shared" si="10"/>
        <v>0.11100000000000002</v>
      </c>
      <c r="AT112" s="44">
        <f t="shared" si="10"/>
        <v>0.11100000000000002</v>
      </c>
      <c r="AU112" s="44">
        <f t="shared" si="10"/>
        <v>0.11100000000000002</v>
      </c>
      <c r="AV112" s="44">
        <f t="shared" si="10"/>
        <v>0.11100000000000002</v>
      </c>
      <c r="AW112"/>
      <c r="AX112" s="44">
        <f t="shared" si="10"/>
        <v>0.11100000000000002</v>
      </c>
      <c r="AY112"/>
      <c r="AZ112"/>
      <c r="BA112" s="44">
        <f t="shared" si="10"/>
        <v>0.11100000000000002</v>
      </c>
    </row>
    <row r="113" spans="1:53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/>
      <c r="N113" s="44">
        <v>100</v>
      </c>
      <c r="P113" s="44">
        <v>100</v>
      </c>
      <c r="R113" s="44">
        <v>100</v>
      </c>
      <c r="S113" s="44"/>
      <c r="T113" s="44">
        <v>100</v>
      </c>
      <c r="U113" s="44">
        <v>100</v>
      </c>
      <c r="V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/>
      <c r="AK113" s="44">
        <v>100</v>
      </c>
      <c r="AL113" s="44">
        <v>100</v>
      </c>
      <c r="AM113" s="44">
        <v>100</v>
      </c>
      <c r="AN113" s="44">
        <v>100</v>
      </c>
      <c r="AO113" s="44">
        <v>100</v>
      </c>
      <c r="AP113" s="44">
        <v>100</v>
      </c>
      <c r="AQ113" s="44">
        <v>100</v>
      </c>
      <c r="AR113"/>
      <c r="AS113" s="44">
        <v>100</v>
      </c>
      <c r="AT113" s="44">
        <v>100</v>
      </c>
      <c r="AU113" s="44">
        <v>100</v>
      </c>
      <c r="AV113" s="44">
        <v>100</v>
      </c>
      <c r="AW113"/>
      <c r="AX113" s="44">
        <v>100</v>
      </c>
      <c r="AY113"/>
      <c r="AZ113"/>
      <c r="BA113" s="44">
        <v>100</v>
      </c>
    </row>
    <row r="114" spans="1:53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/>
      <c r="N114" s="44">
        <v>459648</v>
      </c>
      <c r="P114" s="44">
        <v>459648</v>
      </c>
      <c r="R114" s="44">
        <v>459648</v>
      </c>
      <c r="S114" s="44"/>
      <c r="T114" s="44">
        <v>459648</v>
      </c>
      <c r="U114" s="44">
        <v>459648</v>
      </c>
      <c r="V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/>
      <c r="AK114" s="44">
        <v>459648</v>
      </c>
      <c r="AL114" s="44">
        <v>459648</v>
      </c>
      <c r="AM114" s="44">
        <v>459648</v>
      </c>
      <c r="AN114" s="44">
        <v>459648</v>
      </c>
      <c r="AO114" s="44">
        <v>459648</v>
      </c>
      <c r="AP114" s="44">
        <v>459648</v>
      </c>
      <c r="AQ114" s="44">
        <v>459648</v>
      </c>
      <c r="AR114"/>
      <c r="AS114" s="44">
        <v>459648</v>
      </c>
      <c r="AT114" s="44">
        <v>459648</v>
      </c>
      <c r="AU114" s="44">
        <v>459648</v>
      </c>
      <c r="AV114" s="44">
        <v>459648</v>
      </c>
      <c r="AW114"/>
      <c r="AX114" s="44">
        <v>459648</v>
      </c>
      <c r="AY114"/>
      <c r="AZ114"/>
      <c r="BA114" s="44">
        <v>459648</v>
      </c>
    </row>
    <row r="115" spans="1:53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BA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P115" s="44">
        <f t="shared" si="11"/>
        <v>0.13875000000000001</v>
      </c>
      <c r="R115" s="44">
        <f t="shared" si="11"/>
        <v>0.13875000000000001</v>
      </c>
      <c r="S115" s="44"/>
      <c r="T115" s="44">
        <f t="shared" si="11"/>
        <v>0.13875000000000001</v>
      </c>
      <c r="U115" s="44">
        <f t="shared" si="11"/>
        <v>0.13875000000000001</v>
      </c>
      <c r="V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/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/>
      <c r="AS115" s="44">
        <f t="shared" si="11"/>
        <v>0.13875000000000001</v>
      </c>
      <c r="AT115" s="44">
        <f t="shared" si="11"/>
        <v>0.13875000000000001</v>
      </c>
      <c r="AU115" s="44">
        <f t="shared" si="11"/>
        <v>0.13875000000000001</v>
      </c>
      <c r="AV115" s="44">
        <f t="shared" si="11"/>
        <v>0.13875000000000001</v>
      </c>
      <c r="AW115"/>
      <c r="AX115" s="44">
        <f t="shared" si="11"/>
        <v>0.13875000000000001</v>
      </c>
      <c r="AY115"/>
      <c r="AZ115"/>
      <c r="BA115" s="44">
        <f t="shared" si="11"/>
        <v>0.13875000000000001</v>
      </c>
    </row>
    <row r="116" spans="1:53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/>
      <c r="N116" s="44">
        <v>21600</v>
      </c>
      <c r="P116" s="44">
        <v>21600</v>
      </c>
      <c r="R116" s="44">
        <v>21600</v>
      </c>
      <c r="S116" s="44"/>
      <c r="T116" s="44">
        <v>21600</v>
      </c>
      <c r="U116" s="44">
        <v>21600</v>
      </c>
      <c r="V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/>
      <c r="AK116" s="44">
        <v>21600</v>
      </c>
      <c r="AL116" s="44">
        <v>21600</v>
      </c>
      <c r="AM116" s="44">
        <v>21600</v>
      </c>
      <c r="AN116" s="44">
        <v>21600</v>
      </c>
      <c r="AO116" s="44">
        <v>21600</v>
      </c>
      <c r="AP116" s="44">
        <v>21600</v>
      </c>
      <c r="AQ116" s="44">
        <v>21600</v>
      </c>
      <c r="AR116"/>
      <c r="AS116" s="44">
        <v>21600</v>
      </c>
      <c r="AT116" s="44">
        <v>21600</v>
      </c>
      <c r="AU116" s="44">
        <v>21600</v>
      </c>
      <c r="AV116" s="44">
        <v>21600</v>
      </c>
      <c r="AW116"/>
      <c r="AX116" s="44">
        <v>21600</v>
      </c>
      <c r="AY116"/>
      <c r="AZ116"/>
      <c r="BA116" s="44">
        <v>21600</v>
      </c>
    </row>
    <row r="117" spans="1:53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/>
      <c r="N117" s="44">
        <v>43200</v>
      </c>
      <c r="P117" s="44">
        <v>43200</v>
      </c>
      <c r="R117" s="44">
        <v>43200</v>
      </c>
      <c r="S117" s="44"/>
      <c r="T117" s="44">
        <v>43200</v>
      </c>
      <c r="U117" s="44">
        <v>43200</v>
      </c>
      <c r="V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/>
      <c r="AK117" s="44">
        <v>43200</v>
      </c>
      <c r="AL117" s="44">
        <v>43200</v>
      </c>
      <c r="AM117" s="44">
        <v>43200</v>
      </c>
      <c r="AN117" s="44">
        <v>43200</v>
      </c>
      <c r="AO117" s="44">
        <v>43200</v>
      </c>
      <c r="AP117" s="44">
        <v>43200</v>
      </c>
      <c r="AQ117" s="44">
        <v>43200</v>
      </c>
      <c r="AR117"/>
      <c r="AS117" s="44">
        <v>43200</v>
      </c>
      <c r="AT117" s="44">
        <v>43200</v>
      </c>
      <c r="AU117" s="44">
        <v>43200</v>
      </c>
      <c r="AV117" s="44">
        <v>43200</v>
      </c>
      <c r="AW117"/>
      <c r="AX117" s="44">
        <v>43200</v>
      </c>
      <c r="AY117"/>
      <c r="AZ117"/>
      <c r="BA117" s="44">
        <v>43200</v>
      </c>
    </row>
    <row r="118" spans="1:53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/>
      <c r="N118" s="44">
        <v>0.8</v>
      </c>
      <c r="P118" s="44">
        <v>0.8</v>
      </c>
      <c r="R118" s="44">
        <v>0.8</v>
      </c>
      <c r="S118" s="44"/>
      <c r="T118" s="44">
        <v>0.8</v>
      </c>
      <c r="U118" s="44">
        <v>0.8</v>
      </c>
      <c r="V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/>
      <c r="AK118" s="44">
        <v>0.8</v>
      </c>
      <c r="AL118" s="44">
        <v>0.8</v>
      </c>
      <c r="AM118" s="44">
        <v>0.8</v>
      </c>
      <c r="AN118" s="44">
        <v>0.8</v>
      </c>
      <c r="AO118" s="44">
        <v>0.8</v>
      </c>
      <c r="AP118" s="44">
        <v>0.8</v>
      </c>
      <c r="AQ118" s="44">
        <v>0.8</v>
      </c>
      <c r="AR118"/>
      <c r="AS118" s="44">
        <v>0.8</v>
      </c>
      <c r="AT118" s="44">
        <v>0.8</v>
      </c>
      <c r="AU118" s="44">
        <v>0.8</v>
      </c>
      <c r="AV118" s="44">
        <v>0.8</v>
      </c>
      <c r="AW118"/>
      <c r="AX118" s="44">
        <v>0.8</v>
      </c>
      <c r="AY118"/>
      <c r="AZ118"/>
      <c r="BA118" s="44">
        <v>0.8</v>
      </c>
    </row>
    <row r="119" spans="1:53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/>
      <c r="N119" s="44">
        <f>0.000208333333333333 / 2</f>
        <v>1.041666666666665E-4</v>
      </c>
      <c r="O119" s="1" t="s">
        <v>595</v>
      </c>
      <c r="P119" s="44">
        <f>0.000208333333333333 / 2</f>
        <v>1.041666666666665E-4</v>
      </c>
      <c r="R119" s="44">
        <f>0.000208333333333333 / 2</f>
        <v>1.041666666666665E-4</v>
      </c>
      <c r="S119" s="44"/>
      <c r="T119" s="44">
        <v>2.0833333333333335E-4</v>
      </c>
      <c r="U119" s="44">
        <v>2.0833333333333335E-4</v>
      </c>
      <c r="V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/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 s="44">
        <v>2.0833333333333335E-4</v>
      </c>
      <c r="AP119" s="44">
        <v>2.0833333333333335E-4</v>
      </c>
      <c r="AQ119" s="44">
        <v>2.0833333333333335E-4</v>
      </c>
      <c r="AR119"/>
      <c r="AS119" s="44">
        <v>2.0833333333333335E-4</v>
      </c>
      <c r="AT119" s="44">
        <v>2.0833333333333335E-4</v>
      </c>
      <c r="AU119" s="44">
        <v>2.0833333333333335E-4</v>
      </c>
      <c r="AV119" s="44">
        <v>2.0833333333333335E-4</v>
      </c>
      <c r="AW119"/>
      <c r="AX119" s="44">
        <v>2.0833333333333335E-4</v>
      </c>
      <c r="AY119"/>
      <c r="AZ119"/>
      <c r="BA119" s="44">
        <v>2.0833333333333335E-4</v>
      </c>
    </row>
    <row r="120" spans="1:53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/>
      <c r="N120" s="44">
        <v>5.7899999999999998E-7</v>
      </c>
      <c r="P120" s="44">
        <v>5.7899999999999998E-7</v>
      </c>
      <c r="R120" s="44">
        <v>5.7899999999999998E-7</v>
      </c>
      <c r="S120" s="44"/>
      <c r="T120" s="44">
        <v>5.7899999999999998E-7</v>
      </c>
      <c r="U120" s="44">
        <v>5.7899999999999998E-7</v>
      </c>
      <c r="V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/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 s="44">
        <v>5.7899999999999998E-7</v>
      </c>
      <c r="AP120" s="44">
        <v>5.7899999999999998E-7</v>
      </c>
      <c r="AQ120" s="44">
        <v>5.7899999999999998E-7</v>
      </c>
      <c r="AR120"/>
      <c r="AS120" s="44">
        <v>5.7899999999999998E-7</v>
      </c>
      <c r="AT120" s="44">
        <v>5.7899999999999998E-7</v>
      </c>
      <c r="AU120" s="44">
        <v>5.7899999999999998E-7</v>
      </c>
      <c r="AV120" s="44">
        <v>5.7899999999999998E-7</v>
      </c>
      <c r="AW120"/>
      <c r="AX120" s="44">
        <v>5.7899999999999998E-7</v>
      </c>
      <c r="AY120"/>
      <c r="AZ120"/>
      <c r="BA120" s="44">
        <v>5.7899999999999998E-7</v>
      </c>
    </row>
    <row r="121" spans="1:53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/>
      <c r="N121" s="44">
        <v>2.0833333333333335E-4</v>
      </c>
      <c r="P121" s="44">
        <v>2.0833333333333335E-4</v>
      </c>
      <c r="R121" s="44">
        <v>2.0833333333333335E-4</v>
      </c>
      <c r="S121" s="44"/>
      <c r="T121" s="44">
        <v>2.0833333333333335E-4</v>
      </c>
      <c r="U121" s="44">
        <v>2.0833333333333335E-4</v>
      </c>
      <c r="V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/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 s="44">
        <v>2.0833333333333335E-4</v>
      </c>
      <c r="AP121" s="44">
        <v>2.0833333333333335E-4</v>
      </c>
      <c r="AQ121" s="44">
        <v>2.0833333333333335E-4</v>
      </c>
      <c r="AR121"/>
      <c r="AS121" s="44">
        <v>2.0833333333333335E-4</v>
      </c>
      <c r="AT121" s="44">
        <v>2.0833333333333335E-4</v>
      </c>
      <c r="AU121" s="44">
        <v>2.0833333333333335E-4</v>
      </c>
      <c r="AV121" s="44">
        <v>2.0833333333333335E-4</v>
      </c>
      <c r="AW121"/>
      <c r="AX121" s="44">
        <v>2.0833333333333335E-4</v>
      </c>
      <c r="AY121"/>
      <c r="AZ121"/>
      <c r="BA121" s="44">
        <v>2.0833333333333335E-4</v>
      </c>
    </row>
    <row r="122" spans="1:53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/>
      <c r="N122" s="44">
        <v>0</v>
      </c>
      <c r="P122" s="44">
        <v>0</v>
      </c>
      <c r="R122" s="44">
        <v>0</v>
      </c>
      <c r="S122" s="44"/>
      <c r="T122" s="44">
        <v>0</v>
      </c>
      <c r="U122" s="44">
        <v>0</v>
      </c>
      <c r="V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/>
      <c r="AK122" s="44">
        <v>0</v>
      </c>
      <c r="AL122" s="44">
        <v>0</v>
      </c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/>
      <c r="AS122" s="44">
        <v>0</v>
      </c>
      <c r="AT122" s="44">
        <v>0</v>
      </c>
      <c r="AU122" s="44">
        <v>0</v>
      </c>
      <c r="AV122" s="44">
        <v>0</v>
      </c>
      <c r="AW122"/>
      <c r="AX122" s="44">
        <v>0</v>
      </c>
      <c r="AY122"/>
      <c r="AZ122"/>
      <c r="BA122" s="44">
        <v>0</v>
      </c>
    </row>
    <row r="123" spans="1:53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/>
      <c r="N123" s="44">
        <v>0</v>
      </c>
      <c r="P123" s="44">
        <v>0</v>
      </c>
      <c r="R123" s="44">
        <v>0</v>
      </c>
      <c r="S123" s="44"/>
      <c r="T123" s="44">
        <v>0</v>
      </c>
      <c r="U123" s="44">
        <v>0</v>
      </c>
      <c r="V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/>
      <c r="AK123" s="44">
        <v>0</v>
      </c>
      <c r="AL123" s="44">
        <v>0</v>
      </c>
      <c r="AM123" s="44">
        <v>0</v>
      </c>
      <c r="AN123" s="44">
        <v>0</v>
      </c>
      <c r="AO123" s="44">
        <v>0</v>
      </c>
      <c r="AP123" s="44">
        <v>0</v>
      </c>
      <c r="AQ123" s="44">
        <v>0</v>
      </c>
      <c r="AR123"/>
      <c r="AS123" s="44">
        <v>0</v>
      </c>
      <c r="AT123" s="44">
        <v>0</v>
      </c>
      <c r="AU123" s="44">
        <v>0</v>
      </c>
      <c r="AV123" s="44">
        <v>0</v>
      </c>
      <c r="AW123"/>
      <c r="AX123" s="44">
        <v>0</v>
      </c>
      <c r="AY123"/>
      <c r="AZ123"/>
      <c r="BA123" s="44">
        <v>0</v>
      </c>
    </row>
    <row r="124" spans="1:53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/>
      <c r="N124" s="44">
        <v>0</v>
      </c>
      <c r="P124" s="44">
        <v>0</v>
      </c>
      <c r="R124" s="44">
        <v>0</v>
      </c>
      <c r="S124" s="44"/>
      <c r="T124" s="44">
        <v>5.9999999999999997E-7</v>
      </c>
      <c r="U124" s="44">
        <v>5.9999999999999997E-7</v>
      </c>
      <c r="V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/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 s="44">
        <v>5.9999999999999997E-7</v>
      </c>
      <c r="AP124" s="44">
        <v>5.9999999999999997E-7</v>
      </c>
      <c r="AQ124" s="44">
        <v>5.9999999999999997E-7</v>
      </c>
      <c r="AR124"/>
      <c r="AS124" s="44">
        <v>5.9999999999999997E-7</v>
      </c>
      <c r="AT124" s="44">
        <v>5.9999999999999997E-7</v>
      </c>
      <c r="AU124" s="44">
        <v>5.9999999999999997E-7</v>
      </c>
      <c r="AV124" s="44">
        <v>5.9999999999999997E-7</v>
      </c>
      <c r="AW124"/>
      <c r="AX124" s="44">
        <v>5.9999999999999997E-7</v>
      </c>
      <c r="AY124"/>
      <c r="AZ124"/>
      <c r="BA124" s="44">
        <v>9.9999999999999995E-8</v>
      </c>
    </row>
    <row r="125" spans="1:53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BA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P125" s="44">
        <f t="shared" si="12"/>
        <v>8.3333333333333331E-5</v>
      </c>
      <c r="R125" s="44">
        <f t="shared" si="12"/>
        <v>8.3333333333333331E-5</v>
      </c>
      <c r="S125" s="44"/>
      <c r="T125" s="44">
        <f t="shared" si="12"/>
        <v>8.3333333333333331E-5</v>
      </c>
      <c r="U125" s="44">
        <f t="shared" si="12"/>
        <v>8.3333333333333331E-5</v>
      </c>
      <c r="V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/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/>
      <c r="AS125" s="44">
        <f t="shared" si="12"/>
        <v>8.3333333333333331E-5</v>
      </c>
      <c r="AT125" s="44">
        <f t="shared" si="12"/>
        <v>8.3333333333333331E-5</v>
      </c>
      <c r="AU125" s="44">
        <f t="shared" si="12"/>
        <v>8.3333333333333331E-5</v>
      </c>
      <c r="AV125" s="44">
        <f t="shared" si="12"/>
        <v>8.3333333333333331E-5</v>
      </c>
      <c r="AW125"/>
      <c r="AX125" s="44">
        <f t="shared" si="12"/>
        <v>8.3333333333333331E-5</v>
      </c>
      <c r="AY125"/>
      <c r="AZ125"/>
      <c r="BA125" s="44">
        <f t="shared" si="12"/>
        <v>8.3333333333333331E-5</v>
      </c>
    </row>
    <row r="126" spans="1:53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/>
      <c r="N126" s="44" t="s">
        <v>86</v>
      </c>
      <c r="P126" s="44" t="s">
        <v>86</v>
      </c>
      <c r="R126" s="44" t="s">
        <v>86</v>
      </c>
      <c r="S126" s="44"/>
      <c r="T126" s="44" t="s">
        <v>86</v>
      </c>
      <c r="U126" s="44" t="s">
        <v>86</v>
      </c>
      <c r="V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/>
      <c r="AK126" s="44" t="s">
        <v>86</v>
      </c>
      <c r="AL126" s="44" t="s">
        <v>86</v>
      </c>
      <c r="AM126" s="44" t="s">
        <v>86</v>
      </c>
      <c r="AN126" s="44" t="s">
        <v>86</v>
      </c>
      <c r="AO126" s="44" t="s">
        <v>86</v>
      </c>
      <c r="AP126" s="44" t="s">
        <v>86</v>
      </c>
      <c r="AQ126" s="44" t="s">
        <v>86</v>
      </c>
      <c r="AR126"/>
      <c r="AS126" s="44" t="s">
        <v>86</v>
      </c>
      <c r="AT126" s="44" t="s">
        <v>86</v>
      </c>
      <c r="AU126" s="44" t="s">
        <v>86</v>
      </c>
      <c r="AV126" s="44" t="s">
        <v>86</v>
      </c>
      <c r="AW126"/>
      <c r="AX126" s="44" t="s">
        <v>86</v>
      </c>
      <c r="AY126"/>
      <c r="AZ126"/>
      <c r="BA126" s="44" t="s">
        <v>86</v>
      </c>
    </row>
    <row r="127" spans="1:53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/>
      <c r="N127" s="44">
        <v>5.0000000000000001E-4</v>
      </c>
      <c r="P127" s="44">
        <v>5.0000000000000001E-4</v>
      </c>
      <c r="R127" s="44">
        <v>5.0000000000000001E-4</v>
      </c>
      <c r="S127" s="44"/>
      <c r="T127" s="44">
        <v>5.0000000000000001E-4</v>
      </c>
      <c r="U127" s="44">
        <v>5.0000000000000001E-4</v>
      </c>
      <c r="V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/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 s="44">
        <v>5.0000000000000001E-4</v>
      </c>
      <c r="AP127" s="44">
        <v>5.0000000000000001E-4</v>
      </c>
      <c r="AQ127" s="44">
        <v>5.0000000000000001E-4</v>
      </c>
      <c r="AR127"/>
      <c r="AS127" s="44">
        <v>5.0000000000000001E-4</v>
      </c>
      <c r="AT127" s="44">
        <v>5.0000000000000001E-4</v>
      </c>
      <c r="AU127" s="44">
        <v>5.0000000000000001E-4</v>
      </c>
      <c r="AV127" s="44">
        <v>5.0000000000000001E-4</v>
      </c>
      <c r="AW127"/>
      <c r="AX127" s="44">
        <v>5.0000000000000001E-4</v>
      </c>
      <c r="AY127"/>
      <c r="AZ127"/>
      <c r="BA127" s="44">
        <v>5.0000000000000001E-4</v>
      </c>
    </row>
    <row r="128" spans="1:53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/>
      <c r="N128" s="44">
        <f>0.0000000000005/100</f>
        <v>5E-15</v>
      </c>
      <c r="P128" s="44">
        <f>0.0000000000005/100/2</f>
        <v>2.5E-15</v>
      </c>
      <c r="R128" s="44">
        <f>0.00000000000003/2/2/2</f>
        <v>3.7499999999999998E-15</v>
      </c>
      <c r="S128" s="44"/>
      <c r="T128" s="44">
        <v>4.9999999999999999E-13</v>
      </c>
      <c r="U128" s="44">
        <v>4.9999999999999999E-13</v>
      </c>
      <c r="V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/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 s="44">
        <v>4.9999999999999999E-13</v>
      </c>
      <c r="AP128" s="44">
        <v>4.9999999999999999E-13</v>
      </c>
      <c r="AQ128" s="44">
        <v>4.9999999999999999E-13</v>
      </c>
      <c r="AR128"/>
      <c r="AS128" s="44">
        <v>4.9999999999999999E-13</v>
      </c>
      <c r="AT128" s="44">
        <v>4.9999999999999999E-13</v>
      </c>
      <c r="AU128" s="44">
        <v>4.9999999999999999E-13</v>
      </c>
      <c r="AV128" s="44">
        <v>4.9999999999999999E-13</v>
      </c>
      <c r="AW128"/>
      <c r="AX128" s="44">
        <v>4.9999999999999999E-13</v>
      </c>
      <c r="AY128"/>
      <c r="AZ128"/>
      <c r="BA128" s="44">
        <v>4.9999999999999999E-13</v>
      </c>
    </row>
    <row r="129" spans="1:53" x14ac:dyDescent="0.2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/>
      <c r="N129" s="44">
        <f>0.000005/3600/100</f>
        <v>1.388888888888889E-11</v>
      </c>
      <c r="P129" s="44">
        <f>0.000005/3600/100</f>
        <v>1.388888888888889E-11</v>
      </c>
      <c r="R129" s="44">
        <f>0.00000000000003/2/2/2</f>
        <v>3.7499999999999998E-15</v>
      </c>
      <c r="S129" s="44"/>
      <c r="T129" s="44">
        <v>4.9999999999999999E-13</v>
      </c>
      <c r="U129" s="44">
        <v>4.9999999999999999E-13</v>
      </c>
      <c r="V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 s="44">
        <v>4.9999999999999999E-13</v>
      </c>
      <c r="AH129" s="44">
        <v>4.9999999999999999E-13</v>
      </c>
      <c r="AI129" s="44">
        <v>4.9999999999999999E-13</v>
      </c>
      <c r="AJ129"/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 s="44">
        <v>4.9999999999999999E-13</v>
      </c>
      <c r="AP129" s="44">
        <v>4.9999999999999999E-13</v>
      </c>
      <c r="AQ129" s="44">
        <v>4.9999999999999999E-13</v>
      </c>
      <c r="AR129"/>
      <c r="AS129" s="44">
        <v>4.9999999999999999E-13</v>
      </c>
      <c r="AT129" s="44">
        <v>4.9999999999999999E-13</v>
      </c>
      <c r="AU129" s="44">
        <v>4.9999999999999999E-13</v>
      </c>
      <c r="AV129" s="44">
        <v>4.9999999999999999E-13</v>
      </c>
      <c r="AW129"/>
      <c r="AX129" s="44">
        <v>4.9999999999999999E-13</v>
      </c>
      <c r="AY129"/>
      <c r="AZ129"/>
      <c r="BA129" s="44">
        <v>4.9999999999999999E-13</v>
      </c>
    </row>
    <row r="130" spans="1:53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/>
      <c r="N130" s="44">
        <v>10</v>
      </c>
      <c r="P130" s="44">
        <v>10</v>
      </c>
      <c r="R130" s="44">
        <v>10</v>
      </c>
      <c r="S130" s="44"/>
      <c r="T130" s="44">
        <v>10</v>
      </c>
      <c r="U130" s="44">
        <v>10</v>
      </c>
      <c r="V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 s="44">
        <v>10</v>
      </c>
      <c r="AH130" s="44">
        <v>10</v>
      </c>
      <c r="AI130" s="44">
        <v>10</v>
      </c>
      <c r="AJ130"/>
      <c r="AK130" s="44">
        <v>10</v>
      </c>
      <c r="AL130" s="44">
        <v>10</v>
      </c>
      <c r="AM130" s="44">
        <v>10</v>
      </c>
      <c r="AN130" s="44">
        <v>10</v>
      </c>
      <c r="AO130" s="44">
        <v>10</v>
      </c>
      <c r="AP130" s="44">
        <v>10</v>
      </c>
      <c r="AQ130" s="44">
        <v>10</v>
      </c>
      <c r="AR130"/>
      <c r="AS130" s="44">
        <v>10</v>
      </c>
      <c r="AT130" s="44">
        <v>10</v>
      </c>
      <c r="AU130" s="44">
        <v>10</v>
      </c>
      <c r="AV130" s="44">
        <v>10</v>
      </c>
      <c r="AW130"/>
      <c r="AX130" s="44">
        <v>10</v>
      </c>
      <c r="AY130"/>
      <c r="AZ130"/>
      <c r="BA130" s="44">
        <v>10</v>
      </c>
    </row>
    <row r="131" spans="1:53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/>
      <c r="N131" s="44">
        <v>-0.04</v>
      </c>
      <c r="P131" s="44">
        <v>-0.04</v>
      </c>
      <c r="R131" s="44">
        <v>-0.04</v>
      </c>
      <c r="S131" s="44"/>
      <c r="T131" s="44">
        <v>-0.04</v>
      </c>
      <c r="U131" s="44">
        <v>-0.04</v>
      </c>
      <c r="V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 s="44">
        <v>-0.04</v>
      </c>
      <c r="AH131" s="44">
        <v>-0.04</v>
      </c>
      <c r="AI131" s="44">
        <v>-0.04</v>
      </c>
      <c r="AJ131"/>
      <c r="AK131" s="44">
        <v>-0.04</v>
      </c>
      <c r="AL131" s="44">
        <v>-0.04</v>
      </c>
      <c r="AM131" s="44">
        <v>-0.04</v>
      </c>
      <c r="AN131" s="44">
        <v>-0.04</v>
      </c>
      <c r="AO131" s="44">
        <v>-0.04</v>
      </c>
      <c r="AP131" s="44">
        <v>-0.04</v>
      </c>
      <c r="AQ131" s="44">
        <v>-0.04</v>
      </c>
      <c r="AR131"/>
      <c r="AS131" s="44">
        <v>-0.04</v>
      </c>
      <c r="AT131" s="44">
        <v>-0.04</v>
      </c>
      <c r="AU131" s="44">
        <v>-0.04</v>
      </c>
      <c r="AV131" s="44">
        <v>-0.04</v>
      </c>
      <c r="AW131"/>
      <c r="AX131" s="44">
        <v>-0.04</v>
      </c>
      <c r="AY131"/>
      <c r="AZ131"/>
      <c r="BA131" s="44">
        <v>-0.04</v>
      </c>
    </row>
    <row r="132" spans="1:53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/>
      <c r="N132" s="44">
        <v>2.9</v>
      </c>
      <c r="P132" s="44">
        <v>2.9</v>
      </c>
      <c r="R132" s="44">
        <v>2.9</v>
      </c>
      <c r="S132" s="44"/>
      <c r="T132" s="44">
        <v>2.9</v>
      </c>
      <c r="U132" s="44">
        <v>2.9</v>
      </c>
      <c r="V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 s="44">
        <v>2.9</v>
      </c>
      <c r="AH132" s="44">
        <v>2.9</v>
      </c>
      <c r="AI132" s="44">
        <v>2.9</v>
      </c>
      <c r="AJ132"/>
      <c r="AK132" s="44">
        <v>2.9</v>
      </c>
      <c r="AL132" s="44">
        <v>2.9</v>
      </c>
      <c r="AM132" s="44">
        <v>2.9</v>
      </c>
      <c r="AN132" s="44">
        <v>2.9</v>
      </c>
      <c r="AO132" s="44">
        <v>2.9</v>
      </c>
      <c r="AP132" s="44">
        <v>2.9</v>
      </c>
      <c r="AQ132" s="44">
        <v>2.9</v>
      </c>
      <c r="AR132"/>
      <c r="AS132" s="44">
        <v>2.9</v>
      </c>
      <c r="AT132" s="44">
        <v>2.9</v>
      </c>
      <c r="AU132" s="44">
        <v>2.9</v>
      </c>
      <c r="AV132" s="44">
        <v>2.9</v>
      </c>
      <c r="AW132"/>
      <c r="AX132" s="44">
        <v>2.9</v>
      </c>
      <c r="AY132"/>
      <c r="AZ132"/>
      <c r="BA132" s="44">
        <v>2.9</v>
      </c>
    </row>
    <row r="133" spans="1:53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/>
      <c r="N133" s="44">
        <v>1</v>
      </c>
      <c r="P133" s="44">
        <v>1</v>
      </c>
      <c r="R133" s="44">
        <v>1</v>
      </c>
      <c r="S133" s="44"/>
      <c r="T133" s="44">
        <v>1</v>
      </c>
      <c r="U133" s="44">
        <v>1</v>
      </c>
      <c r="V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 s="44">
        <v>1</v>
      </c>
      <c r="AH133" s="44">
        <v>1</v>
      </c>
      <c r="AI133" s="44">
        <v>1</v>
      </c>
      <c r="AJ133"/>
      <c r="AK133" s="44">
        <v>1</v>
      </c>
      <c r="AL133" s="44">
        <v>1</v>
      </c>
      <c r="AM133" s="44">
        <v>1</v>
      </c>
      <c r="AN133" s="44">
        <v>1</v>
      </c>
      <c r="AO133" s="44">
        <v>1</v>
      </c>
      <c r="AP133" s="44">
        <v>1</v>
      </c>
      <c r="AQ133" s="44">
        <v>1</v>
      </c>
      <c r="AR133"/>
      <c r="AS133" s="44">
        <v>1</v>
      </c>
      <c r="AT133" s="44">
        <v>1</v>
      </c>
      <c r="AU133" s="44">
        <v>1</v>
      </c>
      <c r="AV133" s="44">
        <v>1</v>
      </c>
      <c r="AW133"/>
      <c r="AX133" s="44">
        <v>1</v>
      </c>
      <c r="AY133"/>
      <c r="AZ133"/>
      <c r="BA133" s="44">
        <v>1</v>
      </c>
    </row>
    <row r="134" spans="1:53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/>
      <c r="N134" s="44">
        <v>1.9999999999999999E-7</v>
      </c>
      <c r="P134" s="44">
        <v>1.9999999999999999E-7</v>
      </c>
      <c r="R134" s="44">
        <v>1.9999999999999999E-7</v>
      </c>
      <c r="S134" s="44"/>
      <c r="T134" s="44">
        <v>1.9999999999999999E-7</v>
      </c>
      <c r="U134" s="44">
        <v>1.9999999999999999E-7</v>
      </c>
      <c r="V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/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 s="44">
        <v>1.9999999999999999E-7</v>
      </c>
      <c r="AP134" s="44">
        <v>1.9999999999999999E-7</v>
      </c>
      <c r="AQ134" s="44">
        <v>1.9999999999999999E-7</v>
      </c>
      <c r="AR134"/>
      <c r="AS134" s="44">
        <v>1.9999999999999999E-7</v>
      </c>
      <c r="AT134" s="44">
        <v>1.9999999999999999E-7</v>
      </c>
      <c r="AU134" s="44">
        <v>1.9999999999999999E-7</v>
      </c>
      <c r="AV134" s="44">
        <v>1.9999999999999999E-7</v>
      </c>
      <c r="AW134"/>
      <c r="AX134" s="44">
        <v>1.9999999999999999E-7</v>
      </c>
      <c r="AY134"/>
      <c r="AZ134"/>
      <c r="BA134" s="44">
        <v>1.9999999999999999E-7</v>
      </c>
    </row>
    <row r="135" spans="1:53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/>
      <c r="N135" s="55">
        <v>0</v>
      </c>
      <c r="P135" s="61">
        <v>1.9999999999999999E-7</v>
      </c>
      <c r="R135" s="55">
        <v>0</v>
      </c>
      <c r="S135" s="55"/>
      <c r="T135" s="44">
        <v>1.9999999999999999E-7</v>
      </c>
      <c r="U135" s="44">
        <v>1.9999999999999999E-7</v>
      </c>
      <c r="V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 s="44">
        <v>1.9999999999999999E-7</v>
      </c>
      <c r="AH135" s="44">
        <v>1.9999999999999999E-7</v>
      </c>
      <c r="AI135" s="44">
        <v>1.9999999999999999E-7</v>
      </c>
      <c r="AJ135"/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 s="44">
        <v>1.9999999999999999E-7</v>
      </c>
      <c r="AP135" s="44">
        <v>1.9999999999999999E-7</v>
      </c>
      <c r="AQ135" s="44">
        <v>1.9999999999999999E-7</v>
      </c>
      <c r="AR135"/>
      <c r="AS135" s="44">
        <v>1.9999999999999999E-7</v>
      </c>
      <c r="AT135" s="44">
        <v>1.9999999999999999E-7</v>
      </c>
      <c r="AU135" s="44">
        <v>1.9999999999999999E-7</v>
      </c>
      <c r="AV135" s="44">
        <v>1.9999999999999999E-7</v>
      </c>
      <c r="AW135"/>
      <c r="AX135" s="44">
        <v>1.9999999999999999E-7</v>
      </c>
      <c r="AY135"/>
      <c r="AZ135"/>
      <c r="BA135" s="44">
        <v>1.9999999999999999E-7</v>
      </c>
    </row>
    <row r="136" spans="1:53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/>
      <c r="N136" s="44">
        <v>10</v>
      </c>
      <c r="P136" s="44">
        <v>10</v>
      </c>
      <c r="R136" s="44">
        <v>10</v>
      </c>
      <c r="S136" s="44"/>
      <c r="T136" s="44">
        <v>10</v>
      </c>
      <c r="U136" s="44">
        <v>10</v>
      </c>
      <c r="V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 s="44">
        <v>10</v>
      </c>
      <c r="AH136" s="44">
        <v>10</v>
      </c>
      <c r="AI136" s="44">
        <v>10</v>
      </c>
      <c r="AJ136"/>
      <c r="AK136" s="44">
        <v>10</v>
      </c>
      <c r="AL136" s="44">
        <v>10</v>
      </c>
      <c r="AM136" s="44">
        <v>10</v>
      </c>
      <c r="AN136" s="44">
        <v>10</v>
      </c>
      <c r="AO136" s="44">
        <v>10</v>
      </c>
      <c r="AP136" s="44">
        <v>10</v>
      </c>
      <c r="AQ136" s="44">
        <v>10</v>
      </c>
      <c r="AR136"/>
      <c r="AS136" s="44">
        <v>10</v>
      </c>
      <c r="AT136" s="44">
        <v>10</v>
      </c>
      <c r="AU136" s="44">
        <v>10</v>
      </c>
      <c r="AV136" s="44">
        <v>10</v>
      </c>
      <c r="AW136"/>
      <c r="AX136" s="44">
        <v>10</v>
      </c>
      <c r="AY136"/>
      <c r="AZ136"/>
      <c r="BA136" s="44">
        <v>10</v>
      </c>
    </row>
    <row r="137" spans="1:53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/>
      <c r="N137" s="44">
        <v>-0.04</v>
      </c>
      <c r="P137" s="44">
        <v>-0.04</v>
      </c>
      <c r="R137" s="44">
        <v>-0.04</v>
      </c>
      <c r="S137" s="44"/>
      <c r="T137" s="44">
        <v>-0.04</v>
      </c>
      <c r="U137" s="44">
        <v>-0.04</v>
      </c>
      <c r="V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 s="44">
        <v>-0.04</v>
      </c>
      <c r="AH137" s="44">
        <v>-0.04</v>
      </c>
      <c r="AI137" s="44">
        <v>-0.04</v>
      </c>
      <c r="AJ137"/>
      <c r="AK137" s="44">
        <v>-0.04</v>
      </c>
      <c r="AL137" s="44">
        <v>-0.04</v>
      </c>
      <c r="AM137" s="44">
        <v>-0.04</v>
      </c>
      <c r="AN137" s="44">
        <v>-0.04</v>
      </c>
      <c r="AO137" s="44">
        <v>-0.04</v>
      </c>
      <c r="AP137" s="44">
        <v>-0.04</v>
      </c>
      <c r="AQ137" s="44">
        <v>-0.04</v>
      </c>
      <c r="AR137"/>
      <c r="AS137" s="44">
        <v>-0.04</v>
      </c>
      <c r="AT137" s="44">
        <v>-0.04</v>
      </c>
      <c r="AU137" s="44">
        <v>-0.04</v>
      </c>
      <c r="AV137" s="44">
        <v>-0.04</v>
      </c>
      <c r="AW137"/>
      <c r="AX137" s="44">
        <v>-0.04</v>
      </c>
      <c r="AY137"/>
      <c r="AZ137"/>
      <c r="BA137" s="44">
        <v>-0.04</v>
      </c>
    </row>
    <row r="138" spans="1:53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/>
      <c r="N138" s="44">
        <v>2.9</v>
      </c>
      <c r="P138" s="44">
        <v>2.9</v>
      </c>
      <c r="R138" s="44">
        <v>2.9</v>
      </c>
      <c r="S138" s="44"/>
      <c r="T138" s="44">
        <v>2.9</v>
      </c>
      <c r="U138" s="44">
        <v>2.9</v>
      </c>
      <c r="V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 s="44">
        <v>2.9</v>
      </c>
      <c r="AH138" s="44">
        <v>2.9</v>
      </c>
      <c r="AI138" s="44">
        <v>2.9</v>
      </c>
      <c r="AJ138"/>
      <c r="AK138" s="44">
        <v>2.9</v>
      </c>
      <c r="AL138" s="44">
        <v>2.9</v>
      </c>
      <c r="AM138" s="44">
        <v>2.9</v>
      </c>
      <c r="AN138" s="44">
        <v>2.9</v>
      </c>
      <c r="AO138" s="44">
        <v>2.9</v>
      </c>
      <c r="AP138" s="44">
        <v>2.9</v>
      </c>
      <c r="AQ138" s="44">
        <v>2.9</v>
      </c>
      <c r="AR138"/>
      <c r="AS138" s="44">
        <v>2.9</v>
      </c>
      <c r="AT138" s="44">
        <v>2.9</v>
      </c>
      <c r="AU138" s="44">
        <v>2.9</v>
      </c>
      <c r="AV138" s="44">
        <v>2.9</v>
      </c>
      <c r="AW138"/>
      <c r="AX138" s="44">
        <v>2.9</v>
      </c>
      <c r="AY138"/>
      <c r="AZ138"/>
      <c r="BA138" s="44">
        <v>2.9</v>
      </c>
    </row>
    <row r="139" spans="1:53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/>
      <c r="N139" s="44">
        <v>1</v>
      </c>
      <c r="P139" s="44">
        <v>1</v>
      </c>
      <c r="R139" s="44">
        <v>1</v>
      </c>
      <c r="S139" s="44"/>
      <c r="T139" s="44">
        <v>1</v>
      </c>
      <c r="U139" s="44">
        <v>1</v>
      </c>
      <c r="V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 s="44">
        <v>1</v>
      </c>
      <c r="AH139" s="44">
        <v>1</v>
      </c>
      <c r="AI139" s="44">
        <v>1</v>
      </c>
      <c r="AJ139"/>
      <c r="AK139" s="44">
        <v>1</v>
      </c>
      <c r="AL139" s="44">
        <v>1</v>
      </c>
      <c r="AM139" s="44">
        <v>1</v>
      </c>
      <c r="AN139" s="44">
        <v>1</v>
      </c>
      <c r="AO139" s="44">
        <v>1</v>
      </c>
      <c r="AP139" s="44">
        <v>1</v>
      </c>
      <c r="AQ139" s="44">
        <v>1</v>
      </c>
      <c r="AR139"/>
      <c r="AS139" s="44">
        <v>1</v>
      </c>
      <c r="AT139" s="44">
        <v>1</v>
      </c>
      <c r="AU139" s="44">
        <v>1</v>
      </c>
      <c r="AV139" s="44">
        <v>1</v>
      </c>
      <c r="AW139"/>
      <c r="AX139" s="44">
        <v>1</v>
      </c>
      <c r="AY139"/>
      <c r="AZ139"/>
      <c r="BA139" s="44">
        <v>1</v>
      </c>
    </row>
    <row r="140" spans="1:53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/>
      <c r="N140" s="44">
        <v>0</v>
      </c>
      <c r="P140" s="44">
        <v>0</v>
      </c>
      <c r="R140" s="44">
        <v>0</v>
      </c>
      <c r="S140" s="44"/>
      <c r="T140" s="44">
        <v>0</v>
      </c>
      <c r="U140" s="44">
        <v>0</v>
      </c>
      <c r="V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/>
      <c r="AK140" s="44">
        <v>0</v>
      </c>
      <c r="AL140" s="44">
        <v>0</v>
      </c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/>
      <c r="AS140" s="44">
        <v>0</v>
      </c>
      <c r="AT140" s="44">
        <v>0</v>
      </c>
      <c r="AU140" s="44">
        <v>0</v>
      </c>
      <c r="AV140" s="44">
        <v>0</v>
      </c>
      <c r="AW140"/>
      <c r="AX140" s="44">
        <v>0</v>
      </c>
      <c r="AY140"/>
      <c r="AZ140"/>
      <c r="BA140" s="44">
        <v>0</v>
      </c>
    </row>
    <row r="141" spans="1:53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/>
      <c r="N141" s="44">
        <v>5.0000000000000004E-6</v>
      </c>
      <c r="P141" s="44">
        <v>5.0000000000000004E-6</v>
      </c>
      <c r="R141" s="44">
        <v>5.0000000000000004E-6</v>
      </c>
      <c r="S141" s="44"/>
      <c r="T141" s="44">
        <v>5.0000000000000004E-6</v>
      </c>
      <c r="U141" s="44">
        <v>5.0000000000000004E-6</v>
      </c>
      <c r="V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 s="44">
        <v>5.0000000000000004E-6</v>
      </c>
      <c r="AH141" s="44">
        <v>5.0000000000000004E-6</v>
      </c>
      <c r="AI141" s="44">
        <v>5.0000000000000004E-6</v>
      </c>
      <c r="AJ141"/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 s="44">
        <v>5.0000000000000004E-6</v>
      </c>
      <c r="AP141" s="44">
        <v>5.0000000000000004E-6</v>
      </c>
      <c r="AQ141" s="44">
        <v>5.0000000000000004E-6</v>
      </c>
      <c r="AR141"/>
      <c r="AS141" s="44">
        <v>5.0000000000000004E-6</v>
      </c>
      <c r="AT141" s="44">
        <v>5.0000000000000004E-6</v>
      </c>
      <c r="AU141" s="44">
        <v>5.0000000000000004E-6</v>
      </c>
      <c r="AV141" s="44">
        <v>5.0000000000000004E-6</v>
      </c>
      <c r="AW141"/>
      <c r="AX141" s="44">
        <v>5.0000000000000004E-6</v>
      </c>
      <c r="AY141"/>
      <c r="AZ141"/>
      <c r="BA141" s="44">
        <v>5.0000000000000004E-6</v>
      </c>
    </row>
    <row r="142" spans="1:53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/>
      <c r="N142" s="44">
        <v>0</v>
      </c>
      <c r="P142" s="44">
        <v>0</v>
      </c>
      <c r="R142" s="44">
        <v>0</v>
      </c>
      <c r="S142" s="44"/>
      <c r="T142" s="44">
        <v>0</v>
      </c>
      <c r="U142" s="44">
        <v>0</v>
      </c>
      <c r="V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 s="44">
        <v>0</v>
      </c>
      <c r="AI142" s="44">
        <v>0</v>
      </c>
      <c r="AJ142"/>
      <c r="AK142" s="44">
        <v>0</v>
      </c>
      <c r="AL142" s="44">
        <v>0</v>
      </c>
      <c r="AM142" s="44">
        <v>0</v>
      </c>
      <c r="AN142" s="44">
        <v>0</v>
      </c>
      <c r="AO142" s="44">
        <v>0</v>
      </c>
      <c r="AP142" s="44">
        <v>0</v>
      </c>
      <c r="AQ142" s="44">
        <v>0</v>
      </c>
      <c r="AR142"/>
      <c r="AS142" s="44">
        <v>0</v>
      </c>
      <c r="AT142" s="44">
        <v>0</v>
      </c>
      <c r="AU142" s="44">
        <v>0</v>
      </c>
      <c r="AV142" s="44">
        <v>0</v>
      </c>
      <c r="AW142"/>
      <c r="AX142" s="44">
        <v>0</v>
      </c>
      <c r="AY142"/>
      <c r="AZ142"/>
      <c r="BA142" s="44">
        <v>0</v>
      </c>
    </row>
    <row r="143" spans="1:53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/>
      <c r="N143" s="44">
        <v>2E-3</v>
      </c>
      <c r="P143" s="44">
        <v>2E-3</v>
      </c>
      <c r="R143" s="44">
        <v>2E-3</v>
      </c>
      <c r="S143" s="44"/>
      <c r="T143" s="44">
        <v>2E-3</v>
      </c>
      <c r="U143" s="44">
        <v>2E-3</v>
      </c>
      <c r="V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 s="44">
        <v>2E-3</v>
      </c>
      <c r="AH143" s="44">
        <v>2E-3</v>
      </c>
      <c r="AI143" s="44">
        <v>2E-3</v>
      </c>
      <c r="AJ143"/>
      <c r="AK143" s="44">
        <v>2E-3</v>
      </c>
      <c r="AL143" s="44">
        <v>2E-3</v>
      </c>
      <c r="AM143" s="44">
        <v>2E-3</v>
      </c>
      <c r="AN143" s="44">
        <v>2E-3</v>
      </c>
      <c r="AO143" s="44">
        <v>2E-3</v>
      </c>
      <c r="AP143" s="44">
        <v>2E-3</v>
      </c>
      <c r="AQ143" s="44">
        <v>2E-3</v>
      </c>
      <c r="AR143"/>
      <c r="AS143" s="44">
        <v>2E-3</v>
      </c>
      <c r="AT143" s="44">
        <v>2E-3</v>
      </c>
      <c r="AU143" s="44">
        <v>2E-3</v>
      </c>
      <c r="AV143" s="44">
        <v>2E-3</v>
      </c>
      <c r="AW143"/>
      <c r="AX143" s="44">
        <v>2E-3</v>
      </c>
      <c r="AY143"/>
      <c r="AZ143"/>
      <c r="BA143" s="44">
        <v>2E-3</v>
      </c>
    </row>
    <row r="144" spans="1:53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/>
      <c r="N144" s="44">
        <v>3.9999999999999998E-6</v>
      </c>
      <c r="P144" s="44">
        <v>3.9999999999999998E-6</v>
      </c>
      <c r="R144" s="44">
        <v>3.9999999999999998E-6</v>
      </c>
      <c r="S144" s="44"/>
      <c r="T144" s="44">
        <v>3.9999999999999998E-6</v>
      </c>
      <c r="U144" s="44">
        <v>3.9999999999999998E-6</v>
      </c>
      <c r="V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 s="44">
        <v>3.9999999999999998E-6</v>
      </c>
      <c r="AH144" s="44">
        <v>3.9999999999999998E-6</v>
      </c>
      <c r="AI144" s="44">
        <v>3.9999999999999998E-6</v>
      </c>
      <c r="AJ144"/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 s="44">
        <v>3.9999999999999998E-6</v>
      </c>
      <c r="AP144" s="44">
        <v>3.9999999999999998E-6</v>
      </c>
      <c r="AQ144" s="44">
        <v>3.9999999999999998E-6</v>
      </c>
      <c r="AR144"/>
      <c r="AS144" s="44">
        <v>3.9999999999999998E-6</v>
      </c>
      <c r="AT144" s="44">
        <v>3.9999999999999998E-6</v>
      </c>
      <c r="AU144" s="44">
        <v>3.9999999999999998E-6</v>
      </c>
      <c r="AV144" s="44">
        <v>3.9999999999999998E-6</v>
      </c>
      <c r="AW144"/>
      <c r="AX144" s="44">
        <v>3.9999999999999998E-6</v>
      </c>
      <c r="AY144"/>
      <c r="AZ144"/>
      <c r="BA144" s="44">
        <v>3.9999999999999998E-6</v>
      </c>
    </row>
    <row r="145" spans="1:53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/>
      <c r="N145" s="44">
        <v>3.7699999999999999E-10</v>
      </c>
      <c r="P145" s="44">
        <v>3.7699999999999999E-10</v>
      </c>
      <c r="R145" s="44">
        <v>3.7699999999999999E-10</v>
      </c>
      <c r="S145" s="44"/>
      <c r="T145" s="44">
        <v>3.7699999999999999E-10</v>
      </c>
      <c r="U145" s="44">
        <v>3.7699999999999999E-10</v>
      </c>
      <c r="V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 s="44">
        <v>3.7699999999999999E-10</v>
      </c>
      <c r="AH145" s="44">
        <v>3.7699999999999999E-10</v>
      </c>
      <c r="AI145" s="44">
        <v>3.7699999999999999E-10</v>
      </c>
      <c r="AJ145"/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 s="44">
        <v>3.7699999999999999E-10</v>
      </c>
      <c r="AP145" s="44">
        <v>3.7699999999999999E-10</v>
      </c>
      <c r="AQ145" s="44">
        <v>3.7699999999999999E-10</v>
      </c>
      <c r="AR145"/>
      <c r="AS145" s="44">
        <v>3.7699999999999999E-10</v>
      </c>
      <c r="AT145" s="44">
        <v>3.7699999999999999E-10</v>
      </c>
      <c r="AU145" s="44">
        <v>3.7699999999999999E-10</v>
      </c>
      <c r="AV145" s="44">
        <v>3.7699999999999999E-10</v>
      </c>
      <c r="AW145"/>
      <c r="AX145" s="44">
        <v>3.7699999999999999E-10</v>
      </c>
      <c r="AY145"/>
      <c r="AZ145"/>
      <c r="BA145" s="44">
        <v>3.7699999999999999E-10</v>
      </c>
    </row>
    <row r="146" spans="1:53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/>
      <c r="N146" s="44">
        <v>20</v>
      </c>
      <c r="P146" s="44">
        <v>20</v>
      </c>
      <c r="R146" s="44">
        <v>20</v>
      </c>
      <c r="S146" s="44"/>
      <c r="T146" s="44">
        <v>20</v>
      </c>
      <c r="U146" s="44">
        <v>20</v>
      </c>
      <c r="V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 s="44">
        <v>20</v>
      </c>
      <c r="AH146" s="44">
        <v>20</v>
      </c>
      <c r="AI146" s="44">
        <v>20</v>
      </c>
      <c r="AJ146"/>
      <c r="AK146" s="44">
        <v>20</v>
      </c>
      <c r="AL146" s="44">
        <v>20</v>
      </c>
      <c r="AM146" s="44">
        <v>20</v>
      </c>
      <c r="AN146" s="44">
        <v>20</v>
      </c>
      <c r="AO146" s="44">
        <v>20</v>
      </c>
      <c r="AP146" s="44">
        <v>20</v>
      </c>
      <c r="AQ146" s="44">
        <v>20</v>
      </c>
      <c r="AR146"/>
      <c r="AS146" s="44">
        <v>20</v>
      </c>
      <c r="AT146" s="44">
        <v>20</v>
      </c>
      <c r="AU146" s="44">
        <v>20</v>
      </c>
      <c r="AV146" s="44">
        <v>20</v>
      </c>
      <c r="AW146"/>
      <c r="AX146" s="44">
        <v>20</v>
      </c>
      <c r="AY146"/>
      <c r="AZ146"/>
      <c r="BA146" s="44">
        <v>20</v>
      </c>
    </row>
    <row r="147" spans="1:53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/>
      <c r="N147" s="44">
        <v>-0.06</v>
      </c>
      <c r="P147" s="44">
        <v>-0.06</v>
      </c>
      <c r="R147" s="44">
        <v>-0.06</v>
      </c>
      <c r="S147" s="44"/>
      <c r="T147" s="44">
        <v>-0.06</v>
      </c>
      <c r="U147" s="44">
        <v>-0.06</v>
      </c>
      <c r="V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 s="44">
        <v>-0.06</v>
      </c>
      <c r="AH147" s="44">
        <v>-0.06</v>
      </c>
      <c r="AI147" s="44">
        <v>-0.06</v>
      </c>
      <c r="AJ147"/>
      <c r="AK147" s="44">
        <v>-0.06</v>
      </c>
      <c r="AL147" s="44">
        <v>-0.06</v>
      </c>
      <c r="AM147" s="44">
        <v>-0.06</v>
      </c>
      <c r="AN147" s="44">
        <v>-0.06</v>
      </c>
      <c r="AO147" s="44">
        <v>-0.06</v>
      </c>
      <c r="AP147" s="44">
        <v>-0.06</v>
      </c>
      <c r="AQ147" s="44">
        <v>-0.06</v>
      </c>
      <c r="AR147"/>
      <c r="AS147" s="44">
        <v>-0.06</v>
      </c>
      <c r="AT147" s="44">
        <v>-0.06</v>
      </c>
      <c r="AU147" s="44">
        <v>-0.06</v>
      </c>
      <c r="AV147" s="44">
        <v>-0.06</v>
      </c>
      <c r="AW147"/>
      <c r="AX147" s="44">
        <v>-0.06</v>
      </c>
      <c r="AY147"/>
      <c r="AZ147"/>
      <c r="BA147" s="44">
        <v>-0.06</v>
      </c>
    </row>
    <row r="148" spans="1:53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/>
      <c r="N148" s="44">
        <v>0.89100000000000001</v>
      </c>
      <c r="P148" s="44">
        <v>0.89100000000000001</v>
      </c>
      <c r="R148" s="44">
        <v>0.89100000000000001</v>
      </c>
      <c r="S148" s="44"/>
      <c r="T148" s="44">
        <v>0.89100000000000001</v>
      </c>
      <c r="U148" s="44">
        <v>0.89100000000000001</v>
      </c>
      <c r="V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 s="44">
        <v>0.89100000000000001</v>
      </c>
      <c r="AH148" s="44">
        <v>0.89100000000000001</v>
      </c>
      <c r="AI148" s="44">
        <v>0.89100000000000001</v>
      </c>
      <c r="AJ148"/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 s="44">
        <v>0.89100000000000001</v>
      </c>
      <c r="AP148" s="44">
        <v>0.89100000000000001</v>
      </c>
      <c r="AQ148" s="44">
        <v>0.89100000000000001</v>
      </c>
      <c r="AR148"/>
      <c r="AS148" s="44">
        <v>0.89100000000000001</v>
      </c>
      <c r="AT148" s="44">
        <v>0.89100000000000001</v>
      </c>
      <c r="AU148" s="44">
        <v>0.89100000000000001</v>
      </c>
      <c r="AV148" s="44">
        <v>0.89100000000000001</v>
      </c>
      <c r="AW148"/>
      <c r="AX148" s="44">
        <v>0.89100000000000001</v>
      </c>
      <c r="AY148"/>
      <c r="AZ148"/>
      <c r="BA148" s="44">
        <v>0.89100000000000001</v>
      </c>
    </row>
    <row r="149" spans="1:53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/>
      <c r="N149" s="44">
        <v>1</v>
      </c>
      <c r="P149" s="44">
        <v>1</v>
      </c>
      <c r="R149" s="44">
        <v>1</v>
      </c>
      <c r="S149" s="44"/>
      <c r="T149" s="44">
        <v>1</v>
      </c>
      <c r="U149" s="44">
        <v>1</v>
      </c>
      <c r="V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 s="44">
        <v>1</v>
      </c>
      <c r="AH149" s="44">
        <v>1</v>
      </c>
      <c r="AI149" s="44">
        <v>1</v>
      </c>
      <c r="AJ149"/>
      <c r="AK149" s="44">
        <v>1</v>
      </c>
      <c r="AL149" s="44">
        <v>1</v>
      </c>
      <c r="AM149" s="44">
        <v>1</v>
      </c>
      <c r="AN149" s="44">
        <v>1</v>
      </c>
      <c r="AO149" s="44">
        <v>1</v>
      </c>
      <c r="AP149" s="44">
        <v>1</v>
      </c>
      <c r="AQ149" s="44">
        <v>1</v>
      </c>
      <c r="AR149"/>
      <c r="AS149" s="44">
        <v>1</v>
      </c>
      <c r="AT149" s="44">
        <v>1</v>
      </c>
      <c r="AU149" s="44">
        <v>1</v>
      </c>
      <c r="AV149" s="44">
        <v>1</v>
      </c>
      <c r="AW149"/>
      <c r="AX149" s="44">
        <v>1</v>
      </c>
      <c r="AY149"/>
      <c r="AZ149"/>
      <c r="BA149" s="44">
        <v>1</v>
      </c>
    </row>
    <row r="150" spans="1:53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/>
      <c r="N150" s="44">
        <v>4.0000000000000003E-5</v>
      </c>
      <c r="P150" s="44">
        <v>4.0000000000000003E-5</v>
      </c>
      <c r="R150" s="44">
        <v>4.0000000000000003E-5</v>
      </c>
      <c r="S150" s="44"/>
      <c r="T150" s="44">
        <v>4.0000000000000003E-5</v>
      </c>
      <c r="U150" s="44">
        <v>4.0000000000000003E-5</v>
      </c>
      <c r="V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 s="44">
        <v>4.0000000000000003E-5</v>
      </c>
      <c r="AH150" s="44">
        <v>4.0000000000000003E-5</v>
      </c>
      <c r="AI150" s="44">
        <v>4.0000000000000003E-5</v>
      </c>
      <c r="AJ150"/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 s="44">
        <v>4.0000000000000003E-5</v>
      </c>
      <c r="AP150" s="44">
        <v>4.0000000000000003E-5</v>
      </c>
      <c r="AQ150" s="44">
        <v>4.0000000000000003E-5</v>
      </c>
      <c r="AR150"/>
      <c r="AS150" s="44">
        <v>4.0000000000000003E-5</v>
      </c>
      <c r="AT150" s="44">
        <v>4.0000000000000003E-5</v>
      </c>
      <c r="AU150" s="44">
        <v>4.0000000000000003E-5</v>
      </c>
      <c r="AV150" s="44">
        <v>4.0000000000000003E-5</v>
      </c>
      <c r="AW150"/>
      <c r="AX150" s="44">
        <v>4.0000000000000003E-5</v>
      </c>
      <c r="AY150"/>
      <c r="AZ150"/>
      <c r="BA150" s="44">
        <v>4.0000000000000003E-5</v>
      </c>
    </row>
    <row r="151" spans="1:53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/>
      <c r="N151" s="44">
        <v>5.8333333333333335E-9</v>
      </c>
      <c r="P151" s="44">
        <v>5.8333333333333335E-9</v>
      </c>
      <c r="R151" s="44">
        <v>5.8333333333333335E-9</v>
      </c>
      <c r="S151" s="44"/>
      <c r="T151" s="44">
        <v>5.8333333333333335E-9</v>
      </c>
      <c r="U151" s="44">
        <v>5.8333333333333335E-9</v>
      </c>
      <c r="V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 s="44">
        <v>5.8333333333333335E-9</v>
      </c>
      <c r="AH151" s="44">
        <v>5.8333333333333335E-9</v>
      </c>
      <c r="AI151" s="44">
        <v>5.8333333333333335E-9</v>
      </c>
      <c r="AJ151"/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 s="44">
        <v>5.8333333333333335E-9</v>
      </c>
      <c r="AP151" s="44">
        <v>5.8333333333333335E-9</v>
      </c>
      <c r="AQ151" s="44">
        <v>5.8333333333333335E-9</v>
      </c>
      <c r="AR151"/>
      <c r="AS151" s="44">
        <v>5.8333333333333335E-9</v>
      </c>
      <c r="AT151" s="44">
        <v>5.8333333333333335E-9</v>
      </c>
      <c r="AU151" s="44">
        <v>5.8333333333333335E-9</v>
      </c>
      <c r="AV151" s="44">
        <v>5.8333333333333335E-9</v>
      </c>
      <c r="AW151"/>
      <c r="AX151" s="44">
        <v>5.8333333333333335E-9</v>
      </c>
      <c r="AY151"/>
      <c r="AZ151"/>
      <c r="BA151" s="44">
        <v>5.8333333333333335E-9</v>
      </c>
    </row>
    <row r="152" spans="1:53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/>
      <c r="N152" s="44">
        <v>20</v>
      </c>
      <c r="P152" s="44">
        <v>20</v>
      </c>
      <c r="R152" s="44">
        <v>20</v>
      </c>
      <c r="S152" s="44"/>
      <c r="T152" s="44">
        <v>20</v>
      </c>
      <c r="U152" s="44">
        <v>20</v>
      </c>
      <c r="V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 s="44">
        <v>20</v>
      </c>
      <c r="AH152" s="44">
        <v>20</v>
      </c>
      <c r="AI152" s="44">
        <v>20</v>
      </c>
      <c r="AJ152"/>
      <c r="AK152" s="44">
        <v>20</v>
      </c>
      <c r="AL152" s="44">
        <v>20</v>
      </c>
      <c r="AM152" s="44">
        <v>20</v>
      </c>
      <c r="AN152" s="44">
        <v>20</v>
      </c>
      <c r="AO152" s="44">
        <v>20</v>
      </c>
      <c r="AP152" s="44">
        <v>20</v>
      </c>
      <c r="AQ152" s="44">
        <v>20</v>
      </c>
      <c r="AR152"/>
      <c r="AS152" s="44">
        <v>20</v>
      </c>
      <c r="AT152" s="44">
        <v>20</v>
      </c>
      <c r="AU152" s="44">
        <v>20</v>
      </c>
      <c r="AV152" s="44">
        <v>20</v>
      </c>
      <c r="AW152"/>
      <c r="AX152" s="44">
        <v>20</v>
      </c>
      <c r="AY152"/>
      <c r="AZ152"/>
      <c r="BA152" s="44">
        <v>20</v>
      </c>
    </row>
    <row r="153" spans="1:53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/>
      <c r="N153" s="44">
        <v>-0.06</v>
      </c>
      <c r="P153" s="44">
        <v>-0.06</v>
      </c>
      <c r="R153" s="44">
        <v>-0.06</v>
      </c>
      <c r="S153" s="44"/>
      <c r="T153" s="44">
        <v>-0.06</v>
      </c>
      <c r="U153" s="44">
        <v>-0.06</v>
      </c>
      <c r="V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 s="44">
        <v>-0.06</v>
      </c>
      <c r="AH153" s="44">
        <v>-0.06</v>
      </c>
      <c r="AI153" s="44">
        <v>-0.06</v>
      </c>
      <c r="AJ153"/>
      <c r="AK153" s="44">
        <v>-0.06</v>
      </c>
      <c r="AL153" s="44">
        <v>-0.06</v>
      </c>
      <c r="AM153" s="44">
        <v>-0.06</v>
      </c>
      <c r="AN153" s="44">
        <v>-0.06</v>
      </c>
      <c r="AO153" s="44">
        <v>-0.06</v>
      </c>
      <c r="AP153" s="44">
        <v>-0.06</v>
      </c>
      <c r="AQ153" s="44">
        <v>-0.06</v>
      </c>
      <c r="AR153"/>
      <c r="AS153" s="44">
        <v>-0.06</v>
      </c>
      <c r="AT153" s="44">
        <v>-0.06</v>
      </c>
      <c r="AU153" s="44">
        <v>-0.06</v>
      </c>
      <c r="AV153" s="44">
        <v>-0.06</v>
      </c>
      <c r="AW153"/>
      <c r="AX153" s="44">
        <v>-0.06</v>
      </c>
      <c r="AY153"/>
      <c r="AZ153"/>
      <c r="BA153" s="44">
        <v>-0.06</v>
      </c>
    </row>
    <row r="154" spans="1:53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/>
      <c r="N154" s="44">
        <v>0.89100000000000001</v>
      </c>
      <c r="P154" s="44">
        <v>0.89100000000000001</v>
      </c>
      <c r="R154" s="44">
        <v>0.89100000000000001</v>
      </c>
      <c r="S154" s="44"/>
      <c r="T154" s="44">
        <v>0.89100000000000001</v>
      </c>
      <c r="U154" s="44">
        <v>0.89100000000000001</v>
      </c>
      <c r="V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 s="44">
        <v>0.89100000000000001</v>
      </c>
      <c r="AH154" s="44">
        <v>0.89100000000000001</v>
      </c>
      <c r="AI154" s="44">
        <v>0.89100000000000001</v>
      </c>
      <c r="AJ154"/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 s="44">
        <v>0.89100000000000001</v>
      </c>
      <c r="AP154" s="44">
        <v>0.89100000000000001</v>
      </c>
      <c r="AQ154" s="44">
        <v>0.89100000000000001</v>
      </c>
      <c r="AR154"/>
      <c r="AS154" s="44">
        <v>0.89100000000000001</v>
      </c>
      <c r="AT154" s="44">
        <v>0.89100000000000001</v>
      </c>
      <c r="AU154" s="44">
        <v>0.89100000000000001</v>
      </c>
      <c r="AV154" s="44">
        <v>0.89100000000000001</v>
      </c>
      <c r="AW154"/>
      <c r="AX154" s="44">
        <v>0.89100000000000001</v>
      </c>
      <c r="AY154"/>
      <c r="AZ154"/>
      <c r="BA154" s="44">
        <v>0.89100000000000001</v>
      </c>
    </row>
    <row r="155" spans="1:53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/>
      <c r="N155" s="44">
        <v>1</v>
      </c>
      <c r="P155" s="44">
        <v>1</v>
      </c>
      <c r="R155" s="44">
        <v>1</v>
      </c>
      <c r="S155" s="44"/>
      <c r="T155" s="44">
        <v>1</v>
      </c>
      <c r="U155" s="44">
        <v>1</v>
      </c>
      <c r="V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 s="44">
        <v>1</v>
      </c>
      <c r="AH155" s="44">
        <v>1</v>
      </c>
      <c r="AI155" s="44">
        <v>1</v>
      </c>
      <c r="AJ155"/>
      <c r="AK155" s="44">
        <v>1</v>
      </c>
      <c r="AL155" s="44">
        <v>1</v>
      </c>
      <c r="AM155" s="44">
        <v>1</v>
      </c>
      <c r="AN155" s="44">
        <v>1</v>
      </c>
      <c r="AO155" s="44">
        <v>1</v>
      </c>
      <c r="AP155" s="44">
        <v>1</v>
      </c>
      <c r="AQ155" s="44">
        <v>1</v>
      </c>
      <c r="AR155"/>
      <c r="AS155" s="44">
        <v>1</v>
      </c>
      <c r="AT155" s="44">
        <v>1</v>
      </c>
      <c r="AU155" s="44">
        <v>1</v>
      </c>
      <c r="AV155" s="44">
        <v>1</v>
      </c>
      <c r="AW155"/>
      <c r="AX155" s="44">
        <v>1</v>
      </c>
      <c r="AY155"/>
      <c r="AZ155"/>
      <c r="BA155" s="44">
        <v>1</v>
      </c>
    </row>
    <row r="156" spans="1:53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/>
      <c r="N156" s="44">
        <v>4.0000000000000003E-5</v>
      </c>
      <c r="P156" s="44">
        <v>4.0000000000000003E-5</v>
      </c>
      <c r="R156" s="44">
        <v>4.0000000000000003E-5</v>
      </c>
      <c r="S156" s="44"/>
      <c r="T156" s="44">
        <v>4.0000000000000003E-5</v>
      </c>
      <c r="U156" s="44">
        <v>4.0000000000000003E-5</v>
      </c>
      <c r="V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 s="44">
        <v>4.0000000000000003E-5</v>
      </c>
      <c r="AH156" s="44">
        <v>4.0000000000000003E-5</v>
      </c>
      <c r="AI156" s="44">
        <v>4.0000000000000003E-5</v>
      </c>
      <c r="AJ156"/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 s="44">
        <v>4.0000000000000003E-5</v>
      </c>
      <c r="AP156" s="44">
        <v>4.0000000000000003E-5</v>
      </c>
      <c r="AQ156" s="44">
        <v>4.0000000000000003E-5</v>
      </c>
      <c r="AR156"/>
      <c r="AS156" s="44">
        <v>4.0000000000000003E-5</v>
      </c>
      <c r="AT156" s="44">
        <v>4.0000000000000003E-5</v>
      </c>
      <c r="AU156" s="44">
        <v>4.0000000000000003E-5</v>
      </c>
      <c r="AV156" s="44">
        <v>4.0000000000000003E-5</v>
      </c>
      <c r="AW156"/>
      <c r="AX156" s="44">
        <v>4.0000000000000003E-5</v>
      </c>
      <c r="AY156"/>
      <c r="AZ156"/>
      <c r="BA156" s="44">
        <v>4.0000000000000003E-5</v>
      </c>
    </row>
    <row r="157" spans="1:53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/>
      <c r="N157" s="44">
        <v>4.0000000000000001E-8</v>
      </c>
      <c r="P157" s="44">
        <v>4.0000000000000001E-8</v>
      </c>
      <c r="R157" s="44">
        <v>4.0000000000000001E-8</v>
      </c>
      <c r="S157" s="44"/>
      <c r="T157" s="44">
        <v>4.0000000000000001E-8</v>
      </c>
      <c r="U157" s="44">
        <v>4.0000000000000001E-8</v>
      </c>
      <c r="V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 s="44">
        <v>4.0000000000000001E-8</v>
      </c>
      <c r="AH157" s="44">
        <v>4.0000000000000001E-8</v>
      </c>
      <c r="AI157" s="44">
        <v>4.0000000000000001E-8</v>
      </c>
      <c r="AJ157"/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 s="44">
        <v>4.0000000000000001E-8</v>
      </c>
      <c r="AP157" s="44">
        <v>4.0000000000000001E-8</v>
      </c>
      <c r="AQ157" s="44">
        <v>4.0000000000000001E-8</v>
      </c>
      <c r="AR157"/>
      <c r="AS157" s="44">
        <v>4.0000000000000001E-8</v>
      </c>
      <c r="AT157" s="44">
        <v>4.0000000000000001E-8</v>
      </c>
      <c r="AU157" s="44">
        <v>4.0000000000000001E-8</v>
      </c>
      <c r="AV157" s="44">
        <v>4.0000000000000001E-8</v>
      </c>
      <c r="AW157"/>
      <c r="AX157" s="44">
        <v>4.0000000000000001E-8</v>
      </c>
      <c r="AY157"/>
      <c r="AZ157"/>
      <c r="BA157" s="44">
        <v>4.0000000000000001E-8</v>
      </c>
    </row>
    <row r="158" spans="1:53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/>
      <c r="N158" s="44">
        <v>20</v>
      </c>
      <c r="P158" s="44">
        <v>20</v>
      </c>
      <c r="R158" s="44">
        <v>20</v>
      </c>
      <c r="S158" s="44"/>
      <c r="T158" s="44">
        <v>20</v>
      </c>
      <c r="U158" s="44">
        <v>20</v>
      </c>
      <c r="V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 s="44">
        <v>20</v>
      </c>
      <c r="AH158" s="44">
        <v>20</v>
      </c>
      <c r="AI158" s="44">
        <v>20</v>
      </c>
      <c r="AJ158"/>
      <c r="AK158" s="44">
        <v>20</v>
      </c>
      <c r="AL158" s="44">
        <v>20</v>
      </c>
      <c r="AM158" s="44">
        <v>20</v>
      </c>
      <c r="AN158" s="44">
        <v>20</v>
      </c>
      <c r="AO158" s="44">
        <v>20</v>
      </c>
      <c r="AP158" s="44">
        <v>20</v>
      </c>
      <c r="AQ158" s="44">
        <v>20</v>
      </c>
      <c r="AR158"/>
      <c r="AS158" s="44">
        <v>20</v>
      </c>
      <c r="AT158" s="44">
        <v>20</v>
      </c>
      <c r="AU158" s="44">
        <v>20</v>
      </c>
      <c r="AV158" s="44">
        <v>20</v>
      </c>
      <c r="AW158"/>
      <c r="AX158" s="44">
        <v>20</v>
      </c>
      <c r="AY158"/>
      <c r="AZ158"/>
      <c r="BA158" s="44">
        <v>20</v>
      </c>
    </row>
    <row r="159" spans="1:53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/>
      <c r="N159" s="44">
        <v>-4.4200000000000003E-2</v>
      </c>
      <c r="P159" s="44">
        <v>-4.4200000000000003E-2</v>
      </c>
      <c r="R159" s="44">
        <v>-4.4200000000000003E-2</v>
      </c>
      <c r="S159" s="44"/>
      <c r="T159" s="44">
        <v>-4.4200000000000003E-2</v>
      </c>
      <c r="U159" s="44">
        <v>-4.4200000000000003E-2</v>
      </c>
      <c r="V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 s="44">
        <v>-4.4200000000000003E-2</v>
      </c>
      <c r="AH159" s="44">
        <v>-4.4200000000000003E-2</v>
      </c>
      <c r="AI159" s="44">
        <v>-4.4200000000000003E-2</v>
      </c>
      <c r="AJ159"/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 s="44">
        <v>-4.4200000000000003E-2</v>
      </c>
      <c r="AP159" s="44">
        <v>-4.4200000000000003E-2</v>
      </c>
      <c r="AQ159" s="44">
        <v>-4.4200000000000003E-2</v>
      </c>
      <c r="AR159"/>
      <c r="AS159" s="44">
        <v>-4.4200000000000003E-2</v>
      </c>
      <c r="AT159" s="44">
        <v>-4.4200000000000003E-2</v>
      </c>
      <c r="AU159" s="44">
        <v>-4.4200000000000003E-2</v>
      </c>
      <c r="AV159" s="44">
        <v>-4.4200000000000003E-2</v>
      </c>
      <c r="AW159"/>
      <c r="AX159" s="44">
        <v>-4.4200000000000003E-2</v>
      </c>
      <c r="AY159"/>
      <c r="AZ159"/>
      <c r="BA159" s="44">
        <v>-4.4200000000000003E-2</v>
      </c>
    </row>
    <row r="160" spans="1:53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/>
      <c r="N160" s="44">
        <v>1.55</v>
      </c>
      <c r="P160" s="44">
        <v>1.55</v>
      </c>
      <c r="R160" s="44">
        <v>1.55</v>
      </c>
      <c r="S160" s="44"/>
      <c r="T160" s="44">
        <v>1.55</v>
      </c>
      <c r="U160" s="44">
        <v>1.55</v>
      </c>
      <c r="V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 s="44">
        <v>1.55</v>
      </c>
      <c r="AH160" s="44">
        <v>1.55</v>
      </c>
      <c r="AI160" s="44">
        <v>1.55</v>
      </c>
      <c r="AJ160"/>
      <c r="AK160" s="44">
        <v>1.55</v>
      </c>
      <c r="AL160" s="44">
        <v>1.55</v>
      </c>
      <c r="AM160" s="44">
        <v>1.55</v>
      </c>
      <c r="AN160" s="44">
        <v>1.55</v>
      </c>
      <c r="AO160" s="44">
        <v>1.55</v>
      </c>
      <c r="AP160" s="44">
        <v>1.55</v>
      </c>
      <c r="AQ160" s="44">
        <v>1.55</v>
      </c>
      <c r="AR160"/>
      <c r="AS160" s="44">
        <v>1.55</v>
      </c>
      <c r="AT160" s="44">
        <v>1.55</v>
      </c>
      <c r="AU160" s="44">
        <v>1.55</v>
      </c>
      <c r="AV160" s="44">
        <v>1.55</v>
      </c>
      <c r="AW160"/>
      <c r="AX160" s="44">
        <v>1.55</v>
      </c>
      <c r="AY160"/>
      <c r="AZ160"/>
      <c r="BA160" s="44">
        <v>1.55</v>
      </c>
    </row>
    <row r="161" spans="1:53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/>
      <c r="N161" s="44">
        <v>1</v>
      </c>
      <c r="P161" s="44">
        <v>1</v>
      </c>
      <c r="R161" s="44">
        <v>1</v>
      </c>
      <c r="S161" s="44"/>
      <c r="T161" s="44">
        <v>1</v>
      </c>
      <c r="U161" s="44">
        <v>1</v>
      </c>
      <c r="V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 s="44">
        <v>1</v>
      </c>
      <c r="AH161" s="44">
        <v>1</v>
      </c>
      <c r="AI161" s="44">
        <v>1</v>
      </c>
      <c r="AJ161"/>
      <c r="AK161" s="44">
        <v>1</v>
      </c>
      <c r="AL161" s="44">
        <v>1</v>
      </c>
      <c r="AM161" s="44">
        <v>1</v>
      </c>
      <c r="AN161" s="44">
        <v>1</v>
      </c>
      <c r="AO161" s="44">
        <v>1</v>
      </c>
      <c r="AP161" s="44">
        <v>1</v>
      </c>
      <c r="AQ161" s="44">
        <v>1</v>
      </c>
      <c r="AR161"/>
      <c r="AS161" s="44">
        <v>1</v>
      </c>
      <c r="AT161" s="44">
        <v>1</v>
      </c>
      <c r="AU161" s="44">
        <v>1</v>
      </c>
      <c r="AV161" s="44">
        <v>1</v>
      </c>
      <c r="AW161"/>
      <c r="AX161" s="44">
        <v>1</v>
      </c>
      <c r="AY161"/>
      <c r="AZ161"/>
      <c r="BA161" s="44">
        <v>1</v>
      </c>
    </row>
    <row r="162" spans="1:53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/>
      <c r="N162" s="44">
        <v>2.7799999999999998E-4</v>
      </c>
      <c r="P162" s="44">
        <v>2.7799999999999998E-4</v>
      </c>
      <c r="R162" s="44">
        <v>2.7799999999999998E-4</v>
      </c>
      <c r="S162" s="44"/>
      <c r="T162" s="44">
        <v>2.7799999999999998E-4</v>
      </c>
      <c r="U162" s="44">
        <v>2.7799999999999998E-4</v>
      </c>
      <c r="V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 s="44">
        <v>2.7799999999999998E-4</v>
      </c>
      <c r="AH162" s="44">
        <v>2.7799999999999998E-4</v>
      </c>
      <c r="AI162" s="44">
        <v>2.7799999999999998E-4</v>
      </c>
      <c r="AJ162"/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 s="44">
        <v>2.7799999999999998E-4</v>
      </c>
      <c r="AP162" s="44">
        <v>2.7799999999999998E-4</v>
      </c>
      <c r="AQ162" s="44">
        <v>2.7799999999999998E-4</v>
      </c>
      <c r="AR162"/>
      <c r="AS162" s="44">
        <v>2.7799999999999998E-4</v>
      </c>
      <c r="AT162" s="44">
        <v>2.7799999999999998E-4</v>
      </c>
      <c r="AU162" s="44">
        <v>2.7799999999999998E-4</v>
      </c>
      <c r="AV162" s="44">
        <v>2.7799999999999998E-4</v>
      </c>
      <c r="AW162"/>
      <c r="AX162" s="44">
        <v>2.7799999999999998E-4</v>
      </c>
      <c r="AY162"/>
      <c r="AZ162"/>
      <c r="BA162" s="44">
        <v>2.7799999999999998E-4</v>
      </c>
    </row>
    <row r="163" spans="1:53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/>
      <c r="N163" s="44">
        <f>0.0000000000025/5</f>
        <v>4.9999999999999999E-13</v>
      </c>
      <c r="O163" s="1" t="s">
        <v>605</v>
      </c>
      <c r="P163" s="44">
        <f>0.0000000000025/5</f>
        <v>4.9999999999999999E-13</v>
      </c>
      <c r="R163" s="44">
        <v>2.4999999999999998E-12</v>
      </c>
      <c r="S163" s="44"/>
      <c r="T163" s="44">
        <v>2.4999999999999998E-12</v>
      </c>
      <c r="U163" s="44">
        <v>2.4999999999999998E-12</v>
      </c>
      <c r="V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 s="44">
        <v>2.4999999999999998E-12</v>
      </c>
      <c r="AH163" s="44">
        <v>2.4999999999999998E-12</v>
      </c>
      <c r="AI163" s="44">
        <v>2.4999999999999998E-12</v>
      </c>
      <c r="AJ163"/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 s="44">
        <v>2.4999999999999998E-12</v>
      </c>
      <c r="AP163" s="44">
        <v>2.4999999999999998E-12</v>
      </c>
      <c r="AQ163" s="44">
        <v>2.4999999999999998E-12</v>
      </c>
      <c r="AR163"/>
      <c r="AS163" s="44">
        <v>2.4999999999999998E-12</v>
      </c>
      <c r="AT163" s="44">
        <v>2.4999999999999998E-12</v>
      </c>
      <c r="AU163" s="44">
        <v>2.4999999999999998E-12</v>
      </c>
      <c r="AV163" s="44">
        <v>2.4999999999999998E-12</v>
      </c>
      <c r="AW163"/>
      <c r="AX163" s="44">
        <v>2.4999999999999998E-12</v>
      </c>
      <c r="AY163"/>
      <c r="AZ163"/>
      <c r="BA163" s="44">
        <v>2.4999999999999998E-12</v>
      </c>
    </row>
    <row r="164" spans="1:53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/>
      <c r="N164" s="44">
        <v>20</v>
      </c>
      <c r="P164" s="44">
        <v>20</v>
      </c>
      <c r="R164" s="44">
        <v>20</v>
      </c>
      <c r="S164" s="44"/>
      <c r="T164" s="44">
        <v>20</v>
      </c>
      <c r="U164" s="44">
        <v>20</v>
      </c>
      <c r="V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 s="44">
        <v>20</v>
      </c>
      <c r="AH164" s="44">
        <v>20</v>
      </c>
      <c r="AI164" s="44">
        <v>20</v>
      </c>
      <c r="AJ164"/>
      <c r="AK164" s="44">
        <v>20</v>
      </c>
      <c r="AL164" s="44">
        <v>20</v>
      </c>
      <c r="AM164" s="44">
        <v>20</v>
      </c>
      <c r="AN164" s="44">
        <v>20</v>
      </c>
      <c r="AO164" s="44">
        <v>20</v>
      </c>
      <c r="AP164" s="44">
        <v>20</v>
      </c>
      <c r="AQ164" s="44">
        <v>20</v>
      </c>
      <c r="AR164"/>
      <c r="AS164" s="44">
        <v>20</v>
      </c>
      <c r="AT164" s="44">
        <v>20</v>
      </c>
      <c r="AU164" s="44">
        <v>20</v>
      </c>
      <c r="AV164" s="44">
        <v>20</v>
      </c>
      <c r="AW164"/>
      <c r="AX164" s="44">
        <v>20</v>
      </c>
      <c r="AY164"/>
      <c r="AZ164"/>
      <c r="BA164" s="44">
        <v>20</v>
      </c>
    </row>
    <row r="165" spans="1:53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/>
      <c r="N165" s="44">
        <v>0</v>
      </c>
      <c r="P165" s="44">
        <v>0</v>
      </c>
      <c r="R165" s="44">
        <v>0</v>
      </c>
      <c r="S165" s="44"/>
      <c r="T165" s="44">
        <v>0</v>
      </c>
      <c r="U165" s="44">
        <v>0</v>
      </c>
      <c r="V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/>
      <c r="AK165" s="44">
        <v>0</v>
      </c>
      <c r="AL165" s="44">
        <v>0</v>
      </c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/>
      <c r="AS165" s="44">
        <v>0</v>
      </c>
      <c r="AT165" s="44">
        <v>0</v>
      </c>
      <c r="AU165" s="44">
        <v>0</v>
      </c>
      <c r="AV165" s="44">
        <v>0</v>
      </c>
      <c r="AW165"/>
      <c r="AX165" s="44">
        <v>0</v>
      </c>
      <c r="AY165"/>
      <c r="AZ165"/>
      <c r="BA165" s="44">
        <v>0</v>
      </c>
    </row>
    <row r="166" spans="1:53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/>
      <c r="N166" s="44">
        <v>1</v>
      </c>
      <c r="P166" s="44">
        <v>1</v>
      </c>
      <c r="R166" s="44">
        <v>1</v>
      </c>
      <c r="S166" s="44"/>
      <c r="T166" s="44">
        <v>1</v>
      </c>
      <c r="U166" s="44">
        <v>1</v>
      </c>
      <c r="V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 s="44">
        <v>1</v>
      </c>
      <c r="AH166" s="44">
        <v>1</v>
      </c>
      <c r="AI166" s="44">
        <v>1</v>
      </c>
      <c r="AJ166"/>
      <c r="AK166" s="44">
        <v>1</v>
      </c>
      <c r="AL166" s="44">
        <v>1</v>
      </c>
      <c r="AM166" s="44">
        <v>1</v>
      </c>
      <c r="AN166" s="44">
        <v>1</v>
      </c>
      <c r="AO166" s="44">
        <v>1</v>
      </c>
      <c r="AP166" s="44">
        <v>1</v>
      </c>
      <c r="AQ166" s="44">
        <v>1</v>
      </c>
      <c r="AR166"/>
      <c r="AS166" s="44">
        <v>1</v>
      </c>
      <c r="AT166" s="44">
        <v>1</v>
      </c>
      <c r="AU166" s="44">
        <v>1</v>
      </c>
      <c r="AV166" s="44">
        <v>1</v>
      </c>
      <c r="AW166"/>
      <c r="AX166" s="44">
        <v>1</v>
      </c>
      <c r="AY166"/>
      <c r="AZ166"/>
      <c r="BA166" s="44">
        <v>1</v>
      </c>
    </row>
    <row r="167" spans="1:53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/>
      <c r="N167" s="44">
        <v>0</v>
      </c>
      <c r="P167" s="44">
        <v>0</v>
      </c>
      <c r="R167" s="44">
        <v>0</v>
      </c>
      <c r="S167" s="44"/>
      <c r="T167" s="44">
        <v>0</v>
      </c>
      <c r="U167" s="44">
        <v>0</v>
      </c>
      <c r="V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 s="44">
        <v>0</v>
      </c>
      <c r="AH167" s="44">
        <v>0</v>
      </c>
      <c r="AI167" s="44">
        <v>0</v>
      </c>
      <c r="AJ167"/>
      <c r="AK167" s="44">
        <v>0</v>
      </c>
      <c r="AL167" s="44">
        <v>0</v>
      </c>
      <c r="AM167" s="44">
        <v>0</v>
      </c>
      <c r="AN167" s="44">
        <v>0</v>
      </c>
      <c r="AO167" s="44">
        <v>0</v>
      </c>
      <c r="AP167" s="44">
        <v>0</v>
      </c>
      <c r="AQ167" s="44">
        <v>0</v>
      </c>
      <c r="AR167"/>
      <c r="AS167" s="44">
        <v>0</v>
      </c>
      <c r="AT167" s="44">
        <v>0</v>
      </c>
      <c r="AU167" s="44">
        <v>0</v>
      </c>
      <c r="AV167" s="44">
        <v>0</v>
      </c>
      <c r="AW167"/>
      <c r="AX167" s="44">
        <v>0</v>
      </c>
      <c r="AY167"/>
      <c r="AZ167"/>
      <c r="BA167" s="44">
        <v>0</v>
      </c>
    </row>
    <row r="168" spans="1:53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/>
      <c r="N168" s="44">
        <v>0.4</v>
      </c>
      <c r="P168" s="44">
        <v>0.4</v>
      </c>
      <c r="R168" s="44">
        <v>0.4</v>
      </c>
      <c r="S168" s="44"/>
      <c r="T168" s="44">
        <v>0.4</v>
      </c>
      <c r="U168" s="44">
        <v>0.4</v>
      </c>
      <c r="V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 s="44">
        <v>0.4</v>
      </c>
      <c r="AH168" s="44">
        <v>0.4</v>
      </c>
      <c r="AI168" s="44">
        <v>0.4</v>
      </c>
      <c r="AJ168"/>
      <c r="AK168" s="44">
        <v>0.4</v>
      </c>
      <c r="AL168" s="44">
        <v>0.4</v>
      </c>
      <c r="AM168" s="44">
        <v>0.4</v>
      </c>
      <c r="AN168" s="44">
        <v>0.4</v>
      </c>
      <c r="AO168" s="44">
        <v>0.4</v>
      </c>
      <c r="AP168" s="44">
        <v>0.4</v>
      </c>
      <c r="AQ168" s="44">
        <v>0.4</v>
      </c>
      <c r="AR168"/>
      <c r="AS168" s="44">
        <v>0.4</v>
      </c>
      <c r="AT168" s="44">
        <v>0.4</v>
      </c>
      <c r="AU168" s="44">
        <v>0.4</v>
      </c>
      <c r="AV168" s="44">
        <v>0.4</v>
      </c>
      <c r="AW168"/>
      <c r="AX168" s="44">
        <v>0.4</v>
      </c>
      <c r="AY168"/>
      <c r="AZ168"/>
      <c r="BA168" s="44">
        <v>0.4</v>
      </c>
    </row>
    <row r="169" spans="1:53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/>
      <c r="N169" s="44">
        <v>2.0000000000000001E-9</v>
      </c>
      <c r="P169" s="44">
        <v>2.0000000000000001E-9</v>
      </c>
      <c r="R169" s="44">
        <v>2.0000000000000001E-9</v>
      </c>
      <c r="S169" s="44"/>
      <c r="T169" s="44">
        <v>2.0000000000000001E-9</v>
      </c>
      <c r="U169" s="44">
        <v>2.0000000000000001E-9</v>
      </c>
      <c r="V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 s="44">
        <v>2.0000000000000001E-9</v>
      </c>
      <c r="AH169" s="44">
        <v>2.0000000000000001E-9</v>
      </c>
      <c r="AI169" s="44">
        <v>2.0000000000000001E-9</v>
      </c>
      <c r="AJ169"/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 s="44">
        <v>2.0000000000000001E-9</v>
      </c>
      <c r="AP169" s="44">
        <v>2.0000000000000001E-9</v>
      </c>
      <c r="AQ169" s="44">
        <v>2.0000000000000001E-9</v>
      </c>
      <c r="AR169"/>
      <c r="AS169" s="44">
        <v>2.0000000000000001E-9</v>
      </c>
      <c r="AT169" s="44">
        <v>2.0000000000000001E-9</v>
      </c>
      <c r="AU169" s="44">
        <v>2.0000000000000001E-9</v>
      </c>
      <c r="AV169" s="44">
        <v>2.0000000000000001E-9</v>
      </c>
      <c r="AW169"/>
      <c r="AX169" s="44">
        <v>2.0000000000000001E-9</v>
      </c>
      <c r="AY169"/>
      <c r="AZ169"/>
      <c r="BA169" s="44">
        <v>2.0000000000000001E-9</v>
      </c>
    </row>
    <row r="170" spans="1:53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/>
      <c r="N170" s="44">
        <v>25</v>
      </c>
      <c r="P170" s="44">
        <v>25</v>
      </c>
      <c r="R170" s="44">
        <v>25</v>
      </c>
      <c r="S170" s="44"/>
      <c r="T170" s="44">
        <v>25</v>
      </c>
      <c r="U170" s="44">
        <v>25</v>
      </c>
      <c r="V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 s="44">
        <v>25</v>
      </c>
      <c r="AH170" s="44">
        <v>25</v>
      </c>
      <c r="AI170" s="44">
        <v>25</v>
      </c>
      <c r="AJ170"/>
      <c r="AK170" s="44">
        <v>25</v>
      </c>
      <c r="AL170" s="44">
        <v>25</v>
      </c>
      <c r="AM170" s="44">
        <v>25</v>
      </c>
      <c r="AN170" s="44">
        <v>25</v>
      </c>
      <c r="AO170" s="44">
        <v>25</v>
      </c>
      <c r="AP170" s="44">
        <v>25</v>
      </c>
      <c r="AQ170" s="44">
        <v>25</v>
      </c>
      <c r="AR170"/>
      <c r="AS170" s="44">
        <v>25</v>
      </c>
      <c r="AT170" s="44">
        <v>25</v>
      </c>
      <c r="AU170" s="44">
        <v>25</v>
      </c>
      <c r="AV170" s="44">
        <v>25</v>
      </c>
      <c r="AW170"/>
      <c r="AX170" s="44">
        <v>25</v>
      </c>
      <c r="AY170"/>
      <c r="AZ170"/>
      <c r="BA170" s="44">
        <v>25</v>
      </c>
    </row>
    <row r="171" spans="1:53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/>
      <c r="N171" s="44">
        <v>0</v>
      </c>
      <c r="P171" s="44">
        <v>0</v>
      </c>
      <c r="R171" s="44">
        <v>0</v>
      </c>
      <c r="S171" s="44"/>
      <c r="T171" s="44">
        <v>0</v>
      </c>
      <c r="U171" s="44">
        <v>0</v>
      </c>
      <c r="V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 s="44">
        <v>0</v>
      </c>
      <c r="AH171" s="44">
        <v>0</v>
      </c>
      <c r="AI171" s="44">
        <v>0</v>
      </c>
      <c r="AJ171"/>
      <c r="AK171" s="44">
        <v>0</v>
      </c>
      <c r="AL171" s="44">
        <v>0</v>
      </c>
      <c r="AM171" s="44">
        <v>0</v>
      </c>
      <c r="AN171" s="44">
        <v>0</v>
      </c>
      <c r="AO171" s="44">
        <v>0</v>
      </c>
      <c r="AP171" s="44">
        <v>0</v>
      </c>
      <c r="AQ171" s="44">
        <v>0</v>
      </c>
      <c r="AR171"/>
      <c r="AS171" s="44">
        <v>0</v>
      </c>
      <c r="AT171" s="44">
        <v>0</v>
      </c>
      <c r="AU171" s="44">
        <v>0</v>
      </c>
      <c r="AV171" s="44">
        <v>0</v>
      </c>
      <c r="AW171"/>
      <c r="AX171" s="44">
        <v>0</v>
      </c>
      <c r="AY171"/>
      <c r="AZ171"/>
      <c r="BA171" s="44">
        <v>0</v>
      </c>
    </row>
    <row r="172" spans="1:53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/>
      <c r="N172" s="44">
        <v>3.98</v>
      </c>
      <c r="P172" s="44">
        <v>3.98</v>
      </c>
      <c r="R172" s="44">
        <v>3.98</v>
      </c>
      <c r="S172" s="44"/>
      <c r="T172" s="44">
        <v>3.98</v>
      </c>
      <c r="U172" s="44">
        <v>3.98</v>
      </c>
      <c r="V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 s="44">
        <v>3.98</v>
      </c>
      <c r="AH172" s="44">
        <v>3.98</v>
      </c>
      <c r="AI172" s="44">
        <v>3.98</v>
      </c>
      <c r="AJ172"/>
      <c r="AK172" s="44">
        <v>3.98</v>
      </c>
      <c r="AL172" s="44">
        <v>3.98</v>
      </c>
      <c r="AM172" s="44">
        <v>3.98</v>
      </c>
      <c r="AN172" s="44">
        <v>3.98</v>
      </c>
      <c r="AO172" s="44">
        <v>3.98</v>
      </c>
      <c r="AP172" s="44">
        <v>3.98</v>
      </c>
      <c r="AQ172" s="44">
        <v>3.98</v>
      </c>
      <c r="AR172"/>
      <c r="AS172" s="44">
        <v>3.98</v>
      </c>
      <c r="AT172" s="44">
        <v>3.98</v>
      </c>
      <c r="AU172" s="44">
        <v>3.98</v>
      </c>
      <c r="AV172" s="44">
        <v>3.98</v>
      </c>
      <c r="AW172"/>
      <c r="AX172" s="44">
        <v>3.98</v>
      </c>
      <c r="AY172"/>
      <c r="AZ172"/>
      <c r="BA172" s="44">
        <v>3.98</v>
      </c>
    </row>
    <row r="173" spans="1:53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/>
      <c r="N173" s="44">
        <v>1</v>
      </c>
      <c r="P173" s="44">
        <v>1</v>
      </c>
      <c r="R173" s="44">
        <v>1</v>
      </c>
      <c r="S173" s="44"/>
      <c r="T173" s="44">
        <v>1</v>
      </c>
      <c r="U173" s="44">
        <v>1</v>
      </c>
      <c r="V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 s="44">
        <v>1</v>
      </c>
      <c r="AH173" s="44">
        <v>1</v>
      </c>
      <c r="AI173" s="44">
        <v>1</v>
      </c>
      <c r="AJ173"/>
      <c r="AK173" s="44">
        <v>1</v>
      </c>
      <c r="AL173" s="44">
        <v>1</v>
      </c>
      <c r="AM173" s="44">
        <v>1</v>
      </c>
      <c r="AN173" s="44">
        <v>1</v>
      </c>
      <c r="AO173" s="44">
        <v>1</v>
      </c>
      <c r="AP173" s="44">
        <v>1</v>
      </c>
      <c r="AQ173" s="44">
        <v>1</v>
      </c>
      <c r="AR173"/>
      <c r="AS173" s="44">
        <v>1</v>
      </c>
      <c r="AT173" s="44">
        <v>1</v>
      </c>
      <c r="AU173" s="44">
        <v>1</v>
      </c>
      <c r="AV173" s="44">
        <v>1</v>
      </c>
      <c r="AW173"/>
      <c r="AX173" s="44">
        <v>1</v>
      </c>
      <c r="AY173"/>
      <c r="AZ173"/>
      <c r="BA173" s="44">
        <v>1</v>
      </c>
    </row>
    <row r="174" spans="1:53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/>
      <c r="N174" s="44">
        <v>1.6666666666666666E-4</v>
      </c>
      <c r="P174" s="44">
        <v>1.6666666666666666E-4</v>
      </c>
      <c r="R174" s="44">
        <v>1.6666666666666666E-4</v>
      </c>
      <c r="S174" s="44"/>
      <c r="T174" s="44">
        <v>1.6666666666666666E-4</v>
      </c>
      <c r="U174" s="44">
        <v>1.6666666666666666E-4</v>
      </c>
      <c r="V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 s="44">
        <v>1.6666666666666666E-4</v>
      </c>
      <c r="AH174" s="44">
        <v>1.6666666666666666E-4</v>
      </c>
      <c r="AI174" s="44">
        <v>1.6666666666666666E-4</v>
      </c>
      <c r="AJ174"/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 s="44">
        <v>1.6666666666666666E-4</v>
      </c>
      <c r="AP174" s="44">
        <v>1.6666666666666666E-4</v>
      </c>
      <c r="AQ174" s="44">
        <v>1.6666666666666666E-4</v>
      </c>
      <c r="AR174"/>
      <c r="AS174" s="44">
        <v>1.6666666666666666E-4</v>
      </c>
      <c r="AT174" s="44">
        <v>1.6666666666666666E-4</v>
      </c>
      <c r="AU174" s="44">
        <v>1.6666666666666666E-4</v>
      </c>
      <c r="AV174" s="44">
        <v>1.6666666666666666E-4</v>
      </c>
      <c r="AW174"/>
      <c r="AX174" s="44">
        <v>1.6666666666666666E-4</v>
      </c>
      <c r="AY174"/>
      <c r="AZ174"/>
      <c r="BA174" s="44">
        <v>1.6666666666666666E-4</v>
      </c>
    </row>
    <row r="175" spans="1:53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/>
      <c r="N175" s="44">
        <v>1E-8</v>
      </c>
      <c r="P175" s="44">
        <v>1E-8</v>
      </c>
      <c r="R175" s="44">
        <v>1E-8</v>
      </c>
      <c r="S175" s="44"/>
      <c r="T175" s="44">
        <v>1E-8</v>
      </c>
      <c r="U175" s="44">
        <v>1E-8</v>
      </c>
      <c r="V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 s="44">
        <v>1E-8</v>
      </c>
      <c r="AH175" s="44">
        <v>1E-8</v>
      </c>
      <c r="AI175" s="44">
        <v>1E-8</v>
      </c>
      <c r="AJ175"/>
      <c r="AK175" s="44">
        <v>1E-8</v>
      </c>
      <c r="AL175" s="44">
        <v>1E-8</v>
      </c>
      <c r="AM175" s="44">
        <v>1E-8</v>
      </c>
      <c r="AN175" s="44">
        <v>1E-8</v>
      </c>
      <c r="AO175" s="44">
        <v>1E-8</v>
      </c>
      <c r="AP175" s="44">
        <v>1E-8</v>
      </c>
      <c r="AQ175" s="44">
        <v>1E-8</v>
      </c>
      <c r="AR175"/>
      <c r="AS175" s="44">
        <v>1E-8</v>
      </c>
      <c r="AT175" s="44">
        <v>1E-8</v>
      </c>
      <c r="AU175" s="44">
        <v>1E-8</v>
      </c>
      <c r="AV175" s="44">
        <v>1E-8</v>
      </c>
      <c r="AW175"/>
      <c r="AX175" s="44">
        <v>1E-8</v>
      </c>
      <c r="AY175"/>
      <c r="AZ175"/>
      <c r="BA175" s="44">
        <v>1E-8</v>
      </c>
    </row>
    <row r="176" spans="1:53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/>
      <c r="N176" s="44">
        <v>20</v>
      </c>
      <c r="P176" s="44">
        <v>20</v>
      </c>
      <c r="R176" s="44">
        <v>20</v>
      </c>
      <c r="S176" s="44"/>
      <c r="T176" s="44">
        <v>20</v>
      </c>
      <c r="U176" s="44">
        <v>20</v>
      </c>
      <c r="V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 s="44">
        <v>20</v>
      </c>
      <c r="AH176" s="44">
        <v>20</v>
      </c>
      <c r="AI176" s="44">
        <v>20</v>
      </c>
      <c r="AJ176"/>
      <c r="AK176" s="44">
        <v>20</v>
      </c>
      <c r="AL176" s="44">
        <v>20</v>
      </c>
      <c r="AM176" s="44">
        <v>20</v>
      </c>
      <c r="AN176" s="44">
        <v>20</v>
      </c>
      <c r="AO176" s="44">
        <v>20</v>
      </c>
      <c r="AP176" s="44">
        <v>20</v>
      </c>
      <c r="AQ176" s="44">
        <v>20</v>
      </c>
      <c r="AR176"/>
      <c r="AS176" s="44">
        <v>20</v>
      </c>
      <c r="AT176" s="44">
        <v>20</v>
      </c>
      <c r="AU176" s="44">
        <v>20</v>
      </c>
      <c r="AV176" s="44">
        <v>20</v>
      </c>
      <c r="AW176"/>
      <c r="AX176" s="44">
        <v>20</v>
      </c>
      <c r="AY176"/>
      <c r="AZ176"/>
      <c r="BA176" s="44">
        <v>20</v>
      </c>
    </row>
    <row r="177" spans="1:53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/>
      <c r="N177" s="44">
        <v>0</v>
      </c>
      <c r="P177" s="44">
        <v>0</v>
      </c>
      <c r="R177" s="44">
        <v>0</v>
      </c>
      <c r="S177" s="44"/>
      <c r="T177" s="44">
        <v>0</v>
      </c>
      <c r="U177" s="44">
        <v>0</v>
      </c>
      <c r="V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 s="44">
        <v>0</v>
      </c>
      <c r="AH177" s="44">
        <v>0</v>
      </c>
      <c r="AI177" s="44">
        <v>0</v>
      </c>
      <c r="AJ177"/>
      <c r="AK177" s="44">
        <v>0</v>
      </c>
      <c r="AL177" s="44">
        <v>0</v>
      </c>
      <c r="AM177" s="44">
        <v>0</v>
      </c>
      <c r="AN177" s="44">
        <v>0</v>
      </c>
      <c r="AO177" s="44">
        <v>0</v>
      </c>
      <c r="AP177" s="44">
        <v>0</v>
      </c>
      <c r="AQ177" s="44">
        <v>0</v>
      </c>
      <c r="AR177"/>
      <c r="AS177" s="44">
        <v>0</v>
      </c>
      <c r="AT177" s="44">
        <v>0</v>
      </c>
      <c r="AU177" s="44">
        <v>0</v>
      </c>
      <c r="AV177" s="44">
        <v>0</v>
      </c>
      <c r="AW177"/>
      <c r="AX177" s="44">
        <v>0</v>
      </c>
      <c r="AY177"/>
      <c r="AZ177"/>
      <c r="BA177" s="44">
        <v>0</v>
      </c>
    </row>
    <row r="178" spans="1:53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/>
      <c r="N178" s="44">
        <v>2</v>
      </c>
      <c r="P178" s="44">
        <v>2</v>
      </c>
      <c r="R178" s="44">
        <v>2</v>
      </c>
      <c r="S178" s="44"/>
      <c r="T178" s="44">
        <v>2</v>
      </c>
      <c r="U178" s="44">
        <v>2</v>
      </c>
      <c r="V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 s="44">
        <v>2</v>
      </c>
      <c r="AH178" s="44">
        <v>2</v>
      </c>
      <c r="AI178" s="44">
        <v>2</v>
      </c>
      <c r="AJ178"/>
      <c r="AK178" s="44">
        <v>2</v>
      </c>
      <c r="AL178" s="44">
        <v>2</v>
      </c>
      <c r="AM178" s="44">
        <v>2</v>
      </c>
      <c r="AN178" s="44">
        <v>2</v>
      </c>
      <c r="AO178" s="44">
        <v>2</v>
      </c>
      <c r="AP178" s="44">
        <v>2</v>
      </c>
      <c r="AQ178" s="44">
        <v>2</v>
      </c>
      <c r="AR178"/>
      <c r="AS178" s="44">
        <v>2</v>
      </c>
      <c r="AT178" s="44">
        <v>2</v>
      </c>
      <c r="AU178" s="44">
        <v>2</v>
      </c>
      <c r="AV178" s="44">
        <v>2</v>
      </c>
      <c r="AW178"/>
      <c r="AX178" s="44">
        <v>2</v>
      </c>
      <c r="AY178"/>
      <c r="AZ178"/>
      <c r="BA178" s="44">
        <v>2</v>
      </c>
    </row>
    <row r="179" spans="1:53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/>
      <c r="N179" s="44">
        <v>1</v>
      </c>
      <c r="P179" s="44">
        <v>1</v>
      </c>
      <c r="R179" s="44">
        <v>1</v>
      </c>
      <c r="S179" s="44"/>
      <c r="T179" s="44">
        <v>1</v>
      </c>
      <c r="U179" s="44">
        <v>1</v>
      </c>
      <c r="V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/>
      <c r="AK179" s="44">
        <v>1</v>
      </c>
      <c r="AL179" s="44">
        <v>1</v>
      </c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/>
      <c r="AS179" s="44">
        <v>1</v>
      </c>
      <c r="AT179" s="44">
        <v>1</v>
      </c>
      <c r="AU179" s="44">
        <v>1</v>
      </c>
      <c r="AV179" s="44">
        <v>1</v>
      </c>
      <c r="AW179"/>
      <c r="AX179" s="44">
        <v>1</v>
      </c>
      <c r="AY179"/>
      <c r="AZ179"/>
      <c r="BA179" s="44">
        <v>1</v>
      </c>
    </row>
    <row r="180" spans="1:53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/>
      <c r="N180" s="44">
        <v>8.3333333333333331E-5</v>
      </c>
      <c r="P180" s="44">
        <v>8.3333333333333331E-5</v>
      </c>
      <c r="R180" s="44">
        <v>8.3333333333333331E-5</v>
      </c>
      <c r="S180" s="44"/>
      <c r="T180" s="44">
        <v>8.3333333333333331E-5</v>
      </c>
      <c r="U180" s="44">
        <v>8.3333333333333331E-5</v>
      </c>
      <c r="V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 s="44">
        <v>8.3333333333333331E-5</v>
      </c>
      <c r="AH180" s="44">
        <v>8.3333333333333331E-5</v>
      </c>
      <c r="AI180" s="44">
        <v>8.3333333333333331E-5</v>
      </c>
      <c r="AJ180"/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 s="44">
        <v>8.3333333333333331E-5</v>
      </c>
      <c r="AP180" s="44">
        <v>8.3333333333333331E-5</v>
      </c>
      <c r="AQ180" s="44">
        <v>8.3333333333333331E-5</v>
      </c>
      <c r="AR180"/>
      <c r="AS180" s="44">
        <v>8.3333333333333331E-5</v>
      </c>
      <c r="AT180" s="44">
        <v>8.3333333333333331E-5</v>
      </c>
      <c r="AU180" s="44">
        <v>8.3333333333333331E-5</v>
      </c>
      <c r="AV180" s="44">
        <v>8.3333333333333331E-5</v>
      </c>
      <c r="AW180"/>
      <c r="AX180" s="44">
        <v>8.3333333333333331E-5</v>
      </c>
      <c r="AY180"/>
      <c r="AZ180"/>
      <c r="BA180" s="44">
        <v>8.3333333333333331E-5</v>
      </c>
    </row>
    <row r="181" spans="1:53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/>
      <c r="N181" s="44">
        <v>1</v>
      </c>
      <c r="P181" s="44">
        <v>1</v>
      </c>
      <c r="R181" s="44">
        <v>1</v>
      </c>
      <c r="S181" s="44"/>
      <c r="T181" s="44">
        <v>1</v>
      </c>
      <c r="U181" s="44">
        <v>1</v>
      </c>
      <c r="V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 s="44">
        <v>1</v>
      </c>
      <c r="AH181" s="44">
        <v>1</v>
      </c>
      <c r="AI181" s="44">
        <v>1</v>
      </c>
      <c r="AJ181"/>
      <c r="AK181" s="44">
        <v>1</v>
      </c>
      <c r="AL181" s="44">
        <v>1</v>
      </c>
      <c r="AM181" s="44">
        <v>1</v>
      </c>
      <c r="AN181" s="44">
        <v>1</v>
      </c>
      <c r="AO181" s="44">
        <v>1</v>
      </c>
      <c r="AP181" s="44">
        <v>1</v>
      </c>
      <c r="AQ181" s="44">
        <v>1</v>
      </c>
      <c r="AR181"/>
      <c r="AS181" s="44">
        <v>1</v>
      </c>
      <c r="AT181" s="44">
        <v>1</v>
      </c>
      <c r="AU181" s="44">
        <v>1</v>
      </c>
      <c r="AV181" s="44">
        <v>1</v>
      </c>
      <c r="AW181"/>
      <c r="AX181" s="44">
        <v>1</v>
      </c>
      <c r="AY181"/>
      <c r="AZ181"/>
      <c r="BA181" s="44">
        <v>1</v>
      </c>
    </row>
    <row r="182" spans="1:53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/>
      <c r="N182" s="44">
        <v>2.3533050791148899E-8</v>
      </c>
      <c r="P182" s="44">
        <v>2.3533050791148899E-8</v>
      </c>
      <c r="R182" s="44">
        <v>2.3533050791148899E-8</v>
      </c>
      <c r="S182" s="44"/>
      <c r="T182" s="44">
        <v>2.3533050791148899E-8</v>
      </c>
      <c r="U182" s="44">
        <v>2.3533050791148899E-8</v>
      </c>
      <c r="V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 s="44">
        <v>2.3533050791148899E-8</v>
      </c>
      <c r="AH182" s="44">
        <v>2.3533050791148899E-8</v>
      </c>
      <c r="AI182" s="44">
        <v>2.3533050791148899E-8</v>
      </c>
      <c r="AJ182"/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 s="44">
        <v>2.3533050791148899E-8</v>
      </c>
      <c r="AP182" s="44">
        <v>2.3533050791148899E-8</v>
      </c>
      <c r="AQ182" s="44">
        <v>2.3533050791148899E-8</v>
      </c>
      <c r="AR182"/>
      <c r="AS182" s="44">
        <v>2.3533050791148899E-8</v>
      </c>
      <c r="AT182" s="44">
        <v>2.3533050791148899E-8</v>
      </c>
      <c r="AU182" s="44">
        <v>2.3533050791148899E-8</v>
      </c>
      <c r="AV182" s="44">
        <v>2.3533050791148899E-8</v>
      </c>
      <c r="AW182"/>
      <c r="AX182" s="44">
        <v>2.3533050791148899E-8</v>
      </c>
      <c r="AY182"/>
      <c r="AZ182"/>
      <c r="BA182" s="44">
        <v>2.3533050791148899E-8</v>
      </c>
    </row>
    <row r="183" spans="1:53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/>
      <c r="N183" s="44">
        <v>20</v>
      </c>
      <c r="P183" s="44">
        <v>20</v>
      </c>
      <c r="R183" s="44">
        <v>20</v>
      </c>
      <c r="S183" s="44"/>
      <c r="T183" s="44">
        <v>20</v>
      </c>
      <c r="U183" s="44">
        <v>20</v>
      </c>
      <c r="V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 s="44">
        <v>20</v>
      </c>
      <c r="AH183" s="44">
        <v>20</v>
      </c>
      <c r="AI183" s="44">
        <v>20</v>
      </c>
      <c r="AJ183"/>
      <c r="AK183" s="44">
        <v>20</v>
      </c>
      <c r="AL183" s="44">
        <v>20</v>
      </c>
      <c r="AM183" s="44">
        <v>20</v>
      </c>
      <c r="AN183" s="44">
        <v>20</v>
      </c>
      <c r="AO183" s="44">
        <v>20</v>
      </c>
      <c r="AP183" s="44">
        <v>20</v>
      </c>
      <c r="AQ183" s="44">
        <v>20</v>
      </c>
      <c r="AR183"/>
      <c r="AS183" s="44">
        <v>20</v>
      </c>
      <c r="AT183" s="44">
        <v>20</v>
      </c>
      <c r="AU183" s="44">
        <v>20</v>
      </c>
      <c r="AV183" s="44">
        <v>20</v>
      </c>
      <c r="AW183"/>
      <c r="AX183" s="44">
        <v>20</v>
      </c>
      <c r="AY183"/>
      <c r="AZ183"/>
      <c r="BA183" s="44">
        <v>20</v>
      </c>
    </row>
    <row r="184" spans="1:53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/>
      <c r="N184" s="44">
        <v>-0.187</v>
      </c>
      <c r="P184" s="44">
        <v>-0.187</v>
      </c>
      <c r="R184" s="44">
        <v>-0.187</v>
      </c>
      <c r="S184" s="44"/>
      <c r="T184" s="44">
        <v>-0.187</v>
      </c>
      <c r="U184" s="44">
        <v>-0.187</v>
      </c>
      <c r="V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 s="44">
        <v>-0.187</v>
      </c>
      <c r="AH184" s="44">
        <v>-0.187</v>
      </c>
      <c r="AI184" s="44">
        <v>-0.187</v>
      </c>
      <c r="AJ184"/>
      <c r="AK184" s="44">
        <v>-0.187</v>
      </c>
      <c r="AL184" s="44">
        <v>-0.187</v>
      </c>
      <c r="AM184" s="44">
        <v>-0.187</v>
      </c>
      <c r="AN184" s="44">
        <v>-0.187</v>
      </c>
      <c r="AO184" s="44">
        <v>-0.187</v>
      </c>
      <c r="AP184" s="44">
        <v>-0.187</v>
      </c>
      <c r="AQ184" s="44">
        <v>-0.187</v>
      </c>
      <c r="AR184"/>
      <c r="AS184" s="44">
        <v>-0.187</v>
      </c>
      <c r="AT184" s="44">
        <v>-0.187</v>
      </c>
      <c r="AU184" s="44">
        <v>-0.187</v>
      </c>
      <c r="AV184" s="44">
        <v>-0.187</v>
      </c>
      <c r="AW184"/>
      <c r="AX184" s="44">
        <v>-0.187</v>
      </c>
      <c r="AY184"/>
      <c r="AZ184"/>
      <c r="BA184" s="44">
        <v>-0.187</v>
      </c>
    </row>
    <row r="185" spans="1:53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/>
      <c r="N185" s="44">
        <v>2.48</v>
      </c>
      <c r="P185" s="44">
        <v>2.48</v>
      </c>
      <c r="R185" s="44">
        <v>2.48</v>
      </c>
      <c r="S185" s="44"/>
      <c r="T185" s="44">
        <v>2.48</v>
      </c>
      <c r="U185" s="44">
        <v>2.48</v>
      </c>
      <c r="V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 s="44">
        <v>2.48</v>
      </c>
      <c r="AH185" s="44">
        <v>2.48</v>
      </c>
      <c r="AI185" s="44">
        <v>2.48</v>
      </c>
      <c r="AJ185"/>
      <c r="AK185" s="44">
        <v>2.48</v>
      </c>
      <c r="AL185" s="44">
        <v>2.48</v>
      </c>
      <c r="AM185" s="44">
        <v>2.48</v>
      </c>
      <c r="AN185" s="44">
        <v>2.48</v>
      </c>
      <c r="AO185" s="44">
        <v>2.48</v>
      </c>
      <c r="AP185" s="44">
        <v>2.48</v>
      </c>
      <c r="AQ185" s="44">
        <v>2.48</v>
      </c>
      <c r="AR185"/>
      <c r="AS185" s="44">
        <v>2.48</v>
      </c>
      <c r="AT185" s="44">
        <v>2.48</v>
      </c>
      <c r="AU185" s="44">
        <v>2.48</v>
      </c>
      <c r="AV185" s="44">
        <v>2.48</v>
      </c>
      <c r="AW185"/>
      <c r="AX185" s="44">
        <v>2.48</v>
      </c>
      <c r="AY185"/>
      <c r="AZ185"/>
      <c r="BA185" s="44">
        <v>2.48</v>
      </c>
    </row>
    <row r="186" spans="1:53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/>
      <c r="N186" s="44">
        <v>1</v>
      </c>
      <c r="P186" s="44">
        <v>1</v>
      </c>
      <c r="R186" s="44">
        <v>1</v>
      </c>
      <c r="S186" s="44"/>
      <c r="T186" s="44">
        <v>1</v>
      </c>
      <c r="U186" s="44">
        <v>1</v>
      </c>
      <c r="V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 s="44">
        <v>1</v>
      </c>
      <c r="AH186" s="44">
        <v>1</v>
      </c>
      <c r="AI186" s="44">
        <v>1</v>
      </c>
      <c r="AJ186"/>
      <c r="AK186" s="44">
        <v>1</v>
      </c>
      <c r="AL186" s="44">
        <v>1</v>
      </c>
      <c r="AM186" s="44">
        <v>1</v>
      </c>
      <c r="AN186" s="44">
        <v>1</v>
      </c>
      <c r="AO186" s="44">
        <v>1</v>
      </c>
      <c r="AP186" s="44">
        <v>1</v>
      </c>
      <c r="AQ186" s="44">
        <v>1</v>
      </c>
      <c r="AR186"/>
      <c r="AS186" s="44">
        <v>1</v>
      </c>
      <c r="AT186" s="44">
        <v>1</v>
      </c>
      <c r="AU186" s="44">
        <v>1</v>
      </c>
      <c r="AV186" s="44">
        <v>1</v>
      </c>
      <c r="AW186"/>
      <c r="AX186" s="44">
        <v>1</v>
      </c>
      <c r="AY186"/>
      <c r="AZ186"/>
      <c r="BA186" s="44">
        <v>1</v>
      </c>
    </row>
    <row r="187" spans="1:53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/>
      <c r="N187" s="44">
        <v>6.1060227588121015E-4</v>
      </c>
      <c r="P187" s="44">
        <v>6.1060227588121015E-4</v>
      </c>
      <c r="R187" s="44">
        <v>6.1060227588121015E-4</v>
      </c>
      <c r="S187" s="44"/>
      <c r="T187" s="44">
        <v>6.1060227588121015E-4</v>
      </c>
      <c r="U187" s="44">
        <v>6.1060227588121015E-4</v>
      </c>
      <c r="V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 s="44">
        <v>6.1060227588121015E-4</v>
      </c>
      <c r="AH187" s="44">
        <v>6.1060227588121015E-4</v>
      </c>
      <c r="AI187" s="44">
        <v>6.1060227588121015E-4</v>
      </c>
      <c r="AJ187"/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 s="44">
        <v>6.1060227588121015E-4</v>
      </c>
      <c r="AP187" s="44">
        <v>6.1060227588121015E-4</v>
      </c>
      <c r="AQ187" s="44">
        <v>6.1060227588121015E-4</v>
      </c>
      <c r="AR187"/>
      <c r="AS187" s="44">
        <v>6.1060227588121015E-4</v>
      </c>
      <c r="AT187" s="44">
        <v>6.1060227588121015E-4</v>
      </c>
      <c r="AU187" s="44">
        <v>6.1060227588121015E-4</v>
      </c>
      <c r="AV187" s="44">
        <v>6.1060227588121015E-4</v>
      </c>
      <c r="AW187"/>
      <c r="AX187" s="44">
        <v>6.1060227588121015E-4</v>
      </c>
      <c r="AY187"/>
      <c r="AZ187"/>
      <c r="BA187" s="44">
        <v>6.1060227588121015E-4</v>
      </c>
    </row>
    <row r="188" spans="1:53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/>
      <c r="N188" s="44">
        <v>3.9999999999999998E-7</v>
      </c>
      <c r="P188" s="44">
        <v>3.9999999999999998E-7</v>
      </c>
      <c r="R188" s="44">
        <v>3.9999999999999998E-7</v>
      </c>
      <c r="S188" s="44"/>
      <c r="T188" s="44">
        <v>3.9999999999999998E-7</v>
      </c>
      <c r="U188" s="44">
        <v>3.9999999999999998E-7</v>
      </c>
      <c r="V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 s="44">
        <v>3.9999999999999998E-7</v>
      </c>
      <c r="AH188" s="44">
        <v>3.9999999999999998E-7</v>
      </c>
      <c r="AI188" s="44">
        <v>3.9999999999999998E-7</v>
      </c>
      <c r="AJ188"/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 s="44">
        <v>3.9999999999999998E-7</v>
      </c>
      <c r="AP188" s="44">
        <v>3.9999999999999998E-7</v>
      </c>
      <c r="AQ188" s="44">
        <v>3.9999999999999998E-7</v>
      </c>
      <c r="AR188"/>
      <c r="AS188" s="44">
        <v>3.9999999999999998E-7</v>
      </c>
      <c r="AT188" s="44">
        <v>3.9999999999999998E-7</v>
      </c>
      <c r="AU188" s="44">
        <v>3.9999999999999998E-7</v>
      </c>
      <c r="AV188" s="44">
        <v>3.9999999999999998E-7</v>
      </c>
      <c r="AW188"/>
      <c r="AX188" s="44">
        <v>3.9999999999999998E-7</v>
      </c>
      <c r="AY188"/>
      <c r="AZ188"/>
      <c r="BA188" s="44">
        <v>3.9999999999999998E-7</v>
      </c>
    </row>
    <row r="189" spans="1:53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/>
      <c r="N189" s="44">
        <v>25</v>
      </c>
      <c r="P189" s="44">
        <v>25</v>
      </c>
      <c r="R189" s="44">
        <v>25</v>
      </c>
      <c r="S189" s="44"/>
      <c r="T189" s="44">
        <v>25</v>
      </c>
      <c r="U189" s="44">
        <v>25</v>
      </c>
      <c r="V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 s="44">
        <v>25</v>
      </c>
      <c r="AH189" s="44">
        <v>25</v>
      </c>
      <c r="AI189" s="44">
        <v>25</v>
      </c>
      <c r="AJ189"/>
      <c r="AK189" s="44">
        <v>25</v>
      </c>
      <c r="AL189" s="44">
        <v>25</v>
      </c>
      <c r="AM189" s="44">
        <v>25</v>
      </c>
      <c r="AN189" s="44">
        <v>25</v>
      </c>
      <c r="AO189" s="44">
        <v>25</v>
      </c>
      <c r="AP189" s="44">
        <v>25</v>
      </c>
      <c r="AQ189" s="44">
        <v>25</v>
      </c>
      <c r="AR189"/>
      <c r="AS189" s="44">
        <v>25</v>
      </c>
      <c r="AT189" s="44">
        <v>25</v>
      </c>
      <c r="AU189" s="44">
        <v>25</v>
      </c>
      <c r="AV189" s="44">
        <v>25</v>
      </c>
      <c r="AW189"/>
      <c r="AX189" s="44">
        <v>25</v>
      </c>
      <c r="AY189"/>
      <c r="AZ189"/>
      <c r="BA189" s="44">
        <v>25</v>
      </c>
    </row>
    <row r="190" spans="1:53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/>
      <c r="N190" s="44">
        <v>0</v>
      </c>
      <c r="P190" s="44">
        <v>0</v>
      </c>
      <c r="R190" s="44">
        <v>0</v>
      </c>
      <c r="S190" s="44"/>
      <c r="T190" s="44">
        <v>0</v>
      </c>
      <c r="U190" s="44">
        <v>0</v>
      </c>
      <c r="V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 s="44">
        <v>0</v>
      </c>
      <c r="AH190" s="44">
        <v>0</v>
      </c>
      <c r="AI190" s="44">
        <v>0</v>
      </c>
      <c r="AJ190"/>
      <c r="AK190" s="44">
        <v>0</v>
      </c>
      <c r="AL190" s="44">
        <v>0</v>
      </c>
      <c r="AM190" s="44">
        <v>0</v>
      </c>
      <c r="AN190" s="44">
        <v>0</v>
      </c>
      <c r="AO190" s="44">
        <v>0</v>
      </c>
      <c r="AP190" s="44">
        <v>0</v>
      </c>
      <c r="AQ190" s="44">
        <v>0</v>
      </c>
      <c r="AR190"/>
      <c r="AS190" s="44">
        <v>0</v>
      </c>
      <c r="AT190" s="44">
        <v>0</v>
      </c>
      <c r="AU190" s="44">
        <v>0</v>
      </c>
      <c r="AV190" s="44">
        <v>0</v>
      </c>
      <c r="AW190"/>
      <c r="AX190" s="44">
        <v>0</v>
      </c>
      <c r="AY190"/>
      <c r="AZ190"/>
      <c r="BA190" s="44">
        <v>0</v>
      </c>
    </row>
    <row r="191" spans="1:53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/>
      <c r="N191" s="44">
        <v>3.98</v>
      </c>
      <c r="P191" s="44">
        <v>3.98</v>
      </c>
      <c r="R191" s="44">
        <v>3.98</v>
      </c>
      <c r="S191" s="44"/>
      <c r="T191" s="44">
        <v>3.98</v>
      </c>
      <c r="U191" s="44">
        <v>3.98</v>
      </c>
      <c r="V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 s="44">
        <v>3.98</v>
      </c>
      <c r="AH191" s="44">
        <v>3.98</v>
      </c>
      <c r="AI191" s="44">
        <v>3.98</v>
      </c>
      <c r="AJ191"/>
      <c r="AK191" s="44">
        <v>3.98</v>
      </c>
      <c r="AL191" s="44">
        <v>3.98</v>
      </c>
      <c r="AM191" s="44">
        <v>3.98</v>
      </c>
      <c r="AN191" s="44">
        <v>3.98</v>
      </c>
      <c r="AO191" s="44">
        <v>3.98</v>
      </c>
      <c r="AP191" s="44">
        <v>3.98</v>
      </c>
      <c r="AQ191" s="44">
        <v>3.98</v>
      </c>
      <c r="AR191"/>
      <c r="AS191" s="44">
        <v>3.98</v>
      </c>
      <c r="AT191" s="44">
        <v>3.98</v>
      </c>
      <c r="AU191" s="44">
        <v>3.98</v>
      </c>
      <c r="AV191" s="44">
        <v>3.98</v>
      </c>
      <c r="AW191"/>
      <c r="AX191" s="44">
        <v>3.98</v>
      </c>
      <c r="AY191"/>
      <c r="AZ191"/>
      <c r="BA191" s="44">
        <v>3.98</v>
      </c>
    </row>
    <row r="192" spans="1:53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/>
      <c r="N192" s="44">
        <v>1</v>
      </c>
      <c r="P192" s="44">
        <v>1</v>
      </c>
      <c r="R192" s="44">
        <v>1</v>
      </c>
      <c r="S192" s="44"/>
      <c r="T192" s="44">
        <v>1</v>
      </c>
      <c r="U192" s="44">
        <v>1</v>
      </c>
      <c r="V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 s="44">
        <v>1</v>
      </c>
      <c r="AH192" s="44">
        <v>1</v>
      </c>
      <c r="AI192" s="44">
        <v>1</v>
      </c>
      <c r="AJ192"/>
      <c r="AK192" s="44">
        <v>1</v>
      </c>
      <c r="AL192" s="44">
        <v>1</v>
      </c>
      <c r="AM192" s="44">
        <v>1</v>
      </c>
      <c r="AN192" s="44">
        <v>1</v>
      </c>
      <c r="AO192" s="44">
        <v>1</v>
      </c>
      <c r="AP192" s="44">
        <v>1</v>
      </c>
      <c r="AQ192" s="44">
        <v>1</v>
      </c>
      <c r="AR192"/>
      <c r="AS192" s="44">
        <v>1</v>
      </c>
      <c r="AT192" s="44">
        <v>1</v>
      </c>
      <c r="AU192" s="44">
        <v>1</v>
      </c>
      <c r="AV192" s="44">
        <v>1</v>
      </c>
      <c r="AW192"/>
      <c r="AX192" s="44">
        <v>1</v>
      </c>
      <c r="AY192"/>
      <c r="AZ192"/>
      <c r="BA192" s="44">
        <v>1</v>
      </c>
    </row>
    <row r="193" spans="1:61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/>
      <c r="N193" s="44">
        <v>8.3333333333333331E-5</v>
      </c>
      <c r="P193" s="44">
        <v>8.3333333333333331E-5</v>
      </c>
      <c r="R193" s="44">
        <v>8.3333333333333331E-5</v>
      </c>
      <c r="S193" s="44"/>
      <c r="T193" s="44">
        <v>8.3333333333333331E-5</v>
      </c>
      <c r="U193" s="44">
        <v>8.3333333333333331E-5</v>
      </c>
      <c r="V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 s="44">
        <v>8.3333333333333331E-5</v>
      </c>
      <c r="AH193" s="44">
        <v>8.3333333333333331E-5</v>
      </c>
      <c r="AI193" s="44">
        <v>8.3333333333333331E-5</v>
      </c>
      <c r="AJ193"/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 s="44">
        <v>8.3333333333333331E-5</v>
      </c>
      <c r="AP193" s="44">
        <v>8.3333333333333331E-5</v>
      </c>
      <c r="AQ193" s="44">
        <v>8.3333333333333331E-5</v>
      </c>
      <c r="AR193"/>
      <c r="AS193" s="44">
        <v>8.3333333333333331E-5</v>
      </c>
      <c r="AT193" s="44">
        <v>8.3333333333333331E-5</v>
      </c>
      <c r="AU193" s="44">
        <v>8.3333333333333331E-5</v>
      </c>
      <c r="AV193" s="44">
        <v>8.3333333333333331E-5</v>
      </c>
      <c r="AW193"/>
      <c r="AX193" s="44">
        <v>8.3333333333333331E-5</v>
      </c>
      <c r="AY193"/>
      <c r="AZ193"/>
      <c r="BA193" s="44">
        <v>8.3333333333333331E-5</v>
      </c>
    </row>
    <row r="194" spans="1:61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/>
      <c r="N194" s="44">
        <v>3.9999999999999998E-7</v>
      </c>
      <c r="P194" s="44">
        <v>3.9999999999999998E-7</v>
      </c>
      <c r="R194" s="44">
        <v>3.9999999999999998E-7</v>
      </c>
      <c r="S194" s="44"/>
      <c r="T194" s="44">
        <v>3.9999999999999998E-7</v>
      </c>
      <c r="U194" s="44">
        <v>3.9999999999999998E-7</v>
      </c>
      <c r="V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 s="44">
        <v>3.9999999999999998E-7</v>
      </c>
      <c r="AH194" s="44">
        <v>3.9999999999999998E-7</v>
      </c>
      <c r="AI194" s="44">
        <v>3.9999999999999998E-7</v>
      </c>
      <c r="AJ194"/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 s="44">
        <v>3.9999999999999998E-7</v>
      </c>
      <c r="AP194" s="44">
        <v>3.9999999999999998E-7</v>
      </c>
      <c r="AQ194" s="44">
        <v>3.9999999999999998E-7</v>
      </c>
      <c r="AR194"/>
      <c r="AS194" s="44">
        <v>3.9999999999999998E-7</v>
      </c>
      <c r="AT194" s="44">
        <v>3.9999999999999998E-7</v>
      </c>
      <c r="AU194" s="44">
        <v>3.9999999999999998E-7</v>
      </c>
      <c r="AV194" s="44">
        <v>3.9999999999999998E-7</v>
      </c>
      <c r="AW194"/>
      <c r="AX194" s="44">
        <v>3.9999999999999998E-7</v>
      </c>
      <c r="AY194"/>
      <c r="AZ194"/>
      <c r="BA194" s="44">
        <v>3.9999999999999998E-7</v>
      </c>
    </row>
    <row r="195" spans="1:61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/>
      <c r="N195" s="44">
        <v>25</v>
      </c>
      <c r="P195" s="44">
        <v>25</v>
      </c>
      <c r="R195" s="44">
        <v>25</v>
      </c>
      <c r="S195" s="44"/>
      <c r="T195" s="44">
        <v>25</v>
      </c>
      <c r="U195" s="44">
        <v>25</v>
      </c>
      <c r="V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 s="44">
        <v>25</v>
      </c>
      <c r="AH195" s="44">
        <v>25</v>
      </c>
      <c r="AI195" s="44">
        <v>25</v>
      </c>
      <c r="AJ195"/>
      <c r="AK195" s="44">
        <v>25</v>
      </c>
      <c r="AL195" s="44">
        <v>25</v>
      </c>
      <c r="AM195" s="44">
        <v>25</v>
      </c>
      <c r="AN195" s="44">
        <v>25</v>
      </c>
      <c r="AO195" s="44">
        <v>25</v>
      </c>
      <c r="AP195" s="44">
        <v>25</v>
      </c>
      <c r="AQ195" s="44">
        <v>25</v>
      </c>
      <c r="AR195"/>
      <c r="AS195" s="44">
        <v>25</v>
      </c>
      <c r="AT195" s="44">
        <v>25</v>
      </c>
      <c r="AU195" s="44">
        <v>25</v>
      </c>
      <c r="AV195" s="44">
        <v>25</v>
      </c>
      <c r="AW195"/>
      <c r="AX195" s="44">
        <v>25</v>
      </c>
      <c r="AY195"/>
      <c r="AZ195"/>
      <c r="BA195" s="44">
        <v>25</v>
      </c>
    </row>
    <row r="196" spans="1:61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/>
      <c r="N196" s="44">
        <v>0</v>
      </c>
      <c r="P196" s="44">
        <v>0</v>
      </c>
      <c r="R196" s="44">
        <v>0</v>
      </c>
      <c r="S196" s="44"/>
      <c r="T196" s="44">
        <v>0</v>
      </c>
      <c r="U196" s="44">
        <v>0</v>
      </c>
      <c r="V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 s="44">
        <v>0</v>
      </c>
      <c r="AH196" s="44">
        <v>0</v>
      </c>
      <c r="AI196" s="44">
        <v>0</v>
      </c>
      <c r="AJ196"/>
      <c r="AK196" s="44">
        <v>0</v>
      </c>
      <c r="AL196" s="44">
        <v>0</v>
      </c>
      <c r="AM196" s="44">
        <v>0</v>
      </c>
      <c r="AN196" s="44">
        <v>0</v>
      </c>
      <c r="AO196" s="44">
        <v>0</v>
      </c>
      <c r="AP196" s="44">
        <v>0</v>
      </c>
      <c r="AQ196" s="44">
        <v>0</v>
      </c>
      <c r="AR196"/>
      <c r="AS196" s="44">
        <v>0</v>
      </c>
      <c r="AT196" s="44">
        <v>0</v>
      </c>
      <c r="AU196" s="44">
        <v>0</v>
      </c>
      <c r="AV196" s="44">
        <v>0</v>
      </c>
      <c r="AW196"/>
      <c r="AX196" s="44">
        <v>0</v>
      </c>
      <c r="AY196"/>
      <c r="AZ196"/>
      <c r="BA196" s="44">
        <v>0</v>
      </c>
    </row>
    <row r="197" spans="1:61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/>
      <c r="N197" s="44">
        <v>3.98</v>
      </c>
      <c r="P197" s="44">
        <v>3.98</v>
      </c>
      <c r="R197" s="44">
        <v>3.98</v>
      </c>
      <c r="S197" s="44"/>
      <c r="T197" s="44">
        <v>3.98</v>
      </c>
      <c r="U197" s="44">
        <v>3.98</v>
      </c>
      <c r="V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 s="44">
        <v>3.98</v>
      </c>
      <c r="AH197" s="44">
        <v>3.98</v>
      </c>
      <c r="AI197" s="44">
        <v>3.98</v>
      </c>
      <c r="AJ197"/>
      <c r="AK197" s="44">
        <v>3.98</v>
      </c>
      <c r="AL197" s="44">
        <v>3.98</v>
      </c>
      <c r="AM197" s="44">
        <v>3.98</v>
      </c>
      <c r="AN197" s="44">
        <v>3.98</v>
      </c>
      <c r="AO197" s="44">
        <v>3.98</v>
      </c>
      <c r="AP197" s="44">
        <v>3.98</v>
      </c>
      <c r="AQ197" s="44">
        <v>3.98</v>
      </c>
      <c r="AR197"/>
      <c r="AS197" s="44">
        <v>3.98</v>
      </c>
      <c r="AT197" s="44">
        <v>3.98</v>
      </c>
      <c r="AU197" s="44">
        <v>3.98</v>
      </c>
      <c r="AV197" s="44">
        <v>3.98</v>
      </c>
      <c r="AW197"/>
      <c r="AX197" s="44">
        <v>3.98</v>
      </c>
      <c r="AY197"/>
      <c r="AZ197"/>
      <c r="BA197" s="44">
        <v>3.98</v>
      </c>
    </row>
    <row r="198" spans="1:61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/>
      <c r="N198" s="44">
        <v>1</v>
      </c>
      <c r="P198" s="44">
        <v>1</v>
      </c>
      <c r="R198" s="44">
        <v>1</v>
      </c>
      <c r="S198" s="44"/>
      <c r="T198" s="44">
        <v>1</v>
      </c>
      <c r="U198" s="44">
        <v>1</v>
      </c>
      <c r="V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 s="44">
        <v>1</v>
      </c>
      <c r="AH198" s="44">
        <v>1</v>
      </c>
      <c r="AI198" s="44">
        <v>1</v>
      </c>
      <c r="AJ198"/>
      <c r="AK198" s="44">
        <v>1</v>
      </c>
      <c r="AL198" s="44">
        <v>1</v>
      </c>
      <c r="AM198" s="44">
        <v>1</v>
      </c>
      <c r="AN198" s="44">
        <v>1</v>
      </c>
      <c r="AO198" s="44">
        <v>1</v>
      </c>
      <c r="AP198" s="44">
        <v>1</v>
      </c>
      <c r="AQ198" s="44">
        <v>1</v>
      </c>
      <c r="AR198"/>
      <c r="AS198" s="44">
        <v>1</v>
      </c>
      <c r="AT198" s="44">
        <v>1</v>
      </c>
      <c r="AU198" s="44">
        <v>1</v>
      </c>
      <c r="AV198" s="44">
        <v>1</v>
      </c>
      <c r="AW198"/>
      <c r="AX198" s="44">
        <v>1</v>
      </c>
      <c r="AY198"/>
      <c r="AZ198"/>
      <c r="BA198" s="44">
        <v>1</v>
      </c>
    </row>
    <row r="199" spans="1:61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/>
      <c r="N199" s="44">
        <v>8.3333333333333331E-5</v>
      </c>
      <c r="P199" s="44">
        <v>8.3333333333333331E-5</v>
      </c>
      <c r="R199" s="44">
        <v>8.3333333333333331E-5</v>
      </c>
      <c r="S199" s="44"/>
      <c r="T199" s="44">
        <v>8.3333333333333331E-5</v>
      </c>
      <c r="U199" s="44">
        <v>8.3333333333333331E-5</v>
      </c>
      <c r="V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 s="44">
        <v>8.3333333333333331E-5</v>
      </c>
      <c r="AH199" s="44">
        <v>8.3333333333333331E-5</v>
      </c>
      <c r="AI199" s="44">
        <v>8.3333333333333331E-5</v>
      </c>
      <c r="AJ199"/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 s="44">
        <v>8.3333333333333331E-5</v>
      </c>
      <c r="AP199" s="44">
        <v>8.3333333333333331E-5</v>
      </c>
      <c r="AQ199" s="44">
        <v>8.3333333333333331E-5</v>
      </c>
      <c r="AR199"/>
      <c r="AS199" s="44">
        <v>8.3333333333333331E-5</v>
      </c>
      <c r="AT199" s="44">
        <v>8.3333333333333331E-5</v>
      </c>
      <c r="AU199" s="44">
        <v>8.3333333333333331E-5</v>
      </c>
      <c r="AV199" s="44">
        <v>8.3333333333333331E-5</v>
      </c>
      <c r="AW199"/>
      <c r="AX199" s="44">
        <v>8.3333333333333331E-5</v>
      </c>
      <c r="AY199"/>
      <c r="AZ199"/>
      <c r="BA199" s="44">
        <v>8.3333333333333331E-5</v>
      </c>
    </row>
    <row r="200" spans="1:61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/>
      <c r="N200" s="44">
        <v>1.9999999999999999E-7</v>
      </c>
      <c r="P200" s="44">
        <v>1.9999999999999999E-7</v>
      </c>
      <c r="R200" s="44">
        <v>1.9999999999999999E-7</v>
      </c>
      <c r="S200" s="44"/>
      <c r="T200" s="44">
        <v>1.9999999999999999E-7</v>
      </c>
      <c r="U200" s="44">
        <v>1.9999999999999999E-7</v>
      </c>
      <c r="V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 s="44">
        <v>1.9999999999999999E-7</v>
      </c>
      <c r="AH200" s="44">
        <v>1.9999999999999999E-7</v>
      </c>
      <c r="AI200" s="44">
        <v>1.9999999999999999E-7</v>
      </c>
      <c r="AJ200"/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 s="44">
        <v>1.9999999999999999E-7</v>
      </c>
      <c r="AP200" s="44">
        <v>1.9999999999999999E-7</v>
      </c>
      <c r="AQ200" s="44">
        <v>1.9999999999999999E-7</v>
      </c>
      <c r="AR200"/>
      <c r="AS200" s="44">
        <v>1.9999999999999999E-7</v>
      </c>
      <c r="AT200" s="44">
        <v>1.9999999999999999E-7</v>
      </c>
      <c r="AU200" s="44">
        <v>1.9999999999999999E-7</v>
      </c>
      <c r="AV200" s="44">
        <v>1.9999999999999999E-7</v>
      </c>
      <c r="AW200"/>
      <c r="AX200" s="44">
        <v>1.9999999999999999E-7</v>
      </c>
      <c r="AY200"/>
      <c r="AZ200"/>
      <c r="BA200" s="44">
        <v>1.9999999999999999E-7</v>
      </c>
    </row>
    <row r="201" spans="1:61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/>
      <c r="N201" s="44">
        <v>25</v>
      </c>
      <c r="P201" s="44">
        <v>25</v>
      </c>
      <c r="R201" s="44">
        <v>25</v>
      </c>
      <c r="S201" s="44"/>
      <c r="T201" s="44">
        <v>25</v>
      </c>
      <c r="U201" s="44">
        <v>25</v>
      </c>
      <c r="V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 s="44">
        <v>25</v>
      </c>
      <c r="AH201" s="44">
        <v>25</v>
      </c>
      <c r="AI201" s="44">
        <v>25</v>
      </c>
      <c r="AJ201"/>
      <c r="AK201" s="44">
        <v>25</v>
      </c>
      <c r="AL201" s="44">
        <v>25</v>
      </c>
      <c r="AM201" s="44">
        <v>25</v>
      </c>
      <c r="AN201" s="44">
        <v>25</v>
      </c>
      <c r="AO201" s="44">
        <v>25</v>
      </c>
      <c r="AP201" s="44">
        <v>25</v>
      </c>
      <c r="AQ201" s="44">
        <v>25</v>
      </c>
      <c r="AR201"/>
      <c r="AS201" s="44">
        <v>25</v>
      </c>
      <c r="AT201" s="44">
        <v>25</v>
      </c>
      <c r="AU201" s="44">
        <v>25</v>
      </c>
      <c r="AV201" s="44">
        <v>25</v>
      </c>
      <c r="AW201"/>
      <c r="AX201" s="44">
        <v>25</v>
      </c>
      <c r="AY201"/>
      <c r="AZ201"/>
      <c r="BA201" s="44">
        <v>25</v>
      </c>
    </row>
    <row r="202" spans="1:61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/>
      <c r="N202" s="44">
        <v>0</v>
      </c>
      <c r="P202" s="44">
        <v>0</v>
      </c>
      <c r="R202" s="44">
        <v>0</v>
      </c>
      <c r="S202" s="44"/>
      <c r="T202" s="44">
        <v>0</v>
      </c>
      <c r="U202" s="44">
        <v>0</v>
      </c>
      <c r="V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 s="44">
        <v>0</v>
      </c>
      <c r="AH202" s="44">
        <v>0</v>
      </c>
      <c r="AI202" s="44">
        <v>0</v>
      </c>
      <c r="AJ202"/>
      <c r="AK202" s="44">
        <v>0</v>
      </c>
      <c r="AL202" s="44">
        <v>0</v>
      </c>
      <c r="AM202" s="44">
        <v>0</v>
      </c>
      <c r="AN202" s="44">
        <v>0</v>
      </c>
      <c r="AO202" s="44">
        <v>0</v>
      </c>
      <c r="AP202" s="44">
        <v>0</v>
      </c>
      <c r="AQ202" s="44">
        <v>0</v>
      </c>
      <c r="AR202"/>
      <c r="AS202" s="44">
        <v>0</v>
      </c>
      <c r="AT202" s="44">
        <v>0</v>
      </c>
      <c r="AU202" s="44">
        <v>0</v>
      </c>
      <c r="AV202" s="44">
        <v>0</v>
      </c>
      <c r="AW202"/>
      <c r="AX202" s="44">
        <v>0</v>
      </c>
      <c r="AY202"/>
      <c r="AZ202"/>
      <c r="BA202" s="44">
        <v>0</v>
      </c>
    </row>
    <row r="203" spans="1:61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/>
      <c r="N203" s="44">
        <v>3.98</v>
      </c>
      <c r="P203" s="44">
        <v>3.98</v>
      </c>
      <c r="R203" s="44">
        <v>3.98</v>
      </c>
      <c r="S203" s="44"/>
      <c r="T203" s="44">
        <v>3.98</v>
      </c>
      <c r="U203" s="44">
        <v>3.98</v>
      </c>
      <c r="V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 s="44">
        <v>3.98</v>
      </c>
      <c r="AH203" s="44">
        <v>3.98</v>
      </c>
      <c r="AI203" s="44">
        <v>3.98</v>
      </c>
      <c r="AJ203"/>
      <c r="AK203" s="44">
        <v>3.98</v>
      </c>
      <c r="AL203" s="44">
        <v>3.98</v>
      </c>
      <c r="AM203" s="44">
        <v>3.98</v>
      </c>
      <c r="AN203" s="44">
        <v>3.98</v>
      </c>
      <c r="AO203" s="44">
        <v>3.98</v>
      </c>
      <c r="AP203" s="44">
        <v>3.98</v>
      </c>
      <c r="AQ203" s="44">
        <v>3.98</v>
      </c>
      <c r="AR203"/>
      <c r="AS203" s="44">
        <v>3.98</v>
      </c>
      <c r="AT203" s="44">
        <v>3.98</v>
      </c>
      <c r="AU203" s="44">
        <v>3.98</v>
      </c>
      <c r="AV203" s="44">
        <v>3.98</v>
      </c>
      <c r="AW203"/>
      <c r="AX203" s="44">
        <v>3.98</v>
      </c>
      <c r="AY203"/>
      <c r="AZ203"/>
      <c r="BA203" s="44">
        <v>3.98</v>
      </c>
    </row>
    <row r="204" spans="1:61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/>
      <c r="N204" s="44">
        <v>1</v>
      </c>
      <c r="P204" s="44">
        <v>1</v>
      </c>
      <c r="R204" s="44">
        <v>1</v>
      </c>
      <c r="S204" s="44"/>
      <c r="T204" s="44">
        <v>1</v>
      </c>
      <c r="U204" s="44">
        <v>1</v>
      </c>
      <c r="V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 s="44">
        <v>1</v>
      </c>
      <c r="AH204" s="44">
        <v>1</v>
      </c>
      <c r="AI204" s="44">
        <v>1</v>
      </c>
      <c r="AJ204"/>
      <c r="AK204" s="44">
        <v>1</v>
      </c>
      <c r="AL204" s="44">
        <v>1</v>
      </c>
      <c r="AM204" s="44">
        <v>1</v>
      </c>
      <c r="AN204" s="44">
        <v>1</v>
      </c>
      <c r="AO204" s="44">
        <v>1</v>
      </c>
      <c r="AP204" s="44">
        <v>1</v>
      </c>
      <c r="AQ204" s="44">
        <v>1</v>
      </c>
      <c r="AR204"/>
      <c r="AS204" s="44">
        <v>1</v>
      </c>
      <c r="AT204" s="44">
        <v>1</v>
      </c>
      <c r="AU204" s="44">
        <v>1</v>
      </c>
      <c r="AV204" s="44">
        <v>1</v>
      </c>
      <c r="AW204"/>
      <c r="AX204" s="44">
        <v>1</v>
      </c>
      <c r="AY204"/>
      <c r="AZ204"/>
      <c r="BA204" s="44">
        <v>1</v>
      </c>
    </row>
    <row r="205" spans="1:61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/>
      <c r="N205" s="44">
        <v>8.3333333333333331E-5</v>
      </c>
      <c r="P205" s="44">
        <v>8.3333333333333331E-5</v>
      </c>
      <c r="R205" s="44">
        <v>8.3333333333333331E-5</v>
      </c>
      <c r="S205" s="44"/>
      <c r="T205" s="44">
        <v>8.3333333333333331E-5</v>
      </c>
      <c r="U205" s="44">
        <v>8.3333333333333331E-5</v>
      </c>
      <c r="V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 s="44">
        <v>8.3333333333333331E-5</v>
      </c>
      <c r="AH205" s="44">
        <v>8.3333333333333331E-5</v>
      </c>
      <c r="AI205" s="44">
        <v>8.3333333333333331E-5</v>
      </c>
      <c r="AJ205"/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 s="44">
        <v>8.3333333333333331E-5</v>
      </c>
      <c r="AP205" s="44">
        <v>8.3333333333333331E-5</v>
      </c>
      <c r="AQ205" s="44">
        <v>8.3333333333333331E-5</v>
      </c>
      <c r="AR205"/>
      <c r="AS205" s="44">
        <v>8.3333333333333331E-5</v>
      </c>
      <c r="AT205" s="44">
        <v>8.3333333333333331E-5</v>
      </c>
      <c r="AU205" s="44">
        <v>8.3333333333333331E-5</v>
      </c>
      <c r="AV205" s="44">
        <v>8.3333333333333331E-5</v>
      </c>
      <c r="AW205"/>
      <c r="AX205" s="44">
        <v>8.3333333333333331E-5</v>
      </c>
      <c r="AY205"/>
      <c r="AZ205"/>
      <c r="BA205" s="44">
        <v>8.3333333333333331E-5</v>
      </c>
    </row>
    <row r="206" spans="1:61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/>
      <c r="N206" s="44" t="s">
        <v>89</v>
      </c>
      <c r="P206" s="44" t="s">
        <v>89</v>
      </c>
      <c r="R206" s="44" t="s">
        <v>89</v>
      </c>
      <c r="S206" s="44"/>
      <c r="T206" s="44" t="s">
        <v>89</v>
      </c>
      <c r="U206" s="44" t="s">
        <v>89</v>
      </c>
      <c r="V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 s="44" t="s">
        <v>89</v>
      </c>
      <c r="AH206" s="44" t="s">
        <v>89</v>
      </c>
      <c r="AI206" s="44" t="s">
        <v>89</v>
      </c>
      <c r="AJ206"/>
      <c r="AK206" s="44" t="s">
        <v>89</v>
      </c>
      <c r="AL206" s="44" t="s">
        <v>89</v>
      </c>
      <c r="AM206" s="44" t="s">
        <v>89</v>
      </c>
      <c r="AN206" s="44" t="s">
        <v>89</v>
      </c>
      <c r="AO206" s="44" t="s">
        <v>89</v>
      </c>
      <c r="AP206" s="44" t="s">
        <v>89</v>
      </c>
      <c r="AQ206" s="44" t="s">
        <v>89</v>
      </c>
      <c r="AR206"/>
      <c r="AS206" s="44" t="s">
        <v>89</v>
      </c>
      <c r="AT206" s="44" t="s">
        <v>89</v>
      </c>
      <c r="AU206" s="44" t="s">
        <v>89</v>
      </c>
      <c r="AV206" s="44" t="s">
        <v>89</v>
      </c>
      <c r="AW206"/>
      <c r="AX206" s="44" t="s">
        <v>89</v>
      </c>
      <c r="AY206"/>
      <c r="AZ206"/>
      <c r="BA206" s="44" t="s">
        <v>89</v>
      </c>
    </row>
    <row r="207" spans="1:61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/>
      <c r="N207" s="44">
        <f>0.0000005*0.4285*10/2.028*4</f>
        <v>4.2258382642998024E-6</v>
      </c>
      <c r="P207" s="44">
        <f>0.0000005*0.4285*10/2.028*4</f>
        <v>4.2258382642998024E-6</v>
      </c>
      <c r="R207" s="44">
        <f>0.0000005*0.4285*10/2.028*4</f>
        <v>4.2258382642998024E-6</v>
      </c>
      <c r="S207" s="44"/>
      <c r="T207" s="44">
        <f t="shared" ref="T207:BA207" si="13">0.00002</f>
        <v>2.0000000000000002E-5</v>
      </c>
      <c r="U207" s="44">
        <f t="shared" si="13"/>
        <v>2.0000000000000002E-5</v>
      </c>
      <c r="V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 s="44">
        <f t="shared" si="13"/>
        <v>2.0000000000000002E-5</v>
      </c>
      <c r="AH207" s="44">
        <f t="shared" si="13"/>
        <v>2.0000000000000002E-5</v>
      </c>
      <c r="AI207" s="44">
        <f t="shared" si="13"/>
        <v>2.0000000000000002E-5</v>
      </c>
      <c r="AJ207"/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 s="44">
        <f t="shared" si="13"/>
        <v>2.0000000000000002E-5</v>
      </c>
      <c r="AP207" s="44">
        <f t="shared" si="13"/>
        <v>2.0000000000000002E-5</v>
      </c>
      <c r="AQ207" s="44">
        <f t="shared" si="13"/>
        <v>2.0000000000000002E-5</v>
      </c>
      <c r="AR207"/>
      <c r="AS207" s="44">
        <f t="shared" si="13"/>
        <v>2.0000000000000002E-5</v>
      </c>
      <c r="AT207" s="44">
        <f t="shared" si="13"/>
        <v>2.0000000000000002E-5</v>
      </c>
      <c r="AU207" s="44">
        <f t="shared" si="13"/>
        <v>2.0000000000000002E-5</v>
      </c>
      <c r="AV207" s="44">
        <f t="shared" si="13"/>
        <v>2.0000000000000002E-5</v>
      </c>
      <c r="AW207"/>
      <c r="AX207" s="44">
        <f t="shared" si="13"/>
        <v>2.0000000000000002E-5</v>
      </c>
      <c r="AY207"/>
      <c r="AZ207"/>
      <c r="BA207" s="44">
        <f t="shared" si="13"/>
        <v>2.0000000000000002E-5</v>
      </c>
      <c r="BB207" s="1"/>
      <c r="BC207" s="1"/>
      <c r="BD207" s="1"/>
      <c r="BE207" s="1"/>
      <c r="BF207" s="1"/>
      <c r="BG207" s="1"/>
      <c r="BH207" s="1"/>
      <c r="BI207" s="1"/>
    </row>
    <row r="208" spans="1:61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/>
      <c r="N208" s="44">
        <v>0.25</v>
      </c>
      <c r="P208" s="44">
        <v>0.25</v>
      </c>
      <c r="R208" s="44">
        <v>0.25</v>
      </c>
      <c r="S208" s="44"/>
      <c r="T208" s="44">
        <v>0.3</v>
      </c>
      <c r="U208" s="44">
        <v>0.3</v>
      </c>
      <c r="V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 s="44">
        <v>0.3</v>
      </c>
      <c r="AH208" s="44">
        <v>0.3</v>
      </c>
      <c r="AI208" s="44">
        <v>0.3</v>
      </c>
      <c r="AJ208"/>
      <c r="AK208" s="44">
        <v>0.3</v>
      </c>
      <c r="AL208" s="44">
        <v>0.3</v>
      </c>
      <c r="AM208" s="44">
        <v>0.3</v>
      </c>
      <c r="AN208" s="44">
        <v>0.3</v>
      </c>
      <c r="AO208" s="44">
        <v>0.15</v>
      </c>
      <c r="AP208" s="44">
        <v>0.15</v>
      </c>
      <c r="AQ208" s="44">
        <v>0.15</v>
      </c>
      <c r="AR208"/>
      <c r="AS208" s="44">
        <v>0.15</v>
      </c>
      <c r="AT208" s="44">
        <v>0.15</v>
      </c>
      <c r="AU208" s="44">
        <v>0.15</v>
      </c>
      <c r="AV208" s="44">
        <v>0.15</v>
      </c>
      <c r="AW208"/>
      <c r="AX208" s="44">
        <v>0.15</v>
      </c>
      <c r="AY208"/>
      <c r="AZ208"/>
      <c r="BA208" s="44">
        <v>0.3</v>
      </c>
      <c r="BB208" s="51"/>
      <c r="BC208" s="51"/>
      <c r="BD208" s="51"/>
      <c r="BE208" s="51"/>
      <c r="BF208" s="51"/>
      <c r="BG208" s="51"/>
      <c r="BH208" s="51"/>
      <c r="BI208" s="51"/>
    </row>
    <row r="209" spans="1:61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BA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/>
      <c r="N209" s="44">
        <f t="shared" si="14"/>
        <v>1.4285714285714286E-6</v>
      </c>
      <c r="P209" s="44">
        <f t="shared" si="14"/>
        <v>1.4285714285714286E-6</v>
      </c>
      <c r="R209" s="44">
        <f t="shared" si="14"/>
        <v>1.4285714285714286E-6</v>
      </c>
      <c r="S209" s="44"/>
      <c r="T209" s="44">
        <f t="shared" si="14"/>
        <v>1.4285714285714286E-6</v>
      </c>
      <c r="U209" s="44">
        <v>2E-3</v>
      </c>
      <c r="V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 s="44">
        <f t="shared" si="14"/>
        <v>1.4285714285714286E-6</v>
      </c>
      <c r="AH209" s="44">
        <f t="shared" si="14"/>
        <v>1.4285714285714286E-6</v>
      </c>
      <c r="AI209" s="44">
        <f t="shared" si="14"/>
        <v>1.4285714285714286E-6</v>
      </c>
      <c r="AJ209"/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 s="44">
        <f t="shared" si="14"/>
        <v>1.4285714285714286E-6</v>
      </c>
      <c r="AP209" s="44">
        <f t="shared" si="14"/>
        <v>1.4285714285714286E-6</v>
      </c>
      <c r="AQ209" s="44">
        <f t="shared" si="14"/>
        <v>1.4285714285714286E-6</v>
      </c>
      <c r="AR209"/>
      <c r="AS209" s="44">
        <f t="shared" si="14"/>
        <v>1.4285714285714286E-6</v>
      </c>
      <c r="AT209" s="44">
        <f t="shared" si="14"/>
        <v>1.4285714285714286E-6</v>
      </c>
      <c r="AU209" s="44">
        <f t="shared" si="14"/>
        <v>1.4285714285714286E-6</v>
      </c>
      <c r="AV209" s="44">
        <f t="shared" si="14"/>
        <v>1.4285714285714286E-6</v>
      </c>
      <c r="AW209"/>
      <c r="AX209" s="44">
        <v>2E-3</v>
      </c>
      <c r="AY209"/>
      <c r="AZ209"/>
      <c r="BA209" s="44">
        <f t="shared" si="14"/>
        <v>1.4285714285714286E-6</v>
      </c>
      <c r="BB209" s="37"/>
      <c r="BC209" s="37"/>
      <c r="BD209" s="37"/>
      <c r="BE209" s="37"/>
      <c r="BF209" s="37"/>
      <c r="BG209" s="37"/>
      <c r="BH209" s="37"/>
      <c r="BI209" s="37"/>
    </row>
    <row r="210" spans="1:61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/>
      <c r="N210" s="44" t="s">
        <v>485</v>
      </c>
      <c r="P210" s="44" t="s">
        <v>485</v>
      </c>
      <c r="R210" s="44" t="s">
        <v>485</v>
      </c>
      <c r="S210" s="44"/>
      <c r="T210" s="44" t="s">
        <v>485</v>
      </c>
      <c r="U210" s="44">
        <v>0.1</v>
      </c>
      <c r="V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 s="44" t="s">
        <v>485</v>
      </c>
      <c r="AH210" s="44" t="s">
        <v>485</v>
      </c>
      <c r="AI210" s="44" t="s">
        <v>485</v>
      </c>
      <c r="AJ210"/>
      <c r="AK210" s="44" t="s">
        <v>485</v>
      </c>
      <c r="AL210" s="44" t="s">
        <v>485</v>
      </c>
      <c r="AM210" s="44" t="s">
        <v>485</v>
      </c>
      <c r="AN210" s="44" t="s">
        <v>485</v>
      </c>
      <c r="AO210" s="44" t="s">
        <v>485</v>
      </c>
      <c r="AP210" s="44" t="s">
        <v>485</v>
      </c>
      <c r="AQ210" s="44" t="s">
        <v>485</v>
      </c>
      <c r="AR210"/>
      <c r="AS210" s="44" t="s">
        <v>485</v>
      </c>
      <c r="AT210" s="44" t="s">
        <v>485</v>
      </c>
      <c r="AU210" s="44" t="s">
        <v>485</v>
      </c>
      <c r="AV210" s="44" t="s">
        <v>485</v>
      </c>
      <c r="AW210"/>
      <c r="AX210" s="44">
        <v>0.1</v>
      </c>
      <c r="AY210"/>
      <c r="AZ210"/>
      <c r="BA210" s="44" t="s">
        <v>485</v>
      </c>
      <c r="BB210" s="37"/>
      <c r="BC210" s="37"/>
      <c r="BD210" s="37"/>
      <c r="BE210" s="37"/>
      <c r="BF210" s="37"/>
      <c r="BG210" s="37"/>
      <c r="BH210" s="37"/>
      <c r="BI210" s="37"/>
    </row>
    <row r="211" spans="1:61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/>
      <c r="N211" s="44">
        <v>0</v>
      </c>
      <c r="P211" s="44">
        <v>0</v>
      </c>
      <c r="R211" s="44">
        <v>0</v>
      </c>
      <c r="S211" s="44"/>
      <c r="T211" s="44">
        <v>0</v>
      </c>
      <c r="U211" s="44">
        <v>0.04</v>
      </c>
      <c r="V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 s="44">
        <v>0</v>
      </c>
      <c r="AH211" s="44">
        <v>0</v>
      </c>
      <c r="AI211" s="44">
        <v>0</v>
      </c>
      <c r="AJ211"/>
      <c r="AK211" s="44">
        <v>0</v>
      </c>
      <c r="AL211" s="44">
        <v>0</v>
      </c>
      <c r="AM211" s="44">
        <v>0</v>
      </c>
      <c r="AN211" s="44">
        <v>0</v>
      </c>
      <c r="AO211" s="44">
        <v>0</v>
      </c>
      <c r="AP211" s="44">
        <v>0</v>
      </c>
      <c r="AQ211" s="44">
        <v>0</v>
      </c>
      <c r="AR211"/>
      <c r="AS211" s="44">
        <v>0</v>
      </c>
      <c r="AT211" s="44">
        <v>0</v>
      </c>
      <c r="AU211" s="44">
        <v>0</v>
      </c>
      <c r="AV211" s="44">
        <v>0</v>
      </c>
      <c r="AW211"/>
      <c r="AX211" s="44">
        <v>0.04</v>
      </c>
      <c r="AY211"/>
      <c r="AZ211"/>
      <c r="BA211" s="44">
        <v>0</v>
      </c>
      <c r="BB211" s="37"/>
      <c r="BC211" s="37"/>
      <c r="BD211" s="37"/>
      <c r="BE211" s="37"/>
      <c r="BF211" s="37"/>
      <c r="BG211" s="37"/>
      <c r="BH211" s="37"/>
      <c r="BI211" s="37"/>
    </row>
    <row r="212" spans="1:61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/>
      <c r="N212" s="44">
        <v>1E-3</v>
      </c>
      <c r="P212" s="44">
        <v>1E-3</v>
      </c>
      <c r="R212" s="44">
        <v>1E-3</v>
      </c>
      <c r="S212" s="44"/>
      <c r="T212" s="44">
        <v>1E-3</v>
      </c>
      <c r="U212" s="44">
        <v>1E-3</v>
      </c>
      <c r="V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 s="44">
        <v>1E-3</v>
      </c>
      <c r="AH212" s="44">
        <v>1E-3</v>
      </c>
      <c r="AI212" s="44">
        <v>1E-3</v>
      </c>
      <c r="AJ212"/>
      <c r="AK212" s="44">
        <v>1E-3</v>
      </c>
      <c r="AL212" s="44">
        <v>1E-3</v>
      </c>
      <c r="AM212" s="44">
        <v>1E-3</v>
      </c>
      <c r="AN212" s="44">
        <v>1E-3</v>
      </c>
      <c r="AO212" s="44">
        <v>1E-3</v>
      </c>
      <c r="AP212" s="44">
        <v>1E-3</v>
      </c>
      <c r="AQ212" s="44">
        <v>1E-3</v>
      </c>
      <c r="AR212"/>
      <c r="AS212" s="44">
        <v>1E-3</v>
      </c>
      <c r="AT212" s="44">
        <v>1E-3</v>
      </c>
      <c r="AU212" s="44">
        <v>1E-3</v>
      </c>
      <c r="AV212" s="44">
        <v>1E-3</v>
      </c>
      <c r="AW212"/>
      <c r="AX212" s="44">
        <v>1E-3</v>
      </c>
      <c r="AY212"/>
      <c r="AZ212"/>
      <c r="BA212" s="44">
        <v>1E-3</v>
      </c>
      <c r="BB212" s="37"/>
      <c r="BC212" s="37"/>
      <c r="BD212" s="37"/>
      <c r="BE212" s="37"/>
      <c r="BF212" s="37"/>
      <c r="BG212" s="37"/>
      <c r="BH212" s="37"/>
      <c r="BI212" s="37"/>
    </row>
    <row r="213" spans="1:61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BA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/>
      <c r="N213" s="44">
        <f>1250*0.000001/5</f>
        <v>2.5000000000000001E-4</v>
      </c>
      <c r="P213" s="44">
        <f>1250*0.000001/5</f>
        <v>2.5000000000000001E-4</v>
      </c>
      <c r="R213" s="44">
        <f t="shared" si="15"/>
        <v>2.5000000000000001E-4</v>
      </c>
      <c r="S213" s="44"/>
      <c r="T213" s="44">
        <f t="shared" si="15"/>
        <v>2.5000000000000001E-4</v>
      </c>
      <c r="U213" s="44">
        <f t="shared" si="15"/>
        <v>2.5000000000000001E-4</v>
      </c>
      <c r="V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 s="44">
        <f t="shared" si="15"/>
        <v>2.5000000000000001E-4</v>
      </c>
      <c r="AH213" s="44">
        <f t="shared" si="15"/>
        <v>2.5000000000000001E-4</v>
      </c>
      <c r="AI213" s="44">
        <f t="shared" si="15"/>
        <v>2.5000000000000001E-4</v>
      </c>
      <c r="AJ213"/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 s="44">
        <f t="shared" si="15"/>
        <v>2.5000000000000001E-4</v>
      </c>
      <c r="AP213" s="44">
        <f t="shared" si="15"/>
        <v>2.5000000000000001E-4</v>
      </c>
      <c r="AQ213" s="44">
        <f t="shared" si="15"/>
        <v>2.5000000000000001E-4</v>
      </c>
      <c r="AR213"/>
      <c r="AS213" s="44">
        <f t="shared" si="15"/>
        <v>2.5000000000000001E-4</v>
      </c>
      <c r="AT213" s="44">
        <f t="shared" si="15"/>
        <v>2.5000000000000001E-4</v>
      </c>
      <c r="AU213" s="44">
        <f t="shared" si="15"/>
        <v>2.5000000000000001E-4</v>
      </c>
      <c r="AV213" s="44">
        <f t="shared" si="15"/>
        <v>2.5000000000000001E-4</v>
      </c>
      <c r="AW213"/>
      <c r="AX213" s="44">
        <f t="shared" si="15"/>
        <v>2.5000000000000001E-4</v>
      </c>
      <c r="AY213"/>
      <c r="AZ213"/>
      <c r="BA213" s="44">
        <f t="shared" si="15"/>
        <v>2.5000000000000001E-4</v>
      </c>
      <c r="BB213" s="51"/>
      <c r="BC213" s="51"/>
      <c r="BD213" s="51"/>
      <c r="BE213" s="51"/>
      <c r="BF213" s="51"/>
      <c r="BG213" s="51"/>
      <c r="BH213" s="51"/>
      <c r="BI213" s="51"/>
    </row>
    <row r="214" spans="1:61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/>
      <c r="N214" s="44">
        <v>2.0000000000000001E-4</v>
      </c>
      <c r="P214" s="44">
        <v>2.0000000000000001E-4</v>
      </c>
      <c r="R214" s="44">
        <v>2.0000000000000001E-4</v>
      </c>
      <c r="S214" s="44"/>
      <c r="T214" s="44">
        <v>2.0000000000000001E-4</v>
      </c>
      <c r="U214" s="44">
        <v>2.0000000000000001E-4</v>
      </c>
      <c r="V214" s="44">
        <v>2.0000000000000001E-4</v>
      </c>
      <c r="W214" s="1">
        <f>44.4365413894298/21.9053373</f>
        <v>2.0285714290019081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 s="44">
        <v>2.0000000000000001E-4</v>
      </c>
      <c r="AI214" s="44">
        <v>2.0000000000000001E-4</v>
      </c>
      <c r="AJ214"/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 s="44">
        <v>2.0000000000000001E-4</v>
      </c>
      <c r="AP214" s="44">
        <v>2.0000000000000001E-4</v>
      </c>
      <c r="AQ214" s="44">
        <v>2.0000000000000001E-4</v>
      </c>
      <c r="AR214"/>
      <c r="AS214" s="44">
        <v>2.0000000000000001E-4</v>
      </c>
      <c r="AT214" s="44">
        <v>2.0000000000000001E-4</v>
      </c>
      <c r="AU214" s="44">
        <v>2.0000000000000001E-4</v>
      </c>
      <c r="AV214" s="44">
        <v>2.0000000000000001E-4</v>
      </c>
      <c r="AW214"/>
      <c r="AX214" s="44">
        <v>2.0000000000000001E-4</v>
      </c>
      <c r="AY214"/>
      <c r="AZ214"/>
      <c r="BA214" s="44">
        <v>2.0000000000000001E-4</v>
      </c>
      <c r="BB214" s="51"/>
      <c r="BC214" s="51"/>
      <c r="BD214" s="51"/>
      <c r="BE214" s="51"/>
      <c r="BF214" s="51"/>
      <c r="BG214" s="51"/>
      <c r="BH214" s="51"/>
      <c r="BI214" s="51"/>
    </row>
    <row r="215" spans="1:61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/>
      <c r="N215" s="44">
        <f>N163</f>
        <v>4.9999999999999999E-13</v>
      </c>
      <c r="O215" s="1" t="s">
        <v>606</v>
      </c>
      <c r="P215" s="44">
        <f>P163</f>
        <v>4.9999999999999999E-13</v>
      </c>
      <c r="R215" s="44">
        <f>0.0000000000025/50</f>
        <v>4.9999999999999995E-14</v>
      </c>
      <c r="S215" s="44"/>
      <c r="T215" s="44">
        <v>2.4999999999999999E-13</v>
      </c>
      <c r="U215" s="44">
        <v>2.4999999999999999E-13</v>
      </c>
      <c r="V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 s="44">
        <v>2.4999999999999999E-13</v>
      </c>
      <c r="AI215" s="44">
        <v>2.4999999999999999E-13</v>
      </c>
      <c r="AJ215"/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 s="44">
        <v>2.4999999999999999E-13</v>
      </c>
      <c r="AP215" s="44">
        <v>2.4999999999999999E-13</v>
      </c>
      <c r="AQ215" s="44">
        <v>2.4999999999999999E-13</v>
      </c>
      <c r="AR215"/>
      <c r="AS215" s="44">
        <v>2.4999999999999999E-13</v>
      </c>
      <c r="AT215" s="44">
        <v>2.4999999999999999E-13</v>
      </c>
      <c r="AU215" s="44">
        <v>2.4999999999999999E-13</v>
      </c>
      <c r="AV215" s="44">
        <v>2.4999999999999999E-13</v>
      </c>
      <c r="AW215"/>
      <c r="AX215" s="44">
        <v>2.4999999999999999E-13</v>
      </c>
      <c r="AY215"/>
      <c r="AZ215"/>
      <c r="BA215" s="44">
        <v>2.4999999999999999E-13</v>
      </c>
      <c r="BB215" s="51"/>
      <c r="BC215" s="51"/>
      <c r="BD215" s="51"/>
      <c r="BE215" s="51"/>
      <c r="BF215" s="51"/>
      <c r="BG215" s="51"/>
      <c r="BH215" s="51"/>
      <c r="BI215" s="51"/>
    </row>
    <row r="216" spans="1:61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/>
      <c r="N216" s="44">
        <f>0.00000000005 *2</f>
        <v>1E-10</v>
      </c>
      <c r="P216" s="44">
        <f>0.00000000005 *2</f>
        <v>1E-10</v>
      </c>
      <c r="R216" s="44">
        <f>0.00000000005*2 / 10 / 2</f>
        <v>5.0000000000000005E-12</v>
      </c>
      <c r="S216" s="44"/>
      <c r="T216" s="44">
        <f t="shared" ref="T216:AX217" si="16">0.00000012*100</f>
        <v>1.1999999999999999E-5</v>
      </c>
      <c r="U216" s="44">
        <f t="shared" si="16"/>
        <v>1.1999999999999999E-5</v>
      </c>
      <c r="V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 s="44">
        <f t="shared" si="16"/>
        <v>1.1999999999999999E-5</v>
      </c>
      <c r="AH216" s="44">
        <f t="shared" si="16"/>
        <v>1.1999999999999999E-5</v>
      </c>
      <c r="AI216" s="44">
        <f t="shared" si="16"/>
        <v>1.1999999999999999E-5</v>
      </c>
      <c r="AJ216"/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 s="44">
        <f t="shared" si="16"/>
        <v>1.1999999999999999E-5</v>
      </c>
      <c r="AP216" s="44">
        <f t="shared" si="16"/>
        <v>1.1999999999999999E-5</v>
      </c>
      <c r="AQ216" s="44">
        <f t="shared" si="16"/>
        <v>1.1999999999999999E-5</v>
      </c>
      <c r="AR216"/>
      <c r="AS216" s="44">
        <f t="shared" si="16"/>
        <v>1.1999999999999999E-5</v>
      </c>
      <c r="AT216" s="44">
        <f t="shared" si="16"/>
        <v>1.1999999999999999E-5</v>
      </c>
      <c r="AU216" s="44">
        <f t="shared" si="16"/>
        <v>1.1999999999999999E-5</v>
      </c>
      <c r="AV216" s="44">
        <f t="shared" si="16"/>
        <v>1.1999999999999999E-5</v>
      </c>
      <c r="AW216"/>
      <c r="AX216" s="44">
        <f t="shared" si="16"/>
        <v>1.1999999999999999E-5</v>
      </c>
      <c r="AY216"/>
      <c r="AZ216"/>
      <c r="BA216" s="44">
        <f>0.00000012*100</f>
        <v>1.1999999999999999E-5</v>
      </c>
      <c r="BB216" s="51"/>
      <c r="BC216" s="51"/>
      <c r="BD216" s="51"/>
      <c r="BE216" s="51"/>
      <c r="BF216" s="51"/>
      <c r="BG216" s="51"/>
      <c r="BH216" s="51"/>
      <c r="BI216" s="51"/>
    </row>
    <row r="217" spans="1:61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/>
      <c r="N217" s="44">
        <f>N216/10/4</f>
        <v>2.5000000000000003E-12</v>
      </c>
      <c r="P217" s="44">
        <f>P216/10/4</f>
        <v>2.5000000000000003E-12</v>
      </c>
      <c r="R217" s="44">
        <f>0.00000000005*2 / 10 / 2</f>
        <v>5.0000000000000005E-12</v>
      </c>
      <c r="S217" s="44"/>
      <c r="T217" s="44">
        <f t="shared" si="16"/>
        <v>1.1999999999999999E-5</v>
      </c>
      <c r="U217" s="44">
        <f t="shared" si="16"/>
        <v>1.1999999999999999E-5</v>
      </c>
      <c r="V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 s="44">
        <f t="shared" si="16"/>
        <v>1.1999999999999999E-5</v>
      </c>
      <c r="AH217" s="44">
        <f t="shared" si="16"/>
        <v>1.1999999999999999E-5</v>
      </c>
      <c r="AI217" s="44">
        <f t="shared" si="16"/>
        <v>1.1999999999999999E-5</v>
      </c>
      <c r="AJ217"/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 s="44">
        <f t="shared" si="16"/>
        <v>1.1999999999999999E-5</v>
      </c>
      <c r="AP217" s="44">
        <f t="shared" si="16"/>
        <v>1.1999999999999999E-5</v>
      </c>
      <c r="AQ217" s="44">
        <f t="shared" si="16"/>
        <v>1.1999999999999999E-5</v>
      </c>
      <c r="AR217"/>
      <c r="AS217" s="44">
        <f t="shared" si="16"/>
        <v>1.1999999999999999E-5</v>
      </c>
      <c r="AT217" s="44">
        <f t="shared" si="16"/>
        <v>1.1999999999999999E-5</v>
      </c>
      <c r="AU217" s="44">
        <f t="shared" si="16"/>
        <v>1.1999999999999999E-5</v>
      </c>
      <c r="AV217" s="44">
        <f t="shared" si="16"/>
        <v>1.1999999999999999E-5</v>
      </c>
      <c r="AW217"/>
      <c r="AX217" s="44">
        <f t="shared" si="16"/>
        <v>1.1999999999999999E-5</v>
      </c>
      <c r="AY217"/>
      <c r="AZ217"/>
      <c r="BA217" s="44">
        <f>0.00000012*100</f>
        <v>1.1999999999999999E-5</v>
      </c>
      <c r="BB217" s="51"/>
      <c r="BC217" s="51"/>
      <c r="BD217" s="51"/>
      <c r="BE217" s="51"/>
      <c r="BF217" s="51"/>
      <c r="BG217" s="51"/>
      <c r="BH217" s="51"/>
      <c r="BI217" s="51"/>
    </row>
    <row r="218" spans="1:61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/>
      <c r="N218" s="44">
        <f>0.00000001</f>
        <v>1E-8</v>
      </c>
      <c r="P218" s="44">
        <f>0.00000001</f>
        <v>1E-8</v>
      </c>
      <c r="R218" s="44">
        <f>0</f>
        <v>0</v>
      </c>
      <c r="S218" s="44"/>
      <c r="T218" s="44"/>
      <c r="U218" s="44"/>
      <c r="V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/>
      <c r="AK218" s="44"/>
      <c r="AL218" s="44"/>
      <c r="AM218" s="44"/>
      <c r="AN218" s="44"/>
      <c r="AO218" s="44"/>
      <c r="AP218" s="44"/>
      <c r="AQ218" s="44"/>
      <c r="AR218"/>
      <c r="AS218" s="44"/>
      <c r="AT218" s="44"/>
      <c r="AU218" s="44"/>
      <c r="AV218" s="44"/>
      <c r="AW218"/>
      <c r="AX218" s="44"/>
      <c r="AY218"/>
      <c r="AZ218"/>
      <c r="BA218" s="44"/>
      <c r="BB218" s="51"/>
      <c r="BC218" s="51"/>
      <c r="BD218" s="51"/>
      <c r="BE218" s="51"/>
      <c r="BF218" s="51"/>
      <c r="BG218" s="51"/>
      <c r="BH218" s="51"/>
      <c r="BI218" s="51"/>
    </row>
    <row r="219" spans="1:61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/>
      <c r="N219" s="44">
        <f>100</f>
        <v>100</v>
      </c>
      <c r="P219" s="44">
        <f>100</f>
        <v>100</v>
      </c>
      <c r="R219" s="44">
        <f>100</f>
        <v>100</v>
      </c>
      <c r="S219" s="44"/>
      <c r="T219" s="44"/>
      <c r="U219" s="44"/>
      <c r="V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/>
      <c r="AK219" s="44"/>
      <c r="AL219" s="44"/>
      <c r="AM219" s="44"/>
      <c r="AN219" s="44"/>
      <c r="AO219" s="44"/>
      <c r="AP219" s="44"/>
      <c r="AQ219" s="44"/>
      <c r="AR219"/>
      <c r="AS219" s="44"/>
      <c r="AT219" s="44"/>
      <c r="AU219" s="44"/>
      <c r="AV219" s="44"/>
      <c r="AW219"/>
      <c r="AX219" s="44"/>
      <c r="AY219"/>
      <c r="AZ219"/>
      <c r="BA219" s="44"/>
      <c r="BB219" s="51"/>
      <c r="BC219" s="51"/>
      <c r="BD219" s="51"/>
      <c r="BE219" s="51"/>
      <c r="BF219" s="51"/>
      <c r="BG219" s="51"/>
      <c r="BH219" s="51"/>
      <c r="BI219" s="51"/>
    </row>
    <row r="220" spans="1:61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/>
      <c r="N220" s="44">
        <f>0.000001 / 10000 / 4 / 10 /5  / 5</f>
        <v>1E-13</v>
      </c>
      <c r="O220" s="1" t="s">
        <v>607</v>
      </c>
      <c r="P220" s="44">
        <f>0.000001 / 10000 / 4 / 10 /5  / 5</f>
        <v>1E-13</v>
      </c>
      <c r="R220" s="44">
        <f>0.000001 / 10000 *2 * 3</f>
        <v>6E-10</v>
      </c>
      <c r="S220" s="44"/>
      <c r="T220" s="44">
        <v>9.9999999999999995E-7</v>
      </c>
      <c r="U220" s="44">
        <v>9.9999999999999995E-7</v>
      </c>
      <c r="V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 s="44">
        <v>9.9999999999999995E-7</v>
      </c>
      <c r="AH220" s="44">
        <v>9.9999999999999995E-7</v>
      </c>
      <c r="AI220" s="44">
        <v>9.9999999999999995E-7</v>
      </c>
      <c r="AJ220"/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 s="44">
        <v>9.9999999999999995E-7</v>
      </c>
      <c r="AP220" s="44">
        <v>9.9999999999999995E-7</v>
      </c>
      <c r="AQ220" s="44">
        <v>9.9999999999999995E-7</v>
      </c>
      <c r="AR220"/>
      <c r="AS220" s="44">
        <v>9.9999999999999995E-7</v>
      </c>
      <c r="AT220" s="44">
        <v>9.9999999999999995E-7</v>
      </c>
      <c r="AU220" s="44">
        <v>9.9999999999999995E-7</v>
      </c>
      <c r="AV220" s="44">
        <v>9.9999999999999995E-7</v>
      </c>
      <c r="AW220"/>
      <c r="AX220" s="44">
        <v>9.9999999999999995E-7</v>
      </c>
      <c r="AY220"/>
      <c r="AZ220"/>
      <c r="BA220" s="44">
        <v>9.9999999999999995E-7</v>
      </c>
      <c r="BB220" s="51"/>
      <c r="BC220" s="51"/>
      <c r="BD220" s="51"/>
      <c r="BE220" s="51"/>
      <c r="BF220" s="51"/>
      <c r="BG220" s="51"/>
      <c r="BH220" s="51"/>
      <c r="BI220" s="51"/>
    </row>
    <row r="221" spans="1:61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/>
      <c r="N221" s="44">
        <v>0</v>
      </c>
      <c r="P221" s="44">
        <v>0</v>
      </c>
      <c r="R221" s="44">
        <f>0.000001 / 10000 / 4 / 10</f>
        <v>2.4999999999999998E-12</v>
      </c>
      <c r="S221" s="44"/>
      <c r="T221" s="44">
        <v>9.9999999999999995E-7</v>
      </c>
      <c r="U221" s="44">
        <v>9.9999999999999995E-7</v>
      </c>
      <c r="V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 s="44">
        <v>9.9999999999999995E-7</v>
      </c>
      <c r="AH221" s="44">
        <v>9.9999999999999995E-7</v>
      </c>
      <c r="AI221" s="44">
        <v>9.9999999999999995E-7</v>
      </c>
      <c r="AJ221"/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 s="44">
        <v>9.9999999999999995E-7</v>
      </c>
      <c r="AP221" s="44">
        <v>9.9999999999999995E-7</v>
      </c>
      <c r="AQ221" s="44">
        <v>9.9999999999999995E-7</v>
      </c>
      <c r="AR221"/>
      <c r="AS221" s="44">
        <v>9.9999999999999995E-7</v>
      </c>
      <c r="AT221" s="44">
        <v>9.9999999999999995E-7</v>
      </c>
      <c r="AU221" s="44">
        <v>9.9999999999999995E-7</v>
      </c>
      <c r="AV221" s="44">
        <v>9.9999999999999995E-7</v>
      </c>
      <c r="AW221"/>
      <c r="AX221" s="44">
        <v>9.9999999999999995E-7</v>
      </c>
      <c r="AY221"/>
      <c r="AZ221"/>
      <c r="BA221" s="44">
        <v>9.9999999999999995E-7</v>
      </c>
      <c r="BB221" s="51"/>
      <c r="BC221" s="51"/>
      <c r="BD221" s="51"/>
      <c r="BE221" s="51"/>
      <c r="BF221" s="51"/>
      <c r="BG221" s="51"/>
      <c r="BH221" s="51"/>
      <c r="BI221" s="51"/>
    </row>
    <row r="222" spans="1:61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/>
      <c r="N222" s="44">
        <f>0.00001 / 10 / 2 / 5 /5</f>
        <v>2.0000000000000004E-8</v>
      </c>
      <c r="P222" s="44">
        <f>0.00001 / 10 / 2 / 5 /5</f>
        <v>2.0000000000000004E-8</v>
      </c>
      <c r="R222" s="44">
        <f>0.00001 / 10/2/4</f>
        <v>1.2500000000000002E-7</v>
      </c>
      <c r="S222" s="44"/>
      <c r="T222" s="44">
        <v>2E-8</v>
      </c>
      <c r="U222" s="44">
        <v>2E-8</v>
      </c>
      <c r="V222" s="44">
        <v>2E-8</v>
      </c>
      <c r="Y222" s="44">
        <v>5.0000000000000002E-5</v>
      </c>
      <c r="Z222" s="44">
        <v>5.0000000000000002E-5</v>
      </c>
      <c r="AA222" s="44">
        <v>5.0000000000000002E-5</v>
      </c>
      <c r="AB222" s="44">
        <v>5.0000000000000002E-5</v>
      </c>
      <c r="AC222" s="44">
        <v>2.0000000000000002E-5</v>
      </c>
      <c r="AD222" s="44">
        <v>1.0000000000000001E-5</v>
      </c>
      <c r="AE222" s="44">
        <v>5.0000000000000004E-6</v>
      </c>
      <c r="AF222" s="44">
        <v>1.9999999999999999E-6</v>
      </c>
      <c r="AG222" s="44">
        <v>9.9999999999999995E-7</v>
      </c>
      <c r="AH222" s="44">
        <v>4.9999999999999998E-7</v>
      </c>
      <c r="AI222" s="44">
        <v>1.9999999999999999E-7</v>
      </c>
      <c r="AJ222"/>
      <c r="AK222" s="44">
        <v>2.0000000000000002E-5</v>
      </c>
      <c r="AL222" s="44">
        <v>1.0000000000000001E-5</v>
      </c>
      <c r="AM222" s="44">
        <v>5.0000000000000004E-6</v>
      </c>
      <c r="AN222" s="44">
        <v>1.9999999999999999E-6</v>
      </c>
      <c r="AO222" s="44">
        <v>9.9999999999999995E-7</v>
      </c>
      <c r="AP222" s="44">
        <v>4.9999999999999998E-7</v>
      </c>
      <c r="AQ222" s="44">
        <v>1.9999999999999999E-7</v>
      </c>
      <c r="AR222"/>
      <c r="AS222" s="44">
        <v>2E-8</v>
      </c>
      <c r="AT222" s="44">
        <v>2E-8</v>
      </c>
      <c r="AU222" s="44">
        <v>2.0000000000000001E-9</v>
      </c>
      <c r="AV222" s="44">
        <v>2.0000000000000001E-9</v>
      </c>
      <c r="AW222"/>
      <c r="AX222" s="44">
        <v>9.9999999999999995E-7</v>
      </c>
      <c r="AY222"/>
      <c r="AZ222"/>
      <c r="BA222" s="44">
        <v>5.0000000000000002E-5</v>
      </c>
      <c r="BB222" s="51"/>
      <c r="BC222" s="51"/>
      <c r="BD222" s="51"/>
      <c r="BE222" s="51"/>
      <c r="BF222" s="51"/>
      <c r="BG222" s="51"/>
      <c r="BH222" s="51"/>
      <c r="BI222" s="51"/>
    </row>
    <row r="223" spans="1:61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/>
      <c r="N223" s="44">
        <f xml:space="preserve"> 0.001 / 10</f>
        <v>1E-4</v>
      </c>
      <c r="P223" s="44">
        <f xml:space="preserve"> 0.001 / 10</f>
        <v>1E-4</v>
      </c>
      <c r="R223" s="44">
        <f xml:space="preserve"> 0.001 / 10</f>
        <v>1E-4</v>
      </c>
      <c r="S223" s="44"/>
      <c r="T223" s="44"/>
      <c r="U223" s="44"/>
      <c r="V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/>
      <c r="AK223" s="44"/>
      <c r="AL223" s="44"/>
      <c r="AM223" s="44"/>
      <c r="AN223" s="44"/>
      <c r="AO223" s="44"/>
      <c r="AP223" s="44"/>
      <c r="AQ223" s="44"/>
      <c r="AR223"/>
      <c r="AS223" s="44"/>
      <c r="AT223" s="44"/>
      <c r="AU223" s="44"/>
      <c r="AV223" s="44"/>
      <c r="AW223"/>
      <c r="AX223" s="44"/>
      <c r="AY223"/>
      <c r="AZ223"/>
      <c r="BA223" s="44"/>
      <c r="BB223" s="51"/>
      <c r="BC223" s="51"/>
      <c r="BD223" s="51"/>
      <c r="BE223" s="51"/>
      <c r="BF223" s="51"/>
      <c r="BG223" s="51"/>
      <c r="BH223" s="51"/>
      <c r="BI223" s="51"/>
    </row>
    <row r="224" spans="1:61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/>
      <c r="N224" s="44">
        <f>0.00001 /5 /2/4 * 4 * 0.6 * 10*2</f>
        <v>1.2000000000000002E-5</v>
      </c>
      <c r="P224" s="44">
        <f>0.00001 /5 /2/4 * 4 * 0.6 * 10*2</f>
        <v>1.2000000000000002E-5</v>
      </c>
      <c r="R224" s="44">
        <f>0.00001 /5 /2/4</f>
        <v>2.5000000000000004E-7</v>
      </c>
      <c r="S224" s="44"/>
      <c r="T224" s="44"/>
      <c r="U224" s="44"/>
      <c r="V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/>
      <c r="AK224" s="44"/>
      <c r="AL224" s="44"/>
      <c r="AM224" s="44"/>
      <c r="AN224" s="44"/>
      <c r="AO224" s="44"/>
      <c r="AP224" s="44"/>
      <c r="AQ224" s="44"/>
      <c r="AR224"/>
      <c r="AS224" s="44"/>
      <c r="AT224" s="44"/>
      <c r="AU224" s="44"/>
      <c r="AV224" s="44"/>
      <c r="AW224"/>
      <c r="AX224" s="44"/>
      <c r="AY224"/>
      <c r="AZ224"/>
      <c r="BA224" s="44"/>
      <c r="BB224" s="51"/>
      <c r="BC224" s="51"/>
      <c r="BD224" s="51"/>
      <c r="BE224" s="51"/>
      <c r="BF224" s="51"/>
      <c r="BG224" s="51"/>
      <c r="BH224" s="51"/>
      <c r="BI224" s="51"/>
    </row>
    <row r="225" spans="1:76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/>
      <c r="N225" s="44">
        <f>0.0000001</f>
        <v>9.9999999999999995E-8</v>
      </c>
      <c r="P225" s="44">
        <f>0.0000001</f>
        <v>9.9999999999999995E-8</v>
      </c>
      <c r="R225" s="44">
        <f>0.0000001</f>
        <v>9.9999999999999995E-8</v>
      </c>
      <c r="S225" s="44"/>
      <c r="T225" s="44">
        <v>5.0000000000000003E-10</v>
      </c>
      <c r="U225" s="44">
        <v>5.0000000000000003E-10</v>
      </c>
      <c r="V225" s="44">
        <v>9.9999999999999995E-8</v>
      </c>
      <c r="Y225" s="44">
        <v>4.9999999999999998E-8</v>
      </c>
      <c r="Z225" s="44">
        <v>2E-8</v>
      </c>
      <c r="AA225" s="44">
        <v>1E-8</v>
      </c>
      <c r="AB225" s="44">
        <v>1.0000000000000001E-9</v>
      </c>
      <c r="AC225" s="44">
        <v>1E-8</v>
      </c>
      <c r="AD225" s="44">
        <v>1E-8</v>
      </c>
      <c r="AE225" s="44">
        <v>1E-8</v>
      </c>
      <c r="AF225" s="44">
        <v>1E-8</v>
      </c>
      <c r="AG225" s="44">
        <v>1E-8</v>
      </c>
      <c r="AH225" s="44">
        <v>1E-8</v>
      </c>
      <c r="AI225" s="44">
        <v>1E-8</v>
      </c>
      <c r="AJ225"/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 s="44">
        <v>1.0000000000000001E-9</v>
      </c>
      <c r="AP225" s="44">
        <v>1.0000000000000001E-9</v>
      </c>
      <c r="AQ225" s="44">
        <v>1.0000000000000001E-9</v>
      </c>
      <c r="AR225"/>
      <c r="AS225" s="44">
        <v>1E-8</v>
      </c>
      <c r="AT225" s="44">
        <v>1.0000000000000001E-9</v>
      </c>
      <c r="AU225" s="44">
        <v>1E-8</v>
      </c>
      <c r="AV225" s="44">
        <v>1.0000000000000001E-9</v>
      </c>
      <c r="AW225"/>
      <c r="AX225" s="44">
        <v>1.0000000000000001E-9</v>
      </c>
      <c r="AY225"/>
      <c r="AZ225"/>
      <c r="BA225" s="44">
        <v>9.9999999999999995E-8</v>
      </c>
    </row>
    <row r="226" spans="1:76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/>
      <c r="N226" s="44">
        <v>0.2</v>
      </c>
      <c r="O226" s="1" t="s">
        <v>600</v>
      </c>
      <c r="P226" s="44">
        <v>0.2</v>
      </c>
      <c r="R226" s="44">
        <v>0.2</v>
      </c>
      <c r="S226" s="44"/>
      <c r="T226" s="44">
        <v>0.2</v>
      </c>
      <c r="U226" s="44">
        <v>0.2</v>
      </c>
      <c r="V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 s="44">
        <v>0.2</v>
      </c>
      <c r="AH226" s="44">
        <v>0.2</v>
      </c>
      <c r="AI226" s="44">
        <v>0.2</v>
      </c>
      <c r="AJ226"/>
      <c r="AK226" s="44">
        <v>0.2</v>
      </c>
      <c r="AL226" s="44">
        <v>0.2</v>
      </c>
      <c r="AM226" s="44">
        <v>0.2</v>
      </c>
      <c r="AN226" s="44">
        <v>0.2</v>
      </c>
      <c r="AO226" s="44">
        <v>0.2</v>
      </c>
      <c r="AP226" s="44">
        <v>0.2</v>
      </c>
      <c r="AQ226" s="44">
        <v>0.2</v>
      </c>
      <c r="AR226"/>
      <c r="AS226" s="44">
        <v>0.2</v>
      </c>
      <c r="AT226" s="44">
        <v>0.2</v>
      </c>
      <c r="AU226" s="44">
        <v>0.2</v>
      </c>
      <c r="AV226" s="44">
        <v>0.2</v>
      </c>
      <c r="AW226"/>
      <c r="AX226" s="44">
        <v>0.2</v>
      </c>
      <c r="AY226"/>
      <c r="AZ226"/>
      <c r="BA226" s="44">
        <v>0.2</v>
      </c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</row>
    <row r="227" spans="1:76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/>
      <c r="N227" s="44" t="s">
        <v>485</v>
      </c>
      <c r="P227" s="44" t="s">
        <v>485</v>
      </c>
      <c r="R227" s="44" t="s">
        <v>485</v>
      </c>
      <c r="S227" s="44"/>
      <c r="T227" s="44" t="s">
        <v>485</v>
      </c>
      <c r="U227" s="44" t="s">
        <v>485</v>
      </c>
      <c r="V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 s="44" t="s">
        <v>485</v>
      </c>
      <c r="AH227" s="44" t="s">
        <v>485</v>
      </c>
      <c r="AI227" s="44" t="s">
        <v>485</v>
      </c>
      <c r="AJ227"/>
      <c r="AK227" s="44" t="s">
        <v>485</v>
      </c>
      <c r="AL227" s="44" t="s">
        <v>485</v>
      </c>
      <c r="AM227" s="44" t="s">
        <v>485</v>
      </c>
      <c r="AN227" s="44" t="s">
        <v>485</v>
      </c>
      <c r="AO227" s="44" t="s">
        <v>485</v>
      </c>
      <c r="AP227" s="44" t="s">
        <v>485</v>
      </c>
      <c r="AQ227" s="44" t="s">
        <v>485</v>
      </c>
      <c r="AR227"/>
      <c r="AS227" s="44" t="s">
        <v>485</v>
      </c>
      <c r="AT227" s="44" t="s">
        <v>485</v>
      </c>
      <c r="AU227" s="44" t="s">
        <v>485</v>
      </c>
      <c r="AV227" s="44" t="s">
        <v>485</v>
      </c>
      <c r="AW227"/>
      <c r="AX227" s="44" t="s">
        <v>485</v>
      </c>
      <c r="AY227"/>
      <c r="AZ227"/>
      <c r="BA227" s="44" t="s">
        <v>485</v>
      </c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</row>
    <row r="228" spans="1:76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BA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/>
      <c r="N228" s="44">
        <f t="shared" si="17"/>
        <v>0.2</v>
      </c>
      <c r="P228" s="44">
        <f t="shared" si="17"/>
        <v>0.2</v>
      </c>
      <c r="R228" s="44">
        <f t="shared" si="17"/>
        <v>0.2</v>
      </c>
      <c r="S228" s="44"/>
      <c r="T228" s="44">
        <f t="shared" si="17"/>
        <v>0.2</v>
      </c>
      <c r="U228" s="44">
        <f t="shared" si="17"/>
        <v>0.2</v>
      </c>
      <c r="V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 s="44">
        <f t="shared" si="17"/>
        <v>0.2</v>
      </c>
      <c r="AH228" s="44">
        <f t="shared" si="17"/>
        <v>0.2</v>
      </c>
      <c r="AI228" s="44">
        <f t="shared" si="17"/>
        <v>0.2</v>
      </c>
      <c r="AJ228"/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 s="44">
        <f t="shared" si="17"/>
        <v>0.2</v>
      </c>
      <c r="AP228" s="44">
        <f t="shared" si="17"/>
        <v>0.2</v>
      </c>
      <c r="AQ228" s="44">
        <f t="shared" si="17"/>
        <v>0.2</v>
      </c>
      <c r="AR228"/>
      <c r="AS228" s="44">
        <f t="shared" si="17"/>
        <v>0.2</v>
      </c>
      <c r="AT228" s="44">
        <f t="shared" si="17"/>
        <v>0.2</v>
      </c>
      <c r="AU228" s="44">
        <f t="shared" si="17"/>
        <v>0.2</v>
      </c>
      <c r="AV228" s="44">
        <f t="shared" si="17"/>
        <v>0.2</v>
      </c>
      <c r="AW228"/>
      <c r="AX228" s="44">
        <f t="shared" si="17"/>
        <v>0.2</v>
      </c>
      <c r="AY228"/>
      <c r="AZ228"/>
      <c r="BA228" s="44">
        <f t="shared" si="17"/>
        <v>0.2</v>
      </c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</row>
    <row r="229" spans="1:76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/>
      <c r="N229" s="44">
        <v>1E-3</v>
      </c>
      <c r="P229" s="44">
        <v>1E-3</v>
      </c>
      <c r="R229" s="44">
        <v>1E-3</v>
      </c>
      <c r="S229" s="44"/>
      <c r="T229" s="44">
        <v>1E-3</v>
      </c>
      <c r="U229" s="44">
        <v>1E-3</v>
      </c>
      <c r="V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 s="44">
        <v>1E-3</v>
      </c>
      <c r="AH229" s="44">
        <v>1E-3</v>
      </c>
      <c r="AI229" s="44">
        <v>1E-3</v>
      </c>
      <c r="AJ229"/>
      <c r="AK229" s="44">
        <v>1E-3</v>
      </c>
      <c r="AL229" s="44">
        <v>1E-3</v>
      </c>
      <c r="AM229" s="44">
        <v>1E-3</v>
      </c>
      <c r="AN229" s="44">
        <v>1E-3</v>
      </c>
      <c r="AO229" s="44">
        <v>1E-3</v>
      </c>
      <c r="AP229" s="44">
        <v>1E-3</v>
      </c>
      <c r="AQ229" s="44">
        <v>1E-3</v>
      </c>
      <c r="AR229"/>
      <c r="AS229" s="44">
        <v>1E-3</v>
      </c>
      <c r="AT229" s="44">
        <v>1E-3</v>
      </c>
      <c r="AU229" s="44">
        <v>1E-3</v>
      </c>
      <c r="AV229" s="44">
        <v>1E-3</v>
      </c>
      <c r="AW229"/>
      <c r="AX229" s="44">
        <v>1E-3</v>
      </c>
      <c r="AY229"/>
      <c r="AZ229"/>
      <c r="BA229" s="44">
        <v>1E-3</v>
      </c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</row>
    <row r="230" spans="1:76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/>
      <c r="N230" s="44">
        <f>0.00001 / 2 * 10 /2 / 3 / 3 / 3</f>
        <v>9.2592592592592594E-7</v>
      </c>
      <c r="P230" s="44">
        <f>0.00001 / 2 * 10 /2 / 3 / 3 / 3</f>
        <v>9.2592592592592594E-7</v>
      </c>
      <c r="R230" s="44">
        <f>0.00001 / 2</f>
        <v>5.0000000000000004E-6</v>
      </c>
      <c r="S230" s="44"/>
      <c r="T230" s="44">
        <v>1.0000000000000001E-5</v>
      </c>
      <c r="U230" s="44">
        <v>1.0000000000000001E-5</v>
      </c>
      <c r="V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 s="44">
        <v>1.0000000000000001E-5</v>
      </c>
      <c r="AH230" s="44">
        <v>1.0000000000000001E-5</v>
      </c>
      <c r="AI230" s="44">
        <v>1.0000000000000001E-5</v>
      </c>
      <c r="AJ230"/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 s="44">
        <v>1.0000000000000001E-5</v>
      </c>
      <c r="AP230" s="44">
        <v>1.0000000000000001E-5</v>
      </c>
      <c r="AQ230" s="44">
        <v>1.0000000000000001E-5</v>
      </c>
      <c r="AR230"/>
      <c r="AS230" s="44">
        <v>1.0000000000000001E-5</v>
      </c>
      <c r="AT230" s="44">
        <v>1.0000000000000001E-5</v>
      </c>
      <c r="AU230" s="44">
        <v>1.0000000000000001E-5</v>
      </c>
      <c r="AV230" s="44">
        <v>1.0000000000000001E-5</v>
      </c>
      <c r="AW230"/>
      <c r="AX230" s="44">
        <v>1.0000000000000001E-5</v>
      </c>
      <c r="AY230"/>
      <c r="AZ230"/>
      <c r="BA230" s="44">
        <v>1.0000000000000001E-5</v>
      </c>
      <c r="BB230" s="52"/>
      <c r="BC230" s="52"/>
      <c r="BD230" s="52"/>
      <c r="BE230" s="52"/>
      <c r="BF230" s="52"/>
      <c r="BG230" s="52"/>
      <c r="BH230" s="52"/>
      <c r="BI230" s="52"/>
      <c r="BJ230" s="52"/>
      <c r="BK230" s="52"/>
      <c r="BL230" s="52"/>
      <c r="BM230" s="1"/>
      <c r="BN230" s="52"/>
      <c r="BO230" s="52"/>
      <c r="BP230" s="52"/>
      <c r="BQ230" s="52"/>
      <c r="BR230" s="52"/>
      <c r="BS230" s="52"/>
      <c r="BT230" s="52"/>
      <c r="BU230" s="52"/>
      <c r="BV230" s="52"/>
      <c r="BW230" s="52"/>
      <c r="BX230" s="52"/>
    </row>
    <row r="231" spans="1:76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R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/>
      <c r="N231" s="44">
        <f>0.000000005 / 5 *10 / 2 / 3 / 2 / 2</f>
        <v>4.1666666666666668E-10</v>
      </c>
      <c r="P231" s="44">
        <f>0.000000005 / 5 *10 / 2 / 3 / 2 / 2</f>
        <v>4.1666666666666668E-10</v>
      </c>
      <c r="R231" s="44">
        <f t="shared" si="18"/>
        <v>1.0000000000000001E-9</v>
      </c>
      <c r="S231" s="44"/>
      <c r="T231" s="44"/>
      <c r="U231" s="44"/>
      <c r="V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/>
      <c r="AK231" s="44"/>
      <c r="AL231" s="44"/>
      <c r="AM231" s="44"/>
      <c r="AN231" s="44"/>
      <c r="AO231" s="44"/>
      <c r="AP231" s="44"/>
      <c r="AQ231" s="44"/>
      <c r="AR231"/>
      <c r="AS231" s="44"/>
      <c r="AT231" s="44"/>
      <c r="AU231" s="44"/>
      <c r="AV231" s="44"/>
      <c r="AW231"/>
      <c r="AX231" s="44"/>
      <c r="AY231"/>
      <c r="AZ231"/>
      <c r="BA231" s="44"/>
      <c r="BB231" s="52"/>
      <c r="BC231" s="52"/>
      <c r="BD231" s="52"/>
      <c r="BE231" s="52"/>
      <c r="BF231" s="52"/>
      <c r="BG231" s="52"/>
      <c r="BH231" s="52"/>
      <c r="BI231" s="52"/>
      <c r="BJ231" s="52"/>
      <c r="BK231" s="52"/>
      <c r="BL231" s="52"/>
      <c r="BM231" s="1"/>
      <c r="BN231" s="52"/>
      <c r="BO231" s="52"/>
      <c r="BP231" s="52"/>
      <c r="BQ231" s="52"/>
      <c r="BR231" s="52"/>
      <c r="BS231" s="52"/>
      <c r="BT231" s="52"/>
      <c r="BU231" s="52"/>
      <c r="BV231" s="52"/>
      <c r="BW231" s="52"/>
      <c r="BX231" s="52"/>
    </row>
    <row r="232" spans="1:76" x14ac:dyDescent="0.25">
      <c r="A232" s="2" t="s">
        <v>540</v>
      </c>
      <c r="B232" s="3" t="s">
        <v>473</v>
      </c>
      <c r="C232" s="3" t="s">
        <v>580</v>
      </c>
      <c r="D232" s="3" t="s">
        <v>581</v>
      </c>
      <c r="E232" s="30" t="s">
        <v>537</v>
      </c>
      <c r="F232" s="30" t="s">
        <v>536</v>
      </c>
      <c r="G232" s="44">
        <f t="shared" ref="G232:BA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/>
      <c r="N232" s="44">
        <v>0</v>
      </c>
      <c r="P232" s="44">
        <v>0</v>
      </c>
      <c r="R232" s="44">
        <v>0</v>
      </c>
      <c r="S232" s="44"/>
      <c r="T232" s="44">
        <f t="shared" si="19"/>
        <v>2.8571428571428575E-7</v>
      </c>
      <c r="U232" s="44">
        <f t="shared" si="19"/>
        <v>2.8571428571428575E-7</v>
      </c>
      <c r="V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 s="44">
        <f t="shared" si="19"/>
        <v>2.8571428571428575E-7</v>
      </c>
      <c r="AH232" s="44">
        <f t="shared" si="19"/>
        <v>2.8571428571428575E-7</v>
      </c>
      <c r="AI232" s="44">
        <f t="shared" si="19"/>
        <v>2.8571428571428575E-7</v>
      </c>
      <c r="AJ232"/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 s="44">
        <f t="shared" si="19"/>
        <v>2.8571428571428575E-7</v>
      </c>
      <c r="AP232" s="44">
        <f t="shared" si="19"/>
        <v>2.8571428571428575E-7</v>
      </c>
      <c r="AQ232" s="44">
        <f t="shared" si="19"/>
        <v>2.8571428571428575E-7</v>
      </c>
      <c r="AR232"/>
      <c r="AS232" s="44">
        <f t="shared" si="19"/>
        <v>2.8571428571428575E-7</v>
      </c>
      <c r="AT232" s="44">
        <f t="shared" si="19"/>
        <v>2.8571428571428575E-7</v>
      </c>
      <c r="AU232" s="44">
        <f t="shared" si="19"/>
        <v>2.8571428571428575E-7</v>
      </c>
      <c r="AV232" s="44">
        <f t="shared" si="19"/>
        <v>2.8571428571428575E-7</v>
      </c>
      <c r="AW232"/>
      <c r="AX232" s="44">
        <f t="shared" si="19"/>
        <v>2.8571428571428575E-7</v>
      </c>
      <c r="AY232"/>
      <c r="AZ232"/>
      <c r="BA232" s="44">
        <f t="shared" si="19"/>
        <v>2.8571428571428575E-7</v>
      </c>
      <c r="BB232" s="1"/>
      <c r="BC232" s="1"/>
      <c r="BD232" s="1"/>
      <c r="BE232" s="1"/>
      <c r="BF232" s="1"/>
      <c r="BG232" s="1"/>
      <c r="BH232" s="1"/>
      <c r="BI232" s="1"/>
    </row>
    <row r="233" spans="1:76" x14ac:dyDescent="0.25">
      <c r="A233" s="2" t="s">
        <v>541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AX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/>
      <c r="N233" s="44">
        <v>0</v>
      </c>
      <c r="P233" s="44">
        <v>0</v>
      </c>
      <c r="R233" s="44">
        <v>0</v>
      </c>
      <c r="S233" s="44"/>
      <c r="T233" s="44">
        <f t="shared" si="20"/>
        <v>2.8571428571428575E-8</v>
      </c>
      <c r="U233" s="44">
        <f t="shared" si="20"/>
        <v>2.8571428571428575E-8</v>
      </c>
      <c r="V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 s="44">
        <f t="shared" si="20"/>
        <v>2.8571428571428575E-8</v>
      </c>
      <c r="AH233" s="44">
        <f t="shared" si="20"/>
        <v>2.8571428571428575E-8</v>
      </c>
      <c r="AI233" s="44">
        <f t="shared" si="20"/>
        <v>2.8571428571428575E-8</v>
      </c>
      <c r="AJ233"/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 s="44">
        <f t="shared" si="20"/>
        <v>2.8571428571428575E-8</v>
      </c>
      <c r="AP233" s="44">
        <f t="shared" si="20"/>
        <v>2.8571428571428575E-8</v>
      </c>
      <c r="AQ233" s="44">
        <f t="shared" si="20"/>
        <v>2.8571428571428575E-8</v>
      </c>
      <c r="AR233"/>
      <c r="AS233" s="44">
        <f t="shared" si="20"/>
        <v>2.8571428571428575E-8</v>
      </c>
      <c r="AT233" s="44">
        <f t="shared" si="20"/>
        <v>2.8571428571428575E-8</v>
      </c>
      <c r="AU233" s="44">
        <f t="shared" si="20"/>
        <v>2.8571428571428575E-8</v>
      </c>
      <c r="AV233" s="44">
        <f t="shared" si="20"/>
        <v>2.8571428571428575E-8</v>
      </c>
      <c r="AW233"/>
      <c r="AX233" s="44">
        <f t="shared" si="20"/>
        <v>2.8571428571428575E-8</v>
      </c>
      <c r="AY233"/>
      <c r="AZ233"/>
      <c r="BA233" s="44">
        <f t="shared" si="19"/>
        <v>2.8571428571428575E-7</v>
      </c>
      <c r="BB233" s="1"/>
      <c r="BC233" s="1"/>
      <c r="BD233" s="1"/>
      <c r="BE233" s="1"/>
      <c r="BF233" s="1"/>
      <c r="BG233" s="1"/>
      <c r="BH233" s="1"/>
      <c r="BI233" s="1"/>
    </row>
    <row r="234" spans="1:76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/>
      <c r="N234" s="44" t="s">
        <v>86</v>
      </c>
      <c r="P234" s="44" t="s">
        <v>86</v>
      </c>
      <c r="R234" s="44" t="s">
        <v>86</v>
      </c>
      <c r="S234" s="44"/>
      <c r="T234" s="44">
        <v>-1</v>
      </c>
      <c r="U234" s="44">
        <v>-1</v>
      </c>
      <c r="V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44">
        <v>-1</v>
      </c>
      <c r="AZ234" s="44">
        <v>-1</v>
      </c>
      <c r="BA234" s="44">
        <v>-1</v>
      </c>
      <c r="BB234" s="1"/>
      <c r="BC234" s="1"/>
      <c r="BD234" s="1"/>
      <c r="BE234" s="1"/>
      <c r="BF234" s="1"/>
      <c r="BG234" s="1"/>
      <c r="BH234" s="1"/>
      <c r="BI234" s="1"/>
    </row>
    <row r="235" spans="1:76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/>
      <c r="N235" s="44">
        <f>0.0000000000005* (6 * 12 / 0.44) * 0.0173 / 14 / 1.4 / 10 / 2</f>
        <v>3.6108534322820035E-15</v>
      </c>
      <c r="O235" s="1" t="s">
        <v>599</v>
      </c>
      <c r="P235" s="44">
        <f>0.0000000000005* (6 * 12 / 0.44) * 0.0173 / 14 / 1.4 / 10 / 2</f>
        <v>3.6108534322820035E-15</v>
      </c>
      <c r="R235" s="44">
        <f>R129* 6 * 12 / 0.44 * 0.015 / 14 / 1.4 /2/2/2</f>
        <v>5.8702458256029672E-17</v>
      </c>
      <c r="S235" s="44"/>
      <c r="T235" s="44">
        <v>4.9999999999999999E-13</v>
      </c>
      <c r="U235" s="44">
        <v>4.9999999999999999E-13</v>
      </c>
      <c r="V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 s="44">
        <v>4.9999999999999999E-13</v>
      </c>
      <c r="AH235" s="44">
        <v>4.9999999999999999E-13</v>
      </c>
      <c r="AI235" s="44">
        <v>4.9999999999999999E-13</v>
      </c>
      <c r="AJ235"/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 s="44">
        <v>4.9999999999999999E-13</v>
      </c>
      <c r="AP235" s="44">
        <v>4.9999999999999999E-13</v>
      </c>
      <c r="AQ235" s="44">
        <v>4.9999999999999999E-13</v>
      </c>
      <c r="AR235"/>
      <c r="AS235" s="44">
        <v>4.9999999999999999E-13</v>
      </c>
      <c r="AT235" s="44">
        <v>4.9999999999999999E-13</v>
      </c>
      <c r="AU235" s="44">
        <v>4.9999999999999999E-13</v>
      </c>
      <c r="AV235" s="44">
        <v>4.9999999999999999E-13</v>
      </c>
      <c r="AW235"/>
      <c r="AX235" s="44">
        <v>4.9999999999999999E-13</v>
      </c>
      <c r="AY235"/>
      <c r="AZ235"/>
      <c r="BA235" s="44">
        <v>4.9999999999999999E-13</v>
      </c>
    </row>
    <row r="236" spans="1:76" x14ac:dyDescent="0.25">
      <c r="A236" s="21" t="s">
        <v>602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/>
      <c r="N236" s="44">
        <f>0.000001/3600/10/10</f>
        <v>2.7777777777777777E-12</v>
      </c>
      <c r="P236" s="44">
        <f>0.000001/3600/10/10</f>
        <v>2.7777777777777777E-12</v>
      </c>
      <c r="R236" s="44">
        <f>R130* 6 * 12 / 0.44 * 0.015 / 14 / 1.4 /2/2/2</f>
        <v>0.15653988868274582</v>
      </c>
      <c r="S236" s="44"/>
      <c r="T236" s="44">
        <v>4.9999999999999999E-13</v>
      </c>
      <c r="U236" s="44">
        <v>4.9999999999999999E-13</v>
      </c>
      <c r="V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 s="44">
        <v>4.9999999999999999E-13</v>
      </c>
      <c r="AH236" s="44">
        <v>4.9999999999999999E-13</v>
      </c>
      <c r="AI236" s="44">
        <v>4.9999999999999999E-13</v>
      </c>
      <c r="AJ236"/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 s="44">
        <v>4.9999999999999999E-13</v>
      </c>
      <c r="AP236" s="44">
        <v>4.9999999999999999E-13</v>
      </c>
      <c r="AQ236" s="44">
        <v>4.9999999999999999E-13</v>
      </c>
      <c r="AR236"/>
      <c r="AS236" s="44">
        <v>4.9999999999999999E-13</v>
      </c>
      <c r="AT236" s="44">
        <v>4.9999999999999999E-13</v>
      </c>
      <c r="AU236" s="44">
        <v>4.9999999999999999E-13</v>
      </c>
      <c r="AV236" s="44">
        <v>4.9999999999999999E-13</v>
      </c>
      <c r="AW236"/>
      <c r="AX236" s="44">
        <v>4.9999999999999999E-13</v>
      </c>
      <c r="AY236"/>
      <c r="AZ236"/>
      <c r="BA236" s="44">
        <v>4.9999999999999999E-13</v>
      </c>
    </row>
  </sheetData>
  <phoneticPr fontId="19" type="noConversion"/>
  <conditionalFormatting sqref="G225">
    <cfRule type="colorScale" priority="5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N127">
    <cfRule type="colorScale" priority="5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N135">
    <cfRule type="colorScale" priority="5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N207">
    <cfRule type="colorScale" priority="5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N208">
    <cfRule type="colorScale" priority="5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N215">
    <cfRule type="colorScale" priority="5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N217">
    <cfRule type="colorScale" priority="5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N219">
    <cfRule type="colorScale" priority="5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N221">
    <cfRule type="colorScale" priority="5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N222">
    <cfRule type="colorScale" priority="5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N223">
    <cfRule type="colorScale" priority="5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N224">
    <cfRule type="colorScale" priority="5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N230">
    <cfRule type="colorScale" priority="5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N231">
    <cfRule type="colorScale" priority="5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N234">
    <cfRule type="colorScale" priority="5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:P24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3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4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5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6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7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8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9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0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2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5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7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8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9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0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1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2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3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4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7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8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9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0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1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2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3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5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6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7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8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9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0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1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2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3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6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8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9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0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1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2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3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6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7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8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9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0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1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2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4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6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7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9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1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4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5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6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7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9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0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1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3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6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7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8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9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1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2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3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4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5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6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8:P129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1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4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6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7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8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9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0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1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2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3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4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5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6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7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8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9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0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1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2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3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4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5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6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7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8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9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0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1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2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3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4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5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6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7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8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9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0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1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2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3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4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5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6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7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8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9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0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1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2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3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4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5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6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7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8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9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0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1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2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3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4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5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6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7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8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9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0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1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2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3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4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5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6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7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3:P214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5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6:P217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8:P219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0:P221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2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3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4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5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6:P229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0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1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2:P233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4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5:P2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S4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:S24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S127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S135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S207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S208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S214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S215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6:S217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S219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S221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2:S222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3:S223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4:S224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S229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0:S230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1:S231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2:S233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4:S234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5:V225 BA225 I225:N225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09">
    <cfRule type="colorScale" priority="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0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1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12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"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">
    <cfRule type="colorScale" priority="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AB2 BA2 G2 R2:V2 I2:N2">
    <cfRule type="colorScale" priority="3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:AB4 BA3:BA4 G3:G4 T3:V4 I3:N4">
    <cfRule type="colorScale" priority="3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:AB5 BA5 G5 R5:V5 I5:N5">
    <cfRule type="colorScale" priority="3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:AB6 BA6 G6 R6:V6 I6:N6">
    <cfRule type="colorScale" priority="3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:AB7 BA7 G7 R7:V7 I7:N7">
    <cfRule type="colorScale" priority="3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:AB8 BA8 G8 R8:V8 I8:N8">
    <cfRule type="colorScale" priority="3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:AB9 BA9 G9 R9:V9 I9:N9">
    <cfRule type="colorScale" priority="3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:AB10 BA10 G10 R10:V10 I10:N10">
    <cfRule type="colorScale" priority="3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:AB11 BA11 G11 R11:V11 I11:N11">
    <cfRule type="colorScale" priority="3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:AB12 BA12 G12 R12:V12 I12:N12">
    <cfRule type="colorScale" priority="3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:AB13 BA13 G13 R13:V13 I13:N13">
    <cfRule type="colorScale" priority="3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:AB14 BA14 G14 R14:V14 I14:N14">
    <cfRule type="colorScale" priority="3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:AB15 BA15 G15 R15:V15 I15:N15">
    <cfRule type="colorScale" priority="3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:AB16 BA16 G16 R16:V16 I16:N16">
    <cfRule type="colorScale" priority="3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:AB17 BA17 G17 R17:V17 I17:N17">
    <cfRule type="colorScale" priority="3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:AB18 BA18 G18 R18:V18 I18:N18">
    <cfRule type="colorScale" priority="3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:AB19 BA19 G19 R19:V19 I19:N19">
    <cfRule type="colorScale" priority="3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:AB20 BA20 G20 R20:V20 I20:N20">
    <cfRule type="colorScale" priority="3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:AB21 BA21 G21 R21:V21 I21:N21">
    <cfRule type="colorScale" priority="3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:AB22 BA22 G22 R22:V22 I22:N22">
    <cfRule type="colorScale" priority="3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5:AB25 BA25 G25 R25:V25 I25:N25">
    <cfRule type="colorScale" priority="3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6:AB26 BA26 G26 R26:V26 I26:N26">
    <cfRule type="colorScale" priority="3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7:AB27 BA27 G27 R27:V27 I27:N27">
    <cfRule type="colorScale" priority="3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8:AB28 BA28 G28 R28:V28 I28:N28">
    <cfRule type="colorScale" priority="3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9:AB29 BA29 G29 R29:V29 I29:N29">
    <cfRule type="colorScale" priority="3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0:AB30 BA30 G30 R30:V30 I30:N30">
    <cfRule type="colorScale" priority="3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1:AB31 BA31 G31 R31:V31 I31:N31">
    <cfRule type="colorScale" priority="3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2:AB32 BA32 G32 R32:V32 I32:N32">
    <cfRule type="colorScale" priority="3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3:AB33 BA33 G33 R33:V33 I33:N33">
    <cfRule type="colorScale" priority="3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4:AB34 BA34 G34 R34:V34 I34:N34">
    <cfRule type="colorScale" priority="3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5:AB35 BA35 G35 R35:V35 I35:N35">
    <cfRule type="colorScale" priority="3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6:AB36 BA36 G36 R36:V36 I36:N36">
    <cfRule type="colorScale" priority="3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7:AB37 BA37 G37 R37:V37 I37:N37">
    <cfRule type="colorScale" priority="3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8:AB38 BA38 G38 R38:V38 I38:N38">
    <cfRule type="colorScale" priority="3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39:AB39 BA39 G39 R39:V39 I39:N39">
    <cfRule type="colorScale" priority="3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0:AB40 BA40 G40 R40:V40 I40:N40">
    <cfRule type="colorScale" priority="3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1:AB41 BA41 G41 R41:V41 I41:N41">
    <cfRule type="colorScale" priority="3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2:AB42 BA42 G42 R42:V42 I42:N42">
    <cfRule type="colorScale" priority="3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3:AB43 BA43 G43 R43:V43 I43:N43">
    <cfRule type="colorScale" priority="3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4:AB44 BA44 G44 R44:V44 I44:N44">
    <cfRule type="colorScale" priority="3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5:AB45 BA45 G45 R45:V45 I45:N45">
    <cfRule type="colorScale" priority="3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6:AB46 BA46 G46 R46:V46 I46:N46">
    <cfRule type="colorScale" priority="3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7:AB47 BA47 G47 R47:V47 I47:N47">
    <cfRule type="colorScale" priority="3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8:AB48 BA48 G48 R48:V48 I48:N48">
    <cfRule type="colorScale" priority="3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9:AB49 BA49 G49 R49:V49 I49:N49">
    <cfRule type="colorScale" priority="3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0:AB50 BA50 G50 R50:V50 I50:N50">
    <cfRule type="colorScale" priority="3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1:AB51 BA51 G51 R51:V51 I51:N51">
    <cfRule type="colorScale" priority="3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2:AB52 BA52 G52 R52:V52 I52:N52">
    <cfRule type="colorScale" priority="3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3:AB53 BA53 G53 R53:V53 I53:N53">
    <cfRule type="colorScale" priority="3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4:AB54 BA54 G54 R54:V54 I54:N54">
    <cfRule type="colorScale" priority="3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5:AB55 BA55 G55 R55:V55 I55:N55">
    <cfRule type="colorScale" priority="3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6:AB56 BA56 G56 R56:V56 I56:N56">
    <cfRule type="colorScale" priority="3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7:AB57 BA57 G57 R57:V57 I57:N57">
    <cfRule type="colorScale" priority="3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8:AB58 BA58 G58 R58:V58 I58:N58">
    <cfRule type="colorScale" priority="3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59:AB59 BA59 G59 R59:V59 I59:N59">
    <cfRule type="colorScale" priority="3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0:AB60 BA60 G60 R60:V60 I60:N60">
    <cfRule type="colorScale" priority="3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1:AB61 BA61 G61 R61:V61 I61:N61">
    <cfRule type="colorScale" priority="3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2:AB62 BA62 G62 R62:V62 I62:N62">
    <cfRule type="colorScale" priority="3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3:AB63 BA63 G63 R63:V63 I63:N63">
    <cfRule type="colorScale" priority="3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4:AB64 BA64 G64 R64:V64 I64:N64">
    <cfRule type="colorScale" priority="3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5:AB65 BA65 G65 R65:V65 I65:N65">
    <cfRule type="colorScale" priority="3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6:AB66 BA66 G66 R66:V66 I66:N66">
    <cfRule type="colorScale" priority="3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7:AB67 BA67 G67 R67:V67 I67:N67">
    <cfRule type="colorScale" priority="3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8:AB68 BA68 G68 R68:V68 I68:N68">
    <cfRule type="colorScale" priority="3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69:AB69 BA69 G69 R69:V69 I69:N69">
    <cfRule type="colorScale" priority="3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0:AB70 BA70 G70 R70:V70 I70:N70">
    <cfRule type="colorScale" priority="3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1:AB71 BA71 G71 R71:V71 I71:N71">
    <cfRule type="colorScale" priority="3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2:AB72 BA72 G72 R72:V72 I72:N72">
    <cfRule type="colorScale" priority="3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3:AB73 BA73 G73 R73:V73 I73:N73">
    <cfRule type="colorScale" priority="3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4:AB74 BA74 G74 R74:V74 I74:N74">
    <cfRule type="colorScale" priority="3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5:AB75 BA75 G75 R75:V75 I75:N75">
    <cfRule type="colorScale" priority="3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6:AB76 BA76 G76 R76:V76 I76:N76">
    <cfRule type="colorScale" priority="3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7:AB77 BA77 G77 R77:V77 I77:N77">
    <cfRule type="colorScale" priority="3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8:AB78 BA78 G78 R78:V78 I78:N78">
    <cfRule type="colorScale" priority="3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79:AB79 BA79 G79 R79:V79 I79:N79">
    <cfRule type="colorScale" priority="3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0:AB80 BA80 G80 R80:V80 I80:N80">
    <cfRule type="colorScale" priority="3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1:AB81 BA81 G81 R81:V81 I81:N81">
    <cfRule type="colorScale" priority="3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2:AB82 BA82 G82 R82:V82 I82:N82">
    <cfRule type="colorScale" priority="3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3:AB83 BA83 G83 R83:V83 I83:N83">
    <cfRule type="colorScale" priority="3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4:AB84 BA84 G84 R84:V84 I84:N84">
    <cfRule type="colorScale" priority="3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5:AB85 BA85 G85 R85:V85 I85:N85">
    <cfRule type="colorScale" priority="3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6:AB86 BA86 G86 R86:V86 I86:N86">
    <cfRule type="colorScale" priority="3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7:AB87 BA87 G87 R87:V87 I87:N87">
    <cfRule type="colorScale" priority="3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8:AB88 BA88 G88 R88:V88 I88:N88">
    <cfRule type="colorScale" priority="3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89:AB89 BA89 G89 R89:V89 I89:N89">
    <cfRule type="colorScale" priority="3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0:AB90 BA90 G90 R90:V90 I90:N90">
    <cfRule type="colorScale" priority="3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1:AB91 BA91 G91 R91:V91 I91:N91">
    <cfRule type="colorScale" priority="3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2:AB92 BA92 G92 R92:V92 I92:N92">
    <cfRule type="colorScale" priority="3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3:AB93 BA93 G93 R93:V93 I93:N93">
    <cfRule type="colorScale" priority="35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4:AB94 BA94 G94 R94:V94 I94:N94">
    <cfRule type="colorScale" priority="3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5:AB95 BA95 G95 R95:V95 I95:N95">
    <cfRule type="colorScale" priority="35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6:AB96 BA96 G96 R96:V96 I96:N96">
    <cfRule type="colorScale" priority="3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7:AB97 BA97 G97 R97:V97 I97:N97">
    <cfRule type="colorScale" priority="3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8:AB98 BA98 G98 R98:V98 I98:N98">
    <cfRule type="colorScale" priority="3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99:AB99 BA99 G99 R99:V99 I99:N99">
    <cfRule type="colorScale" priority="3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0:AB100 BA100 G100 R100:V100 I100:N100">
    <cfRule type="colorScale" priority="3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1:AB101 BA101 G101 R101:V101 I101:N101">
    <cfRule type="colorScale" priority="3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2:AB102 BA102 G102 R102:V102 I102:N102">
    <cfRule type="colorScale" priority="3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3:AB103 BA103 G103 R103:V103 I103:N103">
    <cfRule type="colorScale" priority="3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4:AB104 BA104 G104 R104:V104 I104:N104">
    <cfRule type="colorScale" priority="3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5:AB105 BA105 G105 R105:V105 I105:N105">
    <cfRule type="colorScale" priority="3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6:AB106 BA106 G106 R106:V106 I106:N106">
    <cfRule type="colorScale" priority="3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7:AB107 BA107 G107 R107:V107 I107:N107">
    <cfRule type="colorScale" priority="3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8:AB108 BA108 G108 R108:V108 I108:N108">
    <cfRule type="colorScale" priority="3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09:AB109 BA109 G109 R109:V109 I109:N109">
    <cfRule type="colorScale" priority="3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0:AB110 BA110 G110 R110:V110 I110:N110">
    <cfRule type="colorScale" priority="3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1:AB111 BA111 G111 R111:V111 I111:N111">
    <cfRule type="colorScale" priority="3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2:AB112 BA112 G112 R112:V112 I112:N112">
    <cfRule type="colorScale" priority="3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3:AB113 BA113 G113 R113:V113 I113:N113">
    <cfRule type="colorScale" priority="3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4:AB114 BA114 G114 R114:V114 I114:N114">
    <cfRule type="colorScale" priority="3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5:AB115 BA115 G115 R115:V115 I115:N115">
    <cfRule type="colorScale" priority="3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6:AB116 BA116 G116 R116:V116 I116:N116">
    <cfRule type="colorScale" priority="3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7:AB117 BA117 G117 R117:V117 I117:N117">
    <cfRule type="colorScale" priority="3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8:AB118 BA118 G118 R118:V118 I118:N118">
    <cfRule type="colorScale" priority="3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19:AB119 BA119 G119 R119:V119 I119:N119">
    <cfRule type="colorScale" priority="3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0:AB120 BA120 G120 R120:V120 I120:N120">
    <cfRule type="colorScale" priority="3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1:AB121 BA121 G121 R121:V121 I121:N121">
    <cfRule type="colorScale" priority="3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2:AB122 BA122 G122 R122:V122 I122:N122">
    <cfRule type="colorScale" priority="3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3:AB123 BA123 G123 R123:V123 I123:N123">
    <cfRule type="colorScale" priority="3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4:AB124 BA124 G124 R124:V124 I124:N124">
    <cfRule type="colorScale" priority="3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5:AB125 BA125 G125 R125:V125 I125:N125">
    <cfRule type="colorScale" priority="3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6:AB126 BA126 G126 R126:V126 I126:N126">
    <cfRule type="colorScale" priority="3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7:AB127 BA127 G127 T127:V127">
    <cfRule type="colorScale" priority="3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28:AB129 BA128:BA129 G128:G129 R128:V129 I128:N129">
    <cfRule type="colorScale" priority="3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0:AB130 BA130 G130 R130:V130 I130:N130">
    <cfRule type="colorScale" priority="3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1:AB131 BA131 G131 R131:V131 I131:N131">
    <cfRule type="colorScale" priority="3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2:AB132 BA132 G132 R132:V132 I132:N132">
    <cfRule type="colorScale" priority="3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3:AB133 BA133 G133 R133:V133 I133:N133">
    <cfRule type="colorScale" priority="3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4:AB134 BA134 G134 R134:V134 I134:N134">
    <cfRule type="colorScale" priority="3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5:AB135 BA135 G135 T135:V135">
    <cfRule type="colorScale" priority="3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6:AB136 BA136 G136 R136:V136 I136:N136">
    <cfRule type="colorScale" priority="3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7:AB137 BA137 G137 R137:V137 I137:N137">
    <cfRule type="colorScale" priority="3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8:AB138 BA138 G138 R138:V138 I138:N138">
    <cfRule type="colorScale" priority="3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39:AB139 BA139 G139 R139:V139 I139:N139">
    <cfRule type="colorScale" priority="3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0:AB140 BA140 G140 R140:V140 I140:N140">
    <cfRule type="colorScale" priority="3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1:AB141 BA141 G141 R141:V141 I141:N141">
    <cfRule type="colorScale" priority="3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2:AB142 BA142 G142 R142:V142 I142:N142">
    <cfRule type="colorScale" priority="3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3:AB143 BA143 G143 R143:V143 I143:N143">
    <cfRule type="colorScale" priority="3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4:AB144 BA144 G144 R144:V144 I144:N144">
    <cfRule type="colorScale" priority="3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5:AB145 BA145 G145 R145:V145 I145:N145">
    <cfRule type="colorScale" priority="3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6:AB146 BA146 G146 R146:V146 I146:N146">
    <cfRule type="colorScale" priority="3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7:AB147 BA147 G147 R147:V147 I147:N147">
    <cfRule type="colorScale" priority="3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8:AB148 BA148 G148 R148:V148 I148:N148">
    <cfRule type="colorScale" priority="3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49:AB149 BA149 G149 R149:V149 I149:N149">
    <cfRule type="colorScale" priority="3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0:AB150 BA150 G150 R150:V150 I150:N150">
    <cfRule type="colorScale" priority="3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1:AB151 BA151 G151 R151:V151 I151:N151">
    <cfRule type="colorScale" priority="3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2:AB152 BA152 G152 R152:V152 I152:N152">
    <cfRule type="colorScale" priority="3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3:AB153 BA153 G153 R153:V153 I153:N153">
    <cfRule type="colorScale" priority="3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4:AB154 BA154 G154 R154:V154 I154:N154">
    <cfRule type="colorScale" priority="3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5:AB155 BA155 G155 R155:V155 I155:N155">
    <cfRule type="colorScale" priority="3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6:AB156 BA156 G156 R156:V156 I156:N156">
    <cfRule type="colorScale" priority="3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7:AB157 BA157 G157 R157:V157 I157:N157">
    <cfRule type="colorScale" priority="3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8:AB158 BA158 G158 R158:V158 I158:N158">
    <cfRule type="colorScale" priority="36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59:AB159 BA159 G159 R159:V159 I159:N159">
    <cfRule type="colorScale" priority="3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0:AB160 BA160 G160 R160:V160 I160:N160">
    <cfRule type="colorScale" priority="3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1:AB161 BA161 G161 R161:V161 I161:N161">
    <cfRule type="colorScale" priority="3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2:AB162 BA162 G162 R162:V162 I162:N162">
    <cfRule type="colorScale" priority="3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3:AB163 BA163 G163 R163:V163 I163:N163">
    <cfRule type="colorScale" priority="3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4:AB164 BA164 G164 R164:V164 I164:N164">
    <cfRule type="colorScale" priority="3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5:AB165 BA165 G165 R165:V165 I165:N165">
    <cfRule type="colorScale" priority="36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6:AB166 BA166 G166 R166:V166 I166:N166">
    <cfRule type="colorScale" priority="3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7:AB167 BA167 G167 R167:V167 I167:N167">
    <cfRule type="colorScale" priority="3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8:AB168 BA168 G168 R168:V168 I168:N168">
    <cfRule type="colorScale" priority="3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69:AB169 BA169 G169 R169:V169 I169:N169">
    <cfRule type="colorScale" priority="3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0:AB170 BA170 G170 R170:V170 I170:N170">
    <cfRule type="colorScale" priority="3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1:AB171 BA171 G171 R171:V171 I171:N171">
    <cfRule type="colorScale" priority="3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2:AB172 BA172 G172 R172:V172 I172:N172">
    <cfRule type="colorScale" priority="3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3:AB173 BA173 G173 R173:V173 I173:N173">
    <cfRule type="colorScale" priority="3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4:AB174 BA174 G174 R174:V174 I174:N174">
    <cfRule type="colorScale" priority="3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5:AB175 BA175 G175 R175:V175 I175:N175">
    <cfRule type="colorScale" priority="3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6:AB176 BA176 G176 R176:V176 I176:N176">
    <cfRule type="colorScale" priority="3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7:AB177 BA177 G177 R177:V177 I177:N177">
    <cfRule type="colorScale" priority="3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8:AB178 BA178 G178 R178:V178 I178:N178">
    <cfRule type="colorScale" priority="3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79:AB179 BA179 G179 R179:V179 I179:N179">
    <cfRule type="colorScale" priority="3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0:AB180 BA180 G180 R180:V180 I180:N180">
    <cfRule type="colorScale" priority="3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1:AB181 BA181 G181 R181:V181 I181:N181">
    <cfRule type="colorScale" priority="3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2:AB182 BA182 G182 R182:V182 I182:N182">
    <cfRule type="colorScale" priority="3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3:AB183 BA183 G183 R183:V183 I183:N183">
    <cfRule type="colorScale" priority="3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4:AB184 BA184 G184 R184:V184 I184:N184">
    <cfRule type="colorScale" priority="3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5:AB185 BA185 G185 R185:V185 I185:N185">
    <cfRule type="colorScale" priority="3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6:AB186 BA186 G186 R186:V186 I186:N186">
    <cfRule type="colorScale" priority="3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7:AB187 BA187 G187 R187:V187 I187:N187">
    <cfRule type="colorScale" priority="3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8:AB188 BA188 G188 R188:V188 I188:N188">
    <cfRule type="colorScale" priority="37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89:AB189 BA189 G189 R189:V189 I189:N189">
    <cfRule type="colorScale" priority="3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0:AB190 BA190 G190 R190:V190 I190:N190">
    <cfRule type="colorScale" priority="3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1:AB191 BA191 G191 R191:V191 I191:N191">
    <cfRule type="colorScale" priority="3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2:AB192 BA192 G192 R192:V192 I192:N192"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3:AB193 BA193 G193 R193:V193 I193:N193">
    <cfRule type="colorScale" priority="3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4:AB194 BA194 G194 R194:V194 I194:N194"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5:AB195 BA195 G195 R195:V195 I195:N195">
    <cfRule type="colorScale" priority="3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6:AB196 BA196 G196 R196:V196 I196:N196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7:AB197 BA197 G197 R197:V197 I197:N197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8:AB198 BA198 G198 R198:V198 I198:N198"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99:AB199 BA199 G199 R199:V199 I199:N199"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0:AB200 BA200 G200 R200:V200 I200:N200"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1:AB201 BA201 G201 R201:V201 I201:N201"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2:AB202 BA202 G202 R202:V202 I202:N202"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3:AB203 BA203 G203 R203:V203 I203:N203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4:AB204 BA204 G204 R204:V204 I204:N204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5:AB205 BA205 G205 R205:V205 I205:N205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6:AB206 BA206 G206 R206:V206 I206:N206"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7:AB207 BA207 G207 T207:V207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8:AB208 BA208 G208 T208:V208"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09:AB209 BA209 G209 R209:T209 I209:N209"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0:AB210 BA210 G210 R210:T210 I210:N210"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1:AB211 BA211 G211 R211:T211 I211:N211"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2:AB212 BA212 G212 R212:T212 I212:N212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3:AB213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4:AB214 BA214 G214 T214:V214">
    <cfRule type="colorScale" priority="37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5:AB215 BA215 G215 T215:V215"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16:AB219 BA216:BA219 G216:G219 T216:V219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0:AB221 BA220:BA221 G220:G221 T220:V221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2:AB224 BA222:BA224 G222:G223 T222:V224"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5:AB225"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35:AB236 BA235:BA236 G235:G236 R235:V236 I235:N236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2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2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:AI2">
    <cfRule type="colorScale" priority="1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:AI4">
    <cfRule type="colorScale" priority="1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:AI5">
    <cfRule type="colorScale" priority="1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:AI6">
    <cfRule type="colorScale" priority="1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:AI7">
    <cfRule type="colorScale" priority="1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:AI8">
    <cfRule type="colorScale" priority="1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:AI9">
    <cfRule type="colorScale" priority="1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:AI10">
    <cfRule type="colorScale" priority="1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:AI11">
    <cfRule type="colorScale" priority="1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:AI12">
    <cfRule type="colorScale" priority="1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:AI13">
    <cfRule type="colorScale" priority="1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:AI14">
    <cfRule type="colorScale" priority="1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:AI15">
    <cfRule type="colorScale" priority="1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:AI16">
    <cfRule type="colorScale" priority="1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:AI17">
    <cfRule type="colorScale" priority="1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:AI18">
    <cfRule type="colorScale" priority="1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:AI19">
    <cfRule type="colorScale" priority="1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:AI20">
    <cfRule type="colorScale" priority="1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:AI21">
    <cfRule type="colorScale" priority="1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:AI22">
    <cfRule type="colorScale" priority="1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5:AI25">
    <cfRule type="colorScale" priority="1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6:AI26">
    <cfRule type="colorScale" priority="1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7:AI27">
    <cfRule type="colorScale" priority="1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8:AI28">
    <cfRule type="colorScale" priority="1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9:AI29">
    <cfRule type="colorScale" priority="1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0:AI30">
    <cfRule type="colorScale" priority="1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1:AI31">
    <cfRule type="colorScale" priority="1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2:AI32">
    <cfRule type="colorScale" priority="1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3:AI33">
    <cfRule type="colorScale" priority="1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4:AI34">
    <cfRule type="colorScale" priority="1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5:AI35">
    <cfRule type="colorScale" priority="1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6:AI36">
    <cfRule type="colorScale" priority="1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7:AI37">
    <cfRule type="colorScale" priority="1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8:AI38">
    <cfRule type="colorScale" priority="1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39:AI39">
    <cfRule type="colorScale" priority="1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0:AI40">
    <cfRule type="colorScale" priority="1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1:AI41">
    <cfRule type="colorScale" priority="1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2:AI42">
    <cfRule type="colorScale" priority="1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3:AI43">
    <cfRule type="colorScale" priority="1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4:AI44">
    <cfRule type="colorScale" priority="1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5:AI45">
    <cfRule type="colorScale" priority="1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6:AI46">
    <cfRule type="colorScale" priority="1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7:AI47">
    <cfRule type="colorScale" priority="1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8:AI48">
    <cfRule type="colorScale" priority="1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49:AI49">
    <cfRule type="colorScale" priority="1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0:AI50">
    <cfRule type="colorScale" priority="1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1:AI51">
    <cfRule type="colorScale" priority="1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2:AI52">
    <cfRule type="colorScale" priority="1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3:AI53">
    <cfRule type="colorScale" priority="1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4:AI54">
    <cfRule type="colorScale" priority="1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5:AI55">
    <cfRule type="colorScale" priority="1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6:AI56">
    <cfRule type="colorScale" priority="1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7:AI57">
    <cfRule type="colorScale" priority="1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8:AI58">
    <cfRule type="colorScale" priority="16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59:AI59">
    <cfRule type="colorScale" priority="1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0:AI60">
    <cfRule type="colorScale" priority="1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1:AI61">
    <cfRule type="colorScale" priority="1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2:AI62">
    <cfRule type="colorScale" priority="1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3:AI63">
    <cfRule type="colorScale" priority="1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4:AI64">
    <cfRule type="colorScale" priority="1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5:AI65">
    <cfRule type="colorScale" priority="1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6:AI66">
    <cfRule type="colorScale" priority="1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7:AI67">
    <cfRule type="colorScale" priority="1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8:AI68">
    <cfRule type="colorScale" priority="1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69:AI69">
    <cfRule type="colorScale" priority="1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0:AI70">
    <cfRule type="colorScale" priority="1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1:AI71">
    <cfRule type="colorScale" priority="1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2:AI72">
    <cfRule type="colorScale" priority="1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3:AI73">
    <cfRule type="colorScale" priority="1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4:AI74">
    <cfRule type="colorScale" priority="1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5:AI75">
    <cfRule type="colorScale" priority="1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6:AI76">
    <cfRule type="colorScale" priority="1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7:AI77">
    <cfRule type="colorScale" priority="1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8:AI78">
    <cfRule type="colorScale" priority="1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79:AI79">
    <cfRule type="colorScale" priority="1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0:AI80">
    <cfRule type="colorScale" priority="1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1:AI81">
    <cfRule type="colorScale" priority="1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2:AI82">
    <cfRule type="colorScale" priority="1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3:AI83">
    <cfRule type="colorScale" priority="17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4:AI84">
    <cfRule type="colorScale" priority="1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5:AI85">
    <cfRule type="colorScale" priority="1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6:AI86">
    <cfRule type="colorScale" priority="1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7:AI87">
    <cfRule type="colorScale" priority="1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8:AI88">
    <cfRule type="colorScale" priority="1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89:AI89">
    <cfRule type="colorScale" priority="1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0:AI90">
    <cfRule type="colorScale" priority="1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1:AI91">
    <cfRule type="colorScale" priority="1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2:AI92">
    <cfRule type="colorScale" priority="1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3:AI93">
    <cfRule type="colorScale" priority="1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4:AI94">
    <cfRule type="colorScale" priority="1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5:AI95">
    <cfRule type="colorScale" priority="1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6:AI96">
    <cfRule type="colorScale" priority="1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7:AI97">
    <cfRule type="colorScale" priority="1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8:AI98">
    <cfRule type="colorScale" priority="1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99:AI99">
    <cfRule type="colorScale" priority="1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0:AI100">
    <cfRule type="colorScale" priority="1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1:AI101">
    <cfRule type="colorScale" priority="1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2:AI102">
    <cfRule type="colorScale" priority="1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3:AI103">
    <cfRule type="colorScale" priority="17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4:AI104">
    <cfRule type="colorScale" priority="1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5:AI105">
    <cfRule type="colorScale" priority="17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6:AI106">
    <cfRule type="colorScale" priority="1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7:AI107">
    <cfRule type="colorScale" priority="1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8:AI108">
    <cfRule type="colorScale" priority="1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09:AI109">
    <cfRule type="colorScale" priority="1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0:AI110">
    <cfRule type="colorScale" priority="1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1:AI111">
    <cfRule type="colorScale" priority="17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2:AI112">
    <cfRule type="colorScale" priority="1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3:AI113">
    <cfRule type="colorScale" priority="1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4:AI114">
    <cfRule type="colorScale" priority="1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5:AI115">
    <cfRule type="colorScale" priority="1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6:AI116">
    <cfRule type="colorScale" priority="1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7:AI117">
    <cfRule type="colorScale" priority="1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8:AI118">
    <cfRule type="colorScale" priority="1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19:AI119">
    <cfRule type="colorScale" priority="1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0:AI120">
    <cfRule type="colorScale" priority="1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1:AI121">
    <cfRule type="colorScale" priority="1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2:AI122">
    <cfRule type="colorScale" priority="1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3:AI123">
    <cfRule type="colorScale" priority="1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4:AI124">
    <cfRule type="colorScale" priority="1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5:AI125">
    <cfRule type="colorScale" priority="1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6:AI126">
    <cfRule type="colorScale" priority="1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7:AI127">
    <cfRule type="colorScale" priority="1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8:AI128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29:AI129">
    <cfRule type="colorScale" priority="1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0:AI130">
    <cfRule type="colorScale" priority="1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1:AI131">
    <cfRule type="colorScale" priority="1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2:AI132">
    <cfRule type="colorScale" priority="18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3:AI133">
    <cfRule type="colorScale" priority="1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4:AI134">
    <cfRule type="colorScale" priority="1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5:AI135">
    <cfRule type="colorScale" priority="1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6:AI136">
    <cfRule type="colorScale" priority="1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7:AI137">
    <cfRule type="colorScale" priority="1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8:AI138">
    <cfRule type="colorScale" priority="1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39:AI139">
    <cfRule type="colorScale" priority="1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0:AI140">
    <cfRule type="colorScale" priority="1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1:AI141">
    <cfRule type="colorScale" priority="1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2:AI142">
    <cfRule type="colorScale" priority="1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3:AI143">
    <cfRule type="colorScale" priority="1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4:AI144">
    <cfRule type="colorScale" priority="18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5:AI145">
    <cfRule type="colorScale" priority="1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6:AI146">
    <cfRule type="colorScale" priority="1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7:AI147">
    <cfRule type="colorScale" priority="1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8:AI148">
    <cfRule type="colorScale" priority="1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49:AI149">
    <cfRule type="colorScale" priority="1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0:AI150">
    <cfRule type="colorScale" priority="1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1:AI151">
    <cfRule type="colorScale" priority="1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2:AI152">
    <cfRule type="colorScale" priority="1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3:AI153">
    <cfRule type="colorScale" priority="1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4:AI154">
    <cfRule type="colorScale" priority="1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5:AI155">
    <cfRule type="colorScale" priority="1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6:AI156">
    <cfRule type="colorScale" priority="1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7:AI157">
    <cfRule type="colorScale" priority="1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8:AI158">
    <cfRule type="colorScale" priority="1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59:AI159">
    <cfRule type="colorScale" priority="1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0:AI160">
    <cfRule type="colorScale" priority="1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1:AI161">
    <cfRule type="colorScale" priority="1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2:AI162">
    <cfRule type="colorScale" priority="1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3:AI163">
    <cfRule type="colorScale" priority="1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4:AI164">
    <cfRule type="colorScale" priority="1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5:AI165">
    <cfRule type="colorScale" priority="1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6:AI166">
    <cfRule type="colorScale" priority="1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7:AI167">
    <cfRule type="colorScale" priority="1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8:AI168">
    <cfRule type="colorScale" priority="1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69:AI169">
    <cfRule type="colorScale" priority="1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0:AI170">
    <cfRule type="colorScale" priority="1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1:AI171">
    <cfRule type="colorScale" priority="1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2:AI172">
    <cfRule type="colorScale" priority="1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3:AI173">
    <cfRule type="colorScale" priority="1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4:AI174">
    <cfRule type="colorScale" priority="1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5:AI175">
    <cfRule type="colorScale" priority="1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6:AI176">
    <cfRule type="colorScale" priority="1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7:AI177">
    <cfRule type="colorScale" priority="1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8:AI178">
    <cfRule type="colorScale" priority="1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79:AI179">
    <cfRule type="colorScale" priority="1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0:AI180">
    <cfRule type="colorScale" priority="1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1:AI181">
    <cfRule type="colorScale" priority="1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2:AI182">
    <cfRule type="colorScale" priority="1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3:AI183">
    <cfRule type="colorScale" priority="1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4:AI184">
    <cfRule type="colorScale" priority="1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5:AI185">
    <cfRule type="colorScale" priority="1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6:AI186">
    <cfRule type="colorScale" priority="1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7:AI187">
    <cfRule type="colorScale" priority="1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8:AI188">
    <cfRule type="colorScale" priority="1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89:AI189">
    <cfRule type="colorScale" priority="1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0:AI190">
    <cfRule type="colorScale" priority="1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1:AI191">
    <cfRule type="colorScale" priority="1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2:AI192">
    <cfRule type="colorScale" priority="1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3:AI193">
    <cfRule type="colorScale" priority="1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4:AI194">
    <cfRule type="colorScale" priority="1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5:AI195">
    <cfRule type="colorScale" priority="1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6:AI196">
    <cfRule type="colorScale" priority="1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7:AI197">
    <cfRule type="colorScale" priority="1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8:AI198">
    <cfRule type="colorScale" priority="1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199:AI199">
    <cfRule type="colorScale" priority="1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0:AI200">
    <cfRule type="colorScale" priority="1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1:AI201">
    <cfRule type="colorScale" priority="1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2:AI202">
    <cfRule type="colorScale" priority="1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3:AI203">
    <cfRule type="colorScale" priority="1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4:AI204">
    <cfRule type="colorScale" priority="1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5:AI205">
    <cfRule type="colorScale" priority="1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6:AI206">
    <cfRule type="colorScale" priority="1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7:AI207">
    <cfRule type="colorScale" priority="1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8:AI208">
    <cfRule type="colorScale" priority="1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09:AI209">
    <cfRule type="colorScale" priority="1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0:AI210">
    <cfRule type="colorScale" priority="1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1:AI211">
    <cfRule type="colorScale" priority="1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2:AI212">
    <cfRule type="colorScale" priority="2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3:AI213">
    <cfRule type="colorScale" priority="2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4:AI214">
    <cfRule type="colorScale" priority="2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5:AI215">
    <cfRule type="colorScale" priority="2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16:AI219">
    <cfRule type="colorScale" priority="2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0:AI221">
    <cfRule type="colorScale" priority="2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2:AI224">
    <cfRule type="colorScale" priority="2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5:AI225">
    <cfRule type="colorScale" priority="2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5:AI236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6:AG231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2:AG233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1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:AQ2 AS2:AV2">
    <cfRule type="colorScale" priority="4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:AQ4 AS3:AV4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:AQ5 AS5:AV5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:AQ6 AS6:AV6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Q7 AS7:AV7">
    <cfRule type="colorScale" priority="4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:AQ8 AS8:AV8">
    <cfRule type="colorScale" priority="4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:AQ9 AS9:AV9"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:AQ10 AS10:AV10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:AQ11 AS11:AV11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:AQ12 AS12:AV12"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:AQ13 AS13:AV13"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:AQ14 AS14:AV14"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:AQ15 AS15:AV15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:AQ16 AS16:AV16"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:AQ17 AS17:AV17"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:AQ18 AS18:AV18"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:AQ19 AS19:AV19">
    <cfRule type="colorScale" priority="4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:AQ20 AS20:AV20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:AQ21 AS21:AV21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Q22 AS22:AV22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5:AQ25 AS25:AV25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6:AQ26 AS26:AV26">
    <cfRule type="colorScale" priority="4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7:AQ27 AS27:AV27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8:AQ28 AS28:AV28"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9:AQ29 AS29:AV29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0:AQ30 AS30:AV30">
    <cfRule type="colorScale" priority="4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Q31 AS31:AV31">
    <cfRule type="colorScale" priority="4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2:AQ32 AS32:AV32"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3:AQ33 AS33:AV33">
    <cfRule type="colorScale" priority="4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4:AQ34 AS34:AV34">
    <cfRule type="colorScale" priority="4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5:AQ35 AS35:AV35">
    <cfRule type="colorScale" priority="4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6:AQ36 AS36:AV36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7:AQ37 AS37:AV37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8:AQ38 AS38:AV38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9:AQ39 AS39:AV39"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Q40 AS40:AV40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1:AQ41 AS41:AV41">
    <cfRule type="colorScale" priority="4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2:AQ42 AS42:AV42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3:AQ43 AS43:AV43">
    <cfRule type="colorScale" priority="4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4:AQ44 AS44:AV44">
    <cfRule type="colorScale" priority="4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5:AQ45 AS45:AV45">
    <cfRule type="colorScale" priority="4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Q46 AS46:AV46">
    <cfRule type="colorScale" priority="4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7:AQ47 AS47:AV47">
    <cfRule type="colorScale" priority="4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8:AQ48 AS48:AV48">
    <cfRule type="colorScale" priority="4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9:AQ49 AS49:AV49"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0:AQ50 AS50:AV50"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1:AQ51 AS51:AV51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2:AQ52 AS52:AV52"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3:AQ53 AS53:AV53"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4:AQ54 AS54:AV54">
    <cfRule type="colorScale" priority="4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5:AQ55 AS55:AV55">
    <cfRule type="colorScale" priority="4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6:AQ56 AS56:AV56"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7:AQ57 AS57:AV57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8:AQ58 AS58:AV58">
    <cfRule type="colorScale" priority="4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59:AQ59 AS59:AV59"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0:AQ60 AS60:AV60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1:AQ61 AS61:AV61">
    <cfRule type="colorScale" priority="4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2:AQ62 AS62:AV62">
    <cfRule type="colorScale" priority="4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3:AQ63 AS63:AV63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4:AQ64 AS64:AV64"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5:AQ65 AS65:AV65">
    <cfRule type="colorScale" priority="4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6:AQ66 AS66:AV66">
    <cfRule type="colorScale" priority="4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7:AQ67 AS67:AV67">
    <cfRule type="colorScale" priority="4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8:AQ68 AS68:AV68">
    <cfRule type="colorScale" priority="4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69:AQ69 AS69:AV69">
    <cfRule type="colorScale" priority="4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0:AQ70 AS70:AV70">
    <cfRule type="colorScale" priority="4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1:AQ71 AS71:AV71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2:AQ72 AS72:AV72"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3:AQ73 AS73:AV73">
    <cfRule type="colorScale" priority="4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4:AQ74 AS74:AV74">
    <cfRule type="colorScale" priority="4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5:AQ75 AS75:AV75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6:AQ76 AS76:AV76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7:AQ77 AS77:AV77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8:AQ78 AS78:AV78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9:AQ79 AS79:AV79">
    <cfRule type="colorScale" priority="4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0:AQ80 AS80:AV80">
    <cfRule type="colorScale" priority="4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1:AQ81 AS81:AV81"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2:AQ82 AS82:AV82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3:AQ83 AS83:AV83">
    <cfRule type="colorScale" priority="4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4:AQ84 AS84:AV84"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5:AQ85 AS85:AV85"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6:AQ86 AS86:AV86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7:AQ87 AS87:AV87">
    <cfRule type="colorScale" priority="4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8:AQ88 AS88:AV88"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89:AQ89 AS89:AV89"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0:AQ90 AS90:AV90">
    <cfRule type="colorScale" priority="4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1:AQ91 AS91:AV91">
    <cfRule type="colorScale" priority="4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2:AQ92 AS92:AV92">
    <cfRule type="colorScale" priority="4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3:AQ93 AS93:AV93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4:AQ94 AS94:AV94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5:AQ95 AS95:AV95"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6:AQ96 AS96:AV96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7:AQ97 AS97:AV97"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8:AQ98 AS98:AV98"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99:AQ99 AS99:AV99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0:AQ100 AS100:AV100"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1:AQ101 AS101:AV101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2:AQ102 AS102:AV102"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3:AQ103 AS103:AV103"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4:AQ104 AS104:AV104"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5:AQ105 AS105:AV105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6:AQ106 AS106:AV106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7:AQ107 AS107:AV107"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8:AQ108 AS108:AV108">
    <cfRule type="colorScale" priority="4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09:AQ109 AS109:AV109">
    <cfRule type="colorScale" priority="4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0:AQ110 AS110:AV110"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1:AQ111 AS111:AV111">
    <cfRule type="colorScale" priority="4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2:AQ112 AS112:AV112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3:AQ113 AS113:AV113">
    <cfRule type="colorScale" priority="4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4:AQ114 AS114:AV114">
    <cfRule type="colorScale" priority="4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5:AQ115 AS115:AV115">
    <cfRule type="colorScale" priority="4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6:AQ116 AS116:AV116">
    <cfRule type="colorScale" priority="4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7:AQ117 AS117:AV117">
    <cfRule type="colorScale" priority="4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8:AQ118 AS118:AV118">
    <cfRule type="colorScale" priority="4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19:AQ119 AS119:AV119">
    <cfRule type="colorScale" priority="47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0:AQ120 AS120:AV120">
    <cfRule type="colorScale" priority="4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1:AQ121 AS121:AV121">
    <cfRule type="colorScale" priority="4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2:AQ122 AS122:AV122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3:AQ123 AS123:AV123">
    <cfRule type="colorScale" priority="4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4:AQ124 AS124:AV124">
    <cfRule type="colorScale" priority="47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5:AQ125 AS125:AV125">
    <cfRule type="colorScale" priority="4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6:AQ126 AS126:AV126">
    <cfRule type="colorScale" priority="4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7:AQ127 AS127:AV127">
    <cfRule type="colorScale" priority="4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8:AQ128 AS128:AV128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29:AQ129 AS129:AV129">
    <cfRule type="colorScale" priority="4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0:AQ130 AS130:AV130"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1:AQ131 AS131:AV131"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2:AQ132 AS132:AV132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3:AQ133 AS133:AV133"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4:AQ134 AS134:AV134"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5:AQ135 AS135:AV135"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6:AQ136 AS136:AV136"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7:AQ137 AS137:AV137">
    <cfRule type="colorScale" priority="4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8:AQ138 AS138:AV138">
    <cfRule type="colorScale" priority="47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39:AQ139 AS139:AV139">
    <cfRule type="colorScale" priority="47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0:AQ140 AS140:AV140">
    <cfRule type="colorScale" priority="47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1:AQ141 AS141:AV141">
    <cfRule type="colorScale" priority="47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2:AQ142 AS142:AV142">
    <cfRule type="colorScale" priority="4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3:AQ143 AS143:AV143">
    <cfRule type="colorScale" priority="4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4:AQ144 AS144:AV144">
    <cfRule type="colorScale" priority="47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5:AQ145 AS145:AV145">
    <cfRule type="colorScale" priority="4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6:AQ146 AS146:AV146">
    <cfRule type="colorScale" priority="48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7:AQ147 AS147:AV147">
    <cfRule type="colorScale" priority="4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8:AQ148 AS148:AV148">
    <cfRule type="colorScale" priority="4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49:AQ149 AS149:AV149">
    <cfRule type="colorScale" priority="4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0:AQ150 AS150:AV150">
    <cfRule type="colorScale" priority="48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1:AQ151 AS151:AV151">
    <cfRule type="colorScale" priority="4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2:AQ152 AS152:AV152">
    <cfRule type="colorScale" priority="48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3:AQ153 AS153:AV153">
    <cfRule type="colorScale" priority="4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4:AQ154 AS154:AV154">
    <cfRule type="colorScale" priority="4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5:AQ155 AS155:AV155">
    <cfRule type="colorScale" priority="4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6:AQ156 AS156:AV156">
    <cfRule type="colorScale" priority="4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7:AQ157 AS157:AV157">
    <cfRule type="colorScale" priority="4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8:AQ158 AS158:AV158">
    <cfRule type="colorScale" priority="4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59:AQ159 AS159:AV159">
    <cfRule type="colorScale" priority="4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0:AQ160 AS160:AV160">
    <cfRule type="colorScale" priority="48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1:AQ161 AS161:AV161">
    <cfRule type="colorScale" priority="4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2:AQ162 AS162:AV162">
    <cfRule type="colorScale" priority="4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3:AQ163 AS163:AV163">
    <cfRule type="colorScale" priority="4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4:AQ164 AS164:AV164">
    <cfRule type="colorScale" priority="4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5:AQ165 AS165:AV165">
    <cfRule type="colorScale" priority="4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6:AQ166 AS166:AV166">
    <cfRule type="colorScale" priority="4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7:AQ167 AS167:AV167">
    <cfRule type="colorScale" priority="4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8:AQ168 AS168:AV168">
    <cfRule type="colorScale" priority="4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69:AQ169 AS169:AV169">
    <cfRule type="colorScale" priority="4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0:AQ170 AS170:AV170">
    <cfRule type="colorScale" priority="4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1:AQ171 AS171:AV171">
    <cfRule type="colorScale" priority="4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2:AQ172 AS172:AV172">
    <cfRule type="colorScale" priority="4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3:AQ173 AS173:AV173">
    <cfRule type="colorScale" priority="4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4:AQ174 AS174:AV174">
    <cfRule type="colorScale" priority="4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5:AQ175 AS175:AV175">
    <cfRule type="colorScale" priority="4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6:AQ176 AS176:AV176">
    <cfRule type="colorScale" priority="4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7:AQ177 AS177:AV177">
    <cfRule type="colorScale" priority="4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8:AQ178 AS178:AV178">
    <cfRule type="colorScale" priority="4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79:AQ179 AS179:AV179">
    <cfRule type="colorScale" priority="4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0:AQ180 AS180:AV180">
    <cfRule type="colorScale" priority="4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1:AQ181 AS181:AV181">
    <cfRule type="colorScale" priority="4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2:AQ182 AS182:AV182">
    <cfRule type="colorScale" priority="4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3:AQ183 AS183:AV183">
    <cfRule type="colorScale" priority="4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4:AQ184 AS184:AV184">
    <cfRule type="colorScale" priority="4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5:AQ185 AS185:AV185">
    <cfRule type="colorScale" priority="4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6:AQ186 AS186:AV186">
    <cfRule type="colorScale" priority="4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7:AQ187 AS187:AV187">
    <cfRule type="colorScale" priority="4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8:AQ188 AS188:AV188">
    <cfRule type="colorScale" priority="4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89:AQ189 AS189:AV189">
    <cfRule type="colorScale" priority="4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0:AQ190 AS190:AV190">
    <cfRule type="colorScale" priority="4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1:AQ191 AS191:AV191">
    <cfRule type="colorScale" priority="4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2:AQ192 AS192:AV192">
    <cfRule type="colorScale" priority="4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3:AQ193 AS193:AV193">
    <cfRule type="colorScale" priority="4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4:AQ194 AS194:AV194">
    <cfRule type="colorScale" priority="4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5:AQ195 AS195:AV195">
    <cfRule type="colorScale" priority="5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6:AQ196 AS196:AV196">
    <cfRule type="colorScale" priority="5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7:AQ197 AS197:AV197">
    <cfRule type="colorScale" priority="5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8:AQ198 AS198:AV198">
    <cfRule type="colorScale" priority="5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199:AQ199 AS199:AV199">
    <cfRule type="colorScale" priority="5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0:AQ200 AS200:AV200">
    <cfRule type="colorScale" priority="5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1:AQ201 AS201:AV201">
    <cfRule type="colorScale" priority="5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2:AQ202 AS202:AV202">
    <cfRule type="colorScale" priority="5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3:AQ203 AS203:AV203">
    <cfRule type="colorScale" priority="5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4:AQ204 AS204:AV204">
    <cfRule type="colorScale" priority="5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5:AQ205 AS205:AV205">
    <cfRule type="colorScale" priority="5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6:AQ206 AS206:AV206">
    <cfRule type="colorScale" priority="5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7:AQ207 AS207:AV207">
    <cfRule type="colorScale" priority="5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8:AQ208 AS208:AV208">
    <cfRule type="colorScale" priority="5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09:AQ209">
    <cfRule type="colorScale" priority="5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0:AQ210 AS210:AV210">
    <cfRule type="colorScale" priority="5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1:AQ211 AS211:AV211">
    <cfRule type="colorScale" priority="5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2:AQ212 AS212:AV212">
    <cfRule type="colorScale" priority="5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3:AQ213">
    <cfRule type="colorScale" priority="5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4:AQ214 AS214:AV214">
    <cfRule type="colorScale" priority="5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5:AQ215 AS215:AV215">
    <cfRule type="colorScale" priority="5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16:AQ219 AS216:AV219">
    <cfRule type="colorScale" priority="5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0:AQ221 AS220:AV221">
    <cfRule type="colorScale" priority="5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Q224 AS222:AV224">
    <cfRule type="colorScale" priority="5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:AQ225">
    <cfRule type="colorScale" priority="5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5:AQ236 AS235:AV236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5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O24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5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6:AO231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2:AO233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P24"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:AP231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2:AP233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6:AQ231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2:AQ233"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:AV24"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09:AV209">
    <cfRule type="colorScale" priority="5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13:AV213">
    <cfRule type="colorScale" priority="5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5:AV225">
    <cfRule type="colorScale" priority="5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6:AV23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2:AV233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:AX4"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"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"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"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:AX24"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5"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6"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7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8"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9"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0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1"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2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3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4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5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6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7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8"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39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0"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1"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2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3"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4">
    <cfRule type="colorScale" priority="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5">
    <cfRule type="colorScale" priority="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6">
    <cfRule type="colorScale" priority="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7">
    <cfRule type="colorScale" priority="6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8">
    <cfRule type="colorScale" priority="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49">
    <cfRule type="colorScale" priority="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0">
    <cfRule type="colorScale" priority="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1">
    <cfRule type="colorScale" priority="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2">
    <cfRule type="colorScale" priority="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3">
    <cfRule type="colorScale" priority="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4">
    <cfRule type="colorScale" priority="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5">
    <cfRule type="colorScale" priority="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6">
    <cfRule type="colorScale" priority="6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7">
    <cfRule type="colorScale" priority="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8">
    <cfRule type="colorScale" priority="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59">
    <cfRule type="colorScale" priority="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0">
    <cfRule type="colorScale" priority="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1">
    <cfRule type="colorScale" priority="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2"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3">
    <cfRule type="colorScale" priority="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4"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5"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6">
    <cfRule type="colorScale" priority="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7">
    <cfRule type="colorScale" priority="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8">
    <cfRule type="colorScale" priority="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69">
    <cfRule type="colorScale" priority="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0">
    <cfRule type="colorScale" priority="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1">
    <cfRule type="colorScale" priority="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2">
    <cfRule type="colorScale" priority="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3">
    <cfRule type="colorScale" priority="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4">
    <cfRule type="colorScale" priority="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5">
    <cfRule type="colorScale" priority="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6">
    <cfRule type="colorScale" priority="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7">
    <cfRule type="colorScale" priority="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8">
    <cfRule type="colorScale" priority="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79">
    <cfRule type="colorScale" priority="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0"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1">
    <cfRule type="colorScale" priority="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2">
    <cfRule type="colorScale" priority="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3"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4"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5"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6">
    <cfRule type="colorScale" priority="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7">
    <cfRule type="colorScale" priority="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8">
    <cfRule type="colorScale" priority="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89">
    <cfRule type="colorScale" priority="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0">
    <cfRule type="colorScale" priority="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1"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2">
    <cfRule type="colorScale" priority="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3">
    <cfRule type="colorScale" priority="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4">
    <cfRule type="colorScale" priority="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5"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6"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7">
    <cfRule type="colorScale" priority="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8"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99">
    <cfRule type="colorScale" priority="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0">
    <cfRule type="colorScale" priority="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1">
    <cfRule type="colorScale" priority="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2">
    <cfRule type="colorScale" priority="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3">
    <cfRule type="colorScale" priority="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4"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5">
    <cfRule type="colorScale" priority="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6">
    <cfRule type="colorScale" priority="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7">
    <cfRule type="colorScale" priority="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8">
    <cfRule type="colorScale" priority="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09">
    <cfRule type="colorScale" priority="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0">
    <cfRule type="colorScale" priority="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1">
    <cfRule type="colorScale" priority="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2">
    <cfRule type="colorScale" priority="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3">
    <cfRule type="colorScale" priority="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4">
    <cfRule type="colorScale" priority="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5">
    <cfRule type="colorScale" priority="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6">
    <cfRule type="colorScale" priority="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7">
    <cfRule type="colorScale" priority="8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8">
    <cfRule type="colorScale" priority="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19">
    <cfRule type="colorScale" priority="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0">
    <cfRule type="colorScale" priority="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1">
    <cfRule type="colorScale" priority="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2">
    <cfRule type="colorScale" priority="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3">
    <cfRule type="colorScale" priority="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4">
    <cfRule type="colorScale" priority="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5">
    <cfRule type="colorScale" priority="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6">
    <cfRule type="colorScale" priority="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7">
    <cfRule type="colorScale" priority="8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28:AX129">
    <cfRule type="colorScale" priority="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0">
    <cfRule type="colorScale" priority="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1">
    <cfRule type="colorScale" priority="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2">
    <cfRule type="colorScale" priority="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3">
    <cfRule type="colorScale" priority="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4">
    <cfRule type="colorScale" priority="8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5">
    <cfRule type="colorScale" priority="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6">
    <cfRule type="colorScale" priority="8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7">
    <cfRule type="colorScale" priority="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8">
    <cfRule type="colorScale" priority="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9">
    <cfRule type="colorScale" priority="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0">
    <cfRule type="colorScale" priority="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1">
    <cfRule type="colorScale" priority="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2">
    <cfRule type="colorScale" priority="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3">
    <cfRule type="colorScale" priority="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4">
    <cfRule type="colorScale" priority="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5">
    <cfRule type="colorScale" priority="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6">
    <cfRule type="colorScale" priority="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7">
    <cfRule type="colorScale" priority="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8">
    <cfRule type="colorScale" priority="8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49">
    <cfRule type="colorScale" priority="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0">
    <cfRule type="colorScale" priority="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1">
    <cfRule type="colorScale" priority="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2">
    <cfRule type="colorScale" priority="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3">
    <cfRule type="colorScale" priority="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4">
    <cfRule type="colorScale" priority="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5">
    <cfRule type="colorScale" priority="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6">
    <cfRule type="colorScale" priority="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7">
    <cfRule type="colorScale" priority="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8">
    <cfRule type="colorScale" priority="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59">
    <cfRule type="colorScale" priority="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0">
    <cfRule type="colorScale" priority="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1">
    <cfRule type="colorScale" priority="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2">
    <cfRule type="colorScale" priority="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3">
    <cfRule type="colorScale" priority="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4">
    <cfRule type="colorScale" priority="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5">
    <cfRule type="colorScale" priority="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6">
    <cfRule type="colorScale" priority="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7">
    <cfRule type="colorScale" priority="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8">
    <cfRule type="colorScale" priority="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69">
    <cfRule type="colorScale" priority="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0">
    <cfRule type="colorScale" priority="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1">
    <cfRule type="colorScale" priority="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2">
    <cfRule type="colorScale" priority="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3">
    <cfRule type="colorScale" priority="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4">
    <cfRule type="colorScale" priority="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5">
    <cfRule type="colorScale" priority="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6"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7">
    <cfRule type="colorScale" priority="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8">
    <cfRule type="colorScale" priority="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79">
    <cfRule type="colorScale" priority="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0">
    <cfRule type="colorScale" priority="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1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2">
    <cfRule type="colorScale" priority="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3">
    <cfRule type="colorScale" priority="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4">
    <cfRule type="colorScale" priority="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5">
    <cfRule type="colorScale" priority="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6">
    <cfRule type="colorScale" priority="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7">
    <cfRule type="colorScale" priority="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8">
    <cfRule type="colorScale" priority="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89">
    <cfRule type="colorScale" priority="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0">
    <cfRule type="colorScale" priority="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1">
    <cfRule type="colorScale" priority="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2">
    <cfRule type="colorScale" priority="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3">
    <cfRule type="colorScale" priority="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4">
    <cfRule type="colorScale" priority="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5">
    <cfRule type="colorScale" priority="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6">
    <cfRule type="colorScale" priority="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7">
    <cfRule type="colorScale" priority="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8">
    <cfRule type="colorScale" priority="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99">
    <cfRule type="colorScale" priority="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0">
    <cfRule type="colorScale" priority="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1">
    <cfRule type="colorScale" priority="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2">
    <cfRule type="colorScale" priority="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3">
    <cfRule type="colorScale" priority="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4">
    <cfRule type="colorScale" priority="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5">
    <cfRule type="colorScale" priority="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6">
    <cfRule type="colorScale" priority="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7">
    <cfRule type="colorScale" priority="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8">
    <cfRule type="colorScale" priority="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09">
    <cfRule type="colorScale" priority="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0">
    <cfRule type="colorScale" priority="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1">
    <cfRule type="colorScale" priority="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2"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3"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4">
    <cfRule type="colorScale" priority="1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5">
    <cfRule type="colorScale" priority="1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6:AX219"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0:AX221">
    <cfRule type="colorScale" priority="1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2:AX224">
    <cfRule type="colorScale" priority="1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5"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6:AX231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2:AX233"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5:AX236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3:BA24 Y23:AB24 G23:G24 T23:V24 I23:N24">
    <cfRule type="colorScale" priority="3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13 G213 T213:V213 I213:N214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26:BA231 Y226:AB231 G226:G230 T226:V231 I226:N229">
    <cfRule type="colorScale" priority="5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32:BA233 Y232:AB233 G232:G234 T232:V234 Y234:BA234 I234 I232:N233"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2025-10-30T22:18:59Z</dcterms:modified>
</cp:coreProperties>
</file>