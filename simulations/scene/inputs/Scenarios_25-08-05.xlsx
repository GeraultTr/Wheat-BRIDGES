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5613\home\torisuten\package\Wheat-BRIDGES\simulations\scene\inputs\"/>
    </mc:Choice>
  </mc:AlternateContent>
  <xr:revisionPtr revIDLastSave="0" documentId="13_ncr:1_{118031E0-7B9A-4D61-8585-F17E5544E5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0" i="2" l="1"/>
  <c r="T220" i="2"/>
  <c r="T218" i="2"/>
  <c r="R218" i="2"/>
  <c r="T227" i="2"/>
  <c r="T226" i="2"/>
  <c r="T224" i="2"/>
  <c r="T221" i="2"/>
  <c r="T219" i="2"/>
  <c r="T217" i="2"/>
  <c r="T216" i="2"/>
  <c r="T215" i="2"/>
  <c r="T214" i="2"/>
  <c r="T213" i="2"/>
  <c r="T211" i="2"/>
  <c r="T207" i="2"/>
  <c r="T205" i="2"/>
  <c r="T124" i="2"/>
  <c r="T114" i="2"/>
  <c r="T111" i="2"/>
  <c r="T108" i="2"/>
  <c r="T107" i="2"/>
  <c r="T106" i="2"/>
  <c r="T105" i="2"/>
  <c r="T104" i="2"/>
  <c r="T103" i="2"/>
  <c r="T102" i="2"/>
  <c r="T101" i="2"/>
  <c r="S220" i="2"/>
  <c r="S218" i="2"/>
  <c r="R205" i="2"/>
  <c r="R221" i="2"/>
  <c r="R214" i="2"/>
  <c r="R226" i="2"/>
  <c r="R215" i="2"/>
  <c r="R213" i="2"/>
  <c r="R227" i="2"/>
  <c r="R219" i="2" l="1"/>
  <c r="R217" i="2"/>
  <c r="R216" i="2"/>
  <c r="M214" i="2"/>
  <c r="V229" i="2" l="1"/>
  <c r="V228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X229" i="2"/>
  <c r="X228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9" i="2"/>
  <c r="W228" i="2"/>
  <c r="W224" i="2"/>
  <c r="W214" i="2"/>
  <c r="W211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R224" i="2"/>
  <c r="R211" i="2"/>
  <c r="R207" i="2"/>
  <c r="R124" i="2"/>
  <c r="R114" i="2"/>
  <c r="R111" i="2"/>
  <c r="R108" i="2"/>
  <c r="R107" i="2"/>
  <c r="R106" i="2"/>
  <c r="R105" i="2"/>
  <c r="R104" i="2"/>
  <c r="R103" i="2"/>
  <c r="R102" i="2"/>
  <c r="R101" i="2"/>
  <c r="P229" i="2"/>
  <c r="P228" i="2"/>
  <c r="P224" i="2"/>
  <c r="P214" i="2"/>
  <c r="P211" i="2"/>
  <c r="P207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29" i="2"/>
  <c r="N228" i="2"/>
  <c r="N224" i="2"/>
  <c r="N214" i="2"/>
  <c r="N211" i="2"/>
  <c r="N207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29" i="2"/>
  <c r="O228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29" i="2"/>
  <c r="M228" i="2"/>
  <c r="M22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29" i="2"/>
  <c r="L228" i="2"/>
  <c r="L224" i="2"/>
  <c r="L214" i="2"/>
  <c r="L211" i="2"/>
  <c r="L207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29" i="2"/>
  <c r="K228" i="2"/>
  <c r="K224" i="2"/>
  <c r="K214" i="2"/>
  <c r="K211" i="2"/>
  <c r="K207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7" i="2"/>
  <c r="J211" i="2"/>
  <c r="J214" i="2"/>
  <c r="J224" i="2"/>
  <c r="J228" i="2"/>
  <c r="J229" i="2"/>
  <c r="AX229" i="2"/>
  <c r="AW229" i="2"/>
  <c r="AX228" i="2"/>
  <c r="AW228" i="2"/>
  <c r="AX224" i="2"/>
  <c r="AW224" i="2"/>
  <c r="AX214" i="2"/>
  <c r="AW214" i="2"/>
  <c r="AX211" i="2"/>
  <c r="AW211" i="2"/>
  <c r="AX207" i="2"/>
  <c r="AW207" i="2"/>
  <c r="AX205" i="2"/>
  <c r="AW205" i="2"/>
  <c r="AX124" i="2"/>
  <c r="AW124" i="2"/>
  <c r="AX114" i="2"/>
  <c r="AW114" i="2"/>
  <c r="AX111" i="2"/>
  <c r="AW111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V229" i="2"/>
  <c r="AV228" i="2"/>
  <c r="AV224" i="2"/>
  <c r="AV214" i="2"/>
  <c r="AV211" i="2"/>
  <c r="AV207" i="2"/>
  <c r="AV205" i="2"/>
  <c r="AV124" i="2"/>
  <c r="AV114" i="2"/>
  <c r="AV111" i="2"/>
  <c r="AV108" i="2"/>
  <c r="AV107" i="2"/>
  <c r="AV106" i="2"/>
  <c r="AV105" i="2"/>
  <c r="AV104" i="2"/>
  <c r="AV103" i="2"/>
  <c r="AV102" i="2"/>
  <c r="AV101" i="2"/>
  <c r="AU229" i="2"/>
  <c r="AU228" i="2"/>
  <c r="AU224" i="2"/>
  <c r="AU214" i="2"/>
  <c r="AU211" i="2"/>
  <c r="AU207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Z229" i="2"/>
  <c r="AZ228" i="2"/>
  <c r="AZ224" i="2"/>
  <c r="AZ214" i="2"/>
  <c r="AZ211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AS229" i="2"/>
  <c r="AR229" i="2"/>
  <c r="AQ229" i="2"/>
  <c r="AP229" i="2"/>
  <c r="AO229" i="2"/>
  <c r="AN229" i="2"/>
  <c r="AM229" i="2"/>
  <c r="AS228" i="2"/>
  <c r="AR228" i="2"/>
  <c r="AQ228" i="2"/>
  <c r="AP228" i="2"/>
  <c r="AO228" i="2"/>
  <c r="AN228" i="2"/>
  <c r="AM228" i="2"/>
  <c r="AS224" i="2"/>
  <c r="AR224" i="2"/>
  <c r="AQ224" i="2"/>
  <c r="AP224" i="2"/>
  <c r="AO224" i="2"/>
  <c r="AN224" i="2"/>
  <c r="AM224" i="2"/>
  <c r="AS214" i="2"/>
  <c r="AR214" i="2"/>
  <c r="AQ214" i="2"/>
  <c r="AP214" i="2"/>
  <c r="AO214" i="2"/>
  <c r="AN214" i="2"/>
  <c r="AM214" i="2"/>
  <c r="AS211" i="2"/>
  <c r="AR211" i="2"/>
  <c r="AQ211" i="2"/>
  <c r="AP211" i="2"/>
  <c r="AO211" i="2"/>
  <c r="AN211" i="2"/>
  <c r="AM211" i="2"/>
  <c r="AS207" i="2"/>
  <c r="AR207" i="2"/>
  <c r="AQ207" i="2"/>
  <c r="AP207" i="2"/>
  <c r="AO207" i="2"/>
  <c r="AN207" i="2"/>
  <c r="AM207" i="2"/>
  <c r="AS205" i="2"/>
  <c r="AR205" i="2"/>
  <c r="AQ205" i="2"/>
  <c r="AP205" i="2"/>
  <c r="AO205" i="2"/>
  <c r="AN205" i="2"/>
  <c r="AM205" i="2"/>
  <c r="AS124" i="2"/>
  <c r="AR124" i="2"/>
  <c r="AQ124" i="2"/>
  <c r="AP124" i="2"/>
  <c r="AO124" i="2"/>
  <c r="AN124" i="2"/>
  <c r="AM124" i="2"/>
  <c r="AS114" i="2"/>
  <c r="AR114" i="2"/>
  <c r="AQ114" i="2"/>
  <c r="AP114" i="2"/>
  <c r="AO114" i="2"/>
  <c r="AN114" i="2"/>
  <c r="AM114" i="2"/>
  <c r="AS111" i="2"/>
  <c r="AR111" i="2"/>
  <c r="AQ111" i="2"/>
  <c r="AP111" i="2"/>
  <c r="AO111" i="2"/>
  <c r="AN111" i="2"/>
  <c r="AM111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S101" i="2"/>
  <c r="AR101" i="2"/>
  <c r="AQ101" i="2"/>
  <c r="AP101" i="2"/>
  <c r="AO101" i="2"/>
  <c r="AN101" i="2"/>
  <c r="AM101" i="2"/>
  <c r="AK229" i="2"/>
  <c r="AK228" i="2"/>
  <c r="AK224" i="2"/>
  <c r="AK214" i="2"/>
  <c r="AK211" i="2"/>
  <c r="AK207" i="2"/>
  <c r="AK205" i="2"/>
  <c r="AK124" i="2"/>
  <c r="AK114" i="2"/>
  <c r="AK111" i="2"/>
  <c r="AK108" i="2"/>
  <c r="AK107" i="2"/>
  <c r="AK106" i="2"/>
  <c r="AK105" i="2"/>
  <c r="AK104" i="2"/>
  <c r="AK103" i="2"/>
  <c r="AK102" i="2"/>
  <c r="AK101" i="2"/>
  <c r="AJ229" i="2"/>
  <c r="AJ228" i="2"/>
  <c r="AJ224" i="2"/>
  <c r="AJ214" i="2"/>
  <c r="AJ211" i="2"/>
  <c r="AJ207" i="2"/>
  <c r="AJ205" i="2"/>
  <c r="AJ124" i="2"/>
  <c r="AJ114" i="2"/>
  <c r="AJ111" i="2"/>
  <c r="AJ108" i="2"/>
  <c r="AJ107" i="2"/>
  <c r="AJ106" i="2"/>
  <c r="AJ105" i="2"/>
  <c r="AJ104" i="2"/>
  <c r="AJ103" i="2"/>
  <c r="AJ102" i="2"/>
  <c r="AJ101" i="2"/>
  <c r="AI229" i="2"/>
  <c r="AI228" i="2"/>
  <c r="AI224" i="2"/>
  <c r="AI214" i="2"/>
  <c r="AI211" i="2"/>
  <c r="AI207" i="2"/>
  <c r="AI205" i="2"/>
  <c r="AI124" i="2"/>
  <c r="AI114" i="2"/>
  <c r="AI111" i="2"/>
  <c r="AI108" i="2"/>
  <c r="AI107" i="2"/>
  <c r="AI106" i="2"/>
  <c r="AI105" i="2"/>
  <c r="AI104" i="2"/>
  <c r="AI103" i="2"/>
  <c r="AI102" i="2"/>
  <c r="AI101" i="2"/>
  <c r="AH229" i="2"/>
  <c r="AH228" i="2"/>
  <c r="AH224" i="2"/>
  <c r="AH214" i="2"/>
  <c r="AH211" i="2"/>
  <c r="AH207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29" i="2"/>
  <c r="AG228" i="2"/>
  <c r="AG224" i="2"/>
  <c r="AG214" i="2"/>
  <c r="AG211" i="2"/>
  <c r="AG207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29" i="2"/>
  <c r="AF228" i="2"/>
  <c r="AF224" i="2"/>
  <c r="AF214" i="2"/>
  <c r="AF211" i="2"/>
  <c r="AF207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29" i="2"/>
  <c r="AE228" i="2"/>
  <c r="AE224" i="2"/>
  <c r="AE214" i="2"/>
  <c r="AE211" i="2"/>
  <c r="AE207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29" i="2"/>
  <c r="AC229" i="2"/>
  <c r="AB229" i="2"/>
  <c r="AA229" i="2"/>
  <c r="I229" i="2"/>
  <c r="H229" i="2"/>
  <c r="G229" i="2"/>
  <c r="AD228" i="2" l="1"/>
  <c r="AD224" i="2"/>
  <c r="AD214" i="2"/>
  <c r="AD211" i="2"/>
  <c r="AD207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28" i="2"/>
  <c r="AC224" i="2"/>
  <c r="AC214" i="2"/>
  <c r="AC211" i="2"/>
  <c r="AC207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28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8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BC229" i="2"/>
  <c r="BC228" i="2"/>
  <c r="BC224" i="2"/>
  <c r="BC214" i="2"/>
  <c r="BC211" i="2"/>
  <c r="BC207" i="2"/>
  <c r="BC205" i="2"/>
  <c r="BC124" i="2"/>
  <c r="BC114" i="2"/>
  <c r="BC111" i="2"/>
  <c r="BC108" i="2"/>
  <c r="BC107" i="2"/>
  <c r="BC106" i="2"/>
  <c r="BC105" i="2"/>
  <c r="BC104" i="2"/>
  <c r="BC103" i="2"/>
  <c r="BC102" i="2"/>
  <c r="BC101" i="2"/>
  <c r="H205" i="2" l="1"/>
  <c r="I205" i="2"/>
  <c r="G205" i="2"/>
  <c r="I228" i="2"/>
  <c r="H228" i="2"/>
  <c r="G228" i="2"/>
  <c r="H207" i="2" l="1"/>
  <c r="I207" i="2"/>
  <c r="G207" i="2"/>
  <c r="I214" i="2"/>
  <c r="H224" i="2"/>
  <c r="I224" i="2"/>
  <c r="G224" i="2"/>
  <c r="I124" i="2" l="1"/>
  <c r="H133" i="2" l="1"/>
  <c r="G124" i="2"/>
  <c r="H221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18" i="2"/>
  <c r="G218" i="2"/>
  <c r="I211" i="2"/>
  <c r="H211" i="2"/>
  <c r="G211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<sst xmlns="http://schemas.openxmlformats.org/spreadsheetml/2006/main" count="3004" uniqueCount="597">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</sst>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Border="1" applyAlignment="1">
      <alignment horizontal="left" vertical="center"/>
    </xf>
    <xf numFmtId="11" fontId="16" fillId="50" borderId="0" xfId="0" applyNumberFormat="1" applyFont="1" applyFill="1" applyBorder="1" applyAlignment="1">
      <alignment horizontal="left" vertical="center"/>
    </xf>
    <xf numFmtId="11" fontId="16" fillId="0" borderId="0" xfId="0" applyNumberFormat="1" applyFont="1" applyBorder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30"/>
  <sheetViews>
    <sheetView tabSelected="1" zoomScale="79" zoomScaleNormal="100" workbookViewId="0">
      <pane xSplit="6" ySplit="1" topLeftCell="P189" activePane="bottomRight" state="frozen"/>
      <selection pane="topRight" activeCell="G1" sqref="G1"/>
      <selection pane="bottomLeft" activeCell="A2" sqref="A2"/>
      <selection pane="bottomRight" activeCell="R220" sqref="R220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5" width="21.5703125" style="1" customWidth="1"/>
  </cols>
  <sheetData>
    <row r="1" spans="1:5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519</v>
      </c>
      <c r="I1" s="36" t="s">
        <v>518</v>
      </c>
      <c r="J1" s="36" t="s">
        <v>570</v>
      </c>
      <c r="K1" s="54" t="s">
        <v>572</v>
      </c>
      <c r="L1" s="54" t="s">
        <v>573</v>
      </c>
      <c r="M1" s="54" t="s">
        <v>574</v>
      </c>
      <c r="N1" s="54" t="s">
        <v>575</v>
      </c>
      <c r="O1" s="54" t="s">
        <v>576</v>
      </c>
      <c r="P1" s="54" t="s">
        <v>577</v>
      </c>
      <c r="R1" s="54" t="s">
        <v>588</v>
      </c>
      <c r="S1" s="54" t="s">
        <v>594</v>
      </c>
      <c r="T1" s="54" t="s">
        <v>589</v>
      </c>
      <c r="V1" s="54" t="s">
        <v>580</v>
      </c>
      <c r="W1" s="54" t="s">
        <v>578</v>
      </c>
      <c r="X1" s="54" t="s">
        <v>579</v>
      </c>
      <c r="Z1" s="1" t="s">
        <v>571</v>
      </c>
      <c r="AA1" s="36" t="s">
        <v>546</v>
      </c>
      <c r="AB1" s="36" t="s">
        <v>547</v>
      </c>
      <c r="AC1" s="36" t="s">
        <v>548</v>
      </c>
      <c r="AD1" s="36" t="s">
        <v>549</v>
      </c>
      <c r="AE1" s="36" t="s">
        <v>550</v>
      </c>
      <c r="AF1" s="36" t="s">
        <v>551</v>
      </c>
      <c r="AG1" s="36" t="s">
        <v>552</v>
      </c>
      <c r="AH1" s="36" t="s">
        <v>553</v>
      </c>
      <c r="AI1" s="36" t="s">
        <v>554</v>
      </c>
      <c r="AJ1" s="36" t="s">
        <v>555</v>
      </c>
      <c r="AK1" s="36" t="s">
        <v>556</v>
      </c>
      <c r="AL1"/>
      <c r="AM1" s="36" t="s">
        <v>557</v>
      </c>
      <c r="AN1" s="36" t="s">
        <v>558</v>
      </c>
      <c r="AO1" s="36" t="s">
        <v>559</v>
      </c>
      <c r="AP1" s="36" t="s">
        <v>560</v>
      </c>
      <c r="AQ1" s="36" t="s">
        <v>561</v>
      </c>
      <c r="AR1" s="36" t="s">
        <v>562</v>
      </c>
      <c r="AS1" s="36" t="s">
        <v>563</v>
      </c>
      <c r="AT1"/>
      <c r="AU1" s="36" t="s">
        <v>566</v>
      </c>
      <c r="AV1" s="36" t="s">
        <v>567</v>
      </c>
      <c r="AW1" s="36" t="s">
        <v>568</v>
      </c>
      <c r="AX1" s="36" t="s">
        <v>569</v>
      </c>
      <c r="AY1"/>
      <c r="AZ1" s="36" t="s">
        <v>565</v>
      </c>
      <c r="BA1"/>
      <c r="BB1"/>
      <c r="BC1" s="36" t="s">
        <v>545</v>
      </c>
    </row>
    <row r="2" spans="1:55" s="1" customFormat="1" x14ac:dyDescent="0.25">
      <c r="A2" s="42" t="s">
        <v>481</v>
      </c>
      <c r="B2" s="3" t="s">
        <v>475</v>
      </c>
      <c r="C2" s="3" t="s">
        <v>483</v>
      </c>
      <c r="D2" s="3" t="s">
        <v>524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58"/>
      <c r="T2" s="44" t="s">
        <v>478</v>
      </c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25">
      <c r="A3" s="42" t="s">
        <v>479</v>
      </c>
      <c r="B3" s="3" t="s">
        <v>474</v>
      </c>
      <c r="C3" s="3" t="s">
        <v>483</v>
      </c>
      <c r="D3" s="3" t="s">
        <v>524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58"/>
      <c r="T3" s="44" t="s">
        <v>476</v>
      </c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x14ac:dyDescent="0.25">
      <c r="A4" s="3" t="s">
        <v>2</v>
      </c>
      <c r="B4" s="3" t="s">
        <v>473</v>
      </c>
      <c r="C4" s="3" t="s">
        <v>483</v>
      </c>
      <c r="D4" s="3" t="s">
        <v>524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58"/>
      <c r="T4" s="44" t="s">
        <v>86</v>
      </c>
      <c r="V4" s="44" t="s">
        <v>86</v>
      </c>
      <c r="W4" s="44" t="s">
        <v>86</v>
      </c>
      <c r="X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/>
      <c r="AM4" s="44" t="s">
        <v>86</v>
      </c>
      <c r="AN4" s="44" t="s">
        <v>86</v>
      </c>
      <c r="AO4" s="44" t="s">
        <v>86</v>
      </c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 s="44" t="s">
        <v>86</v>
      </c>
      <c r="AW4" s="44" t="s">
        <v>86</v>
      </c>
      <c r="AX4" s="44" t="s">
        <v>86</v>
      </c>
      <c r="AY4"/>
      <c r="AZ4" s="44" t="s">
        <v>86</v>
      </c>
      <c r="BA4"/>
      <c r="BB4"/>
      <c r="BC4" s="44" t="s">
        <v>86</v>
      </c>
    </row>
    <row r="5" spans="1:55" x14ac:dyDescent="0.25">
      <c r="A5" s="3" t="s">
        <v>3</v>
      </c>
      <c r="B5" s="3" t="s">
        <v>473</v>
      </c>
      <c r="C5" s="3" t="s">
        <v>483</v>
      </c>
      <c r="D5" s="3" t="s">
        <v>524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58"/>
      <c r="T5" s="44">
        <v>1</v>
      </c>
      <c r="V5" s="44">
        <v>1</v>
      </c>
      <c r="W5" s="44">
        <v>1</v>
      </c>
      <c r="X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 s="44">
        <v>1</v>
      </c>
      <c r="AL5"/>
      <c r="AM5" s="44">
        <v>1</v>
      </c>
      <c r="AN5" s="44">
        <v>1</v>
      </c>
      <c r="AO5" s="44">
        <v>1</v>
      </c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 s="44">
        <v>1</v>
      </c>
      <c r="AW5" s="44">
        <v>1</v>
      </c>
      <c r="AX5" s="44">
        <v>1</v>
      </c>
      <c r="AY5"/>
      <c r="AZ5" s="44">
        <v>1</v>
      </c>
      <c r="BA5"/>
      <c r="BB5"/>
      <c r="BC5" s="44">
        <v>1</v>
      </c>
    </row>
    <row r="6" spans="1:55" x14ac:dyDescent="0.25">
      <c r="A6" s="5" t="s">
        <v>4</v>
      </c>
      <c r="B6" s="3" t="s">
        <v>473</v>
      </c>
      <c r="C6" s="3" t="s">
        <v>483</v>
      </c>
      <c r="D6" s="3" t="s">
        <v>524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58"/>
      <c r="T6" s="44">
        <v>180</v>
      </c>
      <c r="V6" s="44">
        <v>180</v>
      </c>
      <c r="W6" s="44">
        <v>180</v>
      </c>
      <c r="X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 s="44">
        <v>180</v>
      </c>
      <c r="AL6"/>
      <c r="AM6" s="44">
        <v>180</v>
      </c>
      <c r="AN6" s="44">
        <v>180</v>
      </c>
      <c r="AO6" s="44">
        <v>180</v>
      </c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 s="44">
        <v>180</v>
      </c>
      <c r="AW6" s="44">
        <v>180</v>
      </c>
      <c r="AX6" s="44">
        <v>180</v>
      </c>
      <c r="AY6"/>
      <c r="AZ6" s="44">
        <v>180</v>
      </c>
      <c r="BA6"/>
      <c r="BB6"/>
      <c r="BC6" s="44">
        <v>180</v>
      </c>
    </row>
    <row r="7" spans="1:55" x14ac:dyDescent="0.25">
      <c r="A7" s="5" t="s">
        <v>5</v>
      </c>
      <c r="B7" s="3" t="s">
        <v>473</v>
      </c>
      <c r="C7" s="3" t="s">
        <v>483</v>
      </c>
      <c r="D7" s="3" t="s">
        <v>524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58"/>
      <c r="T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/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 s="44">
        <v>4.1666666999999998E-2</v>
      </c>
      <c r="AW7" s="44">
        <v>4.1666666999999998E-2</v>
      </c>
      <c r="AX7" s="44">
        <v>4.1666666999999998E-2</v>
      </c>
      <c r="AY7"/>
      <c r="AZ7" s="44">
        <v>4.1666666999999998E-2</v>
      </c>
      <c r="BA7"/>
      <c r="BB7"/>
      <c r="BC7" s="44">
        <v>4.1666666999999998E-2</v>
      </c>
    </row>
    <row r="8" spans="1:55" x14ac:dyDescent="0.25">
      <c r="A8" s="5" t="s">
        <v>20</v>
      </c>
      <c r="B8" s="3" t="s">
        <v>473</v>
      </c>
      <c r="C8" s="3" t="s">
        <v>483</v>
      </c>
      <c r="D8" s="3" t="s">
        <v>524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58"/>
      <c r="T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25">
      <c r="A9" s="7" t="s">
        <v>1</v>
      </c>
      <c r="B9" s="3" t="s">
        <v>473</v>
      </c>
      <c r="C9" s="3" t="s">
        <v>483</v>
      </c>
      <c r="D9" s="3" t="s">
        <v>524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58"/>
      <c r="T9" s="44">
        <v>1</v>
      </c>
      <c r="V9" s="44">
        <v>1</v>
      </c>
      <c r="W9" s="44">
        <v>1</v>
      </c>
      <c r="X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  <c r="AL9"/>
      <c r="AM9" s="44">
        <v>1</v>
      </c>
      <c r="AN9" s="44">
        <v>1</v>
      </c>
      <c r="AO9" s="44">
        <v>1</v>
      </c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 s="44">
        <v>1</v>
      </c>
      <c r="AW9" s="44">
        <v>1</v>
      </c>
      <c r="AX9" s="44">
        <v>1</v>
      </c>
      <c r="AY9"/>
      <c r="AZ9" s="44">
        <v>1</v>
      </c>
      <c r="BA9"/>
      <c r="BB9"/>
      <c r="BC9" s="44">
        <v>1</v>
      </c>
    </row>
    <row r="10" spans="1:55" x14ac:dyDescent="0.25">
      <c r="A10" s="7" t="s">
        <v>450</v>
      </c>
      <c r="B10" s="3" t="s">
        <v>473</v>
      </c>
      <c r="C10" s="3" t="s">
        <v>483</v>
      </c>
      <c r="D10" s="3" t="s">
        <v>524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58"/>
      <c r="T10" s="44">
        <v>0</v>
      </c>
      <c r="V10" s="44">
        <v>0</v>
      </c>
      <c r="W10" s="44">
        <v>0</v>
      </c>
      <c r="X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 s="44">
        <v>0</v>
      </c>
      <c r="AL10"/>
      <c r="AM10" s="44">
        <v>0</v>
      </c>
      <c r="AN10" s="44">
        <v>0</v>
      </c>
      <c r="AO10" s="44">
        <v>0</v>
      </c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 s="44">
        <v>0</v>
      </c>
      <c r="AW10" s="44">
        <v>0</v>
      </c>
      <c r="AX10" s="44">
        <v>0</v>
      </c>
      <c r="AY10"/>
      <c r="AZ10" s="44">
        <v>0</v>
      </c>
      <c r="BA10"/>
      <c r="BB10"/>
      <c r="BC10" s="44">
        <v>0</v>
      </c>
    </row>
    <row r="11" spans="1:55" x14ac:dyDescent="0.25">
      <c r="A11" s="7" t="s">
        <v>6</v>
      </c>
      <c r="B11" s="3" t="s">
        <v>473</v>
      </c>
      <c r="C11" s="3" t="s">
        <v>483</v>
      </c>
      <c r="D11" s="3" t="s">
        <v>524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58"/>
      <c r="T11" s="44" t="s">
        <v>87</v>
      </c>
      <c r="V11" s="44" t="s">
        <v>87</v>
      </c>
      <c r="W11" s="44" t="s">
        <v>87</v>
      </c>
      <c r="X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 s="44" t="s">
        <v>87</v>
      </c>
      <c r="AL11"/>
      <c r="AM11" s="44" t="s">
        <v>87</v>
      </c>
      <c r="AN11" s="44" t="s">
        <v>87</v>
      </c>
      <c r="AO11" s="44" t="s">
        <v>87</v>
      </c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 s="44" t="s">
        <v>87</v>
      </c>
      <c r="AW11" s="44" t="s">
        <v>87</v>
      </c>
      <c r="AX11" s="44" t="s">
        <v>87</v>
      </c>
      <c r="AY11"/>
      <c r="AZ11" s="44" t="s">
        <v>87</v>
      </c>
      <c r="BA11"/>
      <c r="BB11"/>
      <c r="BC11" s="44" t="s">
        <v>87</v>
      </c>
    </row>
    <row r="12" spans="1:55" x14ac:dyDescent="0.25">
      <c r="A12" s="7" t="s">
        <v>7</v>
      </c>
      <c r="B12" s="3" t="s">
        <v>473</v>
      </c>
      <c r="C12" s="3" t="s">
        <v>483</v>
      </c>
      <c r="D12" s="3" t="s">
        <v>524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58"/>
      <c r="T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/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 s="44">
        <v>5.0000000000000001E-9</v>
      </c>
      <c r="AW12" s="44">
        <v>5.0000000000000001E-9</v>
      </c>
      <c r="AX12" s="44">
        <v>5.0000000000000001E-9</v>
      </c>
      <c r="AY12"/>
      <c r="AZ12" s="44">
        <v>5.0000000000000001E-9</v>
      </c>
      <c r="BA12"/>
      <c r="BB12"/>
      <c r="BC12" s="44">
        <v>5.0000000000000001E-9</v>
      </c>
    </row>
    <row r="13" spans="1:55" x14ac:dyDescent="0.25">
      <c r="A13" s="7" t="s">
        <v>8</v>
      </c>
      <c r="B13" s="3" t="s">
        <v>473</v>
      </c>
      <c r="C13" s="3" t="s">
        <v>483</v>
      </c>
      <c r="D13" s="3" t="s">
        <v>524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58"/>
      <c r="T13" s="44">
        <v>10</v>
      </c>
      <c r="V13" s="44">
        <v>10</v>
      </c>
      <c r="W13" s="44">
        <v>10</v>
      </c>
      <c r="X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 s="44">
        <v>10</v>
      </c>
      <c r="AL13"/>
      <c r="AM13" s="44">
        <v>10</v>
      </c>
      <c r="AN13" s="44">
        <v>10</v>
      </c>
      <c r="AO13" s="44">
        <v>10</v>
      </c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 s="44">
        <v>10</v>
      </c>
      <c r="AW13" s="44">
        <v>10</v>
      </c>
      <c r="AX13" s="44">
        <v>10</v>
      </c>
      <c r="AY13"/>
      <c r="AZ13" s="44">
        <v>10</v>
      </c>
      <c r="BA13"/>
      <c r="BB13"/>
      <c r="BC13" s="44">
        <v>10</v>
      </c>
    </row>
    <row r="14" spans="1:55" x14ac:dyDescent="0.25">
      <c r="A14" s="7" t="s">
        <v>463</v>
      </c>
      <c r="B14" s="3" t="s">
        <v>473</v>
      </c>
      <c r="C14" s="3" t="s">
        <v>483</v>
      </c>
      <c r="D14" s="3" t="s">
        <v>524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58"/>
      <c r="T14" s="44" t="s">
        <v>87</v>
      </c>
      <c r="V14" s="44" t="s">
        <v>87</v>
      </c>
      <c r="W14" s="44" t="s">
        <v>87</v>
      </c>
      <c r="X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 s="44" t="s">
        <v>87</v>
      </c>
      <c r="AL14"/>
      <c r="AM14" s="44" t="s">
        <v>87</v>
      </c>
      <c r="AN14" s="44" t="s">
        <v>87</v>
      </c>
      <c r="AO14" s="44" t="s">
        <v>87</v>
      </c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 s="44" t="s">
        <v>87</v>
      </c>
      <c r="AW14" s="44" t="s">
        <v>87</v>
      </c>
      <c r="AX14" s="44" t="s">
        <v>87</v>
      </c>
      <c r="AY14"/>
      <c r="AZ14" s="44" t="s">
        <v>87</v>
      </c>
      <c r="BA14"/>
      <c r="BB14"/>
      <c r="BC14" s="44" t="s">
        <v>87</v>
      </c>
    </row>
    <row r="15" spans="1:55" x14ac:dyDescent="0.25">
      <c r="A15" s="7" t="s">
        <v>464</v>
      </c>
      <c r="B15" s="3" t="s">
        <v>473</v>
      </c>
      <c r="C15" s="3" t="s">
        <v>483</v>
      </c>
      <c r="D15" s="3" t="s">
        <v>524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58"/>
      <c r="T15" s="44" t="s">
        <v>87</v>
      </c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25">
      <c r="A16" s="7" t="s">
        <v>467</v>
      </c>
      <c r="B16" s="3" t="s">
        <v>473</v>
      </c>
      <c r="C16" s="3" t="s">
        <v>483</v>
      </c>
      <c r="D16" s="3" t="s">
        <v>524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58"/>
      <c r="T16" s="44" t="s">
        <v>87</v>
      </c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25">
      <c r="A17" s="7" t="s">
        <v>469</v>
      </c>
      <c r="B17" s="3" t="s">
        <v>473</v>
      </c>
      <c r="C17" s="3" t="s">
        <v>483</v>
      </c>
      <c r="D17" s="3" t="s">
        <v>524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58"/>
      <c r="T17" s="44">
        <v>86400</v>
      </c>
      <c r="V17" s="44">
        <v>86400</v>
      </c>
      <c r="W17" s="44">
        <v>86400</v>
      </c>
      <c r="X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 s="44">
        <v>86400</v>
      </c>
      <c r="AL17"/>
      <c r="AM17" s="44">
        <v>86400</v>
      </c>
      <c r="AN17" s="44">
        <v>86400</v>
      </c>
      <c r="AO17" s="44">
        <v>86400</v>
      </c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 s="44">
        <v>86400</v>
      </c>
      <c r="AW17" s="44">
        <v>86400</v>
      </c>
      <c r="AX17" s="44">
        <v>86400</v>
      </c>
      <c r="AY17"/>
      <c r="AZ17" s="44">
        <v>86400</v>
      </c>
      <c r="BA17"/>
      <c r="BB17"/>
      <c r="BC17" s="44">
        <v>86400</v>
      </c>
    </row>
    <row r="18" spans="1:55" x14ac:dyDescent="0.25">
      <c r="A18" s="9" t="s">
        <v>10</v>
      </c>
      <c r="B18" s="3" t="s">
        <v>473</v>
      </c>
      <c r="C18" s="3" t="s">
        <v>483</v>
      </c>
      <c r="D18" s="3" t="s">
        <v>524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58"/>
      <c r="T18" s="44" t="s">
        <v>86</v>
      </c>
      <c r="V18" s="44" t="s">
        <v>86</v>
      </c>
      <c r="W18" s="44" t="s">
        <v>86</v>
      </c>
      <c r="X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/>
      <c r="AM18" s="44" t="s">
        <v>86</v>
      </c>
      <c r="AN18" s="44" t="s">
        <v>86</v>
      </c>
      <c r="AO18" s="44" t="s">
        <v>86</v>
      </c>
      <c r="AP18" s="44" t="s">
        <v>86</v>
      </c>
      <c r="AQ18" s="44" t="s">
        <v>86</v>
      </c>
      <c r="AR18" s="44" t="s">
        <v>86</v>
      </c>
      <c r="AS18" s="44" t="s">
        <v>86</v>
      </c>
      <c r="AT18"/>
      <c r="AU18" s="44" t="s">
        <v>86</v>
      </c>
      <c r="AV18" s="44" t="s">
        <v>86</v>
      </c>
      <c r="AW18" s="44" t="s">
        <v>86</v>
      </c>
      <c r="AX18" s="44" t="s">
        <v>86</v>
      </c>
      <c r="AY18"/>
      <c r="AZ18" s="44" t="s">
        <v>86</v>
      </c>
      <c r="BA18"/>
      <c r="BB18"/>
      <c r="BC18" s="44" t="s">
        <v>86</v>
      </c>
    </row>
    <row r="19" spans="1:55" x14ac:dyDescent="0.25">
      <c r="A19" s="9" t="s">
        <v>11</v>
      </c>
      <c r="B19" s="3" t="s">
        <v>473</v>
      </c>
      <c r="C19" s="3" t="s">
        <v>483</v>
      </c>
      <c r="D19" s="3" t="s">
        <v>524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58"/>
      <c r="T19" s="44">
        <v>3</v>
      </c>
      <c r="V19" s="44">
        <v>3</v>
      </c>
      <c r="W19" s="44">
        <v>3</v>
      </c>
      <c r="X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 s="44">
        <v>3</v>
      </c>
      <c r="AL19"/>
      <c r="AM19" s="44">
        <v>3</v>
      </c>
      <c r="AN19" s="44">
        <v>3</v>
      </c>
      <c r="AO19" s="44">
        <v>3</v>
      </c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 s="44">
        <v>3</v>
      </c>
      <c r="AW19" s="44">
        <v>3</v>
      </c>
      <c r="AX19" s="44">
        <v>3</v>
      </c>
      <c r="AY19"/>
      <c r="AZ19" s="44">
        <v>3</v>
      </c>
      <c r="BA19"/>
      <c r="BB19"/>
      <c r="BC19" s="44">
        <v>3</v>
      </c>
    </row>
    <row r="20" spans="1:55" x14ac:dyDescent="0.25">
      <c r="A20" s="9" t="s">
        <v>362</v>
      </c>
      <c r="B20" s="3" t="s">
        <v>473</v>
      </c>
      <c r="C20" s="3" t="s">
        <v>483</v>
      </c>
      <c r="D20" s="3" t="s">
        <v>524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58"/>
      <c r="T20" s="44" t="s">
        <v>87</v>
      </c>
      <c r="V20" s="44" t="s">
        <v>87</v>
      </c>
      <c r="W20" s="44" t="s">
        <v>87</v>
      </c>
      <c r="X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 s="44" t="s">
        <v>87</v>
      </c>
      <c r="AL20"/>
      <c r="AM20" s="44" t="s">
        <v>87</v>
      </c>
      <c r="AN20" s="44" t="s">
        <v>87</v>
      </c>
      <c r="AO20" s="44" t="s">
        <v>87</v>
      </c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 s="44" t="s">
        <v>87</v>
      </c>
      <c r="AW20" s="44" t="s">
        <v>87</v>
      </c>
      <c r="AX20" s="44" t="s">
        <v>87</v>
      </c>
      <c r="AY20"/>
      <c r="AZ20" s="44" t="s">
        <v>87</v>
      </c>
      <c r="BA20"/>
      <c r="BB20"/>
      <c r="BC20" s="44" t="s">
        <v>87</v>
      </c>
    </row>
    <row r="21" spans="1:55" x14ac:dyDescent="0.25">
      <c r="A21" s="9" t="s">
        <v>364</v>
      </c>
      <c r="B21" s="3" t="s">
        <v>473</v>
      </c>
      <c r="C21" s="3" t="s">
        <v>483</v>
      </c>
      <c r="D21" s="3" t="s">
        <v>524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58"/>
      <c r="T21" s="44" t="s">
        <v>87</v>
      </c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25">
      <c r="A22" s="9" t="s">
        <v>376</v>
      </c>
      <c r="B22" s="3" t="s">
        <v>473</v>
      </c>
      <c r="C22" s="3" t="s">
        <v>483</v>
      </c>
      <c r="D22" s="3" t="s">
        <v>524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58"/>
      <c r="T22" s="44" t="s">
        <v>87</v>
      </c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25">
      <c r="A23" s="9" t="s">
        <v>375</v>
      </c>
      <c r="B23" s="3" t="s">
        <v>473</v>
      </c>
      <c r="C23" s="3" t="s">
        <v>483</v>
      </c>
      <c r="D23" s="3" t="s">
        <v>524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58"/>
      <c r="T23" s="44" t="s">
        <v>87</v>
      </c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25">
      <c r="A24" s="9" t="s">
        <v>374</v>
      </c>
      <c r="B24" s="3" t="s">
        <v>473</v>
      </c>
      <c r="C24" s="3" t="s">
        <v>483</v>
      </c>
      <c r="D24" s="3" t="s">
        <v>524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58"/>
      <c r="T24" s="44" t="s">
        <v>87</v>
      </c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25">
      <c r="A25" s="9" t="s">
        <v>12</v>
      </c>
      <c r="B25" s="3" t="s">
        <v>473</v>
      </c>
      <c r="C25" s="3" t="s">
        <v>483</v>
      </c>
      <c r="D25" s="3" t="s">
        <v>524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58"/>
      <c r="T25" s="44" t="s">
        <v>87</v>
      </c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25">
      <c r="A26" s="9" t="s">
        <v>13</v>
      </c>
      <c r="B26" s="3" t="s">
        <v>473</v>
      </c>
      <c r="C26" s="3" t="s">
        <v>483</v>
      </c>
      <c r="D26" s="3" t="s">
        <v>524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58"/>
      <c r="T26" s="44">
        <v>0.33</v>
      </c>
      <c r="V26" s="44">
        <v>0.33</v>
      </c>
      <c r="W26" s="44">
        <v>0.33</v>
      </c>
      <c r="X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 s="44">
        <v>0.33</v>
      </c>
      <c r="AL26"/>
      <c r="AM26" s="44">
        <v>0.33</v>
      </c>
      <c r="AN26" s="44">
        <v>0.33</v>
      </c>
      <c r="AO26" s="44">
        <v>0.33</v>
      </c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 s="44">
        <v>0.33</v>
      </c>
      <c r="AW26" s="44">
        <v>0.33</v>
      </c>
      <c r="AX26" s="44">
        <v>0.33</v>
      </c>
      <c r="AY26"/>
      <c r="AZ26" s="44">
        <v>0.33</v>
      </c>
      <c r="BA26"/>
      <c r="BB26"/>
      <c r="BC26" s="44">
        <v>0.33</v>
      </c>
    </row>
    <row r="27" spans="1:55" x14ac:dyDescent="0.25">
      <c r="A27" s="9" t="s">
        <v>14</v>
      </c>
      <c r="B27" s="3" t="s">
        <v>473</v>
      </c>
      <c r="C27" s="3" t="s">
        <v>483</v>
      </c>
      <c r="D27" s="3" t="s">
        <v>524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58"/>
      <c r="T27" s="44" t="s">
        <v>87</v>
      </c>
      <c r="V27" s="44" t="s">
        <v>87</v>
      </c>
      <c r="W27" s="44" t="s">
        <v>87</v>
      </c>
      <c r="X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 s="44" t="s">
        <v>87</v>
      </c>
      <c r="AL27"/>
      <c r="AM27" s="44" t="s">
        <v>87</v>
      </c>
      <c r="AN27" s="44" t="s">
        <v>87</v>
      </c>
      <c r="AO27" s="44" t="s">
        <v>87</v>
      </c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 s="44" t="s">
        <v>87</v>
      </c>
      <c r="AW27" s="44" t="s">
        <v>87</v>
      </c>
      <c r="AX27" s="44" t="s">
        <v>87</v>
      </c>
      <c r="AY27"/>
      <c r="AZ27" s="44" t="s">
        <v>87</v>
      </c>
      <c r="BA27"/>
      <c r="BB27"/>
      <c r="BC27" s="44" t="s">
        <v>87</v>
      </c>
    </row>
    <row r="28" spans="1:55" x14ac:dyDescent="0.25">
      <c r="A28" s="9" t="s">
        <v>9</v>
      </c>
      <c r="B28" s="3" t="s">
        <v>473</v>
      </c>
      <c r="C28" s="3" t="s">
        <v>483</v>
      </c>
      <c r="D28" s="3" t="s">
        <v>524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58"/>
      <c r="T28" s="44" t="s">
        <v>87</v>
      </c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25">
      <c r="A29" s="9" t="s">
        <v>456</v>
      </c>
      <c r="B29" s="3" t="s">
        <v>473</v>
      </c>
      <c r="C29" s="3" t="s">
        <v>483</v>
      </c>
      <c r="D29" s="3" t="s">
        <v>524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58"/>
      <c r="T29" s="44" t="s">
        <v>87</v>
      </c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25">
      <c r="A30" s="13" t="s">
        <v>21</v>
      </c>
      <c r="B30" s="3" t="s">
        <v>473</v>
      </c>
      <c r="C30" s="3" t="s">
        <v>483</v>
      </c>
      <c r="D30" s="3" t="s">
        <v>524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58"/>
      <c r="T30" s="44" t="s">
        <v>86</v>
      </c>
      <c r="V30" s="44" t="s">
        <v>86</v>
      </c>
      <c r="W30" s="44" t="s">
        <v>86</v>
      </c>
      <c r="X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/>
      <c r="AM30" s="44" t="s">
        <v>86</v>
      </c>
      <c r="AN30" s="44" t="s">
        <v>86</v>
      </c>
      <c r="AO30" s="44" t="s">
        <v>86</v>
      </c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 s="44" t="s">
        <v>86</v>
      </c>
      <c r="AW30" s="44" t="s">
        <v>86</v>
      </c>
      <c r="AX30" s="44" t="s">
        <v>86</v>
      </c>
      <c r="AY30"/>
      <c r="AZ30" s="44" t="s">
        <v>86</v>
      </c>
      <c r="BA30"/>
      <c r="BB30"/>
      <c r="BC30" s="44" t="s">
        <v>86</v>
      </c>
    </row>
    <row r="31" spans="1:55" x14ac:dyDescent="0.25">
      <c r="A31" s="13" t="s">
        <v>22</v>
      </c>
      <c r="B31" s="3" t="s">
        <v>473</v>
      </c>
      <c r="C31" s="3" t="s">
        <v>483</v>
      </c>
      <c r="D31" s="3" t="s">
        <v>524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59"/>
      <c r="T31" s="45" t="s">
        <v>436</v>
      </c>
      <c r="V31" s="45" t="s">
        <v>436</v>
      </c>
      <c r="W31" s="45" t="s">
        <v>436</v>
      </c>
      <c r="X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 s="45" t="s">
        <v>436</v>
      </c>
      <c r="AL31"/>
      <c r="AM31" s="45" t="s">
        <v>436</v>
      </c>
      <c r="AN31" s="45" t="s">
        <v>436</v>
      </c>
      <c r="AO31" s="45" t="s">
        <v>436</v>
      </c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 s="45" t="s">
        <v>436</v>
      </c>
      <c r="AW31" s="45" t="s">
        <v>436</v>
      </c>
      <c r="AX31" s="45" t="s">
        <v>436</v>
      </c>
      <c r="AY31"/>
      <c r="AZ31" s="45" t="s">
        <v>436</v>
      </c>
      <c r="BA31"/>
      <c r="BB31"/>
      <c r="BC31" s="45" t="s">
        <v>436</v>
      </c>
    </row>
    <row r="32" spans="1:55" x14ac:dyDescent="0.25">
      <c r="A32" s="13" t="s">
        <v>23</v>
      </c>
      <c r="B32" s="3" t="s">
        <v>473</v>
      </c>
      <c r="C32" s="3" t="s">
        <v>483</v>
      </c>
      <c r="D32" s="3" t="s">
        <v>524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58"/>
      <c r="T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/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 s="44">
        <v>9.9999999999999995E-7</v>
      </c>
      <c r="AW32" s="44">
        <v>9.9999999999999995E-7</v>
      </c>
      <c r="AX32" s="44">
        <v>9.9999999999999995E-7</v>
      </c>
      <c r="AY32"/>
      <c r="AZ32" s="44">
        <v>9.9999999999999995E-7</v>
      </c>
      <c r="BA32"/>
      <c r="BB32"/>
      <c r="BC32" s="44">
        <v>9.9999999999999995E-7</v>
      </c>
    </row>
    <row r="33" spans="1:55" x14ac:dyDescent="0.25">
      <c r="A33" s="13" t="s">
        <v>24</v>
      </c>
      <c r="B33" s="3" t="s">
        <v>473</v>
      </c>
      <c r="C33" s="3" t="s">
        <v>483</v>
      </c>
      <c r="D33" s="3" t="s">
        <v>524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58"/>
      <c r="T33" s="44">
        <v>1E-3</v>
      </c>
      <c r="V33" s="44">
        <v>1E-3</v>
      </c>
      <c r="W33" s="44">
        <v>1E-3</v>
      </c>
      <c r="X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 s="44">
        <v>1E-3</v>
      </c>
      <c r="AL33"/>
      <c r="AM33" s="44">
        <v>1E-3</v>
      </c>
      <c r="AN33" s="44">
        <v>1E-3</v>
      </c>
      <c r="AO33" s="44">
        <v>1E-3</v>
      </c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 s="44">
        <v>1E-3</v>
      </c>
      <c r="AW33" s="44">
        <v>1E-3</v>
      </c>
      <c r="AX33" s="44">
        <v>1E-3</v>
      </c>
      <c r="AY33"/>
      <c r="AZ33" s="44">
        <v>1E-3</v>
      </c>
      <c r="BA33"/>
      <c r="BB33"/>
      <c r="BC33" s="44">
        <v>1E-3</v>
      </c>
    </row>
    <row r="34" spans="1:55" x14ac:dyDescent="0.25">
      <c r="A34" s="13" t="s">
        <v>25</v>
      </c>
      <c r="B34" s="3" t="s">
        <v>473</v>
      </c>
      <c r="C34" s="3" t="s">
        <v>483</v>
      </c>
      <c r="D34" s="3" t="s">
        <v>524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58"/>
      <c r="T34" s="44" t="s">
        <v>86</v>
      </c>
      <c r="V34" s="44" t="s">
        <v>86</v>
      </c>
      <c r="W34" s="44" t="s">
        <v>86</v>
      </c>
      <c r="X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/>
      <c r="AM34" s="44" t="s">
        <v>86</v>
      </c>
      <c r="AN34" s="44" t="s">
        <v>86</v>
      </c>
      <c r="AO34" s="44" t="s">
        <v>86</v>
      </c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 s="44" t="s">
        <v>86</v>
      </c>
      <c r="AW34" s="44" t="s">
        <v>86</v>
      </c>
      <c r="AX34" s="44" t="s">
        <v>86</v>
      </c>
      <c r="AY34"/>
      <c r="AZ34" s="44" t="s">
        <v>86</v>
      </c>
      <c r="BA34"/>
      <c r="BB34"/>
      <c r="BC34" s="44" t="s">
        <v>86</v>
      </c>
    </row>
    <row r="35" spans="1:55" x14ac:dyDescent="0.25">
      <c r="A35" s="13" t="s">
        <v>26</v>
      </c>
      <c r="B35" s="3" t="s">
        <v>473</v>
      </c>
      <c r="C35" s="3" t="s">
        <v>483</v>
      </c>
      <c r="D35" s="3" t="s">
        <v>524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58"/>
      <c r="T35" s="44" t="s">
        <v>88</v>
      </c>
      <c r="V35" s="44" t="s">
        <v>88</v>
      </c>
      <c r="W35" s="44" t="s">
        <v>88</v>
      </c>
      <c r="X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 s="44" t="s">
        <v>88</v>
      </c>
      <c r="AL35"/>
      <c r="AM35" s="44" t="s">
        <v>88</v>
      </c>
      <c r="AN35" s="44" t="s">
        <v>88</v>
      </c>
      <c r="AO35" s="44" t="s">
        <v>88</v>
      </c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 s="44" t="s">
        <v>88</v>
      </c>
      <c r="AW35" s="44" t="s">
        <v>88</v>
      </c>
      <c r="AX35" s="44" t="s">
        <v>88</v>
      </c>
      <c r="AY35"/>
      <c r="AZ35" s="44" t="s">
        <v>88</v>
      </c>
      <c r="BA35"/>
      <c r="BB35"/>
      <c r="BC35" s="44" t="s">
        <v>88</v>
      </c>
    </row>
    <row r="36" spans="1:55" x14ac:dyDescent="0.25">
      <c r="A36" s="13" t="s">
        <v>27</v>
      </c>
      <c r="B36" s="3" t="s">
        <v>473</v>
      </c>
      <c r="C36" s="3" t="s">
        <v>483</v>
      </c>
      <c r="D36" s="3" t="s">
        <v>524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58"/>
      <c r="T36" s="44" t="s">
        <v>86</v>
      </c>
      <c r="V36" s="44" t="s">
        <v>86</v>
      </c>
      <c r="W36" s="44" t="s">
        <v>86</v>
      </c>
      <c r="X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/>
      <c r="AM36" s="44" t="s">
        <v>86</v>
      </c>
      <c r="AN36" s="44" t="s">
        <v>86</v>
      </c>
      <c r="AO36" s="44" t="s">
        <v>86</v>
      </c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 s="44" t="s">
        <v>86</v>
      </c>
      <c r="AW36" s="44" t="s">
        <v>86</v>
      </c>
      <c r="AX36" s="44" t="s">
        <v>86</v>
      </c>
      <c r="AY36"/>
      <c r="AZ36" s="44" t="s">
        <v>86</v>
      </c>
      <c r="BA36"/>
      <c r="BB36"/>
      <c r="BC36" s="44" t="s">
        <v>86</v>
      </c>
    </row>
    <row r="37" spans="1:55" x14ac:dyDescent="0.25">
      <c r="A37" s="13" t="s">
        <v>28</v>
      </c>
      <c r="B37" s="3" t="s">
        <v>473</v>
      </c>
      <c r="C37" s="3" t="s">
        <v>483</v>
      </c>
      <c r="D37" s="3" t="s">
        <v>524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58"/>
      <c r="T37" s="44" t="s">
        <v>87</v>
      </c>
      <c r="V37" s="44" t="s">
        <v>87</v>
      </c>
      <c r="W37" s="44" t="s">
        <v>87</v>
      </c>
      <c r="X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 s="44" t="s">
        <v>87</v>
      </c>
      <c r="AL37"/>
      <c r="AM37" s="44" t="s">
        <v>87</v>
      </c>
      <c r="AN37" s="44" t="s">
        <v>87</v>
      </c>
      <c r="AO37" s="44" t="s">
        <v>87</v>
      </c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 s="44" t="s">
        <v>87</v>
      </c>
      <c r="AW37" s="44" t="s">
        <v>87</v>
      </c>
      <c r="AX37" s="44" t="s">
        <v>87</v>
      </c>
      <c r="AY37"/>
      <c r="AZ37" s="44" t="s">
        <v>87</v>
      </c>
      <c r="BA37"/>
      <c r="BB37"/>
      <c r="BC37" s="44" t="s">
        <v>87</v>
      </c>
    </row>
    <row r="38" spans="1:55" x14ac:dyDescent="0.25">
      <c r="A38" s="13" t="s">
        <v>29</v>
      </c>
      <c r="B38" s="3" t="s">
        <v>473</v>
      </c>
      <c r="C38" s="3" t="s">
        <v>483</v>
      </c>
      <c r="D38" s="3" t="s">
        <v>524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58"/>
      <c r="T38" s="44">
        <v>120</v>
      </c>
      <c r="V38" s="44">
        <v>120</v>
      </c>
      <c r="W38" s="44">
        <v>120</v>
      </c>
      <c r="X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 s="44">
        <v>120</v>
      </c>
      <c r="AL38"/>
      <c r="AM38" s="44">
        <v>120</v>
      </c>
      <c r="AN38" s="44">
        <v>120</v>
      </c>
      <c r="AO38" s="44">
        <v>120</v>
      </c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 s="44">
        <v>120</v>
      </c>
      <c r="AW38" s="44">
        <v>120</v>
      </c>
      <c r="AX38" s="44">
        <v>120</v>
      </c>
      <c r="AY38"/>
      <c r="AZ38" s="44">
        <v>120</v>
      </c>
      <c r="BA38"/>
      <c r="BB38"/>
      <c r="BC38" s="44">
        <v>120</v>
      </c>
    </row>
    <row r="39" spans="1:55" x14ac:dyDescent="0.25">
      <c r="A39" s="13" t="s">
        <v>30</v>
      </c>
      <c r="B39" s="3" t="s">
        <v>473</v>
      </c>
      <c r="C39" s="3" t="s">
        <v>483</v>
      </c>
      <c r="D39" s="3" t="s">
        <v>524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58"/>
      <c r="T39" s="44">
        <v>0</v>
      </c>
      <c r="V39" s="44">
        <v>0</v>
      </c>
      <c r="W39" s="44">
        <v>0</v>
      </c>
      <c r="X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 s="44">
        <v>0</v>
      </c>
      <c r="AL39"/>
      <c r="AM39" s="44">
        <v>0</v>
      </c>
      <c r="AN39" s="44">
        <v>0</v>
      </c>
      <c r="AO39" s="44">
        <v>0</v>
      </c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 s="44">
        <v>0</v>
      </c>
      <c r="AW39" s="44">
        <v>0</v>
      </c>
      <c r="AX39" s="44">
        <v>0</v>
      </c>
      <c r="AY39"/>
      <c r="AZ39" s="44">
        <v>0</v>
      </c>
      <c r="BA39"/>
      <c r="BB39"/>
      <c r="BC39" s="44">
        <v>0</v>
      </c>
    </row>
    <row r="40" spans="1:55" x14ac:dyDescent="0.25">
      <c r="A40" s="13" t="s">
        <v>31</v>
      </c>
      <c r="B40" s="3" t="s">
        <v>473</v>
      </c>
      <c r="C40" s="3" t="s">
        <v>483</v>
      </c>
      <c r="D40" s="3" t="s">
        <v>524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58"/>
      <c r="T40" s="44">
        <v>0</v>
      </c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25">
      <c r="A41" s="13" t="s">
        <v>32</v>
      </c>
      <c r="B41" s="3" t="s">
        <v>473</v>
      </c>
      <c r="C41" s="3" t="s">
        <v>483</v>
      </c>
      <c r="D41" s="3" t="s">
        <v>524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58"/>
      <c r="T41" s="44">
        <v>-0.1</v>
      </c>
      <c r="V41" s="44">
        <v>-0.1</v>
      </c>
      <c r="W41" s="44">
        <v>-0.1</v>
      </c>
      <c r="X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 s="44">
        <v>-0.1</v>
      </c>
      <c r="AL41"/>
      <c r="AM41" s="44">
        <v>-0.1</v>
      </c>
      <c r="AN41" s="44">
        <v>-0.1</v>
      </c>
      <c r="AO41" s="44">
        <v>-0.1</v>
      </c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 s="44">
        <v>-0.1</v>
      </c>
      <c r="AW41" s="44">
        <v>-0.1</v>
      </c>
      <c r="AX41" s="44">
        <v>-0.1</v>
      </c>
      <c r="AY41"/>
      <c r="AZ41" s="44">
        <v>-0.1</v>
      </c>
      <c r="BA41"/>
      <c r="BB41"/>
      <c r="BC41" s="44">
        <v>-0.1</v>
      </c>
    </row>
    <row r="42" spans="1:55" x14ac:dyDescent="0.25">
      <c r="A42" s="13" t="s">
        <v>33</v>
      </c>
      <c r="B42" s="3" t="s">
        <v>473</v>
      </c>
      <c r="C42" s="3" t="s">
        <v>483</v>
      </c>
      <c r="D42" s="3" t="s">
        <v>524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58"/>
      <c r="T42" s="44">
        <v>-0.2</v>
      </c>
      <c r="V42" s="44">
        <v>-0.2</v>
      </c>
      <c r="W42" s="44">
        <v>-0.2</v>
      </c>
      <c r="X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 s="44">
        <v>-0.2</v>
      </c>
      <c r="AL42"/>
      <c r="AM42" s="44">
        <v>-0.2</v>
      </c>
      <c r="AN42" s="44">
        <v>-0.2</v>
      </c>
      <c r="AO42" s="44">
        <v>-0.2</v>
      </c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 s="44">
        <v>-0.2</v>
      </c>
      <c r="AW42" s="44">
        <v>-0.2</v>
      </c>
      <c r="AX42" s="44">
        <v>-0.2</v>
      </c>
      <c r="AY42"/>
      <c r="AZ42" s="44">
        <v>-0.2</v>
      </c>
      <c r="BA42"/>
      <c r="BB42"/>
      <c r="BC42" s="44">
        <v>-0.2</v>
      </c>
    </row>
    <row r="43" spans="1:55" x14ac:dyDescent="0.25">
      <c r="A43" s="13" t="s">
        <v>34</v>
      </c>
      <c r="B43" s="3" t="s">
        <v>473</v>
      </c>
      <c r="C43" s="3" t="s">
        <v>483</v>
      </c>
      <c r="D43" s="3" t="s">
        <v>524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58"/>
      <c r="T43" s="44">
        <v>0.4</v>
      </c>
      <c r="V43" s="44">
        <v>0.4</v>
      </c>
      <c r="W43" s="44">
        <v>0.4</v>
      </c>
      <c r="X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 s="44">
        <v>0.4</v>
      </c>
      <c r="AL43"/>
      <c r="AM43" s="44">
        <v>0.4</v>
      </c>
      <c r="AN43" s="44">
        <v>0.4</v>
      </c>
      <c r="AO43" s="44">
        <v>0.4</v>
      </c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 s="44">
        <v>0.4</v>
      </c>
      <c r="AW43" s="44">
        <v>0.4</v>
      </c>
      <c r="AX43" s="44">
        <v>0.4</v>
      </c>
      <c r="AY43"/>
      <c r="AZ43" s="44">
        <v>0.4</v>
      </c>
      <c r="BA43"/>
      <c r="BB43"/>
      <c r="BC43" s="44">
        <v>0.4</v>
      </c>
    </row>
    <row r="44" spans="1:55" x14ac:dyDescent="0.25">
      <c r="A44" s="13" t="s">
        <v>35</v>
      </c>
      <c r="B44" s="3" t="s">
        <v>473</v>
      </c>
      <c r="C44" s="3" t="s">
        <v>483</v>
      </c>
      <c r="D44" s="3" t="s">
        <v>524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58"/>
      <c r="T44" s="44">
        <v>0</v>
      </c>
      <c r="V44" s="44">
        <v>0</v>
      </c>
      <c r="W44" s="44">
        <v>0</v>
      </c>
      <c r="X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 s="44">
        <v>0</v>
      </c>
      <c r="AL44"/>
      <c r="AM44" s="44">
        <v>0</v>
      </c>
      <c r="AN44" s="44">
        <v>0</v>
      </c>
      <c r="AO44" s="44">
        <v>0</v>
      </c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 s="44">
        <v>0</v>
      </c>
      <c r="AW44" s="44">
        <v>0</v>
      </c>
      <c r="AX44" s="44">
        <v>0</v>
      </c>
      <c r="AY44"/>
      <c r="AZ44" s="44">
        <v>0</v>
      </c>
      <c r="BA44"/>
      <c r="BB44"/>
      <c r="BC44" s="44">
        <v>0</v>
      </c>
    </row>
    <row r="45" spans="1:55" x14ac:dyDescent="0.25">
      <c r="A45" s="13" t="s">
        <v>437</v>
      </c>
      <c r="B45" s="3" t="s">
        <v>473</v>
      </c>
      <c r="C45" s="3" t="s">
        <v>483</v>
      </c>
      <c r="D45" s="3" t="s">
        <v>524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58"/>
      <c r="T45" s="44">
        <v>1200</v>
      </c>
      <c r="V45" s="44">
        <v>1200</v>
      </c>
      <c r="W45" s="44">
        <v>1200</v>
      </c>
      <c r="X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 s="44">
        <v>1200</v>
      </c>
      <c r="AL45"/>
      <c r="AM45" s="44">
        <v>1200</v>
      </c>
      <c r="AN45" s="44">
        <v>1200</v>
      </c>
      <c r="AO45" s="44">
        <v>1200</v>
      </c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 s="44">
        <v>1200</v>
      </c>
      <c r="AW45" s="44">
        <v>1200</v>
      </c>
      <c r="AX45" s="44">
        <v>1200</v>
      </c>
      <c r="AY45"/>
      <c r="AZ45" s="44">
        <v>1200</v>
      </c>
      <c r="BA45"/>
      <c r="BB45"/>
      <c r="BC45" s="44">
        <v>1200</v>
      </c>
    </row>
    <row r="46" spans="1:55" x14ac:dyDescent="0.25">
      <c r="A46" s="13" t="s">
        <v>438</v>
      </c>
      <c r="B46" s="3" t="s">
        <v>473</v>
      </c>
      <c r="C46" s="3" t="s">
        <v>483</v>
      </c>
      <c r="D46" s="3" t="s">
        <v>524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58"/>
      <c r="T46" s="44">
        <v>1200</v>
      </c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25">
      <c r="A47" s="13" t="s">
        <v>459</v>
      </c>
      <c r="B47" s="3" t="s">
        <v>473</v>
      </c>
      <c r="C47" s="3" t="s">
        <v>483</v>
      </c>
      <c r="D47" s="3" t="s">
        <v>524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58"/>
      <c r="T47" s="44" t="s">
        <v>462</v>
      </c>
      <c r="V47" s="44" t="s">
        <v>462</v>
      </c>
      <c r="W47" s="44" t="s">
        <v>462</v>
      </c>
      <c r="X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 s="44" t="s">
        <v>462</v>
      </c>
      <c r="AL47"/>
      <c r="AM47" s="44" t="s">
        <v>462</v>
      </c>
      <c r="AN47" s="44" t="s">
        <v>462</v>
      </c>
      <c r="AO47" s="44" t="s">
        <v>462</v>
      </c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 s="44" t="s">
        <v>462</v>
      </c>
      <c r="AW47" s="44" t="s">
        <v>462</v>
      </c>
      <c r="AX47" s="44" t="s">
        <v>462</v>
      </c>
      <c r="AY47"/>
      <c r="AZ47" s="44" t="s">
        <v>462</v>
      </c>
      <c r="BA47"/>
      <c r="BB47"/>
      <c r="BC47" s="44" t="s">
        <v>462</v>
      </c>
    </row>
    <row r="48" spans="1:55" x14ac:dyDescent="0.25">
      <c r="A48" s="13" t="s">
        <v>15</v>
      </c>
      <c r="B48" s="3" t="s">
        <v>473</v>
      </c>
      <c r="C48" s="3" t="s">
        <v>483</v>
      </c>
      <c r="D48" s="3" t="s">
        <v>524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58"/>
      <c r="T48" s="44" t="s">
        <v>86</v>
      </c>
      <c r="V48" s="44" t="s">
        <v>86</v>
      </c>
      <c r="W48" s="44" t="s">
        <v>86</v>
      </c>
      <c r="X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/>
      <c r="AM48" s="44" t="s">
        <v>86</v>
      </c>
      <c r="AN48" s="44" t="s">
        <v>86</v>
      </c>
      <c r="AO48" s="44" t="s">
        <v>86</v>
      </c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 s="44" t="s">
        <v>86</v>
      </c>
      <c r="AW48" s="44" t="s">
        <v>86</v>
      </c>
      <c r="AX48" s="44" t="s">
        <v>86</v>
      </c>
      <c r="AY48"/>
      <c r="AZ48" s="44" t="s">
        <v>86</v>
      </c>
      <c r="BA48"/>
      <c r="BB48"/>
      <c r="BC48" s="44" t="s">
        <v>86</v>
      </c>
    </row>
    <row r="49" spans="1:55" x14ac:dyDescent="0.25">
      <c r="A49" s="11" t="s">
        <v>16</v>
      </c>
      <c r="B49" s="3" t="s">
        <v>473</v>
      </c>
      <c r="C49" s="3" t="s">
        <v>483</v>
      </c>
      <c r="D49" s="3" t="s">
        <v>524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58"/>
      <c r="T49" s="44" t="s">
        <v>86</v>
      </c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25">
      <c r="A50" s="11" t="s">
        <v>17</v>
      </c>
      <c r="B50" s="3" t="s">
        <v>473</v>
      </c>
      <c r="C50" s="3" t="s">
        <v>483</v>
      </c>
      <c r="D50" s="3" t="s">
        <v>524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58"/>
      <c r="T50" s="44">
        <v>0</v>
      </c>
      <c r="V50" s="44">
        <v>0</v>
      </c>
      <c r="W50" s="44">
        <v>0</v>
      </c>
      <c r="X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 s="44">
        <v>0</v>
      </c>
      <c r="AL50"/>
      <c r="AM50" s="44">
        <v>0</v>
      </c>
      <c r="AN50" s="44">
        <v>0</v>
      </c>
      <c r="AO50" s="44">
        <v>0</v>
      </c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 s="44">
        <v>0</v>
      </c>
      <c r="AW50" s="44">
        <v>0</v>
      </c>
      <c r="AX50" s="44">
        <v>0</v>
      </c>
      <c r="AY50"/>
      <c r="AZ50" s="44">
        <v>0</v>
      </c>
      <c r="BA50"/>
      <c r="BB50"/>
      <c r="BC50" s="44">
        <v>0</v>
      </c>
    </row>
    <row r="51" spans="1:55" x14ac:dyDescent="0.25">
      <c r="A51" s="11" t="s">
        <v>18</v>
      </c>
      <c r="B51" s="3" t="s">
        <v>473</v>
      </c>
      <c r="C51" s="3" t="s">
        <v>483</v>
      </c>
      <c r="D51" s="3" t="s">
        <v>524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58"/>
      <c r="T51" s="44">
        <v>0.5</v>
      </c>
      <c r="V51" s="44">
        <v>0.5</v>
      </c>
      <c r="W51" s="44">
        <v>0.5</v>
      </c>
      <c r="X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 s="44">
        <v>0.5</v>
      </c>
      <c r="AL51"/>
      <c r="AM51" s="44">
        <v>0.5</v>
      </c>
      <c r="AN51" s="44">
        <v>0.5</v>
      </c>
      <c r="AO51" s="44">
        <v>0.5</v>
      </c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 s="44">
        <v>0.5</v>
      </c>
      <c r="AW51" s="44">
        <v>0.5</v>
      </c>
      <c r="AX51" s="44">
        <v>0.5</v>
      </c>
      <c r="AY51"/>
      <c r="AZ51" s="44">
        <v>0.5</v>
      </c>
      <c r="BA51"/>
      <c r="BB51"/>
      <c r="BC51" s="44">
        <v>0.5</v>
      </c>
    </row>
    <row r="52" spans="1:55" x14ac:dyDescent="0.25">
      <c r="A52" s="11" t="s">
        <v>19</v>
      </c>
      <c r="B52" s="3" t="s">
        <v>473</v>
      </c>
      <c r="C52" s="3" t="s">
        <v>483</v>
      </c>
      <c r="D52" s="3" t="s">
        <v>524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58"/>
      <c r="T52" s="44">
        <v>0.05</v>
      </c>
      <c r="V52" s="44">
        <v>0.05</v>
      </c>
      <c r="W52" s="44">
        <v>0.05</v>
      </c>
      <c r="X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 s="44">
        <v>0.05</v>
      </c>
      <c r="AL52"/>
      <c r="AM52" s="44">
        <v>0.05</v>
      </c>
      <c r="AN52" s="44">
        <v>0.05</v>
      </c>
      <c r="AO52" s="44">
        <v>0.05</v>
      </c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 s="44">
        <v>0.05</v>
      </c>
      <c r="AW52" s="44">
        <v>0.05</v>
      </c>
      <c r="AX52" s="44">
        <v>0.05</v>
      </c>
      <c r="AY52"/>
      <c r="AZ52" s="44">
        <v>0.05</v>
      </c>
      <c r="BA52"/>
      <c r="BB52"/>
      <c r="BC52" s="44">
        <v>0.05</v>
      </c>
    </row>
    <row r="53" spans="1:55" x14ac:dyDescent="0.25">
      <c r="A53" s="15" t="s">
        <v>36</v>
      </c>
      <c r="B53" s="3" t="s">
        <v>473</v>
      </c>
      <c r="C53" s="3" t="s">
        <v>483</v>
      </c>
      <c r="D53" s="3" t="s">
        <v>524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58"/>
      <c r="T53" s="44">
        <v>1E-3</v>
      </c>
      <c r="V53" s="44">
        <v>1E-3</v>
      </c>
      <c r="W53" s="44">
        <v>1E-3</v>
      </c>
      <c r="X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 s="44">
        <v>1E-3</v>
      </c>
      <c r="AL53"/>
      <c r="AM53" s="44">
        <v>1E-3</v>
      </c>
      <c r="AN53" s="44">
        <v>1E-3</v>
      </c>
      <c r="AO53" s="44">
        <v>1E-3</v>
      </c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 s="44">
        <v>1E-3</v>
      </c>
      <c r="AW53" s="44">
        <v>1E-3</v>
      </c>
      <c r="AX53" s="44">
        <v>1E-3</v>
      </c>
      <c r="AY53"/>
      <c r="AZ53" s="44">
        <v>1E-3</v>
      </c>
      <c r="BA53"/>
      <c r="BB53"/>
      <c r="BC53" s="44">
        <v>1E-3</v>
      </c>
    </row>
    <row r="54" spans="1:55" x14ac:dyDescent="0.25">
      <c r="A54" s="15" t="s">
        <v>379</v>
      </c>
      <c r="B54" s="3" t="s">
        <v>473</v>
      </c>
      <c r="C54" s="3" t="s">
        <v>483</v>
      </c>
      <c r="D54" s="3" t="s">
        <v>524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58"/>
      <c r="T54" s="44">
        <v>0</v>
      </c>
      <c r="V54" s="44">
        <v>0</v>
      </c>
      <c r="W54" s="44">
        <v>0</v>
      </c>
      <c r="X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 s="44">
        <v>0</v>
      </c>
      <c r="AL54"/>
      <c r="AM54" s="44">
        <v>0</v>
      </c>
      <c r="AN54" s="44">
        <v>0</v>
      </c>
      <c r="AO54" s="44">
        <v>0</v>
      </c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 s="44">
        <v>0</v>
      </c>
      <c r="AW54" s="44">
        <v>0</v>
      </c>
      <c r="AX54" s="44">
        <v>0</v>
      </c>
      <c r="AY54"/>
      <c r="AZ54" s="44">
        <v>0</v>
      </c>
      <c r="BA54"/>
      <c r="BB54"/>
      <c r="BC54" s="44">
        <v>0</v>
      </c>
    </row>
    <row r="55" spans="1:55" x14ac:dyDescent="0.25">
      <c r="A55" s="15" t="s">
        <v>37</v>
      </c>
      <c r="B55" s="3" t="s">
        <v>473</v>
      </c>
      <c r="C55" s="3" t="s">
        <v>483</v>
      </c>
      <c r="D55" s="3" t="s">
        <v>524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58"/>
      <c r="T55" s="44">
        <v>1E-4</v>
      </c>
      <c r="V55" s="44">
        <v>1E-4</v>
      </c>
      <c r="W55" s="44">
        <v>1E-4</v>
      </c>
      <c r="X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 s="44">
        <v>1E-4</v>
      </c>
      <c r="AL55"/>
      <c r="AM55" s="44">
        <v>1E-4</v>
      </c>
      <c r="AN55" s="44">
        <v>1E-4</v>
      </c>
      <c r="AO55" s="44">
        <v>1E-4</v>
      </c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 s="44">
        <v>1E-4</v>
      </c>
      <c r="AW55" s="44">
        <v>1E-4</v>
      </c>
      <c r="AX55" s="44">
        <v>1E-4</v>
      </c>
      <c r="AY55"/>
      <c r="AZ55" s="44">
        <v>1E-4</v>
      </c>
      <c r="BA55"/>
      <c r="BB55"/>
      <c r="BC55" s="44">
        <v>1E-4</v>
      </c>
    </row>
    <row r="56" spans="1:55" x14ac:dyDescent="0.25">
      <c r="A56" s="15" t="s">
        <v>38</v>
      </c>
      <c r="B56" s="3" t="s">
        <v>473</v>
      </c>
      <c r="C56" s="3" t="s">
        <v>483</v>
      </c>
      <c r="D56" s="3" t="s">
        <v>524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58"/>
      <c r="T56" s="44">
        <v>1E-4</v>
      </c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25">
      <c r="A57" s="17" t="s">
        <v>39</v>
      </c>
      <c r="B57" s="3" t="s">
        <v>473</v>
      </c>
      <c r="C57" s="3" t="s">
        <v>483</v>
      </c>
      <c r="D57" s="3" t="s">
        <v>524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58"/>
      <c r="T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/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 s="44">
        <v>6.9999999999999999E-4</v>
      </c>
      <c r="AW57" s="44">
        <v>6.9999999999999999E-4</v>
      </c>
      <c r="AX57" s="44">
        <v>6.9999999999999999E-4</v>
      </c>
      <c r="AY57"/>
      <c r="AZ57" s="44">
        <v>6.9999999999999999E-4</v>
      </c>
      <c r="BA57"/>
      <c r="BB57"/>
      <c r="BC57" s="44">
        <v>6.9999999999999999E-4</v>
      </c>
    </row>
    <row r="58" spans="1:55" x14ac:dyDescent="0.25">
      <c r="A58" s="17" t="s">
        <v>40</v>
      </c>
      <c r="B58" s="3" t="s">
        <v>473</v>
      </c>
      <c r="C58" s="3" t="s">
        <v>483</v>
      </c>
      <c r="D58" s="3" t="s">
        <v>524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58"/>
      <c r="T58" s="44">
        <v>1.22E-4</v>
      </c>
      <c r="V58" s="44">
        <v>1.22E-4</v>
      </c>
      <c r="W58" s="44">
        <v>1.22E-4</v>
      </c>
      <c r="X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 s="44">
        <v>1.22E-4</v>
      </c>
      <c r="AL58"/>
      <c r="AM58" s="44">
        <v>1.22E-4</v>
      </c>
      <c r="AN58" s="44">
        <v>1.22E-4</v>
      </c>
      <c r="AO58" s="44">
        <v>1.22E-4</v>
      </c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 s="44">
        <v>1.22E-4</v>
      </c>
      <c r="AW58" s="44">
        <v>1.22E-4</v>
      </c>
      <c r="AX58" s="44">
        <v>1.22E-4</v>
      </c>
      <c r="AY58"/>
      <c r="AZ58" s="44">
        <v>1.22E-4</v>
      </c>
      <c r="BA58"/>
      <c r="BB58"/>
      <c r="BC58" s="44">
        <v>1.22E-4</v>
      </c>
    </row>
    <row r="59" spans="1:55" x14ac:dyDescent="0.25">
      <c r="A59" s="17" t="s">
        <v>206</v>
      </c>
      <c r="B59" s="3" t="s">
        <v>473</v>
      </c>
      <c r="C59" s="3" t="s">
        <v>483</v>
      </c>
      <c r="D59" s="3" t="s">
        <v>524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58"/>
      <c r="T59" s="44">
        <v>1</v>
      </c>
      <c r="V59" s="44">
        <v>1</v>
      </c>
      <c r="W59" s="44">
        <v>1</v>
      </c>
      <c r="X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 s="44">
        <v>1</v>
      </c>
      <c r="AL59"/>
      <c r="AM59" s="44">
        <v>1</v>
      </c>
      <c r="AN59" s="44">
        <v>1</v>
      </c>
      <c r="AO59" s="44">
        <v>1</v>
      </c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 s="44">
        <v>1</v>
      </c>
      <c r="AW59" s="44">
        <v>1</v>
      </c>
      <c r="AX59" s="44">
        <v>1</v>
      </c>
      <c r="AY59"/>
      <c r="AZ59" s="44">
        <v>1</v>
      </c>
      <c r="BA59"/>
      <c r="BB59"/>
      <c r="BC59" s="44">
        <v>1</v>
      </c>
    </row>
    <row r="60" spans="1:55" x14ac:dyDescent="0.25">
      <c r="A60" s="17" t="s">
        <v>41</v>
      </c>
      <c r="B60" s="3" t="s">
        <v>473</v>
      </c>
      <c r="C60" s="3" t="s">
        <v>483</v>
      </c>
      <c r="D60" s="3" t="s">
        <v>524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58"/>
      <c r="T60" s="44">
        <v>0.95</v>
      </c>
      <c r="V60" s="44">
        <v>0.95</v>
      </c>
      <c r="W60" s="44">
        <v>0.95</v>
      </c>
      <c r="X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 s="44">
        <v>0.95</v>
      </c>
      <c r="AL60"/>
      <c r="AM60" s="44">
        <v>0.95</v>
      </c>
      <c r="AN60" s="44">
        <v>0.95</v>
      </c>
      <c r="AO60" s="44">
        <v>0.95</v>
      </c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 s="44">
        <v>0.95</v>
      </c>
      <c r="AW60" s="44">
        <v>0.95</v>
      </c>
      <c r="AX60" s="44">
        <v>0.95</v>
      </c>
      <c r="AY60"/>
      <c r="AZ60" s="44">
        <v>0.95</v>
      </c>
      <c r="BA60"/>
      <c r="BB60"/>
      <c r="BC60" s="44">
        <v>0.95</v>
      </c>
    </row>
    <row r="61" spans="1:55" x14ac:dyDescent="0.25">
      <c r="A61" s="17" t="s">
        <v>406</v>
      </c>
      <c r="B61" s="3" t="s">
        <v>473</v>
      </c>
      <c r="C61" s="3" t="s">
        <v>483</v>
      </c>
      <c r="D61" s="3" t="s">
        <v>524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58"/>
      <c r="T61" s="44" t="s">
        <v>87</v>
      </c>
      <c r="V61" s="44" t="s">
        <v>87</v>
      </c>
      <c r="W61" s="44" t="s">
        <v>87</v>
      </c>
      <c r="X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 s="44" t="s">
        <v>87</v>
      </c>
      <c r="AL61"/>
      <c r="AM61" s="44" t="s">
        <v>87</v>
      </c>
      <c r="AN61" s="44" t="s">
        <v>87</v>
      </c>
      <c r="AO61" s="44" t="s">
        <v>87</v>
      </c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 s="44" t="s">
        <v>87</v>
      </c>
      <c r="AW61" s="44" t="s">
        <v>87</v>
      </c>
      <c r="AX61" s="44" t="s">
        <v>87</v>
      </c>
      <c r="AY61"/>
      <c r="AZ61" s="44" t="s">
        <v>87</v>
      </c>
      <c r="BA61"/>
      <c r="BB61"/>
      <c r="BC61" s="44" t="s">
        <v>87</v>
      </c>
    </row>
    <row r="62" spans="1:55" x14ac:dyDescent="0.25">
      <c r="A62" s="17" t="s">
        <v>90</v>
      </c>
      <c r="B62" s="3" t="s">
        <v>473</v>
      </c>
      <c r="C62" s="3" t="s">
        <v>483</v>
      </c>
      <c r="D62" s="3" t="s">
        <v>524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58"/>
      <c r="T62" s="44">
        <v>5</v>
      </c>
      <c r="V62" s="44">
        <v>5</v>
      </c>
      <c r="W62" s="44">
        <v>5</v>
      </c>
      <c r="X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 s="44">
        <v>5</v>
      </c>
      <c r="AL62"/>
      <c r="AM62" s="44">
        <v>5</v>
      </c>
      <c r="AN62" s="44">
        <v>5</v>
      </c>
      <c r="AO62" s="44">
        <v>5</v>
      </c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 s="44">
        <v>5</v>
      </c>
      <c r="AW62" s="44">
        <v>5</v>
      </c>
      <c r="AX62" s="44">
        <v>5</v>
      </c>
      <c r="AY62"/>
      <c r="AZ62" s="44">
        <v>5</v>
      </c>
      <c r="BA62"/>
      <c r="BB62"/>
      <c r="BC62" s="44">
        <v>5</v>
      </c>
    </row>
    <row r="63" spans="1:55" x14ac:dyDescent="0.25">
      <c r="A63" s="17" t="s">
        <v>408</v>
      </c>
      <c r="B63" s="3" t="s">
        <v>473</v>
      </c>
      <c r="C63" s="3" t="s">
        <v>483</v>
      </c>
      <c r="D63" s="3" t="s">
        <v>524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58"/>
      <c r="T63" s="44" t="s">
        <v>87</v>
      </c>
      <c r="V63" s="44" t="s">
        <v>87</v>
      </c>
      <c r="W63" s="44" t="s">
        <v>87</v>
      </c>
      <c r="X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 s="44" t="s">
        <v>87</v>
      </c>
      <c r="AL63"/>
      <c r="AM63" s="44" t="s">
        <v>87</v>
      </c>
      <c r="AN63" s="44" t="s">
        <v>87</v>
      </c>
      <c r="AO63" s="44" t="s">
        <v>87</v>
      </c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 s="44" t="s">
        <v>87</v>
      </c>
      <c r="AW63" s="44" t="s">
        <v>87</v>
      </c>
      <c r="AX63" s="44" t="s">
        <v>87</v>
      </c>
      <c r="AY63"/>
      <c r="AZ63" s="44" t="s">
        <v>87</v>
      </c>
      <c r="BA63"/>
      <c r="BB63"/>
      <c r="BC63" s="44" t="s">
        <v>87</v>
      </c>
    </row>
    <row r="64" spans="1:55" x14ac:dyDescent="0.25">
      <c r="A64" s="17" t="s">
        <v>42</v>
      </c>
      <c r="B64" s="3" t="s">
        <v>473</v>
      </c>
      <c r="C64" s="3" t="s">
        <v>483</v>
      </c>
      <c r="D64" s="3" t="s">
        <v>524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58"/>
      <c r="T64" s="44">
        <v>50</v>
      </c>
      <c r="V64" s="44">
        <v>50</v>
      </c>
      <c r="W64" s="44">
        <v>50</v>
      </c>
      <c r="X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 s="44">
        <v>50</v>
      </c>
      <c r="AL64"/>
      <c r="AM64" s="44">
        <v>50</v>
      </c>
      <c r="AN64" s="44">
        <v>50</v>
      </c>
      <c r="AO64" s="44">
        <v>50</v>
      </c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 s="44">
        <v>50</v>
      </c>
      <c r="AW64" s="44">
        <v>50</v>
      </c>
      <c r="AX64" s="44">
        <v>50</v>
      </c>
      <c r="AY64"/>
      <c r="AZ64" s="44">
        <v>50</v>
      </c>
      <c r="BA64"/>
      <c r="BB64"/>
      <c r="BC64" s="44">
        <v>50</v>
      </c>
    </row>
    <row r="65" spans="1:55" x14ac:dyDescent="0.25">
      <c r="A65" s="17" t="s">
        <v>207</v>
      </c>
      <c r="B65" s="3" t="s">
        <v>473</v>
      </c>
      <c r="C65" s="3" t="s">
        <v>483</v>
      </c>
      <c r="D65" s="3" t="s">
        <v>524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58"/>
      <c r="T65" s="44">
        <v>1453890.8941884842</v>
      </c>
      <c r="V65" s="44">
        <v>1453890.8941884842</v>
      </c>
      <c r="W65" s="44">
        <v>1453890.8941884842</v>
      </c>
      <c r="X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/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 s="44">
        <v>1453890.8941884842</v>
      </c>
      <c r="AW65" s="44">
        <v>1453890.8941884842</v>
      </c>
      <c r="AX65" s="44">
        <v>1453890.8941884842</v>
      </c>
      <c r="AY65"/>
      <c r="AZ65" s="44">
        <v>1453890.8941884842</v>
      </c>
      <c r="BA65"/>
      <c r="BB65"/>
      <c r="BC65" s="44">
        <v>1453890.8941884842</v>
      </c>
    </row>
    <row r="66" spans="1:55" x14ac:dyDescent="0.25">
      <c r="A66" s="17" t="s">
        <v>43</v>
      </c>
      <c r="B66" s="3" t="s">
        <v>473</v>
      </c>
      <c r="C66" s="3" t="s">
        <v>483</v>
      </c>
      <c r="D66" s="3" t="s">
        <v>524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58"/>
      <c r="T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/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 s="44">
        <v>1.3888888888888888E-5</v>
      </c>
      <c r="AW66" s="44">
        <v>1.3888888888888888E-5</v>
      </c>
      <c r="AX66" s="44">
        <v>1.3888888888888888E-5</v>
      </c>
      <c r="AY66"/>
      <c r="AZ66" s="44">
        <v>1.3888888888888888E-5</v>
      </c>
      <c r="BA66"/>
      <c r="BB66"/>
      <c r="BC66" s="44">
        <v>1.3888888888888888E-5</v>
      </c>
    </row>
    <row r="67" spans="1:55" x14ac:dyDescent="0.25">
      <c r="A67" s="17" t="s">
        <v>44</v>
      </c>
      <c r="B67" s="3" t="s">
        <v>473</v>
      </c>
      <c r="C67" s="3" t="s">
        <v>483</v>
      </c>
      <c r="D67" s="3" t="s">
        <v>524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58"/>
      <c r="T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/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 s="44">
        <v>6.5011574074074071E-4</v>
      </c>
      <c r="AW67" s="44">
        <v>6.5011574074074071E-4</v>
      </c>
      <c r="AX67" s="44">
        <v>6.5011574074074071E-4</v>
      </c>
      <c r="AY67"/>
      <c r="AZ67" s="44">
        <v>6.5011574074074071E-4</v>
      </c>
      <c r="BA67"/>
      <c r="BB67"/>
      <c r="BC67" s="44">
        <v>6.5011574074074071E-4</v>
      </c>
    </row>
    <row r="68" spans="1:55" x14ac:dyDescent="0.25">
      <c r="A68" s="17" t="s">
        <v>45</v>
      </c>
      <c r="B68" s="3" t="s">
        <v>473</v>
      </c>
      <c r="C68" s="3" t="s">
        <v>483</v>
      </c>
      <c r="D68" s="3" t="s">
        <v>524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58"/>
      <c r="T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/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 s="44">
        <v>4.7400000000000003E-3</v>
      </c>
      <c r="AW68" s="44">
        <v>4.7400000000000003E-3</v>
      </c>
      <c r="AX68" s="44">
        <v>4.7400000000000003E-3</v>
      </c>
      <c r="AY68"/>
      <c r="AZ68" s="44">
        <v>4.7400000000000003E-3</v>
      </c>
      <c r="BA68"/>
      <c r="BB68"/>
      <c r="BC68" s="44">
        <v>4.7400000000000003E-3</v>
      </c>
    </row>
    <row r="69" spans="1:55" x14ac:dyDescent="0.25">
      <c r="A69" s="17" t="s">
        <v>46</v>
      </c>
      <c r="B69" s="3" t="s">
        <v>473</v>
      </c>
      <c r="C69" s="3" t="s">
        <v>483</v>
      </c>
      <c r="D69" s="3" t="s">
        <v>524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58"/>
      <c r="T69" s="44">
        <v>282528</v>
      </c>
      <c r="V69" s="44">
        <v>282528</v>
      </c>
      <c r="W69" s="44">
        <v>282528</v>
      </c>
      <c r="X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 s="44">
        <v>282528</v>
      </c>
      <c r="AL69"/>
      <c r="AM69" s="44">
        <v>282528</v>
      </c>
      <c r="AN69" s="44">
        <v>282528</v>
      </c>
      <c r="AO69" s="44">
        <v>282528</v>
      </c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 s="44">
        <v>282528</v>
      </c>
      <c r="AW69" s="44">
        <v>282528</v>
      </c>
      <c r="AX69" s="44">
        <v>282528</v>
      </c>
      <c r="AY69"/>
      <c r="AZ69" s="44">
        <v>282528</v>
      </c>
      <c r="BA69"/>
      <c r="BB69"/>
      <c r="BC69" s="44">
        <v>282528</v>
      </c>
    </row>
    <row r="70" spans="1:55" x14ac:dyDescent="0.25">
      <c r="A70" s="17" t="s">
        <v>47</v>
      </c>
      <c r="B70" s="3" t="s">
        <v>473</v>
      </c>
      <c r="C70" s="3" t="s">
        <v>483</v>
      </c>
      <c r="D70" s="3" t="s">
        <v>524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58"/>
      <c r="T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/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 s="44">
        <v>0.56999999999999995</v>
      </c>
      <c r="AW70" s="44">
        <v>0.56999999999999995</v>
      </c>
      <c r="AX70" s="44">
        <v>0.56999999999999995</v>
      </c>
      <c r="AY70"/>
      <c r="AZ70" s="44">
        <v>0.56999999999999995</v>
      </c>
      <c r="BA70"/>
      <c r="BB70"/>
      <c r="BC70" s="44">
        <v>0.56999999999999995</v>
      </c>
    </row>
    <row r="71" spans="1:55" x14ac:dyDescent="0.25">
      <c r="A71" s="17" t="s">
        <v>48</v>
      </c>
      <c r="B71" s="3" t="s">
        <v>473</v>
      </c>
      <c r="C71" s="3" t="s">
        <v>483</v>
      </c>
      <c r="D71" s="3" t="s">
        <v>524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58"/>
      <c r="T71" s="44">
        <v>0.16</v>
      </c>
      <c r="V71" s="44">
        <v>0.16</v>
      </c>
      <c r="W71" s="44">
        <v>0.16</v>
      </c>
      <c r="X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 s="44">
        <v>0.16</v>
      </c>
      <c r="AL71"/>
      <c r="AM71" s="44">
        <v>0.16</v>
      </c>
      <c r="AN71" s="44">
        <v>0.16</v>
      </c>
      <c r="AO71" s="44">
        <v>0.16</v>
      </c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 s="44">
        <v>0.16</v>
      </c>
      <c r="AW71" s="44">
        <v>0.16</v>
      </c>
      <c r="AX71" s="44">
        <v>0.16</v>
      </c>
      <c r="AY71"/>
      <c r="AZ71" s="44">
        <v>0.16</v>
      </c>
      <c r="BA71"/>
      <c r="BB71"/>
      <c r="BC71" s="44">
        <v>0.16</v>
      </c>
    </row>
    <row r="72" spans="1:55" x14ac:dyDescent="0.25">
      <c r="A72" s="17" t="s">
        <v>49</v>
      </c>
      <c r="B72" s="3" t="s">
        <v>473</v>
      </c>
      <c r="C72" s="3" t="s">
        <v>483</v>
      </c>
      <c r="D72" s="3" t="s">
        <v>524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58"/>
      <c r="T72" s="44">
        <v>0</v>
      </c>
      <c r="V72" s="44">
        <v>0</v>
      </c>
      <c r="W72" s="44">
        <v>0</v>
      </c>
      <c r="X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 s="44">
        <v>0</v>
      </c>
      <c r="AL72"/>
      <c r="AM72" s="44">
        <v>0</v>
      </c>
      <c r="AN72" s="44">
        <v>0</v>
      </c>
      <c r="AO72" s="44">
        <v>0</v>
      </c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 s="44">
        <v>0</v>
      </c>
      <c r="AW72" s="44">
        <v>0</v>
      </c>
      <c r="AX72" s="44">
        <v>0</v>
      </c>
      <c r="AY72"/>
      <c r="AZ72" s="44">
        <v>0</v>
      </c>
      <c r="BA72"/>
      <c r="BB72"/>
      <c r="BC72" s="44">
        <v>0</v>
      </c>
    </row>
    <row r="73" spans="1:55" x14ac:dyDescent="0.25">
      <c r="A73" s="33" t="s">
        <v>50</v>
      </c>
      <c r="B73" s="3" t="s">
        <v>473</v>
      </c>
      <c r="C73" s="3" t="s">
        <v>483</v>
      </c>
      <c r="D73" s="3" t="s">
        <v>524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58"/>
      <c r="T73" s="44">
        <v>745476480000</v>
      </c>
      <c r="V73" s="44">
        <v>745476480000</v>
      </c>
      <c r="W73" s="44">
        <v>745476480000</v>
      </c>
      <c r="X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 s="44">
        <v>745476480000</v>
      </c>
      <c r="AL73"/>
      <c r="AM73" s="44">
        <v>745476480000</v>
      </c>
      <c r="AN73" s="44">
        <v>745476480000</v>
      </c>
      <c r="AO73" s="44">
        <v>745476480000</v>
      </c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 s="44">
        <v>745476480000</v>
      </c>
      <c r="AW73" s="44">
        <v>745476480000</v>
      </c>
      <c r="AX73" s="44">
        <v>745476480000</v>
      </c>
      <c r="AY73"/>
      <c r="AZ73" s="44">
        <v>745476480000</v>
      </c>
      <c r="BA73"/>
      <c r="BB73"/>
      <c r="BC73" s="44">
        <v>745476480000</v>
      </c>
    </row>
    <row r="74" spans="1:55" x14ac:dyDescent="0.25">
      <c r="A74" s="33" t="s">
        <v>204</v>
      </c>
      <c r="B74" s="3" t="s">
        <v>473</v>
      </c>
      <c r="C74" s="3" t="s">
        <v>483</v>
      </c>
      <c r="D74" s="3" t="s">
        <v>524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58"/>
      <c r="T74" s="44">
        <v>100</v>
      </c>
      <c r="V74" s="44">
        <v>100</v>
      </c>
      <c r="W74" s="44">
        <v>100</v>
      </c>
      <c r="X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 s="44">
        <v>100</v>
      </c>
      <c r="AL74"/>
      <c r="AM74" s="44">
        <v>100</v>
      </c>
      <c r="AN74" s="44">
        <v>100</v>
      </c>
      <c r="AO74" s="44">
        <v>100</v>
      </c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 s="44">
        <v>100</v>
      </c>
      <c r="AW74" s="44">
        <v>100</v>
      </c>
      <c r="AX74" s="44">
        <v>100</v>
      </c>
      <c r="AY74"/>
      <c r="AZ74" s="44">
        <v>100</v>
      </c>
      <c r="BA74"/>
      <c r="BB74"/>
      <c r="BC74" s="44">
        <v>100</v>
      </c>
    </row>
    <row r="75" spans="1:55" x14ac:dyDescent="0.25">
      <c r="A75" s="33" t="s">
        <v>414</v>
      </c>
      <c r="B75" s="3" t="s">
        <v>473</v>
      </c>
      <c r="C75" s="3" t="s">
        <v>483</v>
      </c>
      <c r="D75" s="3" t="s">
        <v>524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58"/>
      <c r="T75" s="44" t="s">
        <v>86</v>
      </c>
      <c r="V75" s="44" t="s">
        <v>86</v>
      </c>
      <c r="W75" s="44" t="s">
        <v>86</v>
      </c>
      <c r="X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/>
      <c r="AM75" s="44" t="s">
        <v>86</v>
      </c>
      <c r="AN75" s="44" t="s">
        <v>86</v>
      </c>
      <c r="AO75" s="44" t="s">
        <v>86</v>
      </c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 s="44" t="s">
        <v>86</v>
      </c>
      <c r="AW75" s="44" t="s">
        <v>86</v>
      </c>
      <c r="AX75" s="44" t="s">
        <v>86</v>
      </c>
      <c r="AY75"/>
      <c r="AZ75" s="44" t="s">
        <v>86</v>
      </c>
      <c r="BA75"/>
      <c r="BB75"/>
      <c r="BC75" s="44" t="s">
        <v>86</v>
      </c>
    </row>
    <row r="76" spans="1:55" x14ac:dyDescent="0.25">
      <c r="A76" s="33" t="s">
        <v>400</v>
      </c>
      <c r="B76" s="3" t="s">
        <v>473</v>
      </c>
      <c r="C76" s="3" t="s">
        <v>483</v>
      </c>
      <c r="D76" s="3" t="s">
        <v>524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58"/>
      <c r="T76" s="44">
        <v>21600</v>
      </c>
      <c r="V76" s="44">
        <v>21600</v>
      </c>
      <c r="W76" s="44">
        <v>21600</v>
      </c>
      <c r="X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 s="44">
        <v>21600</v>
      </c>
      <c r="AL76"/>
      <c r="AM76" s="44">
        <v>21600</v>
      </c>
      <c r="AN76" s="44">
        <v>21600</v>
      </c>
      <c r="AO76" s="44">
        <v>21600</v>
      </c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 s="44">
        <v>21600</v>
      </c>
      <c r="AW76" s="44">
        <v>21600</v>
      </c>
      <c r="AX76" s="44">
        <v>21600</v>
      </c>
      <c r="AY76"/>
      <c r="AZ76" s="44">
        <v>21600</v>
      </c>
      <c r="BA76"/>
      <c r="BB76"/>
      <c r="BC76" s="44">
        <v>21600</v>
      </c>
    </row>
    <row r="77" spans="1:55" x14ac:dyDescent="0.25">
      <c r="A77" s="33" t="s">
        <v>410</v>
      </c>
      <c r="B77" s="3" t="s">
        <v>473</v>
      </c>
      <c r="C77" s="3" t="s">
        <v>483</v>
      </c>
      <c r="D77" s="3" t="s">
        <v>524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58"/>
      <c r="T77" s="44">
        <v>0.5</v>
      </c>
      <c r="V77" s="44">
        <v>0.5</v>
      </c>
      <c r="W77" s="44">
        <v>0.5</v>
      </c>
      <c r="X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 s="44">
        <v>0.5</v>
      </c>
      <c r="AL77"/>
      <c r="AM77" s="44">
        <v>0.5</v>
      </c>
      <c r="AN77" s="44">
        <v>0.5</v>
      </c>
      <c r="AO77" s="44">
        <v>0.5</v>
      </c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 s="44">
        <v>0.5</v>
      </c>
      <c r="AW77" s="44">
        <v>0.5</v>
      </c>
      <c r="AX77" s="44">
        <v>0.5</v>
      </c>
      <c r="AY77"/>
      <c r="AZ77" s="44">
        <v>0.5</v>
      </c>
      <c r="BA77"/>
      <c r="BB77"/>
      <c r="BC77" s="44">
        <v>0.5</v>
      </c>
    </row>
    <row r="78" spans="1:55" x14ac:dyDescent="0.25">
      <c r="A78" s="33" t="s">
        <v>401</v>
      </c>
      <c r="B78" s="3" t="s">
        <v>473</v>
      </c>
      <c r="C78" s="3" t="s">
        <v>483</v>
      </c>
      <c r="D78" s="3" t="s">
        <v>524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58"/>
      <c r="T78" s="44">
        <v>60479.999999999993</v>
      </c>
      <c r="V78" s="44">
        <v>60479.999999999993</v>
      </c>
      <c r="W78" s="44">
        <v>60479.999999999993</v>
      </c>
      <c r="X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/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 s="44">
        <v>60479.999999999993</v>
      </c>
      <c r="AW78" s="44">
        <v>60479.999999999993</v>
      </c>
      <c r="AX78" s="44">
        <v>60479.999999999993</v>
      </c>
      <c r="AY78"/>
      <c r="AZ78" s="44">
        <v>60479.999999999993</v>
      </c>
      <c r="BA78"/>
      <c r="BB78"/>
      <c r="BC78" s="44">
        <v>60479.999999999993</v>
      </c>
    </row>
    <row r="79" spans="1:55" x14ac:dyDescent="0.25">
      <c r="A79" s="33" t="s">
        <v>411</v>
      </c>
      <c r="B79" s="3" t="s">
        <v>473</v>
      </c>
      <c r="C79" s="3" t="s">
        <v>483</v>
      </c>
      <c r="D79" s="3" t="s">
        <v>524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58"/>
      <c r="T79" s="44">
        <v>0.85</v>
      </c>
      <c r="V79" s="44">
        <v>0.85</v>
      </c>
      <c r="W79" s="44">
        <v>0.85</v>
      </c>
      <c r="X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 s="44">
        <v>0.85</v>
      </c>
      <c r="AL79"/>
      <c r="AM79" s="44">
        <v>0.85</v>
      </c>
      <c r="AN79" s="44">
        <v>0.85</v>
      </c>
      <c r="AO79" s="44">
        <v>0.85</v>
      </c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 s="44">
        <v>0.85</v>
      </c>
      <c r="AW79" s="44">
        <v>0.85</v>
      </c>
      <c r="AX79" s="44">
        <v>0.85</v>
      </c>
      <c r="AY79"/>
      <c r="AZ79" s="44">
        <v>0.85</v>
      </c>
      <c r="BA79"/>
      <c r="BB79"/>
      <c r="BC79" s="44">
        <v>0.85</v>
      </c>
    </row>
    <row r="80" spans="1:55" x14ac:dyDescent="0.25">
      <c r="A80" s="33" t="s">
        <v>402</v>
      </c>
      <c r="B80" s="3" t="s">
        <v>473</v>
      </c>
      <c r="C80" s="3" t="s">
        <v>483</v>
      </c>
      <c r="D80" s="3" t="s">
        <v>524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58"/>
      <c r="T80" s="44">
        <v>518400</v>
      </c>
      <c r="V80" s="44">
        <v>518400</v>
      </c>
      <c r="W80" s="44">
        <v>518400</v>
      </c>
      <c r="X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 s="44">
        <v>518400</v>
      </c>
      <c r="AL80"/>
      <c r="AM80" s="44">
        <v>518400</v>
      </c>
      <c r="AN80" s="44">
        <v>518400</v>
      </c>
      <c r="AO80" s="44">
        <v>518400</v>
      </c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 s="44">
        <v>518400</v>
      </c>
      <c r="AW80" s="44">
        <v>518400</v>
      </c>
      <c r="AX80" s="44">
        <v>518400</v>
      </c>
      <c r="AY80"/>
      <c r="AZ80" s="44">
        <v>518400</v>
      </c>
      <c r="BA80"/>
      <c r="BB80"/>
      <c r="BC80" s="44">
        <v>518400</v>
      </c>
    </row>
    <row r="81" spans="1:55" x14ac:dyDescent="0.25">
      <c r="A81" s="33" t="s">
        <v>412</v>
      </c>
      <c r="B81" s="3" t="s">
        <v>473</v>
      </c>
      <c r="C81" s="3" t="s">
        <v>483</v>
      </c>
      <c r="D81" s="3" t="s">
        <v>524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58"/>
      <c r="T81" s="44">
        <v>5184000</v>
      </c>
      <c r="V81" s="44">
        <v>5184000</v>
      </c>
      <c r="W81" s="44">
        <v>5184000</v>
      </c>
      <c r="X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 s="44">
        <v>5184000</v>
      </c>
      <c r="AL81"/>
      <c r="AM81" s="44">
        <v>5184000</v>
      </c>
      <c r="AN81" s="44">
        <v>5184000</v>
      </c>
      <c r="AO81" s="44">
        <v>5184000</v>
      </c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 s="44">
        <v>5184000</v>
      </c>
      <c r="AW81" s="44">
        <v>5184000</v>
      </c>
      <c r="AX81" s="44">
        <v>5184000</v>
      </c>
      <c r="AY81"/>
      <c r="AZ81" s="44">
        <v>5184000</v>
      </c>
      <c r="BA81"/>
      <c r="BB81"/>
      <c r="BC81" s="44">
        <v>5184000</v>
      </c>
    </row>
    <row r="82" spans="1:55" x14ac:dyDescent="0.25">
      <c r="A82" s="17" t="s">
        <v>51</v>
      </c>
      <c r="B82" s="3" t="s">
        <v>473</v>
      </c>
      <c r="C82" s="3" t="s">
        <v>483</v>
      </c>
      <c r="D82" s="3" t="s">
        <v>524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58"/>
      <c r="T82" s="44">
        <v>50000</v>
      </c>
      <c r="V82" s="44">
        <v>50000</v>
      </c>
      <c r="W82" s="44">
        <v>50000</v>
      </c>
      <c r="X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 s="44">
        <v>50000</v>
      </c>
      <c r="AL82"/>
      <c r="AM82" s="44">
        <v>50000</v>
      </c>
      <c r="AN82" s="44">
        <v>50000</v>
      </c>
      <c r="AO82" s="44">
        <v>50000</v>
      </c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 s="44">
        <v>50000</v>
      </c>
      <c r="AW82" s="44">
        <v>50000</v>
      </c>
      <c r="AX82" s="44">
        <v>50000</v>
      </c>
      <c r="AY82"/>
      <c r="AZ82" s="44">
        <v>50000</v>
      </c>
      <c r="BA82"/>
      <c r="BB82"/>
      <c r="BC82" s="44">
        <v>50000</v>
      </c>
    </row>
    <row r="83" spans="1:55" x14ac:dyDescent="0.25">
      <c r="A83" s="17" t="s">
        <v>52</v>
      </c>
      <c r="B83" s="3" t="s">
        <v>473</v>
      </c>
      <c r="C83" s="3" t="s">
        <v>483</v>
      </c>
      <c r="D83" s="3" t="s">
        <v>524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58"/>
      <c r="T83" s="44">
        <v>140000</v>
      </c>
      <c r="V83" s="44">
        <v>140000</v>
      </c>
      <c r="W83" s="44">
        <v>140000</v>
      </c>
      <c r="X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 s="44">
        <v>140000</v>
      </c>
      <c r="AL83"/>
      <c r="AM83" s="44">
        <v>140000</v>
      </c>
      <c r="AN83" s="44">
        <v>140000</v>
      </c>
      <c r="AO83" s="44">
        <v>140000</v>
      </c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 s="44">
        <v>140000</v>
      </c>
      <c r="AW83" s="44">
        <v>140000</v>
      </c>
      <c r="AX83" s="44">
        <v>140000</v>
      </c>
      <c r="AY83"/>
      <c r="AZ83" s="44">
        <v>140000</v>
      </c>
      <c r="BA83"/>
      <c r="BB83"/>
      <c r="BC83" s="44">
        <v>140000</v>
      </c>
    </row>
    <row r="84" spans="1:55" x14ac:dyDescent="0.25">
      <c r="A84" s="17" t="s">
        <v>53</v>
      </c>
      <c r="B84" s="3" t="s">
        <v>473</v>
      </c>
      <c r="C84" s="3" t="s">
        <v>483</v>
      </c>
      <c r="D84" s="3" t="s">
        <v>524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58"/>
      <c r="T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/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 s="44">
        <v>3.6636136999999999E-2</v>
      </c>
      <c r="AW84" s="44">
        <v>3.6636136999999999E-2</v>
      </c>
      <c r="AX84" s="44">
        <v>3.6636136999999999E-2</v>
      </c>
      <c r="AY84"/>
      <c r="AZ84" s="44">
        <v>3.6636136999999999E-2</v>
      </c>
      <c r="BA84"/>
      <c r="BB84"/>
      <c r="BC84" s="44">
        <v>3.6636136999999999E-2</v>
      </c>
    </row>
    <row r="85" spans="1:55" x14ac:dyDescent="0.25">
      <c r="A85" s="17" t="s">
        <v>54</v>
      </c>
      <c r="B85" s="3" t="s">
        <v>473</v>
      </c>
      <c r="C85" s="3" t="s">
        <v>483</v>
      </c>
      <c r="D85" s="3" t="s">
        <v>524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58"/>
      <c r="T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/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 s="44">
        <v>4.4999999999999997E-3</v>
      </c>
      <c r="AW85" s="44">
        <v>4.4999999999999997E-3</v>
      </c>
      <c r="AX85" s="44">
        <v>4.4999999999999997E-3</v>
      </c>
      <c r="AY85"/>
      <c r="AZ85" s="44">
        <v>4.4999999999999997E-3</v>
      </c>
      <c r="BA85"/>
      <c r="BB85"/>
      <c r="BC85" s="44">
        <v>4.4999999999999997E-3</v>
      </c>
    </row>
    <row r="86" spans="1:55" x14ac:dyDescent="0.25">
      <c r="A86" s="17" t="s">
        <v>55</v>
      </c>
      <c r="B86" s="3" t="s">
        <v>473</v>
      </c>
      <c r="C86" s="3" t="s">
        <v>483</v>
      </c>
      <c r="D86" s="3" t="s">
        <v>524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58"/>
      <c r="T86" s="44">
        <v>0.05</v>
      </c>
      <c r="V86" s="44">
        <v>0.05</v>
      </c>
      <c r="W86" s="44">
        <v>0.05</v>
      </c>
      <c r="X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 s="44">
        <v>0.05</v>
      </c>
      <c r="AL86"/>
      <c r="AM86" s="44">
        <v>0.05</v>
      </c>
      <c r="AN86" s="44">
        <v>0.05</v>
      </c>
      <c r="AO86" s="44">
        <v>0.05</v>
      </c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 s="44">
        <v>0.05</v>
      </c>
      <c r="AW86" s="44">
        <v>0.05</v>
      </c>
      <c r="AX86" s="44">
        <v>0.05</v>
      </c>
      <c r="AY86"/>
      <c r="AZ86" s="44">
        <v>0.05</v>
      </c>
      <c r="BA86"/>
      <c r="BB86"/>
      <c r="BC86" s="44">
        <v>0.05</v>
      </c>
    </row>
    <row r="87" spans="1:55" x14ac:dyDescent="0.25">
      <c r="A87" s="19" t="s">
        <v>213</v>
      </c>
      <c r="B87" s="3" t="s">
        <v>473</v>
      </c>
      <c r="C87" s="3" t="s">
        <v>483</v>
      </c>
      <c r="D87" s="3" t="s">
        <v>524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58"/>
      <c r="T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/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 s="44">
        <v>6.0000000000000002E-6</v>
      </c>
      <c r="AW87" s="44">
        <v>6.0000000000000002E-6</v>
      </c>
      <c r="AX87" s="44">
        <v>6.0000000000000002E-6</v>
      </c>
      <c r="AY87"/>
      <c r="AZ87" s="44">
        <v>6.0000000000000002E-6</v>
      </c>
      <c r="BA87"/>
      <c r="BB87"/>
      <c r="BC87" s="44">
        <v>6.0000000000000002E-6</v>
      </c>
    </row>
    <row r="88" spans="1:55" x14ac:dyDescent="0.25">
      <c r="A88" s="19" t="s">
        <v>214</v>
      </c>
      <c r="B88" s="3" t="s">
        <v>473</v>
      </c>
      <c r="C88" s="3" t="s">
        <v>483</v>
      </c>
      <c r="D88" s="3" t="s">
        <v>524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58"/>
      <c r="T88" s="44">
        <v>1E-3</v>
      </c>
      <c r="V88" s="44">
        <v>1E-3</v>
      </c>
      <c r="W88" s="44">
        <v>1E-3</v>
      </c>
      <c r="X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 s="44">
        <v>1E-3</v>
      </c>
      <c r="AL88"/>
      <c r="AM88" s="44">
        <v>1E-3</v>
      </c>
      <c r="AN88" s="44">
        <v>1E-3</v>
      </c>
      <c r="AO88" s="44">
        <v>1E-3</v>
      </c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 s="44">
        <v>1E-3</v>
      </c>
      <c r="AW88" s="44">
        <v>1E-3</v>
      </c>
      <c r="AX88" s="44">
        <v>1E-3</v>
      </c>
      <c r="AY88"/>
      <c r="AZ88" s="44">
        <v>1E-3</v>
      </c>
      <c r="BA88"/>
      <c r="BB88"/>
      <c r="BC88" s="44">
        <v>1E-3</v>
      </c>
    </row>
    <row r="89" spans="1:55" x14ac:dyDescent="0.25">
      <c r="A89" s="19" t="s">
        <v>215</v>
      </c>
      <c r="B89" s="3" t="s">
        <v>473</v>
      </c>
      <c r="C89" s="3" t="s">
        <v>483</v>
      </c>
      <c r="D89" s="3" t="s">
        <v>524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58"/>
      <c r="T89" s="44">
        <v>374999999.99999994</v>
      </c>
      <c r="V89" s="44">
        <v>374999999.99999994</v>
      </c>
      <c r="W89" s="44">
        <v>374999999.99999994</v>
      </c>
      <c r="X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/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 s="44">
        <v>374999999.99999994</v>
      </c>
      <c r="AW89" s="44">
        <v>374999999.99999994</v>
      </c>
      <c r="AX89" s="44">
        <v>374999999.99999994</v>
      </c>
      <c r="AY89"/>
      <c r="AZ89" s="44">
        <v>374999999.99999994</v>
      </c>
      <c r="BA89"/>
      <c r="BB89"/>
      <c r="BC89" s="44">
        <v>374999999.99999994</v>
      </c>
    </row>
    <row r="90" spans="1:55" x14ac:dyDescent="0.25">
      <c r="A90" s="19" t="s">
        <v>216</v>
      </c>
      <c r="B90" s="3" t="s">
        <v>473</v>
      </c>
      <c r="C90" s="3" t="s">
        <v>483</v>
      </c>
      <c r="D90" s="3" t="s">
        <v>524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58"/>
      <c r="T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/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 s="44">
        <v>3.7037037037037038E-3</v>
      </c>
      <c r="AW90" s="44">
        <v>3.7037037037037038E-3</v>
      </c>
      <c r="AX90" s="44">
        <v>3.7037037037037038E-3</v>
      </c>
      <c r="AY90"/>
      <c r="AZ90" s="44">
        <v>3.7037037037037038E-3</v>
      </c>
      <c r="BA90"/>
      <c r="BB90"/>
      <c r="BC90" s="44">
        <v>3.7037037037037038E-3</v>
      </c>
    </row>
    <row r="91" spans="1:55" x14ac:dyDescent="0.25">
      <c r="A91" s="19" t="s">
        <v>217</v>
      </c>
      <c r="B91" s="3" t="s">
        <v>473</v>
      </c>
      <c r="C91" s="3" t="s">
        <v>483</v>
      </c>
      <c r="D91" s="3" t="s">
        <v>524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58"/>
      <c r="T91" s="44">
        <v>165600</v>
      </c>
      <c r="V91" s="44">
        <v>165600</v>
      </c>
      <c r="W91" s="44">
        <v>165600</v>
      </c>
      <c r="X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 s="44">
        <v>165600</v>
      </c>
      <c r="AL91"/>
      <c r="AM91" s="44">
        <v>165600</v>
      </c>
      <c r="AN91" s="44">
        <v>165600</v>
      </c>
      <c r="AO91" s="44">
        <v>165600</v>
      </c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 s="44">
        <v>165600</v>
      </c>
      <c r="AW91" s="44">
        <v>165600</v>
      </c>
      <c r="AX91" s="44">
        <v>165600</v>
      </c>
      <c r="AY91"/>
      <c r="AZ91" s="44">
        <v>165600</v>
      </c>
      <c r="BA91"/>
      <c r="BB91"/>
      <c r="BC91" s="44">
        <v>165600</v>
      </c>
    </row>
    <row r="92" spans="1:55" x14ac:dyDescent="0.25">
      <c r="A92" s="13" t="s">
        <v>60</v>
      </c>
      <c r="B92" s="3" t="s">
        <v>473</v>
      </c>
      <c r="C92" s="3" t="s">
        <v>483</v>
      </c>
      <c r="D92" s="3" t="s">
        <v>524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58"/>
      <c r="T92" s="44">
        <v>20</v>
      </c>
      <c r="V92" s="44">
        <v>20</v>
      </c>
      <c r="W92" s="44">
        <v>20</v>
      </c>
      <c r="X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 s="44">
        <v>20</v>
      </c>
      <c r="AL92"/>
      <c r="AM92" s="44">
        <v>20</v>
      </c>
      <c r="AN92" s="44">
        <v>20</v>
      </c>
      <c r="AO92" s="44">
        <v>20</v>
      </c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 s="44">
        <v>20</v>
      </c>
      <c r="AW92" s="44">
        <v>20</v>
      </c>
      <c r="AX92" s="44">
        <v>20</v>
      </c>
      <c r="AY92"/>
      <c r="AZ92" s="44">
        <v>20</v>
      </c>
      <c r="BA92"/>
      <c r="BB92"/>
      <c r="BC92" s="44">
        <v>20</v>
      </c>
    </row>
    <row r="93" spans="1:55" x14ac:dyDescent="0.25">
      <c r="A93" s="13" t="s">
        <v>208</v>
      </c>
      <c r="B93" s="3" t="s">
        <v>473</v>
      </c>
      <c r="C93" s="3" t="s">
        <v>483</v>
      </c>
      <c r="D93" s="3" t="s">
        <v>524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58"/>
      <c r="T93" s="44">
        <v>1</v>
      </c>
      <c r="V93" s="44">
        <v>1</v>
      </c>
      <c r="W93" s="44">
        <v>1</v>
      </c>
      <c r="X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 s="44">
        <v>1</v>
      </c>
      <c r="AL93"/>
      <c r="AM93" s="44">
        <v>1</v>
      </c>
      <c r="AN93" s="44">
        <v>1</v>
      </c>
      <c r="AO93" s="44">
        <v>1</v>
      </c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 s="44">
        <v>1</v>
      </c>
      <c r="AW93" s="44">
        <v>1</v>
      </c>
      <c r="AX93" s="44">
        <v>1</v>
      </c>
      <c r="AY93"/>
      <c r="AZ93" s="44">
        <v>1</v>
      </c>
      <c r="BA93"/>
      <c r="BB93"/>
      <c r="BC93" s="44">
        <v>1</v>
      </c>
    </row>
    <row r="94" spans="1:55" x14ac:dyDescent="0.25">
      <c r="A94" s="13" t="s">
        <v>59</v>
      </c>
      <c r="B94" s="3" t="s">
        <v>473</v>
      </c>
      <c r="C94" s="3" t="s">
        <v>483</v>
      </c>
      <c r="D94" s="3" t="s">
        <v>524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58"/>
      <c r="T94" s="44">
        <v>21</v>
      </c>
      <c r="V94" s="44">
        <v>21</v>
      </c>
      <c r="W94" s="44">
        <v>21</v>
      </c>
      <c r="X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 s="44">
        <v>21</v>
      </c>
      <c r="AL94"/>
      <c r="AM94" s="44">
        <v>21</v>
      </c>
      <c r="AN94" s="44">
        <v>21</v>
      </c>
      <c r="AO94" s="44">
        <v>21</v>
      </c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 s="44">
        <v>21</v>
      </c>
      <c r="AW94" s="44">
        <v>21</v>
      </c>
      <c r="AX94" s="44">
        <v>21</v>
      </c>
      <c r="AY94"/>
      <c r="AZ94" s="44">
        <v>21</v>
      </c>
      <c r="BA94"/>
      <c r="BB94"/>
      <c r="BC94" s="44">
        <v>21</v>
      </c>
    </row>
    <row r="95" spans="1:55" x14ac:dyDescent="0.25">
      <c r="A95" s="23" t="s">
        <v>65</v>
      </c>
      <c r="B95" s="3" t="s">
        <v>473</v>
      </c>
      <c r="C95" s="3" t="s">
        <v>483</v>
      </c>
      <c r="D95" s="3" t="s">
        <v>524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58"/>
      <c r="T95" s="44">
        <v>0.64</v>
      </c>
      <c r="V95" s="44">
        <v>0.64</v>
      </c>
      <c r="W95" s="44">
        <v>0.64</v>
      </c>
      <c r="X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 s="44">
        <v>0.64</v>
      </c>
      <c r="AL95"/>
      <c r="AM95" s="44">
        <v>0.64</v>
      </c>
      <c r="AN95" s="44">
        <v>0.64</v>
      </c>
      <c r="AO95" s="44">
        <v>0.64</v>
      </c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 s="44">
        <v>0.64</v>
      </c>
      <c r="AW95" s="44">
        <v>0.64</v>
      </c>
      <c r="AX95" s="44">
        <v>0.64</v>
      </c>
      <c r="AY95"/>
      <c r="AZ95" s="44">
        <v>0.64</v>
      </c>
      <c r="BA95"/>
      <c r="BB95"/>
      <c r="BC95" s="44">
        <v>0.64</v>
      </c>
    </row>
    <row r="96" spans="1:55" x14ac:dyDescent="0.25">
      <c r="A96" s="23" t="s">
        <v>366</v>
      </c>
      <c r="B96" s="3" t="s">
        <v>473</v>
      </c>
      <c r="C96" s="3" t="s">
        <v>483</v>
      </c>
      <c r="D96" s="3" t="s">
        <v>524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58"/>
      <c r="T96" s="44">
        <v>8</v>
      </c>
      <c r="V96" s="44">
        <v>8</v>
      </c>
      <c r="W96" s="44">
        <v>8</v>
      </c>
      <c r="X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 s="44">
        <v>8</v>
      </c>
      <c r="AL96"/>
      <c r="AM96" s="44">
        <v>8</v>
      </c>
      <c r="AN96" s="44">
        <v>8</v>
      </c>
      <c r="AO96" s="44">
        <v>8</v>
      </c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 s="44">
        <v>8</v>
      </c>
      <c r="AW96" s="44">
        <v>8</v>
      </c>
      <c r="AX96" s="44">
        <v>8</v>
      </c>
      <c r="AY96"/>
      <c r="AZ96" s="44">
        <v>8</v>
      </c>
      <c r="BA96"/>
      <c r="BB96"/>
      <c r="BC96" s="44">
        <v>8</v>
      </c>
    </row>
    <row r="97" spans="1:55" x14ac:dyDescent="0.25">
      <c r="A97" s="23" t="s">
        <v>367</v>
      </c>
      <c r="B97" s="3" t="s">
        <v>473</v>
      </c>
      <c r="C97" s="3" t="s">
        <v>483</v>
      </c>
      <c r="D97" s="3" t="s">
        <v>524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58"/>
      <c r="T97" s="44">
        <v>10</v>
      </c>
      <c r="V97" s="44">
        <v>10</v>
      </c>
      <c r="W97" s="44">
        <v>10</v>
      </c>
      <c r="X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 s="44">
        <v>10</v>
      </c>
      <c r="AL97"/>
      <c r="AM97" s="44">
        <v>10</v>
      </c>
      <c r="AN97" s="44">
        <v>10</v>
      </c>
      <c r="AO97" s="44">
        <v>10</v>
      </c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 s="44">
        <v>10</v>
      </c>
      <c r="AW97" s="44">
        <v>10</v>
      </c>
      <c r="AX97" s="44">
        <v>10</v>
      </c>
      <c r="AY97"/>
      <c r="AZ97" s="44">
        <v>10</v>
      </c>
      <c r="BA97"/>
      <c r="BB97"/>
      <c r="BC97" s="44">
        <v>10</v>
      </c>
    </row>
    <row r="98" spans="1:55" x14ac:dyDescent="0.25">
      <c r="A98" s="23" t="s">
        <v>368</v>
      </c>
      <c r="B98" s="3" t="s">
        <v>473</v>
      </c>
      <c r="C98" s="3" t="s">
        <v>483</v>
      </c>
      <c r="D98" s="3" t="s">
        <v>524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58"/>
      <c r="T98" s="44">
        <v>8</v>
      </c>
      <c r="V98" s="44">
        <v>8</v>
      </c>
      <c r="W98" s="44">
        <v>8</v>
      </c>
      <c r="X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 s="44">
        <v>8</v>
      </c>
      <c r="AL98"/>
      <c r="AM98" s="44">
        <v>8</v>
      </c>
      <c r="AN98" s="44">
        <v>8</v>
      </c>
      <c r="AO98" s="44">
        <v>8</v>
      </c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 s="44">
        <v>8</v>
      </c>
      <c r="AW98" s="44">
        <v>8</v>
      </c>
      <c r="AX98" s="44">
        <v>8</v>
      </c>
      <c r="AY98"/>
      <c r="AZ98" s="44">
        <v>8</v>
      </c>
      <c r="BA98"/>
      <c r="BB98"/>
      <c r="BC98" s="44">
        <v>8</v>
      </c>
    </row>
    <row r="99" spans="1:55" x14ac:dyDescent="0.25">
      <c r="A99" s="23" t="s">
        <v>383</v>
      </c>
      <c r="B99" s="3" t="s">
        <v>473</v>
      </c>
      <c r="C99" s="3" t="s">
        <v>483</v>
      </c>
      <c r="D99" s="3" t="s">
        <v>524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58"/>
      <c r="T99" s="44">
        <v>1</v>
      </c>
      <c r="V99" s="44">
        <v>1</v>
      </c>
      <c r="W99" s="44">
        <v>1</v>
      </c>
      <c r="X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 s="44">
        <v>1</v>
      </c>
      <c r="AL99"/>
      <c r="AM99" s="44">
        <v>1</v>
      </c>
      <c r="AN99" s="44">
        <v>1</v>
      </c>
      <c r="AO99" s="44">
        <v>1</v>
      </c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 s="44">
        <v>1</v>
      </c>
      <c r="AW99" s="44">
        <v>1</v>
      </c>
      <c r="AX99" s="44">
        <v>1</v>
      </c>
      <c r="AY99"/>
      <c r="AZ99" s="44">
        <v>1</v>
      </c>
      <c r="BA99"/>
      <c r="BB99"/>
      <c r="BC99" s="44">
        <v>1</v>
      </c>
    </row>
    <row r="100" spans="1:55" x14ac:dyDescent="0.25">
      <c r="A100" s="23" t="s">
        <v>385</v>
      </c>
      <c r="B100" s="3" t="s">
        <v>473</v>
      </c>
      <c r="C100" s="3" t="s">
        <v>483</v>
      </c>
      <c r="D100" s="3" t="s">
        <v>524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58"/>
      <c r="T100" s="44">
        <v>0.5</v>
      </c>
      <c r="V100" s="44">
        <v>0.5</v>
      </c>
      <c r="W100" s="44">
        <v>0.5</v>
      </c>
      <c r="X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 s="44">
        <v>0.5</v>
      </c>
      <c r="AL100"/>
      <c r="AM100" s="44">
        <v>0.5</v>
      </c>
      <c r="AN100" s="44">
        <v>0.5</v>
      </c>
      <c r="AO100" s="44">
        <v>0.5</v>
      </c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 s="44">
        <v>0.5</v>
      </c>
      <c r="AW100" s="44">
        <v>0.5</v>
      </c>
      <c r="AX100" s="44">
        <v>0.5</v>
      </c>
      <c r="AY100"/>
      <c r="AZ100" s="44">
        <v>0.5</v>
      </c>
      <c r="BA100"/>
      <c r="BB100"/>
      <c r="BC100" s="44">
        <v>0.5</v>
      </c>
    </row>
    <row r="101" spans="1:55" x14ac:dyDescent="0.25">
      <c r="A101" s="23" t="s">
        <v>513</v>
      </c>
      <c r="B101" s="3" t="s">
        <v>473</v>
      </c>
      <c r="C101" s="3" t="s">
        <v>483</v>
      </c>
      <c r="D101" s="3" t="s">
        <v>524</v>
      </c>
      <c r="E101" s="24" t="s">
        <v>514</v>
      </c>
      <c r="F101" s="24" t="s">
        <v>486</v>
      </c>
      <c r="G101" s="44">
        <f t="shared" ref="G101:H101" si="3">G99</f>
        <v>1</v>
      </c>
      <c r="H101" s="44">
        <f t="shared" si="3"/>
        <v>1</v>
      </c>
      <c r="I101" s="44">
        <f t="shared" ref="I101:BC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58"/>
      <c r="T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/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 s="44">
        <f t="shared" si="4"/>
        <v>100</v>
      </c>
      <c r="AW101" s="44">
        <f t="shared" si="4"/>
        <v>100</v>
      </c>
      <c r="AX101" s="44">
        <f t="shared" si="4"/>
        <v>100</v>
      </c>
      <c r="AY101"/>
      <c r="AZ101" s="44">
        <f t="shared" si="4"/>
        <v>100</v>
      </c>
      <c r="BA101"/>
      <c r="BB101"/>
      <c r="BC101" s="44">
        <f t="shared" si="4"/>
        <v>100</v>
      </c>
    </row>
    <row r="102" spans="1:55" x14ac:dyDescent="0.25">
      <c r="A102" s="23" t="s">
        <v>515</v>
      </c>
      <c r="B102" s="3" t="s">
        <v>473</v>
      </c>
      <c r="C102" s="3" t="s">
        <v>483</v>
      </c>
      <c r="D102" s="3" t="s">
        <v>524</v>
      </c>
      <c r="E102" s="24" t="s">
        <v>514</v>
      </c>
      <c r="F102" s="24" t="s">
        <v>486</v>
      </c>
      <c r="G102" s="44">
        <f>3*G99</f>
        <v>3</v>
      </c>
      <c r="H102" s="44">
        <f t="shared" ref="H102" si="5">150*H99</f>
        <v>150</v>
      </c>
      <c r="I102" s="44">
        <f t="shared" ref="I102:BC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58"/>
      <c r="T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/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 s="44">
        <f t="shared" si="6"/>
        <v>1500</v>
      </c>
      <c r="AW102" s="44">
        <f t="shared" si="6"/>
        <v>1500</v>
      </c>
      <c r="AX102" s="44">
        <f t="shared" si="6"/>
        <v>1500</v>
      </c>
      <c r="AY102"/>
      <c r="AZ102" s="44">
        <f t="shared" si="6"/>
        <v>1500</v>
      </c>
      <c r="BA102"/>
      <c r="BB102"/>
      <c r="BC102" s="44">
        <f t="shared" si="6"/>
        <v>1500</v>
      </c>
    </row>
    <row r="103" spans="1:55" x14ac:dyDescent="0.25">
      <c r="A103" s="23" t="s">
        <v>516</v>
      </c>
      <c r="B103" s="3" t="s">
        <v>473</v>
      </c>
      <c r="C103" s="3" t="s">
        <v>483</v>
      </c>
      <c r="D103" s="3" t="s">
        <v>524</v>
      </c>
      <c r="E103" s="24" t="s">
        <v>514</v>
      </c>
      <c r="F103" s="24" t="s">
        <v>486</v>
      </c>
      <c r="G103" s="44">
        <f t="shared" ref="G103:H103" si="7">G94</f>
        <v>21</v>
      </c>
      <c r="H103" s="44">
        <f t="shared" si="7"/>
        <v>21</v>
      </c>
      <c r="I103" s="44">
        <f t="shared" ref="I103:BC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58"/>
      <c r="T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/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 s="44">
        <f t="shared" si="8"/>
        <v>200</v>
      </c>
      <c r="AW103" s="44">
        <f t="shared" si="8"/>
        <v>200</v>
      </c>
      <c r="AX103" s="44">
        <f t="shared" si="8"/>
        <v>200</v>
      </c>
      <c r="AY103"/>
      <c r="AZ103" s="44">
        <f t="shared" si="8"/>
        <v>200</v>
      </c>
      <c r="BA103"/>
      <c r="BB103"/>
      <c r="BC103" s="44">
        <f t="shared" si="8"/>
        <v>200</v>
      </c>
    </row>
    <row r="104" spans="1:55" x14ac:dyDescent="0.25">
      <c r="A104" s="23" t="s">
        <v>517</v>
      </c>
      <c r="B104" s="3" t="s">
        <v>473</v>
      </c>
      <c r="C104" s="3" t="s">
        <v>483</v>
      </c>
      <c r="D104" s="3" t="s">
        <v>524</v>
      </c>
      <c r="E104" s="24" t="s">
        <v>514</v>
      </c>
      <c r="F104" s="24" t="s">
        <v>486</v>
      </c>
      <c r="G104" s="44">
        <f>10*G94</f>
        <v>210</v>
      </c>
      <c r="H104" s="44">
        <f t="shared" ref="H104" si="9">70*H94</f>
        <v>1470</v>
      </c>
      <c r="I104" s="44">
        <f t="shared" ref="I104:BC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58"/>
      <c r="T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/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 s="44">
        <f t="shared" si="10"/>
        <v>4000</v>
      </c>
      <c r="AW104" s="44">
        <f t="shared" si="10"/>
        <v>4000</v>
      </c>
      <c r="AX104" s="44">
        <f t="shared" si="10"/>
        <v>4000</v>
      </c>
      <c r="AY104"/>
      <c r="AZ104" s="44">
        <f t="shared" si="10"/>
        <v>4000</v>
      </c>
      <c r="BA104"/>
      <c r="BB104"/>
      <c r="BC104" s="44">
        <f t="shared" si="10"/>
        <v>4000</v>
      </c>
    </row>
    <row r="105" spans="1:55" x14ac:dyDescent="0.25">
      <c r="A105" s="23" t="s">
        <v>387</v>
      </c>
      <c r="B105" s="3" t="s">
        <v>473</v>
      </c>
      <c r="C105" s="3" t="s">
        <v>483</v>
      </c>
      <c r="D105" s="3" t="s">
        <v>524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BC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58"/>
      <c r="T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/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 s="44">
        <f t="shared" si="11"/>
        <v>100</v>
      </c>
      <c r="AW105" s="44">
        <f t="shared" si="11"/>
        <v>100</v>
      </c>
      <c r="AX105" s="44">
        <f t="shared" si="11"/>
        <v>100</v>
      </c>
      <c r="AY105"/>
      <c r="AZ105" s="44">
        <f t="shared" si="11"/>
        <v>100</v>
      </c>
      <c r="BA105"/>
      <c r="BB105"/>
      <c r="BC105" s="44">
        <f t="shared" si="11"/>
        <v>100</v>
      </c>
    </row>
    <row r="106" spans="1:55" x14ac:dyDescent="0.25">
      <c r="A106" s="23" t="s">
        <v>389</v>
      </c>
      <c r="B106" s="3" t="s">
        <v>473</v>
      </c>
      <c r="C106" s="3" t="s">
        <v>483</v>
      </c>
      <c r="D106" s="3" t="s">
        <v>524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BC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58"/>
      <c r="T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/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 s="44">
        <f t="shared" si="12"/>
        <v>1500</v>
      </c>
      <c r="AW106" s="44">
        <f t="shared" si="12"/>
        <v>1500</v>
      </c>
      <c r="AX106" s="44">
        <f t="shared" si="12"/>
        <v>1500</v>
      </c>
      <c r="AY106"/>
      <c r="AZ106" s="44">
        <f t="shared" si="12"/>
        <v>1500</v>
      </c>
      <c r="BA106"/>
      <c r="BB106"/>
      <c r="BC106" s="44">
        <f t="shared" si="12"/>
        <v>1500</v>
      </c>
    </row>
    <row r="107" spans="1:55" x14ac:dyDescent="0.25">
      <c r="A107" s="23" t="s">
        <v>391</v>
      </c>
      <c r="B107" s="3" t="s">
        <v>473</v>
      </c>
      <c r="C107" s="3" t="s">
        <v>483</v>
      </c>
      <c r="D107" s="3" t="s">
        <v>524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BC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58"/>
      <c r="T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/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 s="44">
        <f t="shared" si="13"/>
        <v>200</v>
      </c>
      <c r="AW107" s="44">
        <f t="shared" si="13"/>
        <v>200</v>
      </c>
      <c r="AX107" s="44">
        <f t="shared" si="13"/>
        <v>200</v>
      </c>
      <c r="AY107"/>
      <c r="AZ107" s="44">
        <f t="shared" si="13"/>
        <v>200</v>
      </c>
      <c r="BA107"/>
      <c r="BB107"/>
      <c r="BC107" s="44">
        <f t="shared" si="13"/>
        <v>200</v>
      </c>
    </row>
    <row r="108" spans="1:55" x14ac:dyDescent="0.25">
      <c r="A108" s="23" t="s">
        <v>393</v>
      </c>
      <c r="B108" s="3" t="s">
        <v>473</v>
      </c>
      <c r="C108" s="3" t="s">
        <v>483</v>
      </c>
      <c r="D108" s="3" t="s">
        <v>524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BC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58"/>
      <c r="T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/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 s="44">
        <f t="shared" si="14"/>
        <v>4000</v>
      </c>
      <c r="AW108" s="44">
        <f t="shared" si="14"/>
        <v>4000</v>
      </c>
      <c r="AX108" s="44">
        <f t="shared" si="14"/>
        <v>4000</v>
      </c>
      <c r="AY108"/>
      <c r="AZ108" s="44">
        <f t="shared" si="14"/>
        <v>4000</v>
      </c>
      <c r="BA108"/>
      <c r="BB108"/>
      <c r="BC108" s="44">
        <f t="shared" si="14"/>
        <v>4000</v>
      </c>
    </row>
    <row r="109" spans="1:55" x14ac:dyDescent="0.25">
      <c r="A109" s="23" t="s">
        <v>421</v>
      </c>
      <c r="B109" s="3" t="s">
        <v>473</v>
      </c>
      <c r="C109" s="3" t="s">
        <v>483</v>
      </c>
      <c r="D109" s="3" t="s">
        <v>524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58"/>
      <c r="T109" s="44">
        <v>100</v>
      </c>
      <c r="V109" s="44">
        <v>100</v>
      </c>
      <c r="W109" s="44">
        <v>100</v>
      </c>
      <c r="X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 s="44">
        <v>100</v>
      </c>
      <c r="AL109"/>
      <c r="AM109" s="44">
        <v>100</v>
      </c>
      <c r="AN109" s="44">
        <v>100</v>
      </c>
      <c r="AO109" s="44">
        <v>100</v>
      </c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 s="44">
        <v>100</v>
      </c>
      <c r="AW109" s="44">
        <v>100</v>
      </c>
      <c r="AX109" s="44">
        <v>100</v>
      </c>
      <c r="AY109"/>
      <c r="AZ109" s="44">
        <v>100</v>
      </c>
      <c r="BA109"/>
      <c r="BB109"/>
      <c r="BC109" s="44">
        <v>100</v>
      </c>
    </row>
    <row r="110" spans="1:55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524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58"/>
      <c r="T110" s="44">
        <v>280800</v>
      </c>
      <c r="V110" s="44">
        <v>280800</v>
      </c>
      <c r="W110" s="44">
        <v>280800</v>
      </c>
      <c r="X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 s="44">
        <v>280800</v>
      </c>
      <c r="AL110"/>
      <c r="AM110" s="44">
        <v>280800</v>
      </c>
      <c r="AN110" s="44">
        <v>280800</v>
      </c>
      <c r="AO110" s="44">
        <v>280800</v>
      </c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 s="44">
        <v>280800</v>
      </c>
      <c r="AW110" s="44">
        <v>280800</v>
      </c>
      <c r="AX110" s="44">
        <v>280800</v>
      </c>
      <c r="AY110"/>
      <c r="AZ110" s="44">
        <v>280800</v>
      </c>
      <c r="BA110"/>
      <c r="BB110"/>
      <c r="BC110" s="44">
        <v>280800</v>
      </c>
    </row>
    <row r="111" spans="1:55" x14ac:dyDescent="0.25">
      <c r="A111" s="23" t="s">
        <v>425</v>
      </c>
      <c r="B111" s="3" t="s">
        <v>473</v>
      </c>
      <c r="C111" s="3" t="s">
        <v>483</v>
      </c>
      <c r="D111" s="3" t="s">
        <v>524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BC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58"/>
      <c r="T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/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 s="44">
        <f t="shared" si="15"/>
        <v>0.11100000000000002</v>
      </c>
      <c r="AW111" s="44">
        <f t="shared" si="15"/>
        <v>0.11100000000000002</v>
      </c>
      <c r="AX111" s="44">
        <f t="shared" si="15"/>
        <v>0.11100000000000002</v>
      </c>
      <c r="AY111"/>
      <c r="AZ111" s="44">
        <f t="shared" si="15"/>
        <v>0.11100000000000002</v>
      </c>
      <c r="BA111"/>
      <c r="BB111"/>
      <c r="BC111" s="44">
        <f t="shared" si="15"/>
        <v>0.11100000000000002</v>
      </c>
    </row>
    <row r="112" spans="1:55" x14ac:dyDescent="0.25">
      <c r="A112" s="23" t="s">
        <v>427</v>
      </c>
      <c r="B112" s="3" t="s">
        <v>473</v>
      </c>
      <c r="C112" s="3" t="s">
        <v>483</v>
      </c>
      <c r="D112" s="3" t="s">
        <v>524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58"/>
      <c r="T112" s="44">
        <v>100</v>
      </c>
      <c r="V112" s="44">
        <v>100</v>
      </c>
      <c r="W112" s="44">
        <v>100</v>
      </c>
      <c r="X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 s="44">
        <v>100</v>
      </c>
      <c r="AL112"/>
      <c r="AM112" s="44">
        <v>100</v>
      </c>
      <c r="AN112" s="44">
        <v>100</v>
      </c>
      <c r="AO112" s="44">
        <v>100</v>
      </c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 s="44">
        <v>100</v>
      </c>
      <c r="AW112" s="44">
        <v>100</v>
      </c>
      <c r="AX112" s="44">
        <v>100</v>
      </c>
      <c r="AY112"/>
      <c r="AZ112" s="44">
        <v>100</v>
      </c>
      <c r="BA112"/>
      <c r="BB112"/>
      <c r="BC112" s="44">
        <v>100</v>
      </c>
    </row>
    <row r="113" spans="1:55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524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58"/>
      <c r="T113" s="44">
        <v>459648</v>
      </c>
      <c r="V113" s="44">
        <v>459648</v>
      </c>
      <c r="W113" s="44">
        <v>459648</v>
      </c>
      <c r="X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 s="44">
        <v>459648</v>
      </c>
      <c r="AL113"/>
      <c r="AM113" s="44">
        <v>459648</v>
      </c>
      <c r="AN113" s="44">
        <v>459648</v>
      </c>
      <c r="AO113" s="44">
        <v>459648</v>
      </c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 s="44">
        <v>459648</v>
      </c>
      <c r="AW113" s="44">
        <v>459648</v>
      </c>
      <c r="AX113" s="44">
        <v>459648</v>
      </c>
      <c r="AY113"/>
      <c r="AZ113" s="44">
        <v>459648</v>
      </c>
      <c r="BA113"/>
      <c r="BB113"/>
      <c r="BC113" s="44">
        <v>459648</v>
      </c>
    </row>
    <row r="114" spans="1:55" x14ac:dyDescent="0.25">
      <c r="A114" s="23" t="s">
        <v>431</v>
      </c>
      <c r="B114" s="3" t="s">
        <v>473</v>
      </c>
      <c r="C114" s="3" t="s">
        <v>483</v>
      </c>
      <c r="D114" s="3" t="s">
        <v>524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BC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58"/>
      <c r="T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/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 s="44">
        <f t="shared" si="16"/>
        <v>0.13875000000000001</v>
      </c>
      <c r="AW114" s="44">
        <f t="shared" si="16"/>
        <v>0.13875000000000001</v>
      </c>
      <c r="AX114" s="44">
        <f t="shared" si="16"/>
        <v>0.13875000000000001</v>
      </c>
      <c r="AY114"/>
      <c r="AZ114" s="44">
        <f t="shared" si="16"/>
        <v>0.13875000000000001</v>
      </c>
      <c r="BA114"/>
      <c r="BB114"/>
      <c r="BC114" s="44">
        <f t="shared" si="16"/>
        <v>0.13875000000000001</v>
      </c>
    </row>
    <row r="115" spans="1:55" x14ac:dyDescent="0.25">
      <c r="A115" s="23" t="s">
        <v>395</v>
      </c>
      <c r="B115" s="3" t="s">
        <v>473</v>
      </c>
      <c r="C115" s="3" t="s">
        <v>483</v>
      </c>
      <c r="D115" s="3" t="s">
        <v>524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58"/>
      <c r="T115" s="44">
        <v>21600</v>
      </c>
      <c r="V115" s="44">
        <v>21600</v>
      </c>
      <c r="W115" s="44">
        <v>21600</v>
      </c>
      <c r="X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 s="44">
        <v>21600</v>
      </c>
      <c r="AL115"/>
      <c r="AM115" s="44">
        <v>21600</v>
      </c>
      <c r="AN115" s="44">
        <v>21600</v>
      </c>
      <c r="AO115" s="44">
        <v>21600</v>
      </c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 s="44">
        <v>21600</v>
      </c>
      <c r="AW115" s="44">
        <v>21600</v>
      </c>
      <c r="AX115" s="44">
        <v>21600</v>
      </c>
      <c r="AY115"/>
      <c r="AZ115" s="44">
        <v>21600</v>
      </c>
      <c r="BA115"/>
      <c r="BB115"/>
      <c r="BC115" s="44">
        <v>21600</v>
      </c>
    </row>
    <row r="116" spans="1:55" x14ac:dyDescent="0.25">
      <c r="A116" s="23" t="s">
        <v>397</v>
      </c>
      <c r="B116" s="3" t="s">
        <v>473</v>
      </c>
      <c r="C116" s="3" t="s">
        <v>483</v>
      </c>
      <c r="D116" s="3" t="s">
        <v>524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58"/>
      <c r="T116" s="44">
        <v>43200</v>
      </c>
      <c r="V116" s="44">
        <v>43200</v>
      </c>
      <c r="W116" s="44">
        <v>43200</v>
      </c>
      <c r="X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 s="44">
        <v>43200</v>
      </c>
      <c r="AL116"/>
      <c r="AM116" s="44">
        <v>43200</v>
      </c>
      <c r="AN116" s="44">
        <v>43200</v>
      </c>
      <c r="AO116" s="44">
        <v>43200</v>
      </c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 s="44">
        <v>43200</v>
      </c>
      <c r="AW116" s="44">
        <v>43200</v>
      </c>
      <c r="AX116" s="44">
        <v>43200</v>
      </c>
      <c r="AY116"/>
      <c r="AZ116" s="44">
        <v>43200</v>
      </c>
      <c r="BA116"/>
      <c r="BB116"/>
      <c r="BC116" s="44">
        <v>43200</v>
      </c>
    </row>
    <row r="117" spans="1:55" x14ac:dyDescent="0.25">
      <c r="A117" s="13" t="s">
        <v>61</v>
      </c>
      <c r="B117" s="3" t="s">
        <v>473</v>
      </c>
      <c r="C117" s="3" t="s">
        <v>483</v>
      </c>
      <c r="D117" s="3" t="s">
        <v>524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58"/>
      <c r="T117" s="44">
        <v>0.8</v>
      </c>
      <c r="V117" s="44">
        <v>0.8</v>
      </c>
      <c r="W117" s="44">
        <v>0.8</v>
      </c>
      <c r="X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 s="44">
        <v>0.8</v>
      </c>
      <c r="AL117"/>
      <c r="AM117" s="44">
        <v>0.8</v>
      </c>
      <c r="AN117" s="44">
        <v>0.8</v>
      </c>
      <c r="AO117" s="44">
        <v>0.8</v>
      </c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 s="44">
        <v>0.8</v>
      </c>
      <c r="AW117" s="44">
        <v>0.8</v>
      </c>
      <c r="AX117" s="44">
        <v>0.8</v>
      </c>
      <c r="AY117"/>
      <c r="AZ117" s="44">
        <v>0.8</v>
      </c>
      <c r="BA117"/>
      <c r="BB117"/>
      <c r="BC117" s="44">
        <v>0.8</v>
      </c>
    </row>
    <row r="118" spans="1:55" x14ac:dyDescent="0.25">
      <c r="A118" s="13" t="s">
        <v>62</v>
      </c>
      <c r="B118" s="3" t="s">
        <v>473</v>
      </c>
      <c r="C118" s="3" t="s">
        <v>483</v>
      </c>
      <c r="D118" s="3" t="s">
        <v>524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58"/>
      <c r="T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/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 s="44">
        <v>2.0833333333333335E-4</v>
      </c>
      <c r="AW118" s="44">
        <v>2.0833333333333335E-4</v>
      </c>
      <c r="AX118" s="44">
        <v>2.0833333333333335E-4</v>
      </c>
      <c r="AY118"/>
      <c r="AZ118" s="44">
        <v>2.0833333333333335E-4</v>
      </c>
      <c r="BA118"/>
      <c r="BB118"/>
      <c r="BC118" s="44">
        <v>2.0833333333333335E-4</v>
      </c>
    </row>
    <row r="119" spans="1:55" x14ac:dyDescent="0.25">
      <c r="A119" s="13" t="s">
        <v>63</v>
      </c>
      <c r="B119" s="3" t="s">
        <v>473</v>
      </c>
      <c r="C119" s="3" t="s">
        <v>483</v>
      </c>
      <c r="D119" s="3" t="s">
        <v>524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58"/>
      <c r="T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/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 s="44">
        <v>5.7899999999999998E-7</v>
      </c>
      <c r="AW119" s="44">
        <v>5.7899999999999998E-7</v>
      </c>
      <c r="AX119" s="44">
        <v>5.7899999999999998E-7</v>
      </c>
      <c r="AY119"/>
      <c r="AZ119" s="44">
        <v>5.7899999999999998E-7</v>
      </c>
      <c r="BA119"/>
      <c r="BB119"/>
      <c r="BC119" s="44">
        <v>5.7899999999999998E-7</v>
      </c>
    </row>
    <row r="120" spans="1:55" x14ac:dyDescent="0.25">
      <c r="A120" s="13" t="s">
        <v>64</v>
      </c>
      <c r="B120" s="3" t="s">
        <v>473</v>
      </c>
      <c r="C120" s="3" t="s">
        <v>483</v>
      </c>
      <c r="D120" s="3" t="s">
        <v>524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58"/>
      <c r="T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/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 s="44">
        <v>2.0833333333333335E-4</v>
      </c>
      <c r="AW120" s="44">
        <v>2.0833333333333335E-4</v>
      </c>
      <c r="AX120" s="44">
        <v>2.0833333333333335E-4</v>
      </c>
      <c r="AY120"/>
      <c r="AZ120" s="44">
        <v>2.0833333333333335E-4</v>
      </c>
      <c r="BA120"/>
      <c r="BB120"/>
      <c r="BC120" s="44">
        <v>2.0833333333333335E-4</v>
      </c>
    </row>
    <row r="121" spans="1:55" x14ac:dyDescent="0.25">
      <c r="A121" s="13" t="s">
        <v>452</v>
      </c>
      <c r="B121" s="3" t="s">
        <v>473</v>
      </c>
      <c r="C121" s="3" t="s">
        <v>483</v>
      </c>
      <c r="D121" s="3" t="s">
        <v>524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58"/>
      <c r="T121" s="44">
        <v>0</v>
      </c>
      <c r="V121" s="44">
        <v>0</v>
      </c>
      <c r="W121" s="44">
        <v>0</v>
      </c>
      <c r="X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/>
      <c r="AM121" s="44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 s="44">
        <v>0</v>
      </c>
      <c r="AW121" s="44">
        <v>0</v>
      </c>
      <c r="AX121" s="44">
        <v>0</v>
      </c>
      <c r="AY121"/>
      <c r="AZ121" s="44">
        <v>0</v>
      </c>
      <c r="BA121"/>
      <c r="BB121"/>
      <c r="BC121" s="44">
        <v>0</v>
      </c>
    </row>
    <row r="122" spans="1:55" x14ac:dyDescent="0.25">
      <c r="A122" s="13" t="s">
        <v>454</v>
      </c>
      <c r="B122" s="3" t="s">
        <v>473</v>
      </c>
      <c r="C122" s="3" t="s">
        <v>483</v>
      </c>
      <c r="D122" s="3" t="s">
        <v>524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58"/>
      <c r="T122" s="44">
        <v>0</v>
      </c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25">
      <c r="A123" s="38" t="s">
        <v>444</v>
      </c>
      <c r="B123" s="3" t="s">
        <v>473</v>
      </c>
      <c r="C123" s="3" t="s">
        <v>483</v>
      </c>
      <c r="D123" s="3" t="s">
        <v>524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0</v>
      </c>
      <c r="S123" s="58"/>
      <c r="T123" s="44">
        <v>0</v>
      </c>
      <c r="V123" s="44">
        <v>5.9999999999999997E-7</v>
      </c>
      <c r="W123" s="44">
        <v>5.9999999999999997E-7</v>
      </c>
      <c r="X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/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 s="44">
        <v>5.9999999999999997E-7</v>
      </c>
      <c r="AW123" s="44">
        <v>5.9999999999999997E-7</v>
      </c>
      <c r="AX123" s="44">
        <v>5.9999999999999997E-7</v>
      </c>
      <c r="AY123"/>
      <c r="AZ123" s="44">
        <v>5.9999999999999997E-7</v>
      </c>
      <c r="BA123"/>
      <c r="BB123"/>
      <c r="BC123" s="44">
        <v>9.9999999999999995E-8</v>
      </c>
    </row>
    <row r="124" spans="1:55" x14ac:dyDescent="0.25">
      <c r="A124" s="38" t="s">
        <v>67</v>
      </c>
      <c r="B124" s="3" t="s">
        <v>473</v>
      </c>
      <c r="C124" s="3" t="s">
        <v>483</v>
      </c>
      <c r="D124" s="3" t="s">
        <v>524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BC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58"/>
      <c r="T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/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 s="44">
        <f t="shared" si="17"/>
        <v>8.3333333333333331E-5</v>
      </c>
      <c r="AW124" s="44">
        <f t="shared" si="17"/>
        <v>8.3333333333333331E-5</v>
      </c>
      <c r="AX124" s="44">
        <f t="shared" si="17"/>
        <v>8.3333333333333331E-5</v>
      </c>
      <c r="AY124"/>
      <c r="AZ124" s="44">
        <f t="shared" si="17"/>
        <v>8.3333333333333331E-5</v>
      </c>
      <c r="BA124"/>
      <c r="BB124"/>
      <c r="BC124" s="44">
        <f t="shared" si="17"/>
        <v>8.3333333333333331E-5</v>
      </c>
    </row>
    <row r="125" spans="1:55" x14ac:dyDescent="0.25">
      <c r="A125" s="38" t="s">
        <v>448</v>
      </c>
      <c r="B125" s="3" t="s">
        <v>473</v>
      </c>
      <c r="C125" s="3" t="s">
        <v>483</v>
      </c>
      <c r="D125" s="3" t="s">
        <v>524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58"/>
      <c r="T125" s="44" t="s">
        <v>86</v>
      </c>
      <c r="V125" s="44" t="s">
        <v>86</v>
      </c>
      <c r="W125" s="44" t="s">
        <v>86</v>
      </c>
      <c r="X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/>
      <c r="AM125" s="44" t="s">
        <v>86</v>
      </c>
      <c r="AN125" s="44" t="s">
        <v>86</v>
      </c>
      <c r="AO125" s="44" t="s">
        <v>86</v>
      </c>
      <c r="AP125" s="44" t="s">
        <v>86</v>
      </c>
      <c r="AQ125" s="44" t="s">
        <v>86</v>
      </c>
      <c r="AR125" s="44" t="s">
        <v>86</v>
      </c>
      <c r="AS125" s="44" t="s">
        <v>86</v>
      </c>
      <c r="AT125"/>
      <c r="AU125" s="44" t="s">
        <v>86</v>
      </c>
      <c r="AV125" s="44" t="s">
        <v>86</v>
      </c>
      <c r="AW125" s="44" t="s">
        <v>86</v>
      </c>
      <c r="AX125" s="44" t="s">
        <v>86</v>
      </c>
      <c r="AY125"/>
      <c r="AZ125" s="44" t="s">
        <v>86</v>
      </c>
      <c r="BA125"/>
      <c r="BB125"/>
      <c r="BC125" s="44" t="s">
        <v>86</v>
      </c>
    </row>
    <row r="126" spans="1:55" x14ac:dyDescent="0.25">
      <c r="A126" s="21" t="s">
        <v>66</v>
      </c>
      <c r="B126" s="3" t="s">
        <v>473</v>
      </c>
      <c r="C126" s="3" t="s">
        <v>483</v>
      </c>
      <c r="D126" s="3" t="s">
        <v>524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v>5.0000000000000001E-4</v>
      </c>
      <c r="S126" s="58"/>
      <c r="T126" s="44">
        <v>5.0000000000000001E-4</v>
      </c>
      <c r="V126" s="44">
        <v>5.0000000000000001E-4</v>
      </c>
      <c r="W126" s="44">
        <v>5.0000000000000001E-4</v>
      </c>
      <c r="X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/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 s="44">
        <v>5.0000000000000001E-4</v>
      </c>
      <c r="AW126" s="44">
        <v>5.0000000000000001E-4</v>
      </c>
      <c r="AX126" s="44">
        <v>5.0000000000000001E-4</v>
      </c>
      <c r="AY126"/>
      <c r="AZ126" s="44">
        <v>5.0000000000000001E-4</v>
      </c>
      <c r="BA126"/>
      <c r="BB126"/>
      <c r="BC126" s="44">
        <v>5.0000000000000001E-4</v>
      </c>
    </row>
    <row r="127" spans="1:55" x14ac:dyDescent="0.25">
      <c r="A127" s="21" t="s">
        <v>441</v>
      </c>
      <c r="B127" s="3" t="s">
        <v>473</v>
      </c>
      <c r="C127" s="3" t="s">
        <v>483</v>
      </c>
      <c r="D127" s="3" t="s">
        <v>524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58"/>
      <c r="T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/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 s="44">
        <v>4.9999999999999999E-13</v>
      </c>
      <c r="AW127" s="44">
        <v>4.9999999999999999E-13</v>
      </c>
      <c r="AX127" s="44">
        <v>4.9999999999999999E-13</v>
      </c>
      <c r="AY127"/>
      <c r="AZ127" s="44">
        <v>4.9999999999999999E-13</v>
      </c>
      <c r="BA127"/>
      <c r="BB127"/>
      <c r="BC127" s="44">
        <v>4.9999999999999999E-13</v>
      </c>
    </row>
    <row r="128" spans="1:55" x14ac:dyDescent="0.25">
      <c r="A128" s="21" t="s">
        <v>228</v>
      </c>
      <c r="B128" s="3" t="s">
        <v>473</v>
      </c>
      <c r="C128" s="3" t="s">
        <v>483</v>
      </c>
      <c r="D128" s="3" t="s">
        <v>524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58"/>
      <c r="T128" s="44">
        <v>10</v>
      </c>
      <c r="V128" s="44">
        <v>10</v>
      </c>
      <c r="W128" s="44">
        <v>10</v>
      </c>
      <c r="X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 s="44">
        <v>10</v>
      </c>
      <c r="AL128"/>
      <c r="AM128" s="44">
        <v>10</v>
      </c>
      <c r="AN128" s="44">
        <v>10</v>
      </c>
      <c r="AO128" s="44">
        <v>10</v>
      </c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 s="44">
        <v>10</v>
      </c>
      <c r="AW128" s="44">
        <v>10</v>
      </c>
      <c r="AX128" s="44">
        <v>10</v>
      </c>
      <c r="AY128"/>
      <c r="AZ128" s="44">
        <v>10</v>
      </c>
      <c r="BA128"/>
      <c r="BB128"/>
      <c r="BC128" s="44">
        <v>10</v>
      </c>
    </row>
    <row r="129" spans="1:55" x14ac:dyDescent="0.25">
      <c r="A129" s="21" t="s">
        <v>229</v>
      </c>
      <c r="B129" s="3" t="s">
        <v>473</v>
      </c>
      <c r="C129" s="3" t="s">
        <v>483</v>
      </c>
      <c r="D129" s="3" t="s">
        <v>524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58"/>
      <c r="T129" s="44">
        <v>-0.04</v>
      </c>
      <c r="V129" s="44">
        <v>-0.04</v>
      </c>
      <c r="W129" s="44">
        <v>-0.04</v>
      </c>
      <c r="X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 s="44">
        <v>-0.04</v>
      </c>
      <c r="AL129"/>
      <c r="AM129" s="44">
        <v>-0.04</v>
      </c>
      <c r="AN129" s="44">
        <v>-0.04</v>
      </c>
      <c r="AO129" s="44">
        <v>-0.04</v>
      </c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 s="44">
        <v>-0.04</v>
      </c>
      <c r="AW129" s="44">
        <v>-0.04</v>
      </c>
      <c r="AX129" s="44">
        <v>-0.04</v>
      </c>
      <c r="AY129"/>
      <c r="AZ129" s="44">
        <v>-0.04</v>
      </c>
      <c r="BA129"/>
      <c r="BB129"/>
      <c r="BC129" s="44">
        <v>-0.04</v>
      </c>
    </row>
    <row r="130" spans="1:55" x14ac:dyDescent="0.25">
      <c r="A130" s="21" t="s">
        <v>230</v>
      </c>
      <c r="B130" s="3" t="s">
        <v>473</v>
      </c>
      <c r="C130" s="3" t="s">
        <v>483</v>
      </c>
      <c r="D130" s="3" t="s">
        <v>524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58"/>
      <c r="T130" s="44">
        <v>2.9</v>
      </c>
      <c r="V130" s="44">
        <v>2.9</v>
      </c>
      <c r="W130" s="44">
        <v>2.9</v>
      </c>
      <c r="X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 s="44">
        <v>2.9</v>
      </c>
      <c r="AL130"/>
      <c r="AM130" s="44">
        <v>2.9</v>
      </c>
      <c r="AN130" s="44">
        <v>2.9</v>
      </c>
      <c r="AO130" s="44">
        <v>2.9</v>
      </c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 s="44">
        <v>2.9</v>
      </c>
      <c r="AW130" s="44">
        <v>2.9</v>
      </c>
      <c r="AX130" s="44">
        <v>2.9</v>
      </c>
      <c r="AY130"/>
      <c r="AZ130" s="44">
        <v>2.9</v>
      </c>
      <c r="BA130"/>
      <c r="BB130"/>
      <c r="BC130" s="44">
        <v>2.9</v>
      </c>
    </row>
    <row r="131" spans="1:55" x14ac:dyDescent="0.25">
      <c r="A131" s="21" t="s">
        <v>231</v>
      </c>
      <c r="B131" s="3" t="s">
        <v>473</v>
      </c>
      <c r="C131" s="3" t="s">
        <v>483</v>
      </c>
      <c r="D131" s="3" t="s">
        <v>524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58"/>
      <c r="T131" s="44">
        <v>1</v>
      </c>
      <c r="V131" s="44">
        <v>1</v>
      </c>
      <c r="W131" s="44">
        <v>1</v>
      </c>
      <c r="X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 s="44">
        <v>1</v>
      </c>
      <c r="AL131"/>
      <c r="AM131" s="44">
        <v>1</v>
      </c>
      <c r="AN131" s="44">
        <v>1</v>
      </c>
      <c r="AO131" s="44">
        <v>1</v>
      </c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 s="44">
        <v>1</v>
      </c>
      <c r="AW131" s="44">
        <v>1</v>
      </c>
      <c r="AX131" s="44">
        <v>1</v>
      </c>
      <c r="AY131"/>
      <c r="AZ131" s="44">
        <v>1</v>
      </c>
      <c r="BA131"/>
      <c r="BB131"/>
      <c r="BC131" s="44">
        <v>1</v>
      </c>
    </row>
    <row r="132" spans="1:55" x14ac:dyDescent="0.25">
      <c r="A132" s="21" t="s">
        <v>68</v>
      </c>
      <c r="B132" s="3" t="s">
        <v>473</v>
      </c>
      <c r="C132" s="3" t="s">
        <v>483</v>
      </c>
      <c r="D132" s="3" t="s">
        <v>524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58"/>
      <c r="T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/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 s="44">
        <v>1.9999999999999999E-7</v>
      </c>
      <c r="AW132" s="44">
        <v>1.9999999999999999E-7</v>
      </c>
      <c r="AX132" s="44">
        <v>1.9999999999999999E-7</v>
      </c>
      <c r="AY132"/>
      <c r="AZ132" s="44">
        <v>1.9999999999999999E-7</v>
      </c>
      <c r="BA132"/>
      <c r="BB132"/>
      <c r="BC132" s="44">
        <v>1.9999999999999999E-7</v>
      </c>
    </row>
    <row r="133" spans="1:55" x14ac:dyDescent="0.25">
      <c r="A133" s="21" t="s">
        <v>525</v>
      </c>
      <c r="B133" s="3" t="s">
        <v>473</v>
      </c>
      <c r="C133" s="3" t="s">
        <v>483</v>
      </c>
      <c r="D133" s="3" t="s">
        <v>524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55">
        <v>0</v>
      </c>
      <c r="S133" s="60"/>
      <c r="T133" s="55">
        <v>0</v>
      </c>
      <c r="V133" s="44">
        <v>1.9999999999999999E-7</v>
      </c>
      <c r="W133" s="44">
        <v>1.9999999999999999E-7</v>
      </c>
      <c r="X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 s="44">
        <v>1.9999999999999999E-7</v>
      </c>
      <c r="AW133" s="44">
        <v>1.9999999999999999E-7</v>
      </c>
      <c r="AX133" s="44">
        <v>1.9999999999999999E-7</v>
      </c>
      <c r="AY133"/>
      <c r="AZ133" s="44">
        <v>1.9999999999999999E-7</v>
      </c>
      <c r="BA133"/>
      <c r="BB133"/>
      <c r="BC133" s="44">
        <v>1.9999999999999999E-7</v>
      </c>
    </row>
    <row r="134" spans="1:55" x14ac:dyDescent="0.25">
      <c r="A134" s="21" t="s">
        <v>232</v>
      </c>
      <c r="B134" s="3" t="s">
        <v>473</v>
      </c>
      <c r="C134" s="3" t="s">
        <v>483</v>
      </c>
      <c r="D134" s="3" t="s">
        <v>524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58"/>
      <c r="T134" s="44">
        <v>10</v>
      </c>
      <c r="V134" s="44">
        <v>10</v>
      </c>
      <c r="W134" s="44">
        <v>10</v>
      </c>
      <c r="X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 s="44">
        <v>10</v>
      </c>
      <c r="AL134"/>
      <c r="AM134" s="44">
        <v>10</v>
      </c>
      <c r="AN134" s="44">
        <v>10</v>
      </c>
      <c r="AO134" s="44">
        <v>10</v>
      </c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 s="44">
        <v>10</v>
      </c>
      <c r="AW134" s="44">
        <v>10</v>
      </c>
      <c r="AX134" s="44">
        <v>10</v>
      </c>
      <c r="AY134"/>
      <c r="AZ134" s="44">
        <v>10</v>
      </c>
      <c r="BA134"/>
      <c r="BB134"/>
      <c r="BC134" s="44">
        <v>10</v>
      </c>
    </row>
    <row r="135" spans="1:55" x14ac:dyDescent="0.25">
      <c r="A135" s="21" t="s">
        <v>233</v>
      </c>
      <c r="B135" s="3" t="s">
        <v>473</v>
      </c>
      <c r="C135" s="3" t="s">
        <v>483</v>
      </c>
      <c r="D135" s="3" t="s">
        <v>524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58"/>
      <c r="T135" s="44">
        <v>-0.04</v>
      </c>
      <c r="V135" s="44">
        <v>-0.04</v>
      </c>
      <c r="W135" s="44">
        <v>-0.04</v>
      </c>
      <c r="X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 s="44">
        <v>-0.04</v>
      </c>
      <c r="AL135"/>
      <c r="AM135" s="44">
        <v>-0.04</v>
      </c>
      <c r="AN135" s="44">
        <v>-0.04</v>
      </c>
      <c r="AO135" s="44">
        <v>-0.04</v>
      </c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 s="44">
        <v>-0.04</v>
      </c>
      <c r="AW135" s="44">
        <v>-0.04</v>
      </c>
      <c r="AX135" s="44">
        <v>-0.04</v>
      </c>
      <c r="AY135"/>
      <c r="AZ135" s="44">
        <v>-0.04</v>
      </c>
      <c r="BA135"/>
      <c r="BB135"/>
      <c r="BC135" s="44">
        <v>-0.04</v>
      </c>
    </row>
    <row r="136" spans="1:55" x14ac:dyDescent="0.25">
      <c r="A136" s="21" t="s">
        <v>234</v>
      </c>
      <c r="B136" s="3" t="s">
        <v>473</v>
      </c>
      <c r="C136" s="3" t="s">
        <v>483</v>
      </c>
      <c r="D136" s="3" t="s">
        <v>524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58"/>
      <c r="T136" s="44">
        <v>2.9</v>
      </c>
      <c r="V136" s="44">
        <v>2.9</v>
      </c>
      <c r="W136" s="44">
        <v>2.9</v>
      </c>
      <c r="X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 s="44">
        <v>2.9</v>
      </c>
      <c r="AL136"/>
      <c r="AM136" s="44">
        <v>2.9</v>
      </c>
      <c r="AN136" s="44">
        <v>2.9</v>
      </c>
      <c r="AO136" s="44">
        <v>2.9</v>
      </c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 s="44">
        <v>2.9</v>
      </c>
      <c r="AW136" s="44">
        <v>2.9</v>
      </c>
      <c r="AX136" s="44">
        <v>2.9</v>
      </c>
      <c r="AY136"/>
      <c r="AZ136" s="44">
        <v>2.9</v>
      </c>
      <c r="BA136"/>
      <c r="BB136"/>
      <c r="BC136" s="44">
        <v>2.9</v>
      </c>
    </row>
    <row r="137" spans="1:55" x14ac:dyDescent="0.25">
      <c r="A137" s="21" t="s">
        <v>235</v>
      </c>
      <c r="B137" s="3" t="s">
        <v>473</v>
      </c>
      <c r="C137" s="3" t="s">
        <v>483</v>
      </c>
      <c r="D137" s="3" t="s">
        <v>524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58"/>
      <c r="T137" s="44">
        <v>1</v>
      </c>
      <c r="V137" s="44">
        <v>1</v>
      </c>
      <c r="W137" s="44">
        <v>1</v>
      </c>
      <c r="X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 s="44">
        <v>1</v>
      </c>
      <c r="AL137"/>
      <c r="AM137" s="44">
        <v>1</v>
      </c>
      <c r="AN137" s="44">
        <v>1</v>
      </c>
      <c r="AO137" s="44">
        <v>1</v>
      </c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 s="44">
        <v>1</v>
      </c>
      <c r="AW137" s="44">
        <v>1</v>
      </c>
      <c r="AX137" s="44">
        <v>1</v>
      </c>
      <c r="AY137"/>
      <c r="AZ137" s="44">
        <v>1</v>
      </c>
      <c r="BA137"/>
      <c r="BB137"/>
      <c r="BC137" s="44">
        <v>1</v>
      </c>
    </row>
    <row r="138" spans="1:55" x14ac:dyDescent="0.25">
      <c r="A138" s="21" t="s">
        <v>69</v>
      </c>
      <c r="B138" s="3" t="s">
        <v>473</v>
      </c>
      <c r="C138" s="3" t="s">
        <v>483</v>
      </c>
      <c r="D138" s="3" t="s">
        <v>524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58"/>
      <c r="T138" s="44">
        <v>0</v>
      </c>
      <c r="V138" s="44">
        <v>0</v>
      </c>
      <c r="W138" s="44">
        <v>0</v>
      </c>
      <c r="X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 s="44">
        <v>0</v>
      </c>
      <c r="AL138"/>
      <c r="AM138" s="44">
        <v>0</v>
      </c>
      <c r="AN138" s="44">
        <v>0</v>
      </c>
      <c r="AO138" s="44">
        <v>0</v>
      </c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 s="44">
        <v>0</v>
      </c>
      <c r="AW138" s="44">
        <v>0</v>
      </c>
      <c r="AX138" s="44">
        <v>0</v>
      </c>
      <c r="AY138"/>
      <c r="AZ138" s="44">
        <v>0</v>
      </c>
      <c r="BA138"/>
      <c r="BB138"/>
      <c r="BC138" s="44">
        <v>0</v>
      </c>
    </row>
    <row r="139" spans="1:55" x14ac:dyDescent="0.25">
      <c r="A139" s="40" t="s">
        <v>70</v>
      </c>
      <c r="B139" s="3" t="s">
        <v>473</v>
      </c>
      <c r="C139" s="3" t="s">
        <v>483</v>
      </c>
      <c r="D139" s="3" t="s">
        <v>524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58"/>
      <c r="T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/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 s="44">
        <v>5.0000000000000004E-6</v>
      </c>
      <c r="AW139" s="44">
        <v>5.0000000000000004E-6</v>
      </c>
      <c r="AX139" s="44">
        <v>5.0000000000000004E-6</v>
      </c>
      <c r="AY139"/>
      <c r="AZ139" s="44">
        <v>5.0000000000000004E-6</v>
      </c>
      <c r="BA139"/>
      <c r="BB139"/>
      <c r="BC139" s="44">
        <v>5.0000000000000004E-6</v>
      </c>
    </row>
    <row r="140" spans="1:55" x14ac:dyDescent="0.25">
      <c r="A140" s="23" t="s">
        <v>56</v>
      </c>
      <c r="B140" s="3" t="s">
        <v>473</v>
      </c>
      <c r="C140" s="3" t="s">
        <v>483</v>
      </c>
      <c r="D140" s="3" t="s">
        <v>524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58"/>
      <c r="T140" s="44">
        <v>0</v>
      </c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25">
      <c r="A141" s="23" t="s">
        <v>57</v>
      </c>
      <c r="B141" s="3" t="s">
        <v>473</v>
      </c>
      <c r="C141" s="3" t="s">
        <v>483</v>
      </c>
      <c r="D141" s="3" t="s">
        <v>524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58"/>
      <c r="T141" s="44">
        <v>2E-3</v>
      </c>
      <c r="V141" s="44">
        <v>2E-3</v>
      </c>
      <c r="W141" s="44">
        <v>2E-3</v>
      </c>
      <c r="X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 s="44">
        <v>2E-3</v>
      </c>
      <c r="AL141"/>
      <c r="AM141" s="44">
        <v>2E-3</v>
      </c>
      <c r="AN141" s="44">
        <v>2E-3</v>
      </c>
      <c r="AO141" s="44">
        <v>2E-3</v>
      </c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 s="44">
        <v>2E-3</v>
      </c>
      <c r="AW141" s="44">
        <v>2E-3</v>
      </c>
      <c r="AX141" s="44">
        <v>2E-3</v>
      </c>
      <c r="AY141"/>
      <c r="AZ141" s="44">
        <v>2E-3</v>
      </c>
      <c r="BA141"/>
      <c r="BB141"/>
      <c r="BC141" s="44">
        <v>2E-3</v>
      </c>
    </row>
    <row r="142" spans="1:55" x14ac:dyDescent="0.25">
      <c r="A142" s="23" t="s">
        <v>58</v>
      </c>
      <c r="B142" s="3" t="s">
        <v>473</v>
      </c>
      <c r="C142" s="3" t="s">
        <v>483</v>
      </c>
      <c r="D142" s="3" t="s">
        <v>524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58"/>
      <c r="T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/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 s="44">
        <v>3.9999999999999998E-6</v>
      </c>
      <c r="AW142" s="44">
        <v>3.9999999999999998E-6</v>
      </c>
      <c r="AX142" s="44">
        <v>3.9999999999999998E-6</v>
      </c>
      <c r="AY142"/>
      <c r="AZ142" s="44">
        <v>3.9999999999999998E-6</v>
      </c>
      <c r="BA142"/>
      <c r="BB142"/>
      <c r="BC142" s="44">
        <v>3.9999999999999998E-6</v>
      </c>
    </row>
    <row r="143" spans="1:55" x14ac:dyDescent="0.25">
      <c r="A143" s="23" t="s">
        <v>71</v>
      </c>
      <c r="B143" s="3" t="s">
        <v>473</v>
      </c>
      <c r="C143" s="3" t="s">
        <v>483</v>
      </c>
      <c r="D143" s="3" t="s">
        <v>524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58"/>
      <c r="T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/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 s="44">
        <v>3.7699999999999999E-10</v>
      </c>
      <c r="AW143" s="44">
        <v>3.7699999999999999E-10</v>
      </c>
      <c r="AX143" s="44">
        <v>3.7699999999999999E-10</v>
      </c>
      <c r="AY143"/>
      <c r="AZ143" s="44">
        <v>3.7699999999999999E-10</v>
      </c>
      <c r="BA143"/>
      <c r="BB143"/>
      <c r="BC143" s="44">
        <v>3.7699999999999999E-10</v>
      </c>
    </row>
    <row r="144" spans="1:55" x14ac:dyDescent="0.25">
      <c r="A144" s="23" t="s">
        <v>236</v>
      </c>
      <c r="B144" s="3" t="s">
        <v>473</v>
      </c>
      <c r="C144" s="3" t="s">
        <v>483</v>
      </c>
      <c r="D144" s="3" t="s">
        <v>524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58"/>
      <c r="T144" s="44">
        <v>20</v>
      </c>
      <c r="V144" s="44">
        <v>20</v>
      </c>
      <c r="W144" s="44">
        <v>20</v>
      </c>
      <c r="X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 s="44">
        <v>20</v>
      </c>
      <c r="AL144"/>
      <c r="AM144" s="44">
        <v>20</v>
      </c>
      <c r="AN144" s="44">
        <v>20</v>
      </c>
      <c r="AO144" s="44">
        <v>20</v>
      </c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 s="44">
        <v>20</v>
      </c>
      <c r="AW144" s="44">
        <v>20</v>
      </c>
      <c r="AX144" s="44">
        <v>20</v>
      </c>
      <c r="AY144"/>
      <c r="AZ144" s="44">
        <v>20</v>
      </c>
      <c r="BA144"/>
      <c r="BB144"/>
      <c r="BC144" s="44">
        <v>20</v>
      </c>
    </row>
    <row r="145" spans="1:55" x14ac:dyDescent="0.25">
      <c r="A145" s="23" t="s">
        <v>237</v>
      </c>
      <c r="B145" s="3" t="s">
        <v>473</v>
      </c>
      <c r="C145" s="3" t="s">
        <v>483</v>
      </c>
      <c r="D145" s="3" t="s">
        <v>524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58"/>
      <c r="T145" s="44">
        <v>-0.06</v>
      </c>
      <c r="V145" s="44">
        <v>-0.06</v>
      </c>
      <c r="W145" s="44">
        <v>-0.06</v>
      </c>
      <c r="X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 s="44">
        <v>-0.06</v>
      </c>
      <c r="AL145"/>
      <c r="AM145" s="44">
        <v>-0.06</v>
      </c>
      <c r="AN145" s="44">
        <v>-0.06</v>
      </c>
      <c r="AO145" s="44">
        <v>-0.06</v>
      </c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 s="44">
        <v>-0.06</v>
      </c>
      <c r="AW145" s="44">
        <v>-0.06</v>
      </c>
      <c r="AX145" s="44">
        <v>-0.06</v>
      </c>
      <c r="AY145"/>
      <c r="AZ145" s="44">
        <v>-0.06</v>
      </c>
      <c r="BA145"/>
      <c r="BB145"/>
      <c r="BC145" s="44">
        <v>-0.06</v>
      </c>
    </row>
    <row r="146" spans="1:55" x14ac:dyDescent="0.25">
      <c r="A146" s="23" t="s">
        <v>238</v>
      </c>
      <c r="B146" s="3" t="s">
        <v>473</v>
      </c>
      <c r="C146" s="3" t="s">
        <v>483</v>
      </c>
      <c r="D146" s="3" t="s">
        <v>524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58"/>
      <c r="T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/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 s="44">
        <v>0.89100000000000001</v>
      </c>
      <c r="AW146" s="44">
        <v>0.89100000000000001</v>
      </c>
      <c r="AX146" s="44">
        <v>0.89100000000000001</v>
      </c>
      <c r="AY146"/>
      <c r="AZ146" s="44">
        <v>0.89100000000000001</v>
      </c>
      <c r="BA146"/>
      <c r="BB146"/>
      <c r="BC146" s="44">
        <v>0.89100000000000001</v>
      </c>
    </row>
    <row r="147" spans="1:55" x14ac:dyDescent="0.25">
      <c r="A147" s="23" t="s">
        <v>239</v>
      </c>
      <c r="B147" s="3" t="s">
        <v>473</v>
      </c>
      <c r="C147" s="3" t="s">
        <v>483</v>
      </c>
      <c r="D147" s="3" t="s">
        <v>524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58"/>
      <c r="T147" s="44">
        <v>1</v>
      </c>
      <c r="V147" s="44">
        <v>1</v>
      </c>
      <c r="W147" s="44">
        <v>1</v>
      </c>
      <c r="X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 s="44">
        <v>1</v>
      </c>
      <c r="AL147"/>
      <c r="AM147" s="44">
        <v>1</v>
      </c>
      <c r="AN147" s="44">
        <v>1</v>
      </c>
      <c r="AO147" s="44">
        <v>1</v>
      </c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 s="44">
        <v>1</v>
      </c>
      <c r="AW147" s="44">
        <v>1</v>
      </c>
      <c r="AX147" s="44">
        <v>1</v>
      </c>
      <c r="AY147"/>
      <c r="AZ147" s="44">
        <v>1</v>
      </c>
      <c r="BA147"/>
      <c r="BB147"/>
      <c r="BC147" s="44">
        <v>1</v>
      </c>
    </row>
    <row r="148" spans="1:55" x14ac:dyDescent="0.25">
      <c r="A148" s="23" t="s">
        <v>72</v>
      </c>
      <c r="B148" s="3" t="s">
        <v>473</v>
      </c>
      <c r="C148" s="3" t="s">
        <v>483</v>
      </c>
      <c r="D148" s="3" t="s">
        <v>524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58"/>
      <c r="T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/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 s="44">
        <v>4.0000000000000003E-5</v>
      </c>
      <c r="AW148" s="44">
        <v>4.0000000000000003E-5</v>
      </c>
      <c r="AX148" s="44">
        <v>4.0000000000000003E-5</v>
      </c>
      <c r="AY148"/>
      <c r="AZ148" s="44">
        <v>4.0000000000000003E-5</v>
      </c>
      <c r="BA148"/>
      <c r="BB148"/>
      <c r="BC148" s="44">
        <v>4.0000000000000003E-5</v>
      </c>
    </row>
    <row r="149" spans="1:55" x14ac:dyDescent="0.25">
      <c r="A149" s="13" t="s">
        <v>73</v>
      </c>
      <c r="B149" s="3" t="s">
        <v>473</v>
      </c>
      <c r="C149" s="3" t="s">
        <v>483</v>
      </c>
      <c r="D149" s="3" t="s">
        <v>524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58"/>
      <c r="T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/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 s="44">
        <v>5.8333333333333335E-9</v>
      </c>
      <c r="AW149" s="44">
        <v>5.8333333333333335E-9</v>
      </c>
      <c r="AX149" s="44">
        <v>5.8333333333333335E-9</v>
      </c>
      <c r="AY149"/>
      <c r="AZ149" s="44">
        <v>5.8333333333333335E-9</v>
      </c>
      <c r="BA149"/>
      <c r="BB149"/>
      <c r="BC149" s="44">
        <v>5.8333333333333335E-9</v>
      </c>
    </row>
    <row r="150" spans="1:55" x14ac:dyDescent="0.25">
      <c r="A150" s="13" t="s">
        <v>240</v>
      </c>
      <c r="B150" s="3" t="s">
        <v>473</v>
      </c>
      <c r="C150" s="3" t="s">
        <v>483</v>
      </c>
      <c r="D150" s="3" t="s">
        <v>524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58"/>
      <c r="T150" s="44">
        <v>20</v>
      </c>
      <c r="V150" s="44">
        <v>20</v>
      </c>
      <c r="W150" s="44">
        <v>20</v>
      </c>
      <c r="X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 s="44">
        <v>20</v>
      </c>
      <c r="AL150"/>
      <c r="AM150" s="44">
        <v>20</v>
      </c>
      <c r="AN150" s="44">
        <v>20</v>
      </c>
      <c r="AO150" s="44">
        <v>20</v>
      </c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 s="44">
        <v>20</v>
      </c>
      <c r="AW150" s="44">
        <v>20</v>
      </c>
      <c r="AX150" s="44">
        <v>20</v>
      </c>
      <c r="AY150"/>
      <c r="AZ150" s="44">
        <v>20</v>
      </c>
      <c r="BA150"/>
      <c r="BB150"/>
      <c r="BC150" s="44">
        <v>20</v>
      </c>
    </row>
    <row r="151" spans="1:55" x14ac:dyDescent="0.25">
      <c r="A151" s="13" t="s">
        <v>241</v>
      </c>
      <c r="B151" s="3" t="s">
        <v>473</v>
      </c>
      <c r="C151" s="3" t="s">
        <v>483</v>
      </c>
      <c r="D151" s="3" t="s">
        <v>524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58"/>
      <c r="T151" s="44">
        <v>-0.06</v>
      </c>
      <c r="V151" s="44">
        <v>-0.06</v>
      </c>
      <c r="W151" s="44">
        <v>-0.06</v>
      </c>
      <c r="X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 s="44">
        <v>-0.06</v>
      </c>
      <c r="AL151"/>
      <c r="AM151" s="44">
        <v>-0.06</v>
      </c>
      <c r="AN151" s="44">
        <v>-0.06</v>
      </c>
      <c r="AO151" s="44">
        <v>-0.06</v>
      </c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 s="44">
        <v>-0.06</v>
      </c>
      <c r="AW151" s="44">
        <v>-0.06</v>
      </c>
      <c r="AX151" s="44">
        <v>-0.06</v>
      </c>
      <c r="AY151"/>
      <c r="AZ151" s="44">
        <v>-0.06</v>
      </c>
      <c r="BA151"/>
      <c r="BB151"/>
      <c r="BC151" s="44">
        <v>-0.06</v>
      </c>
    </row>
    <row r="152" spans="1:55" x14ac:dyDescent="0.25">
      <c r="A152" s="13" t="s">
        <v>242</v>
      </c>
      <c r="B152" s="3" t="s">
        <v>473</v>
      </c>
      <c r="C152" s="3" t="s">
        <v>483</v>
      </c>
      <c r="D152" s="3" t="s">
        <v>524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58"/>
      <c r="T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/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 s="44">
        <v>0.89100000000000001</v>
      </c>
      <c r="AW152" s="44">
        <v>0.89100000000000001</v>
      </c>
      <c r="AX152" s="44">
        <v>0.89100000000000001</v>
      </c>
      <c r="AY152"/>
      <c r="AZ152" s="44">
        <v>0.89100000000000001</v>
      </c>
      <c r="BA152"/>
      <c r="BB152"/>
      <c r="BC152" s="44">
        <v>0.89100000000000001</v>
      </c>
    </row>
    <row r="153" spans="1:55" x14ac:dyDescent="0.25">
      <c r="A153" s="13" t="s">
        <v>243</v>
      </c>
      <c r="B153" s="3" t="s">
        <v>473</v>
      </c>
      <c r="C153" s="3" t="s">
        <v>483</v>
      </c>
      <c r="D153" s="3" t="s">
        <v>524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58"/>
      <c r="T153" s="44">
        <v>1</v>
      </c>
      <c r="V153" s="44">
        <v>1</v>
      </c>
      <c r="W153" s="44">
        <v>1</v>
      </c>
      <c r="X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 s="44">
        <v>1</v>
      </c>
      <c r="AL153"/>
      <c r="AM153" s="44">
        <v>1</v>
      </c>
      <c r="AN153" s="44">
        <v>1</v>
      </c>
      <c r="AO153" s="44">
        <v>1</v>
      </c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 s="44">
        <v>1</v>
      </c>
      <c r="AW153" s="44">
        <v>1</v>
      </c>
      <c r="AX153" s="44">
        <v>1</v>
      </c>
      <c r="AY153"/>
      <c r="AZ153" s="44">
        <v>1</v>
      </c>
      <c r="BA153"/>
      <c r="BB153"/>
      <c r="BC153" s="44">
        <v>1</v>
      </c>
    </row>
    <row r="154" spans="1:55" x14ac:dyDescent="0.25">
      <c r="A154" s="13" t="s">
        <v>74</v>
      </c>
      <c r="B154" s="3" t="s">
        <v>473</v>
      </c>
      <c r="C154" s="3" t="s">
        <v>483</v>
      </c>
      <c r="D154" s="3" t="s">
        <v>524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58"/>
      <c r="T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/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 s="44">
        <v>4.0000000000000003E-5</v>
      </c>
      <c r="AW154" s="44">
        <v>4.0000000000000003E-5</v>
      </c>
      <c r="AX154" s="44">
        <v>4.0000000000000003E-5</v>
      </c>
      <c r="AY154"/>
      <c r="AZ154" s="44">
        <v>4.0000000000000003E-5</v>
      </c>
      <c r="BA154"/>
      <c r="BB154"/>
      <c r="BC154" s="44">
        <v>4.0000000000000003E-5</v>
      </c>
    </row>
    <row r="155" spans="1:55" x14ac:dyDescent="0.25">
      <c r="A155" s="9" t="s">
        <v>75</v>
      </c>
      <c r="B155" s="3" t="s">
        <v>473</v>
      </c>
      <c r="C155" s="3" t="s">
        <v>483</v>
      </c>
      <c r="D155" s="3" t="s">
        <v>524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58"/>
      <c r="T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/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 s="44">
        <v>4.0000000000000001E-8</v>
      </c>
      <c r="AW155" s="44">
        <v>4.0000000000000001E-8</v>
      </c>
      <c r="AX155" s="44">
        <v>4.0000000000000001E-8</v>
      </c>
      <c r="AY155"/>
      <c r="AZ155" s="44">
        <v>4.0000000000000001E-8</v>
      </c>
      <c r="BA155"/>
      <c r="BB155"/>
      <c r="BC155" s="44">
        <v>4.0000000000000001E-8</v>
      </c>
    </row>
    <row r="156" spans="1:55" x14ac:dyDescent="0.25">
      <c r="A156" s="9" t="s">
        <v>218</v>
      </c>
      <c r="B156" s="3" t="s">
        <v>473</v>
      </c>
      <c r="C156" s="3" t="s">
        <v>483</v>
      </c>
      <c r="D156" s="3" t="s">
        <v>524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58"/>
      <c r="T156" s="44">
        <v>20</v>
      </c>
      <c r="V156" s="44">
        <v>20</v>
      </c>
      <c r="W156" s="44">
        <v>20</v>
      </c>
      <c r="X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 s="44">
        <v>20</v>
      </c>
      <c r="AL156"/>
      <c r="AM156" s="44">
        <v>20</v>
      </c>
      <c r="AN156" s="44">
        <v>20</v>
      </c>
      <c r="AO156" s="44">
        <v>20</v>
      </c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 s="44">
        <v>20</v>
      </c>
      <c r="AW156" s="44">
        <v>20</v>
      </c>
      <c r="AX156" s="44">
        <v>20</v>
      </c>
      <c r="AY156"/>
      <c r="AZ156" s="44">
        <v>20</v>
      </c>
      <c r="BA156"/>
      <c r="BB156"/>
      <c r="BC156" s="44">
        <v>20</v>
      </c>
    </row>
    <row r="157" spans="1:55" x14ac:dyDescent="0.25">
      <c r="A157" s="9" t="s">
        <v>219</v>
      </c>
      <c r="B157" s="3" t="s">
        <v>473</v>
      </c>
      <c r="C157" s="3" t="s">
        <v>483</v>
      </c>
      <c r="D157" s="3" t="s">
        <v>524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58"/>
      <c r="T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/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 s="44">
        <v>-4.4200000000000003E-2</v>
      </c>
      <c r="AW157" s="44">
        <v>-4.4200000000000003E-2</v>
      </c>
      <c r="AX157" s="44">
        <v>-4.4200000000000003E-2</v>
      </c>
      <c r="AY157"/>
      <c r="AZ157" s="44">
        <v>-4.4200000000000003E-2</v>
      </c>
      <c r="BA157"/>
      <c r="BB157"/>
      <c r="BC157" s="44">
        <v>-4.4200000000000003E-2</v>
      </c>
    </row>
    <row r="158" spans="1:55" x14ac:dyDescent="0.25">
      <c r="A158" s="9" t="s">
        <v>220</v>
      </c>
      <c r="B158" s="3" t="s">
        <v>473</v>
      </c>
      <c r="C158" s="3" t="s">
        <v>483</v>
      </c>
      <c r="D158" s="3" t="s">
        <v>524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58"/>
      <c r="T158" s="44">
        <v>1.55</v>
      </c>
      <c r="V158" s="44">
        <v>1.55</v>
      </c>
      <c r="W158" s="44">
        <v>1.55</v>
      </c>
      <c r="X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 s="44">
        <v>1.55</v>
      </c>
      <c r="AL158"/>
      <c r="AM158" s="44">
        <v>1.55</v>
      </c>
      <c r="AN158" s="44">
        <v>1.55</v>
      </c>
      <c r="AO158" s="44">
        <v>1.55</v>
      </c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 s="44">
        <v>1.55</v>
      </c>
      <c r="AW158" s="44">
        <v>1.55</v>
      </c>
      <c r="AX158" s="44">
        <v>1.55</v>
      </c>
      <c r="AY158"/>
      <c r="AZ158" s="44">
        <v>1.55</v>
      </c>
      <c r="BA158"/>
      <c r="BB158"/>
      <c r="BC158" s="44">
        <v>1.55</v>
      </c>
    </row>
    <row r="159" spans="1:55" x14ac:dyDescent="0.25">
      <c r="A159" s="9" t="s">
        <v>221</v>
      </c>
      <c r="B159" s="3" t="s">
        <v>473</v>
      </c>
      <c r="C159" s="3" t="s">
        <v>483</v>
      </c>
      <c r="D159" s="3" t="s">
        <v>524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58"/>
      <c r="T159" s="44">
        <v>1</v>
      </c>
      <c r="V159" s="44">
        <v>1</v>
      </c>
      <c r="W159" s="44">
        <v>1</v>
      </c>
      <c r="X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 s="44">
        <v>1</v>
      </c>
      <c r="AL159"/>
      <c r="AM159" s="44">
        <v>1</v>
      </c>
      <c r="AN159" s="44">
        <v>1</v>
      </c>
      <c r="AO159" s="44">
        <v>1</v>
      </c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 s="44">
        <v>1</v>
      </c>
      <c r="AW159" s="44">
        <v>1</v>
      </c>
      <c r="AX159" s="44">
        <v>1</v>
      </c>
      <c r="AY159"/>
      <c r="AZ159" s="44">
        <v>1</v>
      </c>
      <c r="BA159"/>
      <c r="BB159"/>
      <c r="BC159" s="44">
        <v>1</v>
      </c>
    </row>
    <row r="160" spans="1:55" x14ac:dyDescent="0.25">
      <c r="A160" s="9" t="s">
        <v>76</v>
      </c>
      <c r="B160" s="3" t="s">
        <v>473</v>
      </c>
      <c r="C160" s="3" t="s">
        <v>483</v>
      </c>
      <c r="D160" s="3" t="s">
        <v>524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58"/>
      <c r="T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/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 s="44">
        <v>2.7799999999999998E-4</v>
      </c>
      <c r="AW160" s="44">
        <v>2.7799999999999998E-4</v>
      </c>
      <c r="AX160" s="44">
        <v>2.7799999999999998E-4</v>
      </c>
      <c r="AY160"/>
      <c r="AZ160" s="44">
        <v>2.7799999999999998E-4</v>
      </c>
      <c r="BA160"/>
      <c r="BB160"/>
      <c r="BC160" s="44">
        <v>2.7799999999999998E-4</v>
      </c>
    </row>
    <row r="161" spans="1:55" x14ac:dyDescent="0.25">
      <c r="A161" s="25" t="s">
        <v>78</v>
      </c>
      <c r="B161" s="3" t="s">
        <v>473</v>
      </c>
      <c r="C161" s="3" t="s">
        <v>483</v>
      </c>
      <c r="D161" s="3" t="s">
        <v>524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58"/>
      <c r="T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/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 s="44">
        <v>2.4999999999999998E-12</v>
      </c>
      <c r="AW161" s="44">
        <v>2.4999999999999998E-12</v>
      </c>
      <c r="AX161" s="44">
        <v>2.4999999999999998E-12</v>
      </c>
      <c r="AY161"/>
      <c r="AZ161" s="44">
        <v>2.4999999999999998E-12</v>
      </c>
      <c r="BA161"/>
      <c r="BB161"/>
      <c r="BC161" s="44">
        <v>2.4999999999999998E-12</v>
      </c>
    </row>
    <row r="162" spans="1:55" x14ac:dyDescent="0.25">
      <c r="A162" s="25" t="s">
        <v>245</v>
      </c>
      <c r="B162" s="3" t="s">
        <v>473</v>
      </c>
      <c r="C162" s="3" t="s">
        <v>483</v>
      </c>
      <c r="D162" s="3" t="s">
        <v>524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58"/>
      <c r="T162" s="44">
        <v>20</v>
      </c>
      <c r="V162" s="44">
        <v>20</v>
      </c>
      <c r="W162" s="44">
        <v>20</v>
      </c>
      <c r="X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 s="44">
        <v>20</v>
      </c>
      <c r="AL162"/>
      <c r="AM162" s="44">
        <v>20</v>
      </c>
      <c r="AN162" s="44">
        <v>20</v>
      </c>
      <c r="AO162" s="44">
        <v>20</v>
      </c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 s="44">
        <v>20</v>
      </c>
      <c r="AW162" s="44">
        <v>20</v>
      </c>
      <c r="AX162" s="44">
        <v>20</v>
      </c>
      <c r="AY162"/>
      <c r="AZ162" s="44">
        <v>20</v>
      </c>
      <c r="BA162"/>
      <c r="BB162"/>
      <c r="BC162" s="44">
        <v>20</v>
      </c>
    </row>
    <row r="163" spans="1:55" x14ac:dyDescent="0.25">
      <c r="A163" s="25" t="s">
        <v>246</v>
      </c>
      <c r="B163" s="3" t="s">
        <v>473</v>
      </c>
      <c r="C163" s="3" t="s">
        <v>483</v>
      </c>
      <c r="D163" s="3" t="s">
        <v>524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58"/>
      <c r="T163" s="44">
        <v>0</v>
      </c>
      <c r="V163" s="44">
        <v>0</v>
      </c>
      <c r="W163" s="44">
        <v>0</v>
      </c>
      <c r="X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 s="44">
        <v>0</v>
      </c>
      <c r="AL163"/>
      <c r="AM163" s="44">
        <v>0</v>
      </c>
      <c r="AN163" s="44">
        <v>0</v>
      </c>
      <c r="AO163" s="44">
        <v>0</v>
      </c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 s="44">
        <v>0</v>
      </c>
      <c r="AW163" s="44">
        <v>0</v>
      </c>
      <c r="AX163" s="44">
        <v>0</v>
      </c>
      <c r="AY163"/>
      <c r="AZ163" s="44">
        <v>0</v>
      </c>
      <c r="BA163"/>
      <c r="BB163"/>
      <c r="BC163" s="44">
        <v>0</v>
      </c>
    </row>
    <row r="164" spans="1:55" x14ac:dyDescent="0.25">
      <c r="A164" s="25" t="s">
        <v>247</v>
      </c>
      <c r="B164" s="3" t="s">
        <v>473</v>
      </c>
      <c r="C164" s="3" t="s">
        <v>483</v>
      </c>
      <c r="D164" s="3" t="s">
        <v>524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58"/>
      <c r="T164" s="44">
        <v>1</v>
      </c>
      <c r="V164" s="44">
        <v>1</v>
      </c>
      <c r="W164" s="44">
        <v>1</v>
      </c>
      <c r="X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 s="44">
        <v>1</v>
      </c>
      <c r="AL164"/>
      <c r="AM164" s="44">
        <v>1</v>
      </c>
      <c r="AN164" s="44">
        <v>1</v>
      </c>
      <c r="AO164" s="44">
        <v>1</v>
      </c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 s="44">
        <v>1</v>
      </c>
      <c r="AW164" s="44">
        <v>1</v>
      </c>
      <c r="AX164" s="44">
        <v>1</v>
      </c>
      <c r="AY164"/>
      <c r="AZ164" s="44">
        <v>1</v>
      </c>
      <c r="BA164"/>
      <c r="BB164"/>
      <c r="BC164" s="44">
        <v>1</v>
      </c>
    </row>
    <row r="165" spans="1:55" x14ac:dyDescent="0.25">
      <c r="A165" s="25" t="s">
        <v>248</v>
      </c>
      <c r="B165" s="3" t="s">
        <v>473</v>
      </c>
      <c r="C165" s="3" t="s">
        <v>483</v>
      </c>
      <c r="D165" s="3" t="s">
        <v>524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58"/>
      <c r="T165" s="44">
        <v>0</v>
      </c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25">
      <c r="A166" s="25" t="s">
        <v>79</v>
      </c>
      <c r="B166" s="3" t="s">
        <v>473</v>
      </c>
      <c r="C166" s="3" t="s">
        <v>483</v>
      </c>
      <c r="D166" s="3" t="s">
        <v>524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58"/>
      <c r="T166" s="44">
        <v>0.4</v>
      </c>
      <c r="V166" s="44">
        <v>0.4</v>
      </c>
      <c r="W166" s="44">
        <v>0.4</v>
      </c>
      <c r="X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 s="44">
        <v>0.4</v>
      </c>
      <c r="AL166"/>
      <c r="AM166" s="44">
        <v>0.4</v>
      </c>
      <c r="AN166" s="44">
        <v>0.4</v>
      </c>
      <c r="AO166" s="44">
        <v>0.4</v>
      </c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 s="44">
        <v>0.4</v>
      </c>
      <c r="AW166" s="44">
        <v>0.4</v>
      </c>
      <c r="AX166" s="44">
        <v>0.4</v>
      </c>
      <c r="AY166"/>
      <c r="AZ166" s="44">
        <v>0.4</v>
      </c>
      <c r="BA166"/>
      <c r="BB166"/>
      <c r="BC166" s="44">
        <v>0.4</v>
      </c>
    </row>
    <row r="167" spans="1:55" x14ac:dyDescent="0.25">
      <c r="A167" s="31" t="s">
        <v>80</v>
      </c>
      <c r="B167" s="3" t="s">
        <v>473</v>
      </c>
      <c r="C167" s="3" t="s">
        <v>483</v>
      </c>
      <c r="D167" s="3" t="s">
        <v>524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58"/>
      <c r="T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/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 s="44">
        <v>2.0000000000000001E-9</v>
      </c>
      <c r="AW167" s="44">
        <v>2.0000000000000001E-9</v>
      </c>
      <c r="AX167" s="44">
        <v>2.0000000000000001E-9</v>
      </c>
      <c r="AY167"/>
      <c r="AZ167" s="44">
        <v>2.0000000000000001E-9</v>
      </c>
      <c r="BA167"/>
      <c r="BB167"/>
      <c r="BC167" s="44">
        <v>2.0000000000000001E-9</v>
      </c>
    </row>
    <row r="168" spans="1:55" x14ac:dyDescent="0.25">
      <c r="A168" s="31" t="s">
        <v>249</v>
      </c>
      <c r="B168" s="3" t="s">
        <v>473</v>
      </c>
      <c r="C168" s="3" t="s">
        <v>483</v>
      </c>
      <c r="D168" s="3" t="s">
        <v>524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58"/>
      <c r="T168" s="44">
        <v>25</v>
      </c>
      <c r="V168" s="44">
        <v>25</v>
      </c>
      <c r="W168" s="44">
        <v>25</v>
      </c>
      <c r="X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 s="44">
        <v>25</v>
      </c>
      <c r="AL168"/>
      <c r="AM168" s="44">
        <v>25</v>
      </c>
      <c r="AN168" s="44">
        <v>25</v>
      </c>
      <c r="AO168" s="44">
        <v>25</v>
      </c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 s="44">
        <v>25</v>
      </c>
      <c r="AW168" s="44">
        <v>25</v>
      </c>
      <c r="AX168" s="44">
        <v>25</v>
      </c>
      <c r="AY168"/>
      <c r="AZ168" s="44">
        <v>25</v>
      </c>
      <c r="BA168"/>
      <c r="BB168"/>
      <c r="BC168" s="44">
        <v>25</v>
      </c>
    </row>
    <row r="169" spans="1:55" x14ac:dyDescent="0.25">
      <c r="A169" s="31" t="s">
        <v>250</v>
      </c>
      <c r="B169" s="3" t="s">
        <v>473</v>
      </c>
      <c r="C169" s="3" t="s">
        <v>483</v>
      </c>
      <c r="D169" s="3" t="s">
        <v>524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58"/>
      <c r="T169" s="44">
        <v>0</v>
      </c>
      <c r="V169" s="44">
        <v>0</v>
      </c>
      <c r="W169" s="44">
        <v>0</v>
      </c>
      <c r="X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 s="44">
        <v>0</v>
      </c>
      <c r="AL169"/>
      <c r="AM169" s="44">
        <v>0</v>
      </c>
      <c r="AN169" s="44">
        <v>0</v>
      </c>
      <c r="AO169" s="44">
        <v>0</v>
      </c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 s="44">
        <v>0</v>
      </c>
      <c r="AW169" s="44">
        <v>0</v>
      </c>
      <c r="AX169" s="44">
        <v>0</v>
      </c>
      <c r="AY169"/>
      <c r="AZ169" s="44">
        <v>0</v>
      </c>
      <c r="BA169"/>
      <c r="BB169"/>
      <c r="BC169" s="44">
        <v>0</v>
      </c>
    </row>
    <row r="170" spans="1:55" x14ac:dyDescent="0.25">
      <c r="A170" s="31" t="s">
        <v>251</v>
      </c>
      <c r="B170" s="3" t="s">
        <v>473</v>
      </c>
      <c r="C170" s="3" t="s">
        <v>483</v>
      </c>
      <c r="D170" s="3" t="s">
        <v>524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58"/>
      <c r="T170" s="44">
        <v>3.98</v>
      </c>
      <c r="V170" s="44">
        <v>3.98</v>
      </c>
      <c r="W170" s="44">
        <v>3.98</v>
      </c>
      <c r="X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 s="44">
        <v>3.98</v>
      </c>
      <c r="AL170"/>
      <c r="AM170" s="44">
        <v>3.98</v>
      </c>
      <c r="AN170" s="44">
        <v>3.98</v>
      </c>
      <c r="AO170" s="44">
        <v>3.98</v>
      </c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 s="44">
        <v>3.98</v>
      </c>
      <c r="AW170" s="44">
        <v>3.98</v>
      </c>
      <c r="AX170" s="44">
        <v>3.98</v>
      </c>
      <c r="AY170"/>
      <c r="AZ170" s="44">
        <v>3.98</v>
      </c>
      <c r="BA170"/>
      <c r="BB170"/>
      <c r="BC170" s="44">
        <v>3.98</v>
      </c>
    </row>
    <row r="171" spans="1:55" x14ac:dyDescent="0.25">
      <c r="A171" s="31" t="s">
        <v>252</v>
      </c>
      <c r="B171" s="3" t="s">
        <v>473</v>
      </c>
      <c r="C171" s="3" t="s">
        <v>483</v>
      </c>
      <c r="D171" s="3" t="s">
        <v>524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58"/>
      <c r="T171" s="44">
        <v>1</v>
      </c>
      <c r="V171" s="44">
        <v>1</v>
      </c>
      <c r="W171" s="44">
        <v>1</v>
      </c>
      <c r="X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 s="44">
        <v>1</v>
      </c>
      <c r="AL171"/>
      <c r="AM171" s="44">
        <v>1</v>
      </c>
      <c r="AN171" s="44">
        <v>1</v>
      </c>
      <c r="AO171" s="44">
        <v>1</v>
      </c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 s="44">
        <v>1</v>
      </c>
      <c r="AW171" s="44">
        <v>1</v>
      </c>
      <c r="AX171" s="44">
        <v>1</v>
      </c>
      <c r="AY171"/>
      <c r="AZ171" s="44">
        <v>1</v>
      </c>
      <c r="BA171"/>
      <c r="BB171"/>
      <c r="BC171" s="44">
        <v>1</v>
      </c>
    </row>
    <row r="172" spans="1:55" x14ac:dyDescent="0.25">
      <c r="A172" s="31" t="s">
        <v>81</v>
      </c>
      <c r="B172" s="3" t="s">
        <v>473</v>
      </c>
      <c r="C172" s="3" t="s">
        <v>483</v>
      </c>
      <c r="D172" s="3" t="s">
        <v>524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58"/>
      <c r="T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/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 s="44">
        <v>1.6666666666666666E-4</v>
      </c>
      <c r="AW172" s="44">
        <v>1.6666666666666666E-4</v>
      </c>
      <c r="AX172" s="44">
        <v>1.6666666666666666E-4</v>
      </c>
      <c r="AY172"/>
      <c r="AZ172" s="44">
        <v>1.6666666666666666E-4</v>
      </c>
      <c r="BA172"/>
      <c r="BB172"/>
      <c r="BC172" s="44">
        <v>1.6666666666666666E-4</v>
      </c>
    </row>
    <row r="173" spans="1:55" x14ac:dyDescent="0.25">
      <c r="A173" s="11" t="s">
        <v>253</v>
      </c>
      <c r="B173" s="3" t="s">
        <v>473</v>
      </c>
      <c r="C173" s="3" t="s">
        <v>483</v>
      </c>
      <c r="D173" s="3" t="s">
        <v>524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58"/>
      <c r="T173" s="44">
        <v>1E-8</v>
      </c>
      <c r="V173" s="44">
        <v>1E-8</v>
      </c>
      <c r="W173" s="44">
        <v>1E-8</v>
      </c>
      <c r="X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 s="44">
        <v>1E-8</v>
      </c>
      <c r="AL173"/>
      <c r="AM173" s="44">
        <v>1E-8</v>
      </c>
      <c r="AN173" s="44">
        <v>1E-8</v>
      </c>
      <c r="AO173" s="44">
        <v>1E-8</v>
      </c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 s="44">
        <v>1E-8</v>
      </c>
      <c r="AW173" s="44">
        <v>1E-8</v>
      </c>
      <c r="AX173" s="44">
        <v>1E-8</v>
      </c>
      <c r="AY173"/>
      <c r="AZ173" s="44">
        <v>1E-8</v>
      </c>
      <c r="BA173"/>
      <c r="BB173"/>
      <c r="BC173" s="44">
        <v>1E-8</v>
      </c>
    </row>
    <row r="174" spans="1:55" x14ac:dyDescent="0.25">
      <c r="A174" s="11" t="s">
        <v>254</v>
      </c>
      <c r="B174" s="3" t="s">
        <v>473</v>
      </c>
      <c r="C174" s="3" t="s">
        <v>483</v>
      </c>
      <c r="D174" s="3" t="s">
        <v>524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58"/>
      <c r="T174" s="44">
        <v>20</v>
      </c>
      <c r="V174" s="44">
        <v>20</v>
      </c>
      <c r="W174" s="44">
        <v>20</v>
      </c>
      <c r="X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 s="44">
        <v>20</v>
      </c>
      <c r="AL174"/>
      <c r="AM174" s="44">
        <v>20</v>
      </c>
      <c r="AN174" s="44">
        <v>20</v>
      </c>
      <c r="AO174" s="44">
        <v>20</v>
      </c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 s="44">
        <v>20</v>
      </c>
      <c r="AW174" s="44">
        <v>20</v>
      </c>
      <c r="AX174" s="44">
        <v>20</v>
      </c>
      <c r="AY174"/>
      <c r="AZ174" s="44">
        <v>20</v>
      </c>
      <c r="BA174"/>
      <c r="BB174"/>
      <c r="BC174" s="44">
        <v>20</v>
      </c>
    </row>
    <row r="175" spans="1:55" x14ac:dyDescent="0.25">
      <c r="A175" s="11" t="s">
        <v>255</v>
      </c>
      <c r="B175" s="3" t="s">
        <v>473</v>
      </c>
      <c r="C175" s="3" t="s">
        <v>483</v>
      </c>
      <c r="D175" s="3" t="s">
        <v>524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58"/>
      <c r="T175" s="44">
        <v>0</v>
      </c>
      <c r="V175" s="44">
        <v>0</v>
      </c>
      <c r="W175" s="44">
        <v>0</v>
      </c>
      <c r="X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 s="44">
        <v>0</v>
      </c>
      <c r="AL175"/>
      <c r="AM175" s="44">
        <v>0</v>
      </c>
      <c r="AN175" s="44">
        <v>0</v>
      </c>
      <c r="AO175" s="44">
        <v>0</v>
      </c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 s="44">
        <v>0</v>
      </c>
      <c r="AW175" s="44">
        <v>0</v>
      </c>
      <c r="AX175" s="44">
        <v>0</v>
      </c>
      <c r="AY175"/>
      <c r="AZ175" s="44">
        <v>0</v>
      </c>
      <c r="BA175"/>
      <c r="BB175"/>
      <c r="BC175" s="44">
        <v>0</v>
      </c>
    </row>
    <row r="176" spans="1:55" x14ac:dyDescent="0.25">
      <c r="A176" s="11" t="s">
        <v>256</v>
      </c>
      <c r="B176" s="3" t="s">
        <v>473</v>
      </c>
      <c r="C176" s="3" t="s">
        <v>483</v>
      </c>
      <c r="D176" s="3" t="s">
        <v>524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58"/>
      <c r="T176" s="44">
        <v>2</v>
      </c>
      <c r="V176" s="44">
        <v>2</v>
      </c>
      <c r="W176" s="44">
        <v>2</v>
      </c>
      <c r="X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 s="44">
        <v>2</v>
      </c>
      <c r="AL176"/>
      <c r="AM176" s="44">
        <v>2</v>
      </c>
      <c r="AN176" s="44">
        <v>2</v>
      </c>
      <c r="AO176" s="44">
        <v>2</v>
      </c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 s="44">
        <v>2</v>
      </c>
      <c r="AW176" s="44">
        <v>2</v>
      </c>
      <c r="AX176" s="44">
        <v>2</v>
      </c>
      <c r="AY176"/>
      <c r="AZ176" s="44">
        <v>2</v>
      </c>
      <c r="BA176"/>
      <c r="BB176"/>
      <c r="BC176" s="44">
        <v>2</v>
      </c>
    </row>
    <row r="177" spans="1:55" x14ac:dyDescent="0.25">
      <c r="A177" s="11" t="s">
        <v>257</v>
      </c>
      <c r="B177" s="3" t="s">
        <v>473</v>
      </c>
      <c r="C177" s="3" t="s">
        <v>483</v>
      </c>
      <c r="D177" s="3" t="s">
        <v>524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58"/>
      <c r="T177" s="44">
        <v>1</v>
      </c>
      <c r="V177" s="44">
        <v>1</v>
      </c>
      <c r="W177" s="44">
        <v>1</v>
      </c>
      <c r="X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 s="44">
        <v>1</v>
      </c>
      <c r="AL177"/>
      <c r="AM177" s="44">
        <v>1</v>
      </c>
      <c r="AN177" s="44">
        <v>1</v>
      </c>
      <c r="AO177" s="44">
        <v>1</v>
      </c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 s="44">
        <v>1</v>
      </c>
      <c r="AW177" s="44">
        <v>1</v>
      </c>
      <c r="AX177" s="44">
        <v>1</v>
      </c>
      <c r="AY177"/>
      <c r="AZ177" s="44">
        <v>1</v>
      </c>
      <c r="BA177"/>
      <c r="BB177"/>
      <c r="BC177" s="44">
        <v>1</v>
      </c>
    </row>
    <row r="178" spans="1:55" x14ac:dyDescent="0.25">
      <c r="A178" s="11" t="s">
        <v>258</v>
      </c>
      <c r="B178" s="3" t="s">
        <v>473</v>
      </c>
      <c r="C178" s="3" t="s">
        <v>483</v>
      </c>
      <c r="D178" s="3" t="s">
        <v>524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58"/>
      <c r="T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/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 s="44">
        <v>8.3333333333333331E-5</v>
      </c>
      <c r="AW178" s="44">
        <v>8.3333333333333331E-5</v>
      </c>
      <c r="AX178" s="44">
        <v>8.3333333333333331E-5</v>
      </c>
      <c r="AY178"/>
      <c r="AZ178" s="44">
        <v>8.3333333333333331E-5</v>
      </c>
      <c r="BA178"/>
      <c r="BB178"/>
      <c r="BC178" s="44">
        <v>8.3333333333333331E-5</v>
      </c>
    </row>
    <row r="179" spans="1:55" x14ac:dyDescent="0.25">
      <c r="A179" s="11" t="s">
        <v>259</v>
      </c>
      <c r="B179" s="3" t="s">
        <v>473</v>
      </c>
      <c r="C179" s="3" t="s">
        <v>483</v>
      </c>
      <c r="D179" s="3" t="s">
        <v>524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58"/>
      <c r="T179" s="44">
        <v>1</v>
      </c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25">
      <c r="A180" s="27" t="s">
        <v>260</v>
      </c>
      <c r="B180" s="3" t="s">
        <v>473</v>
      </c>
      <c r="C180" s="3" t="s">
        <v>483</v>
      </c>
      <c r="D180" s="3" t="s">
        <v>524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58"/>
      <c r="T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/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 s="44">
        <v>2.3533050791148899E-8</v>
      </c>
      <c r="AW180" s="44">
        <v>2.3533050791148899E-8</v>
      </c>
      <c r="AX180" s="44">
        <v>2.3533050791148899E-8</v>
      </c>
      <c r="AY180"/>
      <c r="AZ180" s="44">
        <v>2.3533050791148899E-8</v>
      </c>
      <c r="BA180"/>
      <c r="BB180"/>
      <c r="BC180" s="44">
        <v>2.3533050791148899E-8</v>
      </c>
    </row>
    <row r="181" spans="1:55" x14ac:dyDescent="0.25">
      <c r="A181" s="27" t="s">
        <v>261</v>
      </c>
      <c r="B181" s="3" t="s">
        <v>473</v>
      </c>
      <c r="C181" s="3" t="s">
        <v>483</v>
      </c>
      <c r="D181" s="3" t="s">
        <v>524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58"/>
      <c r="T181" s="44">
        <v>20</v>
      </c>
      <c r="V181" s="44">
        <v>20</v>
      </c>
      <c r="W181" s="44">
        <v>20</v>
      </c>
      <c r="X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 s="44">
        <v>20</v>
      </c>
      <c r="AL181"/>
      <c r="AM181" s="44">
        <v>20</v>
      </c>
      <c r="AN181" s="44">
        <v>20</v>
      </c>
      <c r="AO181" s="44">
        <v>20</v>
      </c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 s="44">
        <v>20</v>
      </c>
      <c r="AW181" s="44">
        <v>20</v>
      </c>
      <c r="AX181" s="44">
        <v>20</v>
      </c>
      <c r="AY181"/>
      <c r="AZ181" s="44">
        <v>20</v>
      </c>
      <c r="BA181"/>
      <c r="BB181"/>
      <c r="BC181" s="44">
        <v>20</v>
      </c>
    </row>
    <row r="182" spans="1:55" x14ac:dyDescent="0.25">
      <c r="A182" s="27" t="s">
        <v>262</v>
      </c>
      <c r="B182" s="3" t="s">
        <v>473</v>
      </c>
      <c r="C182" s="3" t="s">
        <v>483</v>
      </c>
      <c r="D182" s="3" t="s">
        <v>524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58"/>
      <c r="T182" s="44">
        <v>-0.187</v>
      </c>
      <c r="V182" s="44">
        <v>-0.187</v>
      </c>
      <c r="W182" s="44">
        <v>-0.187</v>
      </c>
      <c r="X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 s="44">
        <v>-0.187</v>
      </c>
      <c r="AL182"/>
      <c r="AM182" s="44">
        <v>-0.187</v>
      </c>
      <c r="AN182" s="44">
        <v>-0.187</v>
      </c>
      <c r="AO182" s="44">
        <v>-0.187</v>
      </c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 s="44">
        <v>-0.187</v>
      </c>
      <c r="AW182" s="44">
        <v>-0.187</v>
      </c>
      <c r="AX182" s="44">
        <v>-0.187</v>
      </c>
      <c r="AY182"/>
      <c r="AZ182" s="44">
        <v>-0.187</v>
      </c>
      <c r="BA182"/>
      <c r="BB182"/>
      <c r="BC182" s="44">
        <v>-0.187</v>
      </c>
    </row>
    <row r="183" spans="1:55" x14ac:dyDescent="0.25">
      <c r="A183" s="27" t="s">
        <v>263</v>
      </c>
      <c r="B183" s="3" t="s">
        <v>473</v>
      </c>
      <c r="C183" s="3" t="s">
        <v>483</v>
      </c>
      <c r="D183" s="3" t="s">
        <v>524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58"/>
      <c r="T183" s="44">
        <v>2.48</v>
      </c>
      <c r="V183" s="44">
        <v>2.48</v>
      </c>
      <c r="W183" s="44">
        <v>2.48</v>
      </c>
      <c r="X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 s="44">
        <v>2.48</v>
      </c>
      <c r="AL183"/>
      <c r="AM183" s="44">
        <v>2.48</v>
      </c>
      <c r="AN183" s="44">
        <v>2.48</v>
      </c>
      <c r="AO183" s="44">
        <v>2.48</v>
      </c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 s="44">
        <v>2.48</v>
      </c>
      <c r="AW183" s="44">
        <v>2.48</v>
      </c>
      <c r="AX183" s="44">
        <v>2.48</v>
      </c>
      <c r="AY183"/>
      <c r="AZ183" s="44">
        <v>2.48</v>
      </c>
      <c r="BA183"/>
      <c r="BB183"/>
      <c r="BC183" s="44">
        <v>2.48</v>
      </c>
    </row>
    <row r="184" spans="1:55" x14ac:dyDescent="0.25">
      <c r="A184" s="27" t="s">
        <v>264</v>
      </c>
      <c r="B184" s="3" t="s">
        <v>473</v>
      </c>
      <c r="C184" s="3" t="s">
        <v>483</v>
      </c>
      <c r="D184" s="3" t="s">
        <v>524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58"/>
      <c r="T184" s="44">
        <v>1</v>
      </c>
      <c r="V184" s="44">
        <v>1</v>
      </c>
      <c r="W184" s="44">
        <v>1</v>
      </c>
      <c r="X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 s="44">
        <v>1</v>
      </c>
      <c r="AL184"/>
      <c r="AM184" s="44">
        <v>1</v>
      </c>
      <c r="AN184" s="44">
        <v>1</v>
      </c>
      <c r="AO184" s="44">
        <v>1</v>
      </c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 s="44">
        <v>1</v>
      </c>
      <c r="AW184" s="44">
        <v>1</v>
      </c>
      <c r="AX184" s="44">
        <v>1</v>
      </c>
      <c r="AY184"/>
      <c r="AZ184" s="44">
        <v>1</v>
      </c>
      <c r="BA184"/>
      <c r="BB184"/>
      <c r="BC184" s="44">
        <v>1</v>
      </c>
    </row>
    <row r="185" spans="1:55" x14ac:dyDescent="0.25">
      <c r="A185" s="27" t="s">
        <v>265</v>
      </c>
      <c r="B185" s="3" t="s">
        <v>473</v>
      </c>
      <c r="C185" s="3" t="s">
        <v>483</v>
      </c>
      <c r="D185" s="3" t="s">
        <v>524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58"/>
      <c r="T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/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 s="44">
        <v>6.1060227588121015E-4</v>
      </c>
      <c r="AW185" s="44">
        <v>6.1060227588121015E-4</v>
      </c>
      <c r="AX185" s="44">
        <v>6.1060227588121015E-4</v>
      </c>
      <c r="AY185"/>
      <c r="AZ185" s="44">
        <v>6.1060227588121015E-4</v>
      </c>
      <c r="BA185"/>
      <c r="BB185"/>
      <c r="BC185" s="44">
        <v>6.1060227588121015E-4</v>
      </c>
    </row>
    <row r="186" spans="1:55" x14ac:dyDescent="0.25">
      <c r="A186" s="23" t="s">
        <v>266</v>
      </c>
      <c r="B186" s="3" t="s">
        <v>473</v>
      </c>
      <c r="C186" s="3" t="s">
        <v>483</v>
      </c>
      <c r="D186" s="3" t="s">
        <v>524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58"/>
      <c r="T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/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 s="44">
        <v>3.9999999999999998E-7</v>
      </c>
      <c r="AW186" s="44">
        <v>3.9999999999999998E-7</v>
      </c>
      <c r="AX186" s="44">
        <v>3.9999999999999998E-7</v>
      </c>
      <c r="AY186"/>
      <c r="AZ186" s="44">
        <v>3.9999999999999998E-7</v>
      </c>
      <c r="BA186"/>
      <c r="BB186"/>
      <c r="BC186" s="44">
        <v>3.9999999999999998E-7</v>
      </c>
    </row>
    <row r="187" spans="1:55" x14ac:dyDescent="0.25">
      <c r="A187" s="23" t="s">
        <v>267</v>
      </c>
      <c r="B187" s="3" t="s">
        <v>473</v>
      </c>
      <c r="C187" s="3" t="s">
        <v>483</v>
      </c>
      <c r="D187" s="3" t="s">
        <v>524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58"/>
      <c r="T187" s="44">
        <v>25</v>
      </c>
      <c r="V187" s="44">
        <v>25</v>
      </c>
      <c r="W187" s="44">
        <v>25</v>
      </c>
      <c r="X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 s="44">
        <v>25</v>
      </c>
      <c r="AL187"/>
      <c r="AM187" s="44">
        <v>25</v>
      </c>
      <c r="AN187" s="44">
        <v>25</v>
      </c>
      <c r="AO187" s="44">
        <v>25</v>
      </c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 s="44">
        <v>25</v>
      </c>
      <c r="AW187" s="44">
        <v>25</v>
      </c>
      <c r="AX187" s="44">
        <v>25</v>
      </c>
      <c r="AY187"/>
      <c r="AZ187" s="44">
        <v>25</v>
      </c>
      <c r="BA187"/>
      <c r="BB187"/>
      <c r="BC187" s="44">
        <v>25</v>
      </c>
    </row>
    <row r="188" spans="1:55" x14ac:dyDescent="0.25">
      <c r="A188" s="23" t="s">
        <v>268</v>
      </c>
      <c r="B188" s="3" t="s">
        <v>473</v>
      </c>
      <c r="C188" s="3" t="s">
        <v>483</v>
      </c>
      <c r="D188" s="3" t="s">
        <v>524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58"/>
      <c r="T188" s="44">
        <v>0</v>
      </c>
      <c r="V188" s="44">
        <v>0</v>
      </c>
      <c r="W188" s="44">
        <v>0</v>
      </c>
      <c r="X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 s="44">
        <v>0</v>
      </c>
      <c r="AL188"/>
      <c r="AM188" s="44">
        <v>0</v>
      </c>
      <c r="AN188" s="44">
        <v>0</v>
      </c>
      <c r="AO188" s="44">
        <v>0</v>
      </c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 s="44">
        <v>0</v>
      </c>
      <c r="AW188" s="44">
        <v>0</v>
      </c>
      <c r="AX188" s="44">
        <v>0</v>
      </c>
      <c r="AY188"/>
      <c r="AZ188" s="44">
        <v>0</v>
      </c>
      <c r="BA188"/>
      <c r="BB188"/>
      <c r="BC188" s="44">
        <v>0</v>
      </c>
    </row>
    <row r="189" spans="1:55" x14ac:dyDescent="0.25">
      <c r="A189" s="23" t="s">
        <v>269</v>
      </c>
      <c r="B189" s="3" t="s">
        <v>473</v>
      </c>
      <c r="C189" s="3" t="s">
        <v>483</v>
      </c>
      <c r="D189" s="3" t="s">
        <v>524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58"/>
      <c r="T189" s="44">
        <v>3.98</v>
      </c>
      <c r="V189" s="44">
        <v>3.98</v>
      </c>
      <c r="W189" s="44">
        <v>3.98</v>
      </c>
      <c r="X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 s="44">
        <v>3.98</v>
      </c>
      <c r="AL189"/>
      <c r="AM189" s="44">
        <v>3.98</v>
      </c>
      <c r="AN189" s="44">
        <v>3.98</v>
      </c>
      <c r="AO189" s="44">
        <v>3.98</v>
      </c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 s="44">
        <v>3.98</v>
      </c>
      <c r="AW189" s="44">
        <v>3.98</v>
      </c>
      <c r="AX189" s="44">
        <v>3.98</v>
      </c>
      <c r="AY189"/>
      <c r="AZ189" s="44">
        <v>3.98</v>
      </c>
      <c r="BA189"/>
      <c r="BB189"/>
      <c r="BC189" s="44">
        <v>3.98</v>
      </c>
    </row>
    <row r="190" spans="1:55" x14ac:dyDescent="0.25">
      <c r="A190" s="23" t="s">
        <v>270</v>
      </c>
      <c r="B190" s="3" t="s">
        <v>473</v>
      </c>
      <c r="C190" s="3" t="s">
        <v>483</v>
      </c>
      <c r="D190" s="3" t="s">
        <v>524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58"/>
      <c r="T190" s="44">
        <v>1</v>
      </c>
      <c r="V190" s="44">
        <v>1</v>
      </c>
      <c r="W190" s="44">
        <v>1</v>
      </c>
      <c r="X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 s="44">
        <v>1</v>
      </c>
      <c r="AL190"/>
      <c r="AM190" s="44">
        <v>1</v>
      </c>
      <c r="AN190" s="44">
        <v>1</v>
      </c>
      <c r="AO190" s="44">
        <v>1</v>
      </c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 s="44">
        <v>1</v>
      </c>
      <c r="AW190" s="44">
        <v>1</v>
      </c>
      <c r="AX190" s="44">
        <v>1</v>
      </c>
      <c r="AY190"/>
      <c r="AZ190" s="44">
        <v>1</v>
      </c>
      <c r="BA190"/>
      <c r="BB190"/>
      <c r="BC190" s="44">
        <v>1</v>
      </c>
    </row>
    <row r="191" spans="1:55" x14ac:dyDescent="0.25">
      <c r="A191" s="23" t="s">
        <v>271</v>
      </c>
      <c r="B191" s="3" t="s">
        <v>473</v>
      </c>
      <c r="C191" s="3" t="s">
        <v>483</v>
      </c>
      <c r="D191" s="3" t="s">
        <v>524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58"/>
      <c r="T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/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 s="44">
        <v>8.3333333333333331E-5</v>
      </c>
      <c r="AW191" s="44">
        <v>8.3333333333333331E-5</v>
      </c>
      <c r="AX191" s="44">
        <v>8.3333333333333331E-5</v>
      </c>
      <c r="AY191"/>
      <c r="AZ191" s="44">
        <v>8.3333333333333331E-5</v>
      </c>
      <c r="BA191"/>
      <c r="BB191"/>
      <c r="BC191" s="44">
        <v>8.3333333333333331E-5</v>
      </c>
    </row>
    <row r="192" spans="1:55" x14ac:dyDescent="0.25">
      <c r="A192" s="7" t="s">
        <v>272</v>
      </c>
      <c r="B192" s="3" t="s">
        <v>473</v>
      </c>
      <c r="C192" s="3" t="s">
        <v>483</v>
      </c>
      <c r="D192" s="3" t="s">
        <v>524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58"/>
      <c r="T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/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 s="44">
        <v>3.9999999999999998E-7</v>
      </c>
      <c r="AW192" s="44">
        <v>3.9999999999999998E-7</v>
      </c>
      <c r="AX192" s="44">
        <v>3.9999999999999998E-7</v>
      </c>
      <c r="AY192"/>
      <c r="AZ192" s="44">
        <v>3.9999999999999998E-7</v>
      </c>
      <c r="BA192"/>
      <c r="BB192"/>
      <c r="BC192" s="44">
        <v>3.9999999999999998E-7</v>
      </c>
    </row>
    <row r="193" spans="1:63" x14ac:dyDescent="0.25">
      <c r="A193" s="7" t="s">
        <v>273</v>
      </c>
      <c r="B193" s="3" t="s">
        <v>473</v>
      </c>
      <c r="C193" s="3" t="s">
        <v>483</v>
      </c>
      <c r="D193" s="3" t="s">
        <v>524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58"/>
      <c r="T193" s="44">
        <v>25</v>
      </c>
      <c r="V193" s="44">
        <v>25</v>
      </c>
      <c r="W193" s="44">
        <v>25</v>
      </c>
      <c r="X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 s="44">
        <v>25</v>
      </c>
      <c r="AL193"/>
      <c r="AM193" s="44">
        <v>25</v>
      </c>
      <c r="AN193" s="44">
        <v>25</v>
      </c>
      <c r="AO193" s="44">
        <v>25</v>
      </c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 s="44">
        <v>25</v>
      </c>
      <c r="AW193" s="44">
        <v>25</v>
      </c>
      <c r="AX193" s="44">
        <v>25</v>
      </c>
      <c r="AY193"/>
      <c r="AZ193" s="44">
        <v>25</v>
      </c>
      <c r="BA193"/>
      <c r="BB193"/>
      <c r="BC193" s="44">
        <v>25</v>
      </c>
    </row>
    <row r="194" spans="1:63" x14ac:dyDescent="0.25">
      <c r="A194" s="7" t="s">
        <v>274</v>
      </c>
      <c r="B194" s="3" t="s">
        <v>473</v>
      </c>
      <c r="C194" s="3" t="s">
        <v>483</v>
      </c>
      <c r="D194" s="3" t="s">
        <v>524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58"/>
      <c r="T194" s="44">
        <v>0</v>
      </c>
      <c r="V194" s="44">
        <v>0</v>
      </c>
      <c r="W194" s="44">
        <v>0</v>
      </c>
      <c r="X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 s="44">
        <v>0</v>
      </c>
      <c r="AL194"/>
      <c r="AM194" s="44">
        <v>0</v>
      </c>
      <c r="AN194" s="44">
        <v>0</v>
      </c>
      <c r="AO194" s="44">
        <v>0</v>
      </c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 s="44">
        <v>0</v>
      </c>
      <c r="AW194" s="44">
        <v>0</v>
      </c>
      <c r="AX194" s="44">
        <v>0</v>
      </c>
      <c r="AY194"/>
      <c r="AZ194" s="44">
        <v>0</v>
      </c>
      <c r="BA194"/>
      <c r="BB194"/>
      <c r="BC194" s="44">
        <v>0</v>
      </c>
    </row>
    <row r="195" spans="1:63" x14ac:dyDescent="0.25">
      <c r="A195" s="7" t="s">
        <v>275</v>
      </c>
      <c r="B195" s="3" t="s">
        <v>473</v>
      </c>
      <c r="C195" s="3" t="s">
        <v>483</v>
      </c>
      <c r="D195" s="3" t="s">
        <v>524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58"/>
      <c r="T195" s="44">
        <v>3.98</v>
      </c>
      <c r="V195" s="44">
        <v>3.98</v>
      </c>
      <c r="W195" s="44">
        <v>3.98</v>
      </c>
      <c r="X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 s="44">
        <v>3.98</v>
      </c>
      <c r="AL195"/>
      <c r="AM195" s="44">
        <v>3.98</v>
      </c>
      <c r="AN195" s="44">
        <v>3.98</v>
      </c>
      <c r="AO195" s="44">
        <v>3.98</v>
      </c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 s="44">
        <v>3.98</v>
      </c>
      <c r="AW195" s="44">
        <v>3.98</v>
      </c>
      <c r="AX195" s="44">
        <v>3.98</v>
      </c>
      <c r="AY195"/>
      <c r="AZ195" s="44">
        <v>3.98</v>
      </c>
      <c r="BA195"/>
      <c r="BB195"/>
      <c r="BC195" s="44">
        <v>3.98</v>
      </c>
    </row>
    <row r="196" spans="1:63" x14ac:dyDescent="0.25">
      <c r="A196" s="7" t="s">
        <v>276</v>
      </c>
      <c r="B196" s="3" t="s">
        <v>473</v>
      </c>
      <c r="C196" s="3" t="s">
        <v>483</v>
      </c>
      <c r="D196" s="3" t="s">
        <v>524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58"/>
      <c r="T196" s="44">
        <v>1</v>
      </c>
      <c r="V196" s="44">
        <v>1</v>
      </c>
      <c r="W196" s="44">
        <v>1</v>
      </c>
      <c r="X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 s="44">
        <v>1</v>
      </c>
      <c r="AL196"/>
      <c r="AM196" s="44">
        <v>1</v>
      </c>
      <c r="AN196" s="44">
        <v>1</v>
      </c>
      <c r="AO196" s="44">
        <v>1</v>
      </c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 s="44">
        <v>1</v>
      </c>
      <c r="AW196" s="44">
        <v>1</v>
      </c>
      <c r="AX196" s="44">
        <v>1</v>
      </c>
      <c r="AY196"/>
      <c r="AZ196" s="44">
        <v>1</v>
      </c>
      <c r="BA196"/>
      <c r="BB196"/>
      <c r="BC196" s="44">
        <v>1</v>
      </c>
    </row>
    <row r="197" spans="1:63" x14ac:dyDescent="0.25">
      <c r="A197" s="7" t="s">
        <v>277</v>
      </c>
      <c r="B197" s="3" t="s">
        <v>473</v>
      </c>
      <c r="C197" s="3" t="s">
        <v>483</v>
      </c>
      <c r="D197" s="3" t="s">
        <v>524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58"/>
      <c r="T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/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 s="44">
        <v>8.3333333333333331E-5</v>
      </c>
      <c r="AW197" s="44">
        <v>8.3333333333333331E-5</v>
      </c>
      <c r="AX197" s="44">
        <v>8.3333333333333331E-5</v>
      </c>
      <c r="AY197"/>
      <c r="AZ197" s="44">
        <v>8.3333333333333331E-5</v>
      </c>
      <c r="BA197"/>
      <c r="BB197"/>
      <c r="BC197" s="44">
        <v>8.3333333333333331E-5</v>
      </c>
    </row>
    <row r="198" spans="1:63" x14ac:dyDescent="0.25">
      <c r="A198" s="29" t="s">
        <v>278</v>
      </c>
      <c r="B198" s="3" t="s">
        <v>473</v>
      </c>
      <c r="C198" s="3" t="s">
        <v>483</v>
      </c>
      <c r="D198" s="3" t="s">
        <v>524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58"/>
      <c r="T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/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 s="44">
        <v>1.9999999999999999E-7</v>
      </c>
      <c r="AW198" s="44">
        <v>1.9999999999999999E-7</v>
      </c>
      <c r="AX198" s="44">
        <v>1.9999999999999999E-7</v>
      </c>
      <c r="AY198"/>
      <c r="AZ198" s="44">
        <v>1.9999999999999999E-7</v>
      </c>
      <c r="BA198"/>
      <c r="BB198"/>
      <c r="BC198" s="44">
        <v>1.9999999999999999E-7</v>
      </c>
    </row>
    <row r="199" spans="1:63" x14ac:dyDescent="0.25">
      <c r="A199" s="29" t="s">
        <v>279</v>
      </c>
      <c r="B199" s="3" t="s">
        <v>473</v>
      </c>
      <c r="C199" s="3" t="s">
        <v>483</v>
      </c>
      <c r="D199" s="3" t="s">
        <v>524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58"/>
      <c r="T199" s="44">
        <v>25</v>
      </c>
      <c r="V199" s="44">
        <v>25</v>
      </c>
      <c r="W199" s="44">
        <v>25</v>
      </c>
      <c r="X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 s="44">
        <v>25</v>
      </c>
      <c r="AL199"/>
      <c r="AM199" s="44">
        <v>25</v>
      </c>
      <c r="AN199" s="44">
        <v>25</v>
      </c>
      <c r="AO199" s="44">
        <v>25</v>
      </c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 s="44">
        <v>25</v>
      </c>
      <c r="AW199" s="44">
        <v>25</v>
      </c>
      <c r="AX199" s="44">
        <v>25</v>
      </c>
      <c r="AY199"/>
      <c r="AZ199" s="44">
        <v>25</v>
      </c>
      <c r="BA199"/>
      <c r="BB199"/>
      <c r="BC199" s="44">
        <v>25</v>
      </c>
    </row>
    <row r="200" spans="1:63" x14ac:dyDescent="0.25">
      <c r="A200" s="29" t="s">
        <v>280</v>
      </c>
      <c r="B200" s="3" t="s">
        <v>473</v>
      </c>
      <c r="C200" s="3" t="s">
        <v>483</v>
      </c>
      <c r="D200" s="3" t="s">
        <v>524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58"/>
      <c r="T200" s="44">
        <v>0</v>
      </c>
      <c r="V200" s="44">
        <v>0</v>
      </c>
      <c r="W200" s="44">
        <v>0</v>
      </c>
      <c r="X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 s="44">
        <v>0</v>
      </c>
      <c r="AL200"/>
      <c r="AM200" s="44">
        <v>0</v>
      </c>
      <c r="AN200" s="44">
        <v>0</v>
      </c>
      <c r="AO200" s="44">
        <v>0</v>
      </c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 s="44">
        <v>0</v>
      </c>
      <c r="AW200" s="44">
        <v>0</v>
      </c>
      <c r="AX200" s="44">
        <v>0</v>
      </c>
      <c r="AY200"/>
      <c r="AZ200" s="44">
        <v>0</v>
      </c>
      <c r="BA200"/>
      <c r="BB200"/>
      <c r="BC200" s="44">
        <v>0</v>
      </c>
    </row>
    <row r="201" spans="1:63" x14ac:dyDescent="0.25">
      <c r="A201" s="29" t="s">
        <v>281</v>
      </c>
      <c r="B201" s="3" t="s">
        <v>473</v>
      </c>
      <c r="C201" s="3" t="s">
        <v>483</v>
      </c>
      <c r="D201" s="3" t="s">
        <v>524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58"/>
      <c r="T201" s="44">
        <v>3.98</v>
      </c>
      <c r="V201" s="44">
        <v>3.98</v>
      </c>
      <c r="W201" s="44">
        <v>3.98</v>
      </c>
      <c r="X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 s="44">
        <v>3.98</v>
      </c>
      <c r="AL201"/>
      <c r="AM201" s="44">
        <v>3.98</v>
      </c>
      <c r="AN201" s="44">
        <v>3.98</v>
      </c>
      <c r="AO201" s="44">
        <v>3.98</v>
      </c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 s="44">
        <v>3.98</v>
      </c>
      <c r="AW201" s="44">
        <v>3.98</v>
      </c>
      <c r="AX201" s="44">
        <v>3.98</v>
      </c>
      <c r="AY201"/>
      <c r="AZ201" s="44">
        <v>3.98</v>
      </c>
      <c r="BA201"/>
      <c r="BB201"/>
      <c r="BC201" s="44">
        <v>3.98</v>
      </c>
    </row>
    <row r="202" spans="1:63" x14ac:dyDescent="0.25">
      <c r="A202" s="29" t="s">
        <v>282</v>
      </c>
      <c r="B202" s="3" t="s">
        <v>473</v>
      </c>
      <c r="C202" s="3" t="s">
        <v>483</v>
      </c>
      <c r="D202" s="3" t="s">
        <v>524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58"/>
      <c r="T202" s="44">
        <v>1</v>
      </c>
      <c r="V202" s="44">
        <v>1</v>
      </c>
      <c r="W202" s="44">
        <v>1</v>
      </c>
      <c r="X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 s="44">
        <v>1</v>
      </c>
      <c r="AL202"/>
      <c r="AM202" s="44">
        <v>1</v>
      </c>
      <c r="AN202" s="44">
        <v>1</v>
      </c>
      <c r="AO202" s="44">
        <v>1</v>
      </c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 s="44">
        <v>1</v>
      </c>
      <c r="AW202" s="44">
        <v>1</v>
      </c>
      <c r="AX202" s="44">
        <v>1</v>
      </c>
      <c r="AY202"/>
      <c r="AZ202" s="44">
        <v>1</v>
      </c>
      <c r="BA202"/>
      <c r="BB202"/>
      <c r="BC202" s="44">
        <v>1</v>
      </c>
    </row>
    <row r="203" spans="1:63" x14ac:dyDescent="0.25">
      <c r="A203" s="29" t="s">
        <v>283</v>
      </c>
      <c r="B203" s="3" t="s">
        <v>473</v>
      </c>
      <c r="C203" s="3" t="s">
        <v>483</v>
      </c>
      <c r="D203" s="3" t="s">
        <v>524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58"/>
      <c r="T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/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 s="44">
        <v>8.3333333333333331E-5</v>
      </c>
      <c r="AW203" s="44">
        <v>8.3333333333333331E-5</v>
      </c>
      <c r="AX203" s="44">
        <v>8.3333333333333331E-5</v>
      </c>
      <c r="AY203"/>
      <c r="AZ203" s="44">
        <v>8.3333333333333331E-5</v>
      </c>
      <c r="BA203"/>
      <c r="BB203"/>
      <c r="BC203" s="44">
        <v>8.3333333333333331E-5</v>
      </c>
    </row>
    <row r="204" spans="1:63" x14ac:dyDescent="0.25">
      <c r="A204" s="47" t="s">
        <v>361</v>
      </c>
      <c r="B204" s="48" t="s">
        <v>473</v>
      </c>
      <c r="C204" s="48" t="s">
        <v>483</v>
      </c>
      <c r="D204" s="3" t="s">
        <v>524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58"/>
      <c r="T204" s="44" t="s">
        <v>89</v>
      </c>
      <c r="V204" s="44" t="s">
        <v>89</v>
      </c>
      <c r="W204" s="44" t="s">
        <v>89</v>
      </c>
      <c r="X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 s="44" t="s">
        <v>89</v>
      </c>
      <c r="AL204"/>
      <c r="AM204" s="44" t="s">
        <v>89</v>
      </c>
      <c r="AN204" s="44" t="s">
        <v>89</v>
      </c>
      <c r="AO204" s="44" t="s">
        <v>89</v>
      </c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 s="44" t="s">
        <v>89</v>
      </c>
      <c r="AW204" s="44" t="s">
        <v>89</v>
      </c>
      <c r="AX204" s="44" t="s">
        <v>89</v>
      </c>
      <c r="AY204"/>
      <c r="AZ204" s="44" t="s">
        <v>89</v>
      </c>
      <c r="BA204"/>
      <c r="BB204"/>
      <c r="BC204" s="44" t="s">
        <v>89</v>
      </c>
    </row>
    <row r="205" spans="1:63" x14ac:dyDescent="0.25">
      <c r="A205" s="2" t="s">
        <v>537</v>
      </c>
      <c r="B205" s="3" t="s">
        <v>473</v>
      </c>
      <c r="C205" s="3" t="s">
        <v>592</v>
      </c>
      <c r="D205" s="3" t="s">
        <v>593</v>
      </c>
      <c r="E205" s="30" t="s">
        <v>540</v>
      </c>
      <c r="F205" s="30" t="s">
        <v>539</v>
      </c>
      <c r="G205" s="44">
        <f>0.00002</f>
        <v>2.0000000000000002E-5</v>
      </c>
      <c r="H205" s="44">
        <f t="shared" ref="H205:BC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>0.0000025</f>
        <v>2.5000000000000002E-6</v>
      </c>
      <c r="S205" s="58"/>
      <c r="T205" s="44">
        <f>0.0000025</f>
        <v>2.5000000000000002E-6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/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 s="44">
        <f t="shared" si="21"/>
        <v>2.0000000000000002E-5</v>
      </c>
      <c r="AW205" s="44">
        <f t="shared" si="21"/>
        <v>2.0000000000000002E-5</v>
      </c>
      <c r="AX205" s="44">
        <f t="shared" si="21"/>
        <v>2.0000000000000002E-5</v>
      </c>
      <c r="AY205"/>
      <c r="AZ205" s="44">
        <f t="shared" si="21"/>
        <v>2.0000000000000002E-5</v>
      </c>
      <c r="BA205"/>
      <c r="BB205"/>
      <c r="BC205" s="44">
        <f t="shared" si="21"/>
        <v>2.0000000000000002E-5</v>
      </c>
      <c r="BD205" s="1"/>
      <c r="BE205" s="1"/>
      <c r="BF205" s="1"/>
      <c r="BG205" s="1"/>
      <c r="BH205" s="1"/>
      <c r="BI205" s="1"/>
      <c r="BJ205" s="1"/>
      <c r="BK205" s="1"/>
    </row>
    <row r="206" spans="1:63" x14ac:dyDescent="0.25">
      <c r="A206" s="2" t="s">
        <v>536</v>
      </c>
      <c r="B206" s="3" t="s">
        <v>473</v>
      </c>
      <c r="C206" s="3" t="s">
        <v>592</v>
      </c>
      <c r="D206" s="3" t="s">
        <v>593</v>
      </c>
      <c r="E206" s="30" t="s">
        <v>541</v>
      </c>
      <c r="F206" s="30" t="s">
        <v>542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0.25</v>
      </c>
      <c r="S206" s="58"/>
      <c r="T206" s="44">
        <v>0.25</v>
      </c>
      <c r="V206" s="44">
        <v>0.3</v>
      </c>
      <c r="W206" s="44">
        <v>0.3</v>
      </c>
      <c r="X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 s="44">
        <v>0.3</v>
      </c>
      <c r="AJ206" s="44">
        <v>0.3</v>
      </c>
      <c r="AK206" s="44">
        <v>0.3</v>
      </c>
      <c r="AL206"/>
      <c r="AM206" s="44">
        <v>0.3</v>
      </c>
      <c r="AN206" s="44">
        <v>0.3</v>
      </c>
      <c r="AO206" s="44">
        <v>0.3</v>
      </c>
      <c r="AP206" s="44">
        <v>0.3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 s="44">
        <v>0.15</v>
      </c>
      <c r="AW206" s="44">
        <v>0.15</v>
      </c>
      <c r="AX206" s="44">
        <v>0.15</v>
      </c>
      <c r="AY206"/>
      <c r="AZ206" s="44">
        <v>0.15</v>
      </c>
      <c r="BA206"/>
      <c r="BB206"/>
      <c r="BC206" s="44">
        <v>0.3</v>
      </c>
      <c r="BD206" s="51"/>
      <c r="BE206" s="51"/>
      <c r="BF206" s="51"/>
      <c r="BG206" s="51"/>
      <c r="BH206" s="51"/>
      <c r="BI206" s="51"/>
      <c r="BJ206" s="51"/>
      <c r="BK206" s="51"/>
    </row>
    <row r="207" spans="1:63" x14ac:dyDescent="0.25">
      <c r="A207" s="2" t="s">
        <v>538</v>
      </c>
      <c r="B207" s="3" t="s">
        <v>473</v>
      </c>
      <c r="C207" s="3" t="s">
        <v>592</v>
      </c>
      <c r="D207" s="3" t="s">
        <v>593</v>
      </c>
      <c r="E207" s="50" t="s">
        <v>488</v>
      </c>
      <c r="F207" s="50" t="s">
        <v>487</v>
      </c>
      <c r="G207" s="44">
        <f t="shared" ref="G207:BC207" si="22">0.00002 / 14</f>
        <v>1.4285714285714286E-6</v>
      </c>
      <c r="H207" s="44">
        <f t="shared" si="22"/>
        <v>1.4285714285714286E-6</v>
      </c>
      <c r="I207" s="44">
        <f t="shared" si="22"/>
        <v>1.4285714285714286E-6</v>
      </c>
      <c r="J207" s="44">
        <f t="shared" si="22"/>
        <v>1.4285714285714286E-6</v>
      </c>
      <c r="K207" s="44">
        <f t="shared" si="22"/>
        <v>1.4285714285714286E-6</v>
      </c>
      <c r="L207" s="44">
        <f t="shared" si="22"/>
        <v>1.4285714285714286E-6</v>
      </c>
      <c r="M207" s="44">
        <f t="shared" si="22"/>
        <v>1.4285714285714286E-6</v>
      </c>
      <c r="N207" s="44">
        <f t="shared" si="22"/>
        <v>1.4285714285714286E-6</v>
      </c>
      <c r="O207" s="44">
        <f t="shared" si="22"/>
        <v>1.4285714285714286E-6</v>
      </c>
      <c r="P207" s="44">
        <f t="shared" si="22"/>
        <v>1.4285714285714286E-6</v>
      </c>
      <c r="R207" s="44">
        <f t="shared" si="22"/>
        <v>1.4285714285714286E-6</v>
      </c>
      <c r="S207" s="58"/>
      <c r="T207" s="44">
        <f t="shared" si="22"/>
        <v>1.4285714285714286E-6</v>
      </c>
      <c r="V207" s="44">
        <f t="shared" si="22"/>
        <v>1.4285714285714286E-6</v>
      </c>
      <c r="W207" s="44">
        <v>2E-3</v>
      </c>
      <c r="X207" s="44">
        <f t="shared" si="22"/>
        <v>1.4285714285714286E-6</v>
      </c>
      <c r="AA207" s="44">
        <f t="shared" si="22"/>
        <v>1.4285714285714286E-6</v>
      </c>
      <c r="AB207" s="44">
        <f t="shared" si="22"/>
        <v>1.4285714285714286E-6</v>
      </c>
      <c r="AC207" s="44">
        <f t="shared" si="22"/>
        <v>1.4285714285714286E-6</v>
      </c>
      <c r="AD207" s="44">
        <f t="shared" si="22"/>
        <v>1.4285714285714286E-6</v>
      </c>
      <c r="AE207" s="44">
        <f t="shared" si="22"/>
        <v>1.4285714285714286E-6</v>
      </c>
      <c r="AF207" s="44">
        <f t="shared" si="22"/>
        <v>1.4285714285714286E-6</v>
      </c>
      <c r="AG207" s="44">
        <f t="shared" si="22"/>
        <v>1.4285714285714286E-6</v>
      </c>
      <c r="AH207" s="44">
        <f t="shared" si="22"/>
        <v>1.4285714285714286E-6</v>
      </c>
      <c r="AI207" s="44">
        <f t="shared" si="22"/>
        <v>1.4285714285714286E-6</v>
      </c>
      <c r="AJ207" s="44">
        <f t="shared" si="22"/>
        <v>1.4285714285714286E-6</v>
      </c>
      <c r="AK207" s="44">
        <f t="shared" si="22"/>
        <v>1.4285714285714286E-6</v>
      </c>
      <c r="AL207"/>
      <c r="AM207" s="44">
        <f t="shared" si="22"/>
        <v>1.4285714285714286E-6</v>
      </c>
      <c r="AN207" s="44">
        <f t="shared" si="22"/>
        <v>1.4285714285714286E-6</v>
      </c>
      <c r="AO207" s="44">
        <f t="shared" si="22"/>
        <v>1.4285714285714286E-6</v>
      </c>
      <c r="AP207" s="44">
        <f t="shared" si="22"/>
        <v>1.4285714285714286E-6</v>
      </c>
      <c r="AQ207" s="44">
        <f t="shared" si="22"/>
        <v>1.4285714285714286E-6</v>
      </c>
      <c r="AR207" s="44">
        <f t="shared" si="22"/>
        <v>1.4285714285714286E-6</v>
      </c>
      <c r="AS207" s="44">
        <f t="shared" si="22"/>
        <v>1.4285714285714286E-6</v>
      </c>
      <c r="AT207"/>
      <c r="AU207" s="44">
        <f t="shared" si="22"/>
        <v>1.4285714285714286E-6</v>
      </c>
      <c r="AV207" s="44">
        <f t="shared" si="22"/>
        <v>1.4285714285714286E-6</v>
      </c>
      <c r="AW207" s="44">
        <f t="shared" si="22"/>
        <v>1.4285714285714286E-6</v>
      </c>
      <c r="AX207" s="44">
        <f t="shared" si="22"/>
        <v>1.4285714285714286E-6</v>
      </c>
      <c r="AY207"/>
      <c r="AZ207" s="44">
        <v>2E-3</v>
      </c>
      <c r="BA207"/>
      <c r="BB207"/>
      <c r="BC207" s="44">
        <f t="shared" si="22"/>
        <v>1.4285714285714286E-6</v>
      </c>
      <c r="BD207" s="37"/>
      <c r="BE207" s="37"/>
      <c r="BF207" s="37"/>
      <c r="BG207" s="37"/>
      <c r="BH207" s="37"/>
      <c r="BI207" s="37"/>
      <c r="BJ207" s="37"/>
      <c r="BK207" s="37"/>
    </row>
    <row r="208" spans="1:63" x14ac:dyDescent="0.25">
      <c r="A208" s="2" t="s">
        <v>489</v>
      </c>
      <c r="B208" s="3" t="s">
        <v>473</v>
      </c>
      <c r="C208" s="3" t="s">
        <v>592</v>
      </c>
      <c r="D208" s="3" t="s">
        <v>593</v>
      </c>
      <c r="E208" s="50" t="s">
        <v>490</v>
      </c>
      <c r="F208" s="50" t="s">
        <v>491</v>
      </c>
      <c r="G208" s="44" t="s">
        <v>485</v>
      </c>
      <c r="H208" s="44" t="s">
        <v>485</v>
      </c>
      <c r="I208" s="44" t="s">
        <v>485</v>
      </c>
      <c r="J208" s="44" t="s">
        <v>485</v>
      </c>
      <c r="K208" s="44" t="s">
        <v>485</v>
      </c>
      <c r="L208" s="44" t="s">
        <v>485</v>
      </c>
      <c r="M208" s="44" t="s">
        <v>485</v>
      </c>
      <c r="N208" s="44" t="s">
        <v>485</v>
      </c>
      <c r="O208" s="44" t="s">
        <v>485</v>
      </c>
      <c r="P208" s="44" t="s">
        <v>485</v>
      </c>
      <c r="R208" s="44" t="s">
        <v>485</v>
      </c>
      <c r="S208" s="58"/>
      <c r="T208" s="44" t="s">
        <v>485</v>
      </c>
      <c r="V208" s="44" t="s">
        <v>485</v>
      </c>
      <c r="W208" s="44">
        <v>0.1</v>
      </c>
      <c r="X208" s="44" t="s">
        <v>485</v>
      </c>
      <c r="AA208" s="44" t="s">
        <v>485</v>
      </c>
      <c r="AB208" s="44" t="s">
        <v>485</v>
      </c>
      <c r="AC208" s="44" t="s">
        <v>485</v>
      </c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 s="44" t="s">
        <v>485</v>
      </c>
      <c r="AL208"/>
      <c r="AM208" s="44" t="s">
        <v>485</v>
      </c>
      <c r="AN208" s="44" t="s">
        <v>485</v>
      </c>
      <c r="AO208" s="44" t="s">
        <v>485</v>
      </c>
      <c r="AP208" s="44" t="s">
        <v>485</v>
      </c>
      <c r="AQ208" s="44" t="s">
        <v>485</v>
      </c>
      <c r="AR208" s="44" t="s">
        <v>485</v>
      </c>
      <c r="AS208" s="44" t="s">
        <v>485</v>
      </c>
      <c r="AT208"/>
      <c r="AU208" s="44" t="s">
        <v>485</v>
      </c>
      <c r="AV208" s="44" t="s">
        <v>485</v>
      </c>
      <c r="AW208" s="44" t="s">
        <v>485</v>
      </c>
      <c r="AX208" s="44" t="s">
        <v>485</v>
      </c>
      <c r="AY208"/>
      <c r="AZ208" s="44">
        <v>0.1</v>
      </c>
      <c r="BA208"/>
      <c r="BB208"/>
      <c r="BC208" s="44" t="s">
        <v>485</v>
      </c>
      <c r="BD208" s="37"/>
      <c r="BE208" s="37"/>
      <c r="BF208" s="37"/>
      <c r="BG208" s="37"/>
      <c r="BH208" s="37"/>
      <c r="BI208" s="37"/>
      <c r="BJ208" s="37"/>
      <c r="BK208" s="37"/>
    </row>
    <row r="209" spans="1:78" x14ac:dyDescent="0.25">
      <c r="A209" s="2" t="s">
        <v>492</v>
      </c>
      <c r="B209" s="3" t="s">
        <v>473</v>
      </c>
      <c r="C209" s="3" t="s">
        <v>592</v>
      </c>
      <c r="D209" s="3" t="s">
        <v>593</v>
      </c>
      <c r="E209" s="50" t="s">
        <v>493</v>
      </c>
      <c r="F209" s="50" t="s">
        <v>491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>
        <v>0</v>
      </c>
      <c r="O209" s="44">
        <v>0</v>
      </c>
      <c r="P209" s="44">
        <v>0</v>
      </c>
      <c r="R209" s="44">
        <v>0</v>
      </c>
      <c r="S209" s="58"/>
      <c r="T209" s="44">
        <v>0</v>
      </c>
      <c r="V209" s="44">
        <v>0</v>
      </c>
      <c r="W209" s="44">
        <v>0.04</v>
      </c>
      <c r="X209" s="44">
        <v>0</v>
      </c>
      <c r="AA209" s="44">
        <v>0</v>
      </c>
      <c r="AB209" s="44">
        <v>0</v>
      </c>
      <c r="AC209" s="44">
        <v>0</v>
      </c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 s="44">
        <v>0</v>
      </c>
      <c r="AL209"/>
      <c r="AM209" s="44">
        <v>0</v>
      </c>
      <c r="AN209" s="44">
        <v>0</v>
      </c>
      <c r="AO209" s="44">
        <v>0</v>
      </c>
      <c r="AP209" s="44">
        <v>0</v>
      </c>
      <c r="AQ209" s="44">
        <v>0</v>
      </c>
      <c r="AR209" s="44">
        <v>0</v>
      </c>
      <c r="AS209" s="44">
        <v>0</v>
      </c>
      <c r="AT209"/>
      <c r="AU209" s="44">
        <v>0</v>
      </c>
      <c r="AV209" s="44">
        <v>0</v>
      </c>
      <c r="AW209" s="44">
        <v>0</v>
      </c>
      <c r="AX209" s="44">
        <v>0</v>
      </c>
      <c r="AY209"/>
      <c r="AZ209" s="44">
        <v>0.04</v>
      </c>
      <c r="BA209"/>
      <c r="BB209"/>
      <c r="BC209" s="44">
        <v>0</v>
      </c>
      <c r="BD209" s="37"/>
      <c r="BE209" s="37"/>
      <c r="BF209" s="37"/>
      <c r="BG209" s="37"/>
      <c r="BH209" s="37"/>
      <c r="BI209" s="37"/>
      <c r="BJ209" s="37"/>
      <c r="BK209" s="37"/>
    </row>
    <row r="210" spans="1:78" x14ac:dyDescent="0.25">
      <c r="A210" s="2" t="s">
        <v>494</v>
      </c>
      <c r="B210" s="3" t="s">
        <v>473</v>
      </c>
      <c r="C210" s="3" t="s">
        <v>592</v>
      </c>
      <c r="D210" s="3" t="s">
        <v>593</v>
      </c>
      <c r="E210" s="50" t="s">
        <v>495</v>
      </c>
      <c r="F210" s="50" t="s">
        <v>491</v>
      </c>
      <c r="G210" s="44">
        <v>1E-3</v>
      </c>
      <c r="H210" s="44">
        <v>1E-3</v>
      </c>
      <c r="I210" s="44">
        <v>1E-3</v>
      </c>
      <c r="J210" s="44">
        <v>1E-3</v>
      </c>
      <c r="K210" s="44">
        <v>1E-3</v>
      </c>
      <c r="L210" s="44">
        <v>1E-3</v>
      </c>
      <c r="M210" s="44">
        <v>1E-3</v>
      </c>
      <c r="N210" s="44">
        <v>1E-3</v>
      </c>
      <c r="O210" s="44">
        <v>1E-3</v>
      </c>
      <c r="P210" s="44">
        <v>1E-3</v>
      </c>
      <c r="R210" s="44">
        <v>1E-3</v>
      </c>
      <c r="S210" s="58"/>
      <c r="T210" s="44">
        <v>1E-3</v>
      </c>
      <c r="V210" s="44">
        <v>1E-3</v>
      </c>
      <c r="W210" s="44">
        <v>1E-3</v>
      </c>
      <c r="X210" s="44">
        <v>1E-3</v>
      </c>
      <c r="AA210" s="44">
        <v>1E-3</v>
      </c>
      <c r="AB210" s="44">
        <v>1E-3</v>
      </c>
      <c r="AC210" s="44">
        <v>1E-3</v>
      </c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 s="44">
        <v>1E-3</v>
      </c>
      <c r="AL210"/>
      <c r="AM210" s="44">
        <v>1E-3</v>
      </c>
      <c r="AN210" s="44">
        <v>1E-3</v>
      </c>
      <c r="AO210" s="44">
        <v>1E-3</v>
      </c>
      <c r="AP210" s="44">
        <v>1E-3</v>
      </c>
      <c r="AQ210" s="44">
        <v>1E-3</v>
      </c>
      <c r="AR210" s="44">
        <v>1E-3</v>
      </c>
      <c r="AS210" s="44">
        <v>1E-3</v>
      </c>
      <c r="AT210"/>
      <c r="AU210" s="44">
        <v>1E-3</v>
      </c>
      <c r="AV210" s="44">
        <v>1E-3</v>
      </c>
      <c r="AW210" s="44">
        <v>1E-3</v>
      </c>
      <c r="AX210" s="44">
        <v>1E-3</v>
      </c>
      <c r="AY210"/>
      <c r="AZ210" s="44">
        <v>1E-3</v>
      </c>
      <c r="BA210"/>
      <c r="BB210"/>
      <c r="BC210" s="44">
        <v>1E-3</v>
      </c>
      <c r="BD210" s="37"/>
      <c r="BE210" s="37"/>
      <c r="BF210" s="37"/>
      <c r="BG210" s="37"/>
      <c r="BH210" s="37"/>
      <c r="BI210" s="37"/>
      <c r="BJ210" s="37"/>
      <c r="BK210" s="37"/>
    </row>
    <row r="211" spans="1:78" x14ac:dyDescent="0.25">
      <c r="A211" s="2" t="s">
        <v>496</v>
      </c>
      <c r="B211" s="3" t="s">
        <v>473</v>
      </c>
      <c r="C211" s="3" t="s">
        <v>483</v>
      </c>
      <c r="D211" s="3" t="s">
        <v>524</v>
      </c>
      <c r="E211" s="50" t="s">
        <v>497</v>
      </c>
      <c r="F211" s="50" t="s">
        <v>498</v>
      </c>
      <c r="G211" s="44">
        <f>1.25*0.000001</f>
        <v>1.2499999999999999E-6</v>
      </c>
      <c r="H211" s="44">
        <f t="shared" ref="H211:BC211" si="23">1250*0.000001/5</f>
        <v>2.5000000000000001E-4</v>
      </c>
      <c r="I211" s="44">
        <f t="shared" si="23"/>
        <v>2.5000000000000001E-4</v>
      </c>
      <c r="J211" s="44">
        <f t="shared" si="23"/>
        <v>2.5000000000000001E-4</v>
      </c>
      <c r="K211" s="44">
        <f t="shared" si="23"/>
        <v>2.5000000000000001E-4</v>
      </c>
      <c r="L211" s="44">
        <f t="shared" si="23"/>
        <v>2.5000000000000001E-4</v>
      </c>
      <c r="M211" s="44">
        <f t="shared" si="23"/>
        <v>2.5000000000000001E-4</v>
      </c>
      <c r="N211" s="44">
        <f t="shared" si="23"/>
        <v>2.5000000000000001E-4</v>
      </c>
      <c r="O211" s="44">
        <f t="shared" si="23"/>
        <v>2.5000000000000001E-4</v>
      </c>
      <c r="P211" s="44">
        <f t="shared" si="23"/>
        <v>2.5000000000000001E-4</v>
      </c>
      <c r="R211" s="44">
        <f t="shared" si="23"/>
        <v>2.5000000000000001E-4</v>
      </c>
      <c r="S211" s="58"/>
      <c r="T211" s="44">
        <f t="shared" si="23"/>
        <v>2.5000000000000001E-4</v>
      </c>
      <c r="V211" s="44">
        <f t="shared" si="23"/>
        <v>2.5000000000000001E-4</v>
      </c>
      <c r="W211" s="44">
        <f t="shared" si="23"/>
        <v>2.5000000000000001E-4</v>
      </c>
      <c r="X211" s="44">
        <f t="shared" si="23"/>
        <v>2.5000000000000001E-4</v>
      </c>
      <c r="AA211" s="44">
        <f t="shared" si="23"/>
        <v>2.5000000000000001E-4</v>
      </c>
      <c r="AB211" s="44">
        <f t="shared" si="23"/>
        <v>2.5000000000000001E-4</v>
      </c>
      <c r="AC211" s="44">
        <f t="shared" si="23"/>
        <v>2.5000000000000001E-4</v>
      </c>
      <c r="AD211" s="44">
        <f t="shared" si="23"/>
        <v>2.5000000000000001E-4</v>
      </c>
      <c r="AE211" s="44">
        <f t="shared" si="23"/>
        <v>2.5000000000000001E-4</v>
      </c>
      <c r="AF211" s="44">
        <f t="shared" si="23"/>
        <v>2.5000000000000001E-4</v>
      </c>
      <c r="AG211" s="44">
        <f t="shared" si="23"/>
        <v>2.5000000000000001E-4</v>
      </c>
      <c r="AH211" s="44">
        <f t="shared" si="23"/>
        <v>2.5000000000000001E-4</v>
      </c>
      <c r="AI211" s="44">
        <f t="shared" si="23"/>
        <v>2.5000000000000001E-4</v>
      </c>
      <c r="AJ211" s="44">
        <f t="shared" si="23"/>
        <v>2.5000000000000001E-4</v>
      </c>
      <c r="AK211" s="44">
        <f t="shared" si="23"/>
        <v>2.5000000000000001E-4</v>
      </c>
      <c r="AL211"/>
      <c r="AM211" s="44">
        <f t="shared" si="23"/>
        <v>2.5000000000000001E-4</v>
      </c>
      <c r="AN211" s="44">
        <f t="shared" si="23"/>
        <v>2.5000000000000001E-4</v>
      </c>
      <c r="AO211" s="44">
        <f t="shared" si="23"/>
        <v>2.5000000000000001E-4</v>
      </c>
      <c r="AP211" s="44">
        <f t="shared" si="23"/>
        <v>2.5000000000000001E-4</v>
      </c>
      <c r="AQ211" s="44">
        <f t="shared" si="23"/>
        <v>2.5000000000000001E-4</v>
      </c>
      <c r="AR211" s="44">
        <f t="shared" si="23"/>
        <v>2.5000000000000001E-4</v>
      </c>
      <c r="AS211" s="44">
        <f t="shared" si="23"/>
        <v>2.5000000000000001E-4</v>
      </c>
      <c r="AT211"/>
      <c r="AU211" s="44">
        <f t="shared" si="23"/>
        <v>2.5000000000000001E-4</v>
      </c>
      <c r="AV211" s="44">
        <f t="shared" si="23"/>
        <v>2.5000000000000001E-4</v>
      </c>
      <c r="AW211" s="44">
        <f t="shared" si="23"/>
        <v>2.5000000000000001E-4</v>
      </c>
      <c r="AX211" s="44">
        <f t="shared" si="23"/>
        <v>2.5000000000000001E-4</v>
      </c>
      <c r="AY211"/>
      <c r="AZ211" s="44">
        <f t="shared" si="23"/>
        <v>2.5000000000000001E-4</v>
      </c>
      <c r="BA211"/>
      <c r="BB211"/>
      <c r="BC211" s="44">
        <f t="shared" si="23"/>
        <v>2.5000000000000001E-4</v>
      </c>
      <c r="BD211" s="51"/>
      <c r="BE211" s="51"/>
      <c r="BF211" s="51"/>
      <c r="BG211" s="51"/>
      <c r="BH211" s="51"/>
      <c r="BI211" s="51"/>
      <c r="BJ211" s="51"/>
      <c r="BK211" s="51"/>
    </row>
    <row r="212" spans="1:78" x14ac:dyDescent="0.25">
      <c r="A212" s="2" t="s">
        <v>499</v>
      </c>
      <c r="B212" s="3" t="s">
        <v>473</v>
      </c>
      <c r="C212" s="3" t="s">
        <v>483</v>
      </c>
      <c r="D212" s="3" t="s">
        <v>524</v>
      </c>
      <c r="E212" s="50" t="s">
        <v>500</v>
      </c>
      <c r="F212" s="50" t="s">
        <v>501</v>
      </c>
      <c r="G212" s="44">
        <v>2.0000000000000001E-4</v>
      </c>
      <c r="H212" s="44">
        <v>2.0000000000000001E-4</v>
      </c>
      <c r="I212" s="44">
        <v>2.0000000000000001E-4</v>
      </c>
      <c r="J212" s="44">
        <v>2.0000000000000001E-4</v>
      </c>
      <c r="K212" s="44">
        <v>2.0000000000000001E-4</v>
      </c>
      <c r="L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44">
        <v>2.0000000000000001E-4</v>
      </c>
      <c r="R212" s="44">
        <v>2.0000000000000001E-4</v>
      </c>
      <c r="S212" s="58"/>
      <c r="T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AA212" s="44">
        <v>2.0000000000000001E-4</v>
      </c>
      <c r="AB212" s="44">
        <v>2.0000000000000001E-4</v>
      </c>
      <c r="AC212" s="44">
        <v>2.0000000000000001E-4</v>
      </c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 s="44">
        <v>2.0000000000000001E-4</v>
      </c>
      <c r="AL212"/>
      <c r="AM212" s="44">
        <v>2.0000000000000001E-4</v>
      </c>
      <c r="AN212" s="44">
        <v>2.0000000000000001E-4</v>
      </c>
      <c r="AO212" s="44">
        <v>2.0000000000000001E-4</v>
      </c>
      <c r="AP212" s="44">
        <v>2.0000000000000001E-4</v>
      </c>
      <c r="AQ212" s="44">
        <v>2.0000000000000001E-4</v>
      </c>
      <c r="AR212" s="44">
        <v>2.0000000000000001E-4</v>
      </c>
      <c r="AS212" s="44">
        <v>2.0000000000000001E-4</v>
      </c>
      <c r="AT212"/>
      <c r="AU212" s="44">
        <v>2.0000000000000001E-4</v>
      </c>
      <c r="AV212" s="44">
        <v>2.0000000000000001E-4</v>
      </c>
      <c r="AW212" s="44">
        <v>2.0000000000000001E-4</v>
      </c>
      <c r="AX212" s="44">
        <v>2.0000000000000001E-4</v>
      </c>
      <c r="AY212"/>
      <c r="AZ212" s="44">
        <v>2.0000000000000001E-4</v>
      </c>
      <c r="BA212"/>
      <c r="BB212"/>
      <c r="BC212" s="44">
        <v>2.0000000000000001E-4</v>
      </c>
      <c r="BD212" s="51"/>
      <c r="BE212" s="51"/>
      <c r="BF212" s="51"/>
      <c r="BG212" s="51"/>
      <c r="BH212" s="51"/>
      <c r="BI212" s="51"/>
      <c r="BJ212" s="51"/>
      <c r="BK212" s="51"/>
    </row>
    <row r="213" spans="1:78" x14ac:dyDescent="0.25">
      <c r="A213" s="2" t="s">
        <v>502</v>
      </c>
      <c r="B213" s="3" t="s">
        <v>473</v>
      </c>
      <c r="C213" s="3" t="s">
        <v>483</v>
      </c>
      <c r="D213" s="3" t="s">
        <v>524</v>
      </c>
      <c r="E213" s="50" t="s">
        <v>503</v>
      </c>
      <c r="F213" s="50" t="s">
        <v>504</v>
      </c>
      <c r="G213" s="44">
        <v>2.4999999999999998E-12</v>
      </c>
      <c r="H213" s="44">
        <v>2.4999999999999998E-12</v>
      </c>
      <c r="I213" s="44">
        <v>2.4999999999999999E-13</v>
      </c>
      <c r="J213" s="44">
        <v>2.4999999999999999E-13</v>
      </c>
      <c r="K213" s="44">
        <v>2.4999999999999999E-13</v>
      </c>
      <c r="L213" s="44">
        <v>2.4999999999999999E-13</v>
      </c>
      <c r="M213" s="44">
        <v>2.4999999999999999E-13</v>
      </c>
      <c r="N213" s="44">
        <v>2.4999999999999999E-13</v>
      </c>
      <c r="O213" s="44">
        <v>2.4999999999999999E-13</v>
      </c>
      <c r="P213" s="44">
        <v>2.4999999999999999E-13</v>
      </c>
      <c r="R213" s="44">
        <f xml:space="preserve"> 0.0000000000025*10</f>
        <v>2.4999999999999998E-11</v>
      </c>
      <c r="S213" s="58"/>
      <c r="T213" s="44">
        <f xml:space="preserve"> 0.0000000000025*10</f>
        <v>2.4999999999999998E-11</v>
      </c>
      <c r="V213" s="44">
        <v>2.4999999999999999E-13</v>
      </c>
      <c r="W213" s="44">
        <v>2.4999999999999999E-13</v>
      </c>
      <c r="X213" s="44">
        <v>2.4999999999999999E-13</v>
      </c>
      <c r="AA213" s="44">
        <v>2.4999999999999999E-13</v>
      </c>
      <c r="AB213" s="44">
        <v>2.4999999999999999E-13</v>
      </c>
      <c r="AC213" s="44">
        <v>2.4999999999999999E-13</v>
      </c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 s="44">
        <v>2.4999999999999999E-13</v>
      </c>
      <c r="AL213"/>
      <c r="AM213" s="44">
        <v>2.4999999999999999E-13</v>
      </c>
      <c r="AN213" s="44">
        <v>2.4999999999999999E-13</v>
      </c>
      <c r="AO213" s="44">
        <v>2.4999999999999999E-13</v>
      </c>
      <c r="AP213" s="44">
        <v>2.4999999999999999E-13</v>
      </c>
      <c r="AQ213" s="44">
        <v>2.4999999999999999E-13</v>
      </c>
      <c r="AR213" s="44">
        <v>2.4999999999999999E-13</v>
      </c>
      <c r="AS213" s="44">
        <v>2.4999999999999999E-13</v>
      </c>
      <c r="AT213"/>
      <c r="AU213" s="44">
        <v>2.4999999999999999E-13</v>
      </c>
      <c r="AV213" s="44">
        <v>2.4999999999999999E-13</v>
      </c>
      <c r="AW213" s="44">
        <v>2.4999999999999999E-13</v>
      </c>
      <c r="AX213" s="44">
        <v>2.4999999999999999E-13</v>
      </c>
      <c r="AY213"/>
      <c r="AZ213" s="44">
        <v>2.4999999999999999E-13</v>
      </c>
      <c r="BA213"/>
      <c r="BB213"/>
      <c r="BC213" s="44">
        <v>2.4999999999999999E-13</v>
      </c>
      <c r="BD213" s="51"/>
      <c r="BE213" s="51"/>
      <c r="BF213" s="51"/>
      <c r="BG213" s="51"/>
      <c r="BH213" s="51"/>
      <c r="BI213" s="51"/>
      <c r="BJ213" s="51"/>
      <c r="BK213" s="51"/>
    </row>
    <row r="214" spans="1:78" x14ac:dyDescent="0.25">
      <c r="A214" s="2" t="s">
        <v>505</v>
      </c>
      <c r="B214" s="3" t="s">
        <v>473</v>
      </c>
      <c r="C214" s="3" t="s">
        <v>483</v>
      </c>
      <c r="D214" s="3" t="s">
        <v>524</v>
      </c>
      <c r="E214" s="50" t="s">
        <v>506</v>
      </c>
      <c r="F214" s="50" t="s">
        <v>504</v>
      </c>
      <c r="G214" s="44">
        <v>1.2E-8</v>
      </c>
      <c r="H214" s="44">
        <v>1.2E-8</v>
      </c>
      <c r="I214" s="44">
        <f t="shared" ref="I214:AZ214" si="24">0.00000012*100</f>
        <v>1.1999999999999999E-5</v>
      </c>
      <c r="J214" s="44">
        <f t="shared" si="24"/>
        <v>1.1999999999999999E-5</v>
      </c>
      <c r="K214" s="44">
        <f t="shared" si="24"/>
        <v>1.1999999999999999E-5</v>
      </c>
      <c r="L214" s="44">
        <f t="shared" si="24"/>
        <v>1.1999999999999999E-5</v>
      </c>
      <c r="M214" s="44">
        <f t="shared" si="24"/>
        <v>1.1999999999999999E-5</v>
      </c>
      <c r="N214" s="44">
        <f t="shared" si="24"/>
        <v>1.1999999999999999E-5</v>
      </c>
      <c r="O214" s="44">
        <f t="shared" si="24"/>
        <v>1.1999999999999999E-5</v>
      </c>
      <c r="P214" s="44">
        <f t="shared" si="24"/>
        <v>1.1999999999999999E-5</v>
      </c>
      <c r="R214" s="44">
        <f>0.00000000005*2 * 5</f>
        <v>5.0000000000000003E-10</v>
      </c>
      <c r="S214" s="58"/>
      <c r="T214" s="44">
        <f>0.00000000005*2 * 5</f>
        <v>5.0000000000000003E-10</v>
      </c>
      <c r="V214" s="44">
        <f t="shared" si="24"/>
        <v>1.1999999999999999E-5</v>
      </c>
      <c r="W214" s="44">
        <f t="shared" si="24"/>
        <v>1.1999999999999999E-5</v>
      </c>
      <c r="X214" s="44">
        <f t="shared" si="24"/>
        <v>1.1999999999999999E-5</v>
      </c>
      <c r="AA214" s="44">
        <f t="shared" si="24"/>
        <v>1.1999999999999999E-5</v>
      </c>
      <c r="AB214" s="44">
        <f t="shared" si="24"/>
        <v>1.1999999999999999E-5</v>
      </c>
      <c r="AC214" s="44">
        <f t="shared" si="24"/>
        <v>1.1999999999999999E-5</v>
      </c>
      <c r="AD214" s="44">
        <f t="shared" si="24"/>
        <v>1.1999999999999999E-5</v>
      </c>
      <c r="AE214" s="44">
        <f t="shared" si="24"/>
        <v>1.1999999999999999E-5</v>
      </c>
      <c r="AF214" s="44">
        <f t="shared" si="24"/>
        <v>1.1999999999999999E-5</v>
      </c>
      <c r="AG214" s="44">
        <f t="shared" si="24"/>
        <v>1.1999999999999999E-5</v>
      </c>
      <c r="AH214" s="44">
        <f t="shared" si="24"/>
        <v>1.1999999999999999E-5</v>
      </c>
      <c r="AI214" s="44">
        <f t="shared" si="24"/>
        <v>1.1999999999999999E-5</v>
      </c>
      <c r="AJ214" s="44">
        <f t="shared" si="24"/>
        <v>1.1999999999999999E-5</v>
      </c>
      <c r="AK214" s="44">
        <f t="shared" si="24"/>
        <v>1.1999999999999999E-5</v>
      </c>
      <c r="AL214"/>
      <c r="AM214" s="44">
        <f t="shared" si="24"/>
        <v>1.1999999999999999E-5</v>
      </c>
      <c r="AN214" s="44">
        <f t="shared" si="24"/>
        <v>1.1999999999999999E-5</v>
      </c>
      <c r="AO214" s="44">
        <f t="shared" si="24"/>
        <v>1.1999999999999999E-5</v>
      </c>
      <c r="AP214" s="44">
        <f t="shared" si="24"/>
        <v>1.1999999999999999E-5</v>
      </c>
      <c r="AQ214" s="44">
        <f t="shared" si="24"/>
        <v>1.1999999999999999E-5</v>
      </c>
      <c r="AR214" s="44">
        <f t="shared" si="24"/>
        <v>1.1999999999999999E-5</v>
      </c>
      <c r="AS214" s="44">
        <f t="shared" si="24"/>
        <v>1.1999999999999999E-5</v>
      </c>
      <c r="AT214"/>
      <c r="AU214" s="44">
        <f t="shared" si="24"/>
        <v>1.1999999999999999E-5</v>
      </c>
      <c r="AV214" s="44">
        <f t="shared" si="24"/>
        <v>1.1999999999999999E-5</v>
      </c>
      <c r="AW214" s="44">
        <f t="shared" si="24"/>
        <v>1.1999999999999999E-5</v>
      </c>
      <c r="AX214" s="44">
        <f t="shared" si="24"/>
        <v>1.1999999999999999E-5</v>
      </c>
      <c r="AY214"/>
      <c r="AZ214" s="44">
        <f t="shared" si="24"/>
        <v>1.1999999999999999E-5</v>
      </c>
      <c r="BA214"/>
      <c r="BB214"/>
      <c r="BC214" s="44">
        <f>0.00000012*100</f>
        <v>1.1999999999999999E-5</v>
      </c>
      <c r="BD214" s="51"/>
      <c r="BE214" s="51"/>
      <c r="BF214" s="51"/>
      <c r="BG214" s="51"/>
      <c r="BH214" s="51"/>
      <c r="BI214" s="51"/>
      <c r="BJ214" s="51"/>
      <c r="BK214" s="51"/>
    </row>
    <row r="215" spans="1:78" x14ac:dyDescent="0.25">
      <c r="A215" s="2" t="s">
        <v>583</v>
      </c>
      <c r="B215" s="3" t="s">
        <v>473</v>
      </c>
      <c r="C215" s="3" t="s">
        <v>483</v>
      </c>
      <c r="D215" s="3" t="s">
        <v>524</v>
      </c>
      <c r="E215" s="50" t="s">
        <v>506</v>
      </c>
      <c r="F215" s="50" t="s">
        <v>512</v>
      </c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R215" s="44">
        <f>0</f>
        <v>0</v>
      </c>
      <c r="S215" s="58"/>
      <c r="T215" s="44">
        <f>0</f>
        <v>0</v>
      </c>
      <c r="V215" s="44"/>
      <c r="W215" s="44"/>
      <c r="X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/>
      <c r="AM215" s="44"/>
      <c r="AN215" s="44"/>
      <c r="AO215" s="44"/>
      <c r="AP215" s="44"/>
      <c r="AQ215" s="44"/>
      <c r="AR215" s="44"/>
      <c r="AS215" s="44"/>
      <c r="AT215"/>
      <c r="AU215" s="44"/>
      <c r="AV215" s="44"/>
      <c r="AW215" s="44"/>
      <c r="AX215" s="44"/>
      <c r="AY215"/>
      <c r="AZ215" s="44"/>
      <c r="BA215"/>
      <c r="BB215"/>
      <c r="BC215" s="44"/>
      <c r="BD215" s="51"/>
      <c r="BE215" s="51"/>
      <c r="BF215" s="51"/>
      <c r="BG215" s="51"/>
      <c r="BH215" s="51"/>
      <c r="BI215" s="51"/>
      <c r="BJ215" s="51"/>
      <c r="BK215" s="51"/>
    </row>
    <row r="216" spans="1:78" x14ac:dyDescent="0.25">
      <c r="A216" s="2" t="s">
        <v>584</v>
      </c>
      <c r="B216" s="3" t="s">
        <v>473</v>
      </c>
      <c r="C216" s="3" t="s">
        <v>483</v>
      </c>
      <c r="D216" s="3" t="s">
        <v>524</v>
      </c>
      <c r="E216" s="50" t="s">
        <v>587</v>
      </c>
      <c r="F216" s="50" t="s">
        <v>487</v>
      </c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R216" s="44">
        <f>100</f>
        <v>100</v>
      </c>
      <c r="S216" s="58"/>
      <c r="T216" s="44">
        <f>100</f>
        <v>100</v>
      </c>
      <c r="V216" s="44"/>
      <c r="W216" s="44"/>
      <c r="X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 s="44"/>
      <c r="AR216" s="44"/>
      <c r="AS216" s="44"/>
      <c r="AT216"/>
      <c r="AU216" s="44"/>
      <c r="AV216" s="44"/>
      <c r="AW216" s="44"/>
      <c r="AX216" s="44"/>
      <c r="AY216"/>
      <c r="AZ216" s="44"/>
      <c r="BA216"/>
      <c r="BB216"/>
      <c r="BC216" s="44"/>
      <c r="BD216" s="51"/>
      <c r="BE216" s="51"/>
      <c r="BF216" s="51"/>
      <c r="BG216" s="51"/>
      <c r="BH216" s="51"/>
      <c r="BI216" s="51"/>
      <c r="BJ216" s="51"/>
      <c r="BK216" s="51"/>
    </row>
    <row r="217" spans="1:78" x14ac:dyDescent="0.25">
      <c r="A217" s="2" t="s">
        <v>507</v>
      </c>
      <c r="B217" s="3" t="s">
        <v>473</v>
      </c>
      <c r="C217" s="3" t="s">
        <v>483</v>
      </c>
      <c r="D217" s="3" t="s">
        <v>524</v>
      </c>
      <c r="E217" s="50" t="s">
        <v>508</v>
      </c>
      <c r="F217" s="50" t="s">
        <v>509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f>0.000001 / 10000 / 4 / 10</f>
        <v>2.4999999999999998E-12</v>
      </c>
      <c r="S217" s="58"/>
      <c r="T217" s="44">
        <f>0.000001 / 10000 / 4 / 10</f>
        <v>2.4999999999999998E-12</v>
      </c>
      <c r="V217" s="44">
        <v>9.9999999999999995E-7</v>
      </c>
      <c r="W217" s="44">
        <v>9.9999999999999995E-7</v>
      </c>
      <c r="X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/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 s="44">
        <v>9.9999999999999995E-7</v>
      </c>
      <c r="AW217" s="44">
        <v>9.9999999999999995E-7</v>
      </c>
      <c r="AX217" s="44">
        <v>9.9999999999999995E-7</v>
      </c>
      <c r="AY217"/>
      <c r="AZ217" s="44">
        <v>9.9999999999999995E-7</v>
      </c>
      <c r="BA217"/>
      <c r="BB217"/>
      <c r="BC217" s="44">
        <v>9.9999999999999995E-7</v>
      </c>
      <c r="BD217" s="51"/>
      <c r="BE217" s="51"/>
      <c r="BF217" s="51"/>
      <c r="BG217" s="51"/>
      <c r="BH217" s="51"/>
      <c r="BI217" s="51"/>
      <c r="BJ217" s="51"/>
      <c r="BK217" s="51"/>
    </row>
    <row r="218" spans="1:78" x14ac:dyDescent="0.25">
      <c r="A218" s="2" t="s">
        <v>510</v>
      </c>
      <c r="B218" s="3" t="s">
        <v>473</v>
      </c>
      <c r="C218" s="3" t="s">
        <v>483</v>
      </c>
      <c r="D218" s="3" t="s">
        <v>524</v>
      </c>
      <c r="E218" s="50" t="s">
        <v>511</v>
      </c>
      <c r="F218" s="50" t="s">
        <v>512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f>0.00001 / 2 / 2</f>
        <v>2.5000000000000002E-6</v>
      </c>
      <c r="S218" s="44">
        <f>0.00001</f>
        <v>1.0000000000000001E-5</v>
      </c>
      <c r="T218" s="44">
        <f>0.00001 / 2 / 2</f>
        <v>2.5000000000000002E-6</v>
      </c>
      <c r="V218" s="44">
        <v>2E-8</v>
      </c>
      <c r="W218" s="44">
        <v>2E-8</v>
      </c>
      <c r="X218" s="44">
        <v>2E-8</v>
      </c>
      <c r="AA218" s="44">
        <v>5.0000000000000002E-5</v>
      </c>
      <c r="AB218" s="44">
        <v>5.0000000000000002E-5</v>
      </c>
      <c r="AC218" s="44">
        <v>5.0000000000000002E-5</v>
      </c>
      <c r="AD218" s="44">
        <v>5.0000000000000002E-5</v>
      </c>
      <c r="AE218" s="44">
        <v>2.0000000000000002E-5</v>
      </c>
      <c r="AF218" s="44">
        <v>1.0000000000000001E-5</v>
      </c>
      <c r="AG218" s="44">
        <v>5.0000000000000004E-6</v>
      </c>
      <c r="AH218" s="44">
        <v>1.9999999999999999E-6</v>
      </c>
      <c r="AI218" s="44">
        <v>9.9999999999999995E-7</v>
      </c>
      <c r="AJ218" s="44">
        <v>4.9999999999999998E-7</v>
      </c>
      <c r="AK218" s="44">
        <v>1.9999999999999999E-7</v>
      </c>
      <c r="AL218"/>
      <c r="AM218" s="44">
        <v>2.0000000000000002E-5</v>
      </c>
      <c r="AN218" s="44">
        <v>1.0000000000000001E-5</v>
      </c>
      <c r="AO218" s="44">
        <v>5.0000000000000004E-6</v>
      </c>
      <c r="AP218" s="44">
        <v>1.9999999999999999E-6</v>
      </c>
      <c r="AQ218" s="44">
        <v>9.9999999999999995E-7</v>
      </c>
      <c r="AR218" s="44">
        <v>4.9999999999999998E-7</v>
      </c>
      <c r="AS218" s="44">
        <v>1.9999999999999999E-7</v>
      </c>
      <c r="AT218"/>
      <c r="AU218" s="44">
        <v>2E-8</v>
      </c>
      <c r="AV218" s="44">
        <v>2E-8</v>
      </c>
      <c r="AW218" s="44">
        <v>2.0000000000000001E-9</v>
      </c>
      <c r="AX218" s="44">
        <v>2.0000000000000001E-9</v>
      </c>
      <c r="AY218"/>
      <c r="AZ218" s="44">
        <v>9.9999999999999995E-7</v>
      </c>
      <c r="BA218"/>
      <c r="BB218"/>
      <c r="BC218" s="44">
        <v>5.0000000000000002E-5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78" x14ac:dyDescent="0.25">
      <c r="A219" s="2" t="s">
        <v>581</v>
      </c>
      <c r="B219" s="3" t="s">
        <v>473</v>
      </c>
      <c r="C219" s="3" t="s">
        <v>483</v>
      </c>
      <c r="D219" s="3" t="s">
        <v>524</v>
      </c>
      <c r="E219" s="50" t="s">
        <v>582</v>
      </c>
      <c r="F219" s="50" t="s">
        <v>512</v>
      </c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R219" s="44">
        <f xml:space="preserve"> 0.001 * 10</f>
        <v>0.01</v>
      </c>
      <c r="S219" s="58"/>
      <c r="T219" s="44">
        <f xml:space="preserve"> 0.001 * 10</f>
        <v>0.01</v>
      </c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78" x14ac:dyDescent="0.25">
      <c r="A220" s="2" t="s">
        <v>585</v>
      </c>
      <c r="B220" s="3" t="s">
        <v>473</v>
      </c>
      <c r="C220" s="3" t="s">
        <v>483</v>
      </c>
      <c r="D220" s="3" t="s">
        <v>524</v>
      </c>
      <c r="E220" s="50" t="s">
        <v>586</v>
      </c>
      <c r="F220" s="50" t="s">
        <v>512</v>
      </c>
      <c r="G220" s="56">
        <v>1.0000000000000001E-5</v>
      </c>
      <c r="H220" s="44"/>
      <c r="I220" s="44"/>
      <c r="J220" s="44"/>
      <c r="K220" s="44"/>
      <c r="L220" s="44"/>
      <c r="M220" s="44"/>
      <c r="N220" s="44"/>
      <c r="O220" s="44"/>
      <c r="P220" s="44"/>
      <c r="R220" s="44">
        <f>0.00001 /10/4 / 2</f>
        <v>1.2500000000000002E-7</v>
      </c>
      <c r="S220" s="44">
        <f>0.00001 /10/4/2</f>
        <v>1.2500000000000002E-7</v>
      </c>
      <c r="T220" s="44">
        <f>0.00001 /10/4 /2</f>
        <v>1.2500000000000002E-7</v>
      </c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78" ht="14.25" customHeight="1" x14ac:dyDescent="0.25">
      <c r="A221" s="53" t="s">
        <v>520</v>
      </c>
      <c r="B221" s="3" t="s">
        <v>473</v>
      </c>
      <c r="C221" s="3" t="s">
        <v>521</v>
      </c>
      <c r="D221" s="3" t="s">
        <v>524</v>
      </c>
      <c r="E221" s="50" t="s">
        <v>522</v>
      </c>
      <c r="F221" s="50" t="s">
        <v>523</v>
      </c>
      <c r="G221" s="44">
        <v>9.9999999999999995E-8</v>
      </c>
      <c r="H221" s="44">
        <f>G221</f>
        <v>9.9999999999999995E-8</v>
      </c>
      <c r="I221" s="44">
        <v>9.9999999999999995E-8</v>
      </c>
      <c r="J221" s="44">
        <v>9.9999999999999995E-8</v>
      </c>
      <c r="K221" s="44">
        <v>4.9999999999999998E-8</v>
      </c>
      <c r="L221" s="44">
        <v>2E-8</v>
      </c>
      <c r="M221" s="44">
        <v>1E-8</v>
      </c>
      <c r="N221" s="44">
        <v>5.0000000000000001E-9</v>
      </c>
      <c r="O221" s="44">
        <v>2.0000000000000001E-9</v>
      </c>
      <c r="P221" s="44">
        <v>1.0000000000000001E-9</v>
      </c>
      <c r="R221" s="44">
        <f>0.0000001</f>
        <v>9.9999999999999995E-8</v>
      </c>
      <c r="S221" s="58"/>
      <c r="T221" s="44">
        <f>0.0000001</f>
        <v>9.9999999999999995E-8</v>
      </c>
      <c r="V221" s="44">
        <v>5.0000000000000003E-10</v>
      </c>
      <c r="W221" s="44">
        <v>5.0000000000000003E-10</v>
      </c>
      <c r="X221" s="44">
        <v>9.9999999999999995E-8</v>
      </c>
      <c r="AA221" s="44">
        <v>4.9999999999999998E-8</v>
      </c>
      <c r="AB221" s="44">
        <v>2E-8</v>
      </c>
      <c r="AC221" s="44">
        <v>1E-8</v>
      </c>
      <c r="AD221" s="44">
        <v>1.0000000000000001E-9</v>
      </c>
      <c r="AE221" s="44">
        <v>1E-8</v>
      </c>
      <c r="AF221" s="44">
        <v>1E-8</v>
      </c>
      <c r="AG221" s="44">
        <v>1E-8</v>
      </c>
      <c r="AH221" s="44">
        <v>1E-8</v>
      </c>
      <c r="AI221" s="44">
        <v>1E-8</v>
      </c>
      <c r="AJ221" s="44">
        <v>1E-8</v>
      </c>
      <c r="AK221" s="44">
        <v>1E-8</v>
      </c>
      <c r="AL221"/>
      <c r="AM221" s="44">
        <v>1.0000000000000001E-9</v>
      </c>
      <c r="AN221" s="44">
        <v>1.0000000000000001E-9</v>
      </c>
      <c r="AO221" s="44">
        <v>1.0000000000000001E-9</v>
      </c>
      <c r="AP221" s="44">
        <v>1.0000000000000001E-9</v>
      </c>
      <c r="AQ221" s="44">
        <v>1.0000000000000001E-9</v>
      </c>
      <c r="AR221" s="44">
        <v>1.0000000000000001E-9</v>
      </c>
      <c r="AS221" s="44">
        <v>1.0000000000000001E-9</v>
      </c>
      <c r="AT221"/>
      <c r="AU221" s="44">
        <v>1E-8</v>
      </c>
      <c r="AV221" s="44">
        <v>1.0000000000000001E-9</v>
      </c>
      <c r="AW221" s="44">
        <v>1E-8</v>
      </c>
      <c r="AX221" s="44">
        <v>1.0000000000000001E-9</v>
      </c>
      <c r="AY221"/>
      <c r="AZ221" s="44">
        <v>1.0000000000000001E-9</v>
      </c>
      <c r="BA221"/>
      <c r="BB221"/>
      <c r="BC221" s="44">
        <v>9.9999999999999995E-8</v>
      </c>
    </row>
    <row r="222" spans="1:78" x14ac:dyDescent="0.25">
      <c r="A222" s="2" t="s">
        <v>526</v>
      </c>
      <c r="B222" s="3" t="s">
        <v>473</v>
      </c>
      <c r="C222" s="3" t="s">
        <v>483</v>
      </c>
      <c r="D222" s="3" t="s">
        <v>524</v>
      </c>
      <c r="E222" s="50" t="s">
        <v>527</v>
      </c>
      <c r="F222" s="50" t="s">
        <v>487</v>
      </c>
      <c r="G222" s="44">
        <v>0.2</v>
      </c>
      <c r="H222" s="44">
        <v>0.2</v>
      </c>
      <c r="I222" s="44">
        <v>0.2</v>
      </c>
      <c r="J222" s="44">
        <v>0.2</v>
      </c>
      <c r="K222" s="44">
        <v>0.2</v>
      </c>
      <c r="L222" s="44">
        <v>0.2</v>
      </c>
      <c r="M222" s="44">
        <v>0.2</v>
      </c>
      <c r="N222" s="44">
        <v>0.2</v>
      </c>
      <c r="O222" s="44">
        <v>0.2</v>
      </c>
      <c r="P222" s="44">
        <v>0.2</v>
      </c>
      <c r="R222" s="44">
        <v>0.2</v>
      </c>
      <c r="S222" s="58"/>
      <c r="T222" s="44">
        <v>0.2</v>
      </c>
      <c r="V222" s="44">
        <v>0.2</v>
      </c>
      <c r="W222" s="44">
        <v>0.2</v>
      </c>
      <c r="X222" s="44">
        <v>0.2</v>
      </c>
      <c r="AA222" s="44">
        <v>0.2</v>
      </c>
      <c r="AB222" s="44">
        <v>0.2</v>
      </c>
      <c r="AC222" s="44">
        <v>0.2</v>
      </c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 s="44">
        <v>0.2</v>
      </c>
      <c r="AL222"/>
      <c r="AM222" s="44">
        <v>0.2</v>
      </c>
      <c r="AN222" s="44">
        <v>0.2</v>
      </c>
      <c r="AO222" s="44">
        <v>0.2</v>
      </c>
      <c r="AP222" s="44">
        <v>0.2</v>
      </c>
      <c r="AQ222" s="44">
        <v>0.2</v>
      </c>
      <c r="AR222" s="44">
        <v>0.2</v>
      </c>
      <c r="AS222" s="44">
        <v>0.2</v>
      </c>
      <c r="AT222"/>
      <c r="AU222" s="44">
        <v>0.2</v>
      </c>
      <c r="AV222" s="44">
        <v>0.2</v>
      </c>
      <c r="AW222" s="44">
        <v>0.2</v>
      </c>
      <c r="AX222" s="44">
        <v>0.2</v>
      </c>
      <c r="AY222"/>
      <c r="AZ222" s="44">
        <v>0.2</v>
      </c>
      <c r="BA222"/>
      <c r="BB222"/>
      <c r="BC222" s="44">
        <v>0.2</v>
      </c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</row>
    <row r="223" spans="1:78" x14ac:dyDescent="0.25">
      <c r="A223" s="2" t="s">
        <v>528</v>
      </c>
      <c r="B223" s="3" t="s">
        <v>473</v>
      </c>
      <c r="C223" s="3" t="s">
        <v>592</v>
      </c>
      <c r="D223" s="3" t="s">
        <v>593</v>
      </c>
      <c r="E223" s="50" t="s">
        <v>529</v>
      </c>
      <c r="F223" s="50" t="s">
        <v>491</v>
      </c>
      <c r="G223" s="44" t="s">
        <v>485</v>
      </c>
      <c r="H223" s="44" t="s">
        <v>485</v>
      </c>
      <c r="I223" s="44" t="s">
        <v>485</v>
      </c>
      <c r="J223" s="44" t="s">
        <v>485</v>
      </c>
      <c r="K223" s="44" t="s">
        <v>485</v>
      </c>
      <c r="L223" s="44" t="s">
        <v>485</v>
      </c>
      <c r="M223" s="44" t="s">
        <v>485</v>
      </c>
      <c r="N223" s="44" t="s">
        <v>485</v>
      </c>
      <c r="O223" s="44" t="s">
        <v>485</v>
      </c>
      <c r="P223" s="44" t="s">
        <v>485</v>
      </c>
      <c r="R223" s="44" t="s">
        <v>485</v>
      </c>
      <c r="S223" s="58"/>
      <c r="T223" s="44" t="s">
        <v>485</v>
      </c>
      <c r="V223" s="44" t="s">
        <v>485</v>
      </c>
      <c r="W223" s="44" t="s">
        <v>485</v>
      </c>
      <c r="X223" s="44" t="s">
        <v>485</v>
      </c>
      <c r="AA223" s="44" t="s">
        <v>485</v>
      </c>
      <c r="AB223" s="44" t="s">
        <v>485</v>
      </c>
      <c r="AC223" s="44" t="s">
        <v>485</v>
      </c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 s="44" t="s">
        <v>485</v>
      </c>
      <c r="AL223"/>
      <c r="AM223" s="44" t="s">
        <v>485</v>
      </c>
      <c r="AN223" s="44" t="s">
        <v>485</v>
      </c>
      <c r="AO223" s="44" t="s">
        <v>485</v>
      </c>
      <c r="AP223" s="44" t="s">
        <v>485</v>
      </c>
      <c r="AQ223" s="44" t="s">
        <v>485</v>
      </c>
      <c r="AR223" s="44" t="s">
        <v>485</v>
      </c>
      <c r="AS223" s="44" t="s">
        <v>485</v>
      </c>
      <c r="AT223"/>
      <c r="AU223" s="44" t="s">
        <v>485</v>
      </c>
      <c r="AV223" s="44" t="s">
        <v>485</v>
      </c>
      <c r="AW223" s="44" t="s">
        <v>485</v>
      </c>
      <c r="AX223" s="44" t="s">
        <v>485</v>
      </c>
      <c r="AY223"/>
      <c r="AZ223" s="44" t="s">
        <v>485</v>
      </c>
      <c r="BA223"/>
      <c r="BB223"/>
      <c r="BC223" s="44" t="s">
        <v>485</v>
      </c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</row>
    <row r="224" spans="1:78" x14ac:dyDescent="0.25">
      <c r="A224" s="2" t="s">
        <v>530</v>
      </c>
      <c r="B224" s="3" t="s">
        <v>473</v>
      </c>
      <c r="C224" s="3" t="s">
        <v>592</v>
      </c>
      <c r="D224" s="3" t="s">
        <v>593</v>
      </c>
      <c r="E224" s="50" t="s">
        <v>531</v>
      </c>
      <c r="F224" s="50" t="s">
        <v>491</v>
      </c>
      <c r="G224" s="44">
        <f t="shared" ref="G224:BC224" si="25">2*0.1</f>
        <v>0.2</v>
      </c>
      <c r="H224" s="44">
        <f t="shared" si="25"/>
        <v>0.2</v>
      </c>
      <c r="I224" s="44">
        <f t="shared" si="25"/>
        <v>0.2</v>
      </c>
      <c r="J224" s="44">
        <f t="shared" si="25"/>
        <v>0.2</v>
      </c>
      <c r="K224" s="44">
        <f t="shared" si="25"/>
        <v>0.2</v>
      </c>
      <c r="L224" s="44">
        <f t="shared" si="25"/>
        <v>0.2</v>
      </c>
      <c r="M224" s="44">
        <f t="shared" si="25"/>
        <v>0.2</v>
      </c>
      <c r="N224" s="44">
        <f t="shared" si="25"/>
        <v>0.2</v>
      </c>
      <c r="O224" s="44">
        <f t="shared" si="25"/>
        <v>0.2</v>
      </c>
      <c r="P224" s="44">
        <f t="shared" si="25"/>
        <v>0.2</v>
      </c>
      <c r="R224" s="44">
        <f t="shared" si="25"/>
        <v>0.2</v>
      </c>
      <c r="S224" s="58"/>
      <c r="T224" s="44">
        <f t="shared" si="25"/>
        <v>0.2</v>
      </c>
      <c r="V224" s="44">
        <f t="shared" si="25"/>
        <v>0.2</v>
      </c>
      <c r="W224" s="44">
        <f t="shared" si="25"/>
        <v>0.2</v>
      </c>
      <c r="X224" s="44">
        <f t="shared" si="25"/>
        <v>0.2</v>
      </c>
      <c r="AA224" s="44">
        <f t="shared" si="25"/>
        <v>0.2</v>
      </c>
      <c r="AB224" s="44">
        <f t="shared" si="25"/>
        <v>0.2</v>
      </c>
      <c r="AC224" s="44">
        <f t="shared" si="25"/>
        <v>0.2</v>
      </c>
      <c r="AD224" s="44">
        <f t="shared" si="25"/>
        <v>0.2</v>
      </c>
      <c r="AE224" s="44">
        <f t="shared" si="25"/>
        <v>0.2</v>
      </c>
      <c r="AF224" s="44">
        <f t="shared" si="25"/>
        <v>0.2</v>
      </c>
      <c r="AG224" s="44">
        <f t="shared" si="25"/>
        <v>0.2</v>
      </c>
      <c r="AH224" s="44">
        <f t="shared" si="25"/>
        <v>0.2</v>
      </c>
      <c r="AI224" s="44">
        <f t="shared" si="25"/>
        <v>0.2</v>
      </c>
      <c r="AJ224" s="44">
        <f t="shared" si="25"/>
        <v>0.2</v>
      </c>
      <c r="AK224" s="44">
        <f t="shared" si="25"/>
        <v>0.2</v>
      </c>
      <c r="AL224"/>
      <c r="AM224" s="44">
        <f t="shared" si="25"/>
        <v>0.2</v>
      </c>
      <c r="AN224" s="44">
        <f t="shared" si="25"/>
        <v>0.2</v>
      </c>
      <c r="AO224" s="44">
        <f t="shared" si="25"/>
        <v>0.2</v>
      </c>
      <c r="AP224" s="44">
        <f t="shared" si="25"/>
        <v>0.2</v>
      </c>
      <c r="AQ224" s="44">
        <f t="shared" si="25"/>
        <v>0.2</v>
      </c>
      <c r="AR224" s="44">
        <f t="shared" si="25"/>
        <v>0.2</v>
      </c>
      <c r="AS224" s="44">
        <f t="shared" si="25"/>
        <v>0.2</v>
      </c>
      <c r="AT224"/>
      <c r="AU224" s="44">
        <f t="shared" si="25"/>
        <v>0.2</v>
      </c>
      <c r="AV224" s="44">
        <f t="shared" si="25"/>
        <v>0.2</v>
      </c>
      <c r="AW224" s="44">
        <f t="shared" si="25"/>
        <v>0.2</v>
      </c>
      <c r="AX224" s="44">
        <f t="shared" si="25"/>
        <v>0.2</v>
      </c>
      <c r="AY224"/>
      <c r="AZ224" s="44">
        <f t="shared" si="25"/>
        <v>0.2</v>
      </c>
      <c r="BA224"/>
      <c r="BB224"/>
      <c r="BC224" s="44">
        <f t="shared" si="25"/>
        <v>0.2</v>
      </c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</row>
    <row r="225" spans="1:78" x14ac:dyDescent="0.25">
      <c r="A225" s="2" t="s">
        <v>532</v>
      </c>
      <c r="B225" s="3" t="s">
        <v>473</v>
      </c>
      <c r="C225" s="3" t="s">
        <v>592</v>
      </c>
      <c r="D225" s="3" t="s">
        <v>593</v>
      </c>
      <c r="E225" s="50" t="s">
        <v>533</v>
      </c>
      <c r="F225" s="50" t="s">
        <v>491</v>
      </c>
      <c r="G225" s="44">
        <v>1E-3</v>
      </c>
      <c r="H225" s="44">
        <v>1E-3</v>
      </c>
      <c r="I225" s="44">
        <v>1E-3</v>
      </c>
      <c r="J225" s="44">
        <v>1E-3</v>
      </c>
      <c r="K225" s="44">
        <v>1E-3</v>
      </c>
      <c r="L225" s="44">
        <v>1E-3</v>
      </c>
      <c r="M225" s="44">
        <v>1E-3</v>
      </c>
      <c r="N225" s="44">
        <v>1E-3</v>
      </c>
      <c r="O225" s="44">
        <v>1E-3</v>
      </c>
      <c r="P225" s="44">
        <v>1E-3</v>
      </c>
      <c r="R225" s="44">
        <v>1E-3</v>
      </c>
      <c r="S225" s="58"/>
      <c r="T225" s="44">
        <v>1E-3</v>
      </c>
      <c r="V225" s="44">
        <v>1E-3</v>
      </c>
      <c r="W225" s="44">
        <v>1E-3</v>
      </c>
      <c r="X225" s="44">
        <v>1E-3</v>
      </c>
      <c r="AA225" s="44">
        <v>1E-3</v>
      </c>
      <c r="AB225" s="44">
        <v>1E-3</v>
      </c>
      <c r="AC225" s="44">
        <v>1E-3</v>
      </c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 s="44">
        <v>1E-3</v>
      </c>
      <c r="AL225"/>
      <c r="AM225" s="44">
        <v>1E-3</v>
      </c>
      <c r="AN225" s="44">
        <v>1E-3</v>
      </c>
      <c r="AO225" s="44">
        <v>1E-3</v>
      </c>
      <c r="AP225" s="44">
        <v>1E-3</v>
      </c>
      <c r="AQ225" s="44">
        <v>1E-3</v>
      </c>
      <c r="AR225" s="44">
        <v>1E-3</v>
      </c>
      <c r="AS225" s="44">
        <v>1E-3</v>
      </c>
      <c r="AT225"/>
      <c r="AU225" s="44">
        <v>1E-3</v>
      </c>
      <c r="AV225" s="44">
        <v>1E-3</v>
      </c>
      <c r="AW225" s="44">
        <v>1E-3</v>
      </c>
      <c r="AX225" s="44">
        <v>1E-3</v>
      </c>
      <c r="AY225"/>
      <c r="AZ225" s="44">
        <v>1E-3</v>
      </c>
      <c r="BA225"/>
      <c r="BB225"/>
      <c r="BC225" s="44">
        <v>1E-3</v>
      </c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</row>
    <row r="226" spans="1:78" x14ac:dyDescent="0.25">
      <c r="A226" s="2" t="s">
        <v>534</v>
      </c>
      <c r="B226" s="3" t="s">
        <v>473</v>
      </c>
      <c r="C226" s="3" t="s">
        <v>483</v>
      </c>
      <c r="D226" s="3" t="s">
        <v>524</v>
      </c>
      <c r="E226" s="50" t="s">
        <v>535</v>
      </c>
      <c r="F226" s="50" t="s">
        <v>564</v>
      </c>
      <c r="G226" s="44">
        <v>1.0000000000000001E-5</v>
      </c>
      <c r="H226" s="44">
        <v>1.0000000000000001E-5</v>
      </c>
      <c r="I226" s="44">
        <v>1.0000000000000001E-5</v>
      </c>
      <c r="J226" s="44">
        <v>1.0000000000000001E-5</v>
      </c>
      <c r="K226" s="44">
        <v>1.0000000000000001E-5</v>
      </c>
      <c r="L226" s="44">
        <v>1.0000000000000001E-5</v>
      </c>
      <c r="M226" s="44">
        <v>1.0000000000000001E-5</v>
      </c>
      <c r="N226" s="44">
        <v>1.0000000000000001E-5</v>
      </c>
      <c r="O226" s="44">
        <v>1.0000000000000001E-5</v>
      </c>
      <c r="P226" s="44">
        <v>1.0000000000000001E-5</v>
      </c>
      <c r="R226" s="44">
        <f>0.00001 / 2</f>
        <v>5.0000000000000004E-6</v>
      </c>
      <c r="S226" s="58"/>
      <c r="T226" s="44">
        <f>0.00001 / 2</f>
        <v>5.0000000000000004E-6</v>
      </c>
      <c r="V226" s="44">
        <v>1.0000000000000001E-5</v>
      </c>
      <c r="W226" s="44">
        <v>1.0000000000000001E-5</v>
      </c>
      <c r="X226" s="44">
        <v>1.0000000000000001E-5</v>
      </c>
      <c r="AA226" s="44">
        <v>1.0000000000000001E-5</v>
      </c>
      <c r="AB226" s="44">
        <v>1.0000000000000001E-5</v>
      </c>
      <c r="AC226" s="44">
        <v>1.0000000000000001E-5</v>
      </c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 s="44">
        <v>1.0000000000000001E-5</v>
      </c>
      <c r="AL226"/>
      <c r="AM226" s="44">
        <v>1.0000000000000001E-5</v>
      </c>
      <c r="AN226" s="44">
        <v>1.0000000000000001E-5</v>
      </c>
      <c r="AO226" s="44">
        <v>1.0000000000000001E-5</v>
      </c>
      <c r="AP226" s="44">
        <v>1.0000000000000001E-5</v>
      </c>
      <c r="AQ226" s="44">
        <v>1.0000000000000001E-5</v>
      </c>
      <c r="AR226" s="44">
        <v>1.0000000000000001E-5</v>
      </c>
      <c r="AS226" s="44">
        <v>1.0000000000000001E-5</v>
      </c>
      <c r="AT226"/>
      <c r="AU226" s="44">
        <v>1.0000000000000001E-5</v>
      </c>
      <c r="AV226" s="44">
        <v>1.0000000000000001E-5</v>
      </c>
      <c r="AW226" s="44">
        <v>1.0000000000000001E-5</v>
      </c>
      <c r="AX226" s="44">
        <v>1.0000000000000001E-5</v>
      </c>
      <c r="AY226"/>
      <c r="AZ226" s="44">
        <v>1.0000000000000001E-5</v>
      </c>
      <c r="BA226"/>
      <c r="BB226"/>
      <c r="BC226" s="44">
        <v>1.0000000000000001E-5</v>
      </c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1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</row>
    <row r="227" spans="1:78" x14ac:dyDescent="0.25">
      <c r="A227" s="2" t="s">
        <v>590</v>
      </c>
      <c r="B227" s="3" t="s">
        <v>473</v>
      </c>
      <c r="C227" s="3" t="s">
        <v>483</v>
      </c>
      <c r="D227" s="3" t="s">
        <v>524</v>
      </c>
      <c r="E227" s="50" t="s">
        <v>591</v>
      </c>
      <c r="F227" s="50" t="s">
        <v>491</v>
      </c>
      <c r="G227" s="57">
        <v>1.0000000000000001E-5</v>
      </c>
      <c r="H227" s="44"/>
      <c r="I227" s="44"/>
      <c r="J227" s="44"/>
      <c r="K227" s="44"/>
      <c r="L227" s="44"/>
      <c r="M227" s="44"/>
      <c r="N227" s="44"/>
      <c r="O227" s="44"/>
      <c r="P227" s="44"/>
      <c r="R227" s="44">
        <f t="shared" ref="R227:T227" si="26">0.000000005 / 5</f>
        <v>1.0000000000000001E-9</v>
      </c>
      <c r="S227" s="58"/>
      <c r="T227" s="44">
        <f t="shared" si="26"/>
        <v>1.0000000000000001E-9</v>
      </c>
      <c r="V227" s="44"/>
      <c r="W227" s="44"/>
      <c r="X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/>
      <c r="AM227" s="44"/>
      <c r="AN227" s="44"/>
      <c r="AO227" s="44"/>
      <c r="AP227" s="44"/>
      <c r="AQ227" s="44"/>
      <c r="AR227" s="44"/>
      <c r="AS227" s="44"/>
      <c r="AT227"/>
      <c r="AU227" s="44"/>
      <c r="AV227" s="44"/>
      <c r="AW227" s="44"/>
      <c r="AX227" s="44"/>
      <c r="AY227"/>
      <c r="AZ227" s="44"/>
      <c r="BA227"/>
      <c r="BB227"/>
      <c r="BC227" s="44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2"/>
      <c r="BO227" s="1"/>
      <c r="BP227" s="52"/>
      <c r="BQ227" s="52"/>
      <c r="BR227" s="52"/>
      <c r="BS227" s="52"/>
      <c r="BT227" s="52"/>
      <c r="BU227" s="52"/>
      <c r="BV227" s="52"/>
      <c r="BW227" s="52"/>
      <c r="BX227" s="52"/>
      <c r="BY227" s="52"/>
      <c r="BZ227" s="52"/>
    </row>
    <row r="228" spans="1:78" x14ac:dyDescent="0.25">
      <c r="A228" s="2" t="s">
        <v>543</v>
      </c>
      <c r="B228" s="3" t="s">
        <v>473</v>
      </c>
      <c r="C228" s="3" t="s">
        <v>483</v>
      </c>
      <c r="D228" s="3" t="s">
        <v>524</v>
      </c>
      <c r="E228" s="30" t="s">
        <v>540</v>
      </c>
      <c r="F228" s="30" t="s">
        <v>539</v>
      </c>
      <c r="G228" s="44">
        <f t="shared" ref="G228:BC230" si="27">0.00002 / 14 / 5</f>
        <v>2.8571428571428575E-7</v>
      </c>
      <c r="H228" s="44">
        <f t="shared" si="27"/>
        <v>2.8571428571428575E-7</v>
      </c>
      <c r="I228" s="44">
        <f t="shared" si="27"/>
        <v>2.8571428571428575E-7</v>
      </c>
      <c r="J228" s="44">
        <f t="shared" si="27"/>
        <v>2.8571428571428575E-7</v>
      </c>
      <c r="K228" s="44">
        <f t="shared" si="27"/>
        <v>2.8571428571428575E-7</v>
      </c>
      <c r="L228" s="44">
        <f t="shared" si="27"/>
        <v>2.8571428571428575E-7</v>
      </c>
      <c r="M228" s="44">
        <f t="shared" si="27"/>
        <v>2.8571428571428575E-7</v>
      </c>
      <c r="N228" s="44">
        <f t="shared" si="27"/>
        <v>2.8571428571428575E-7</v>
      </c>
      <c r="O228" s="44">
        <f t="shared" si="27"/>
        <v>2.8571428571428575E-7</v>
      </c>
      <c r="P228" s="44">
        <f t="shared" si="27"/>
        <v>2.8571428571428575E-7</v>
      </c>
      <c r="R228" s="44">
        <v>0</v>
      </c>
      <c r="S228" s="58"/>
      <c r="T228" s="44">
        <v>0</v>
      </c>
      <c r="V228" s="44">
        <f t="shared" si="27"/>
        <v>2.8571428571428575E-7</v>
      </c>
      <c r="W228" s="44">
        <f t="shared" si="27"/>
        <v>2.8571428571428575E-7</v>
      </c>
      <c r="X228" s="44">
        <f t="shared" si="27"/>
        <v>2.8571428571428575E-7</v>
      </c>
      <c r="AA228" s="44">
        <f t="shared" si="27"/>
        <v>2.8571428571428575E-7</v>
      </c>
      <c r="AB228" s="44">
        <f t="shared" si="27"/>
        <v>2.8571428571428575E-7</v>
      </c>
      <c r="AC228" s="44">
        <f t="shared" si="27"/>
        <v>2.8571428571428575E-7</v>
      </c>
      <c r="AD228" s="44">
        <f t="shared" si="27"/>
        <v>2.8571428571428575E-7</v>
      </c>
      <c r="AE228" s="44">
        <f t="shared" si="27"/>
        <v>2.8571428571428575E-7</v>
      </c>
      <c r="AF228" s="44">
        <f t="shared" si="27"/>
        <v>2.8571428571428575E-7</v>
      </c>
      <c r="AG228" s="44">
        <f t="shared" si="27"/>
        <v>2.8571428571428575E-7</v>
      </c>
      <c r="AH228" s="44">
        <f t="shared" si="27"/>
        <v>2.8571428571428575E-7</v>
      </c>
      <c r="AI228" s="44">
        <f t="shared" si="27"/>
        <v>2.8571428571428575E-7</v>
      </c>
      <c r="AJ228" s="44">
        <f t="shared" si="27"/>
        <v>2.8571428571428575E-7</v>
      </c>
      <c r="AK228" s="44">
        <f t="shared" si="27"/>
        <v>2.8571428571428575E-7</v>
      </c>
      <c r="AL228"/>
      <c r="AM228" s="44">
        <f t="shared" si="27"/>
        <v>2.8571428571428575E-7</v>
      </c>
      <c r="AN228" s="44">
        <f t="shared" si="27"/>
        <v>2.8571428571428575E-7</v>
      </c>
      <c r="AO228" s="44">
        <f t="shared" si="27"/>
        <v>2.8571428571428575E-7</v>
      </c>
      <c r="AP228" s="44">
        <f t="shared" si="27"/>
        <v>2.8571428571428575E-7</v>
      </c>
      <c r="AQ228" s="44">
        <f t="shared" si="27"/>
        <v>2.8571428571428575E-7</v>
      </c>
      <c r="AR228" s="44">
        <f t="shared" si="27"/>
        <v>2.8571428571428575E-7</v>
      </c>
      <c r="AS228" s="44">
        <f t="shared" si="27"/>
        <v>2.8571428571428575E-7</v>
      </c>
      <c r="AT228"/>
      <c r="AU228" s="44">
        <f t="shared" si="27"/>
        <v>2.8571428571428575E-7</v>
      </c>
      <c r="AV228" s="44">
        <f t="shared" si="27"/>
        <v>2.8571428571428575E-7</v>
      </c>
      <c r="AW228" s="44">
        <f t="shared" si="27"/>
        <v>2.8571428571428575E-7</v>
      </c>
      <c r="AX228" s="44">
        <f t="shared" si="27"/>
        <v>2.8571428571428575E-7</v>
      </c>
      <c r="AY228"/>
      <c r="AZ228" s="44">
        <f t="shared" si="27"/>
        <v>2.8571428571428575E-7</v>
      </c>
      <c r="BA228"/>
      <c r="BB228"/>
      <c r="BC228" s="44">
        <f t="shared" si="27"/>
        <v>2.8571428571428575E-7</v>
      </c>
      <c r="BD228" s="1"/>
      <c r="BE228" s="1"/>
      <c r="BF228" s="1"/>
      <c r="BG228" s="1"/>
      <c r="BH228" s="1"/>
      <c r="BI228" s="1"/>
      <c r="BJ228" s="1"/>
      <c r="BK228" s="1"/>
    </row>
    <row r="229" spans="1:78" x14ac:dyDescent="0.25">
      <c r="A229" s="2" t="s">
        <v>544</v>
      </c>
      <c r="B229" s="3" t="s">
        <v>473</v>
      </c>
      <c r="C229" s="3" t="s">
        <v>483</v>
      </c>
      <c r="D229" s="3" t="s">
        <v>524</v>
      </c>
      <c r="E229" s="30" t="s">
        <v>540</v>
      </c>
      <c r="F229" s="30" t="s">
        <v>539</v>
      </c>
      <c r="G229" s="44">
        <f t="shared" ref="G229:AZ230" si="28">0.00002 / 14 / 5 /10</f>
        <v>2.8571428571428575E-8</v>
      </c>
      <c r="H229" s="44">
        <f t="shared" si="28"/>
        <v>2.8571428571428575E-8</v>
      </c>
      <c r="I229" s="44">
        <f t="shared" si="28"/>
        <v>2.8571428571428575E-8</v>
      </c>
      <c r="J229" s="44">
        <f t="shared" si="28"/>
        <v>2.8571428571428575E-8</v>
      </c>
      <c r="K229" s="44">
        <f t="shared" si="28"/>
        <v>2.8571428571428575E-8</v>
      </c>
      <c r="L229" s="44">
        <f t="shared" si="28"/>
        <v>2.8571428571428575E-8</v>
      </c>
      <c r="M229" s="44">
        <f t="shared" si="28"/>
        <v>2.8571428571428575E-8</v>
      </c>
      <c r="N229" s="44">
        <f t="shared" si="28"/>
        <v>2.8571428571428575E-8</v>
      </c>
      <c r="O229" s="44">
        <f t="shared" si="28"/>
        <v>2.8571428571428575E-8</v>
      </c>
      <c r="P229" s="44">
        <f t="shared" si="28"/>
        <v>2.8571428571428575E-8</v>
      </c>
      <c r="R229" s="44">
        <v>0</v>
      </c>
      <c r="S229" s="58"/>
      <c r="T229" s="44">
        <v>0</v>
      </c>
      <c r="V229" s="44">
        <f t="shared" si="28"/>
        <v>2.8571428571428575E-8</v>
      </c>
      <c r="W229" s="44">
        <f t="shared" si="28"/>
        <v>2.8571428571428575E-8</v>
      </c>
      <c r="X229" s="44">
        <f t="shared" si="28"/>
        <v>2.8571428571428575E-8</v>
      </c>
      <c r="AA229" s="44">
        <f t="shared" si="28"/>
        <v>2.8571428571428575E-8</v>
      </c>
      <c r="AB229" s="44">
        <f t="shared" si="28"/>
        <v>2.8571428571428575E-8</v>
      </c>
      <c r="AC229" s="44">
        <f t="shared" si="28"/>
        <v>2.8571428571428575E-8</v>
      </c>
      <c r="AD229" s="44">
        <f t="shared" si="28"/>
        <v>2.8571428571428575E-8</v>
      </c>
      <c r="AE229" s="44">
        <f t="shared" si="28"/>
        <v>2.8571428571428575E-8</v>
      </c>
      <c r="AF229" s="44">
        <f t="shared" si="28"/>
        <v>2.8571428571428575E-8</v>
      </c>
      <c r="AG229" s="44">
        <f t="shared" si="28"/>
        <v>2.8571428571428575E-8</v>
      </c>
      <c r="AH229" s="44">
        <f t="shared" si="28"/>
        <v>2.8571428571428575E-8</v>
      </c>
      <c r="AI229" s="44">
        <f t="shared" si="28"/>
        <v>2.8571428571428575E-8</v>
      </c>
      <c r="AJ229" s="44">
        <f t="shared" si="28"/>
        <v>2.8571428571428575E-8</v>
      </c>
      <c r="AK229" s="44">
        <f t="shared" si="28"/>
        <v>2.8571428571428575E-8</v>
      </c>
      <c r="AL229"/>
      <c r="AM229" s="44">
        <f t="shared" si="28"/>
        <v>2.8571428571428575E-8</v>
      </c>
      <c r="AN229" s="44">
        <f t="shared" si="28"/>
        <v>2.8571428571428575E-8</v>
      </c>
      <c r="AO229" s="44">
        <f t="shared" si="28"/>
        <v>2.8571428571428575E-8</v>
      </c>
      <c r="AP229" s="44">
        <f t="shared" si="28"/>
        <v>2.8571428571428575E-8</v>
      </c>
      <c r="AQ229" s="44">
        <f t="shared" si="28"/>
        <v>2.8571428571428575E-8</v>
      </c>
      <c r="AR229" s="44">
        <f t="shared" si="28"/>
        <v>2.8571428571428575E-8</v>
      </c>
      <c r="AS229" s="44">
        <f t="shared" si="28"/>
        <v>2.8571428571428575E-8</v>
      </c>
      <c r="AT229"/>
      <c r="AU229" s="44">
        <f t="shared" si="28"/>
        <v>2.8571428571428575E-8</v>
      </c>
      <c r="AV229" s="44">
        <f t="shared" si="28"/>
        <v>2.8571428571428575E-8</v>
      </c>
      <c r="AW229" s="44">
        <f t="shared" si="28"/>
        <v>2.8571428571428575E-8</v>
      </c>
      <c r="AX229" s="44">
        <f t="shared" si="28"/>
        <v>2.8571428571428575E-8</v>
      </c>
      <c r="AY229"/>
      <c r="AZ229" s="44">
        <f t="shared" si="28"/>
        <v>2.8571428571428575E-8</v>
      </c>
      <c r="BA229"/>
      <c r="BB229"/>
      <c r="BC229" s="44">
        <f t="shared" si="27"/>
        <v>2.8571428571428575E-7</v>
      </c>
      <c r="BD229" s="1"/>
      <c r="BE229" s="1"/>
      <c r="BF229" s="1"/>
      <c r="BG229" s="1"/>
      <c r="BH229" s="1"/>
      <c r="BI229" s="1"/>
      <c r="BJ229" s="1"/>
      <c r="BK229" s="1"/>
    </row>
    <row r="230" spans="1:78" x14ac:dyDescent="0.25">
      <c r="A230" s="1" t="s">
        <v>595</v>
      </c>
      <c r="B230" s="3" t="s">
        <v>473</v>
      </c>
      <c r="C230" s="3" t="s">
        <v>483</v>
      </c>
      <c r="D230" s="3" t="s">
        <v>524</v>
      </c>
      <c r="E230" s="30" t="s">
        <v>596</v>
      </c>
      <c r="F230" s="30" t="s">
        <v>486</v>
      </c>
      <c r="G230" s="44">
        <v>-1</v>
      </c>
      <c r="H230" s="44">
        <v>-1</v>
      </c>
      <c r="I230" s="44">
        <v>-1</v>
      </c>
      <c r="J230" s="44">
        <v>-1</v>
      </c>
      <c r="K230" s="44">
        <v>-1</v>
      </c>
      <c r="L230" s="44">
        <v>-1</v>
      </c>
      <c r="M230" s="44">
        <v>-1</v>
      </c>
      <c r="N230" s="44">
        <v>-1</v>
      </c>
      <c r="O230" s="44">
        <v>-1</v>
      </c>
      <c r="P230" s="44">
        <v>-1</v>
      </c>
      <c r="R230" s="44">
        <v>0</v>
      </c>
      <c r="S230" s="58"/>
      <c r="T230" s="44">
        <v>0</v>
      </c>
      <c r="V230" s="44">
        <v>-1</v>
      </c>
      <c r="W230" s="44">
        <v>-1</v>
      </c>
      <c r="X230" s="44">
        <v>-1</v>
      </c>
      <c r="AA230" s="44">
        <v>-1</v>
      </c>
      <c r="AB230" s="44">
        <v>-1</v>
      </c>
      <c r="AC230" s="44">
        <v>-1</v>
      </c>
      <c r="AD230" s="44">
        <v>-1</v>
      </c>
      <c r="AE230" s="44">
        <v>-1</v>
      </c>
      <c r="AF230" s="44">
        <v>-1</v>
      </c>
      <c r="AG230" s="44">
        <v>-1</v>
      </c>
      <c r="AH230" s="44">
        <v>-1</v>
      </c>
      <c r="AI230" s="44">
        <v>-1</v>
      </c>
      <c r="AJ230" s="44">
        <v>-1</v>
      </c>
      <c r="AK230" s="44">
        <v>-1</v>
      </c>
      <c r="AL230" s="44">
        <v>-1</v>
      </c>
      <c r="AM230" s="44">
        <v>-1</v>
      </c>
      <c r="AN230" s="44">
        <v>-1</v>
      </c>
      <c r="AO230" s="44">
        <v>-1</v>
      </c>
      <c r="AP230" s="44">
        <v>-1</v>
      </c>
      <c r="AQ230" s="44">
        <v>-1</v>
      </c>
      <c r="AR230" s="44">
        <v>-1</v>
      </c>
      <c r="AS230" s="44">
        <v>-1</v>
      </c>
      <c r="AT230" s="44">
        <v>-1</v>
      </c>
      <c r="AU230" s="44">
        <v>-1</v>
      </c>
      <c r="AV230" s="44">
        <v>-1</v>
      </c>
      <c r="AW230" s="44">
        <v>-1</v>
      </c>
      <c r="AX230" s="44">
        <v>-1</v>
      </c>
      <c r="AY230" s="44">
        <v>-1</v>
      </c>
      <c r="AZ230" s="44">
        <v>-1</v>
      </c>
      <c r="BA230" s="44">
        <v>-1</v>
      </c>
      <c r="BB230" s="44">
        <v>-1</v>
      </c>
      <c r="BC230" s="44">
        <v>-1</v>
      </c>
      <c r="BD230" s="1"/>
      <c r="BE230" s="1"/>
      <c r="BF230" s="1"/>
      <c r="BG230" s="1"/>
      <c r="BH230" s="1"/>
      <c r="BI230" s="1"/>
      <c r="BJ230" s="1"/>
      <c r="BK230" s="1"/>
    </row>
  </sheetData>
  <phoneticPr fontId="19" type="noConversion"/>
  <conditionalFormatting sqref="G211:P211 BC211 V211:X211 R211:T212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:P221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X221 BC221 R221:T221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:P2 V2:X2 R2:T2"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3 BC3 G3:P3 V3:X3 R3:T3"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D4 BC4 G4:P4 V4:X4 R4:T4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:P5 V5:X5 R5:T5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:P6 V6:X6 R6:T6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:P7 V7:X7 R7:T7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:P8 V8:X8 R8:T8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:P9 V9:X9 R9:T9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:P10 V10:X10 R10:T10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:P11 V11:X11 R11:T11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:P12 V12:X12 R12:T12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:P13 V13:X13 R13:T13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:P14 V14:X14 R14:T14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:P15 V15:X15 R15:T15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:P16 V16:X16 R16:T16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:P17 V17:X17 R17:T17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:P18 V18:X18 R18:T18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:P19 V19:X19 R19:T19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:P20 V20:X20 R20:T20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:P21 V21:X21 R21:T21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D24 BC24 G24:P24 V24:X24 R24:T24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:P25 V25:X25 R25:T25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:P26 V26:X26 R26:T26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:P27 V27:X27 R27:T27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:P28 V28:X28 R28:T28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:P29 V29:X29 R29:T29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:P30 V30:X30 R30:T30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:P31 V31:X31 R31:T31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:P32 V32:X32 R32:T32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:P33 V33:X33 R33:T33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:P34 V34:X34 R34:T34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:P35 V35:X35 R35:T35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:P36 V36:X36 R36:T36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:P37 V37:X37 R37:T37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:P38 V38:X38 R38:T38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:P39 V39:X39 R39:T39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:P40 V40:X40 R40:T40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:P41 V41:X41 R41:T41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:P42 V42:X42 R42:T42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:P43 V43:X43 R43:T43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:P44 V44:X44 R44:T44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:P45 V45:X45 R45:T45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:P46 V46:X46 R46:T46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:P47 V47:X47 R47:T47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:P48 V48:X48 R48:T48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:P49 V49:X49 R49:T49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:P50 V50:X50 R50:T50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:P51 V51:X51 R51:T51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:P52 V52:X52 R52:T52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:P53 V53:X53 R53:T53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:P54 V54:X54 R54:T54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:P55 V55:X55 R55:T55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:P56 V56:X56 R56:T56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:P57 V57:X57 R57:T57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:P58 V58:X58 R58:T58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:P59 V59:X59 R59:T59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:P60 V60:X60 R60:T60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:P61 V61:X61 R61:T61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:P62 V62:X62 R62:T62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:P63 V63:X63 R63:T63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:P64 V64:X64 R64:T64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:P65 V65:X65 R65:T65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:P66 V66:X66 R66:T66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:P67 V67:X67 R67:T67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:P68 V68:X68 R68:T68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:P69 V69:X69 R69:T69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:P70 V70:X70 R70:T70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:P71 V71:X71 R71:T71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:P72 V72:X72 R72:T72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:P73 V73:X73 R73:T73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:P74 V74:X74 R74:T74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:P75 V75:X75 R75:T75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:P76 V76:X76 R76:T76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:P77 V77:X77 R77:T77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:P78 V78:X78 R78:T78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:P79 V79:X79 R79:T79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:P80 V80:X80 R80:T80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:P81 V81:X81 R81:T81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:P82 V82:X82 R82:T82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:P83 V83:X83 R83:T83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:P84 V84:X84 R84:T84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:P85 V85:X85 R85:T85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:P86 V86:X86 R86:T86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:P87 V87:X87 R87:T87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:P88 V88:X88 R88:T88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:P89 V89:X89 R89:T89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:P90 V90:X90 R90:T90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:P91 V91:X91 R91:T91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:P92 V92:X92 R92:T92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:P93 V93:X93 R93:T93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:P94 V94:X94 R94:T94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:P95 V95:X95 R95:T95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:P96 V96:X96 R96:T96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:P97 V97:X97 R97:T97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:P98 V98:X98 R98:T98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:P99 V99:X99 R99:T99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:P100 V100:X100 R100:T100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:P101 V101:X101 R101:T101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:P102 V102:X102 R102:T102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:P103 V103:X103 R103:T103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:P104 V104:X104 R104:T104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:P105 V105:X105 R105:T105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:P106 V106:X106 R106:T106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:P107 V107:X107 R107:T107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:P108 V108:X108 R108:T108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:P109 V109:X109 R109:T109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:P110 V110:X110 R110:T110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:P111 V111:X111 R111:T111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:P112 V112:X112 R112:T112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:P113 V113:X113 R113:T113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:P114 V114:X114 R114:T114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:P115 V115:X115 R115:T115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:P116 V116:X116 R116:T116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:P117 V117:X117 R117:T117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:P118 V118:X118 R118:T118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:P119 V119:X119 R119:T119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:P120 V120:X120 R120:T120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:P121 V121:X121 R121:T121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:P122 V122:X122 R122:T122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:P123 V123:X123 R123:T123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:P124 V124:X124 R124:T124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:P125 V125:X125 R125:T125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:P126 V126:X126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:P127 V127:X127 R127:T127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8 BC128 G128:P128 V128:X128 R128:T128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D129 BC129 G129:P129 V129:X129 R129:T129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:P130 V130:X130 R130:T130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:P131 V131:X131 R131:T131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:P132 V132:X132 R132:T132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:P133 V133:X133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:P134 V134:X134 R134:T134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:P135 V135:X135 R135:T135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:P136 V136:X136 R136:T136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:P137 V137:X137 R137:T137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:P138 V138:X138 R138:T138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:P139 V139:X139 R139:T139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:P140 V140:X140 R140:T140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:P141 V141:X141 R141:T141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:P142 V142:X142 R142:T142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:P143 V143:X143 R143:T143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:P144 V144:X144 R144:T144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:P145 V145:X145 R145:T145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:P146 V146:X146 R146:T146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:P147 V147:X147 R147:T147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:P148 V148:X148 R148:T148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:P149 V149:X149 R149:T149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:P150 V150:X150 R150:T150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:P151 V151:X151 R151:T151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:P152 V152:X152 R152:T152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:P153 V153:X153 R153:T153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:P154 V154:X154 R154:T154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:P155 V155:X155 R155:T155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:P156 V156:X156 R156:T156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:P157 V157:X157 R157:T157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:P158 V158:X158 R158:T158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:P159 V159:X159 R159:T159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:P160 V160:X160 R160:T160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:P161 V161:X161 R161:T161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:P162 V162:X162 R162:T162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:P163 V163:X163 R163:T163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:P164 V164:X164 R164:T164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:P165 V165:X165 R165:T165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:P166 V166:X166 R166:T166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:P167 V167:X167 R167:T167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:P168 V168:X168 R168:T168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:P169 V169:X169 R169:T169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:P170 V170:X170 R170:T170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:P171 V171:X171 R171:T171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:P172 V172:X172 R172:T172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:P173 V173:X173 R173:T173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:P174 V174:X174 R174:T174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:P175 V175:X175 R175:T175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:P176 V176:X176 R176:T176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:P177 V177:X177 R177:T177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:P178 V178:X178 R178:T178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:P179 V179:X179 R179:T179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:P180 V180:X180 R180:T180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:P181 V181:X181 R181:T181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:P182 V182:X182 R182:T182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:P183 V183:X183 R183:T183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:P184 V184:X184 R184:T184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:P185 V185:X185 R185:T185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:P186 V186:X186 R186:T186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:P187 V187:X187 R187:T187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:P188 V188:X188 R188:T188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:P189 V189:X189 R189:T189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:P190 V190:X190 R190:T190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:P191 V191:X191 R191:T191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:P192 V192:X192 R192:T192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:P193 V193:X193 R193:T193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:P194 V194:X194 R194:T194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:P195 V195:X195 R195:T195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:P196 V196:X196 R196:T196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:P197 V197:X197 R197:T197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:P198 V198:X198 R198:T198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:P199 V199:X199 R199:T199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:P200 V200:X200 R200:T200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:P201 V201:X201 R201:T201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:P202 V202:X202 R202:T202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:P203 V203:X203 R203:T203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:P204 V204:X204 R204:T204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:P205 V205:X205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:P206 V206:X206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:P207 V207 R207:T207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:P208 V208 R208:T208"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:P209 V209 R209:T209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:P210 V210 R210:T210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:P212 V212:X212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 BC213 G213:P213 V213:X213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6 BC214:BC216 G214:P216 V214:X216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17 BC217 G217:P217 V217:X217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8:AD220 BC218:BC220 G218:P219 V218:X220 H220:P220"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1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7"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:AE229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3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6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17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20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1"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7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:AF229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7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8:AG229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7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:AH229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7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8:AI229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7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:AJ229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K227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8:AK229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:AM227"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8:AM229"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3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3 AU3:AX3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4 AU4:AX4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4:AS24 AU24:AX24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 AU209:AX209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 AU213:AX213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6 AU214:AX216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17 AU217:AX217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8:AS220 AU218:AX220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1">
    <cfRule type="colorScale" priority="4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:AN227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8:AN229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:AO227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8:AO229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2:AP227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8:AP229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7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8:AQ229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R23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1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2:AR227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8:AR229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:AS23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2:AS227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8:AS229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X2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:AX207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:AX211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:AX221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X22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8:AX229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9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:AZ216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8:AZ220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2:AZ227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8:AZ229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:BC23 AA22:AD23 G22:P23 V22:X23 R22:T23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2:BC227 AA222:AD227 G222:P226 V222:X227 H227:P227 R222:T225"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8:BC229 AA228:AD229 R228:T230 G228:P230 V228:X230 AA230:BC230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T126"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T133">
    <cfRule type="colorScale" priority="4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T205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T206"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T213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T214">
    <cfRule type="colorScale" priority="4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T216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T217"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T218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T219"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T220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T226"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7:T227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2025-08-07T12:33:18Z</dcterms:modified>
</cp:coreProperties>
</file>