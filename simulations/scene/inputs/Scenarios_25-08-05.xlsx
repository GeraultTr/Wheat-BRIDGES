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9428\home\torisuten\package\Wheat-BRIDGES\simulations\scene\inputs\"/>
    </mc:Choice>
  </mc:AlternateContent>
  <xr:revisionPtr revIDLastSave="0" documentId="13_ncr:1_{70A3D61D-3C87-4602-AC97-6FEABB837F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8" i="2" l="1"/>
  <c r="M235" i="2" s="1"/>
  <c r="M216" i="2"/>
  <c r="M217" i="2" s="1"/>
  <c r="M220" i="2"/>
  <c r="M129" i="2"/>
  <c r="M236" i="2"/>
  <c r="M231" i="2"/>
  <c r="M230" i="2"/>
  <c r="M215" i="2"/>
  <c r="M221" i="2"/>
  <c r="M228" i="2"/>
  <c r="M225" i="2"/>
  <c r="M223" i="2"/>
  <c r="M219" i="2"/>
  <c r="M218" i="2"/>
  <c r="M213" i="2"/>
  <c r="M209" i="2"/>
  <c r="M207" i="2"/>
  <c r="M125" i="2"/>
  <c r="M119" i="2"/>
  <c r="M115" i="2"/>
  <c r="M112" i="2"/>
  <c r="M109" i="2"/>
  <c r="M108" i="2"/>
  <c r="M107" i="2"/>
  <c r="M106" i="2"/>
  <c r="M105" i="2"/>
  <c r="M104" i="2"/>
  <c r="M103" i="2"/>
  <c r="M102" i="2"/>
  <c r="L231" i="2" l="1"/>
  <c r="L221" i="2"/>
  <c r="L230" i="2"/>
  <c r="L119" i="2"/>
  <c r="L213" i="2"/>
  <c r="L129" i="2"/>
  <c r="L236" i="2"/>
  <c r="L216" i="2"/>
  <c r="L217" i="2"/>
  <c r="L235" i="2"/>
  <c r="O128" i="2"/>
  <c r="L128" i="2"/>
  <c r="K128" i="2"/>
  <c r="J128" i="2"/>
  <c r="O236" i="2"/>
  <c r="K236" i="2"/>
  <c r="J236" i="2"/>
  <c r="L220" i="2" l="1"/>
  <c r="L215" i="2"/>
  <c r="K231" i="2"/>
  <c r="K230" i="2"/>
  <c r="K228" i="2"/>
  <c r="K225" i="2"/>
  <c r="K223" i="2"/>
  <c r="K221" i="2"/>
  <c r="K220" i="2"/>
  <c r="K219" i="2"/>
  <c r="K218" i="2"/>
  <c r="K216" i="2"/>
  <c r="K217" i="2" s="1"/>
  <c r="K215" i="2"/>
  <c r="K213" i="2"/>
  <c r="K209" i="2"/>
  <c r="K207" i="2"/>
  <c r="K129" i="2"/>
  <c r="K235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5" i="2"/>
  <c r="J216" i="2"/>
  <c r="AX217" i="2"/>
  <c r="AU217" i="2"/>
  <c r="AS217" i="2"/>
  <c r="AR217" i="2"/>
  <c r="AQ217" i="2"/>
  <c r="AP217" i="2"/>
  <c r="AN217" i="2"/>
  <c r="AM217" i="2"/>
  <c r="AL217" i="2"/>
  <c r="AK217" i="2"/>
  <c r="AJ217" i="2"/>
  <c r="AI217" i="2"/>
  <c r="AH217" i="2"/>
  <c r="AF217" i="2"/>
  <c r="AE217" i="2"/>
  <c r="AD217" i="2"/>
  <c r="AC217" i="2"/>
  <c r="AB217" i="2"/>
  <c r="AA217" i="2"/>
  <c r="Z217" i="2"/>
  <c r="Y217" i="2"/>
  <c r="X217" i="2"/>
  <c r="W217" i="2"/>
  <c r="V217" i="2"/>
  <c r="S217" i="2"/>
  <c r="R217" i="2"/>
  <c r="Q217" i="2"/>
  <c r="O217" i="2"/>
  <c r="J217" i="2"/>
  <c r="L228" i="2"/>
  <c r="L223" i="2"/>
  <c r="L219" i="2"/>
  <c r="L218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O231" i="2"/>
  <c r="O230" i="2"/>
  <c r="O228" i="2"/>
  <c r="O225" i="2"/>
  <c r="O224" i="2"/>
  <c r="O223" i="2"/>
  <c r="O222" i="2"/>
  <c r="O221" i="2"/>
  <c r="O220" i="2"/>
  <c r="O219" i="2"/>
  <c r="O218" i="2"/>
  <c r="O216" i="2"/>
  <c r="O215" i="2"/>
  <c r="O213" i="2"/>
  <c r="O209" i="2"/>
  <c r="O207" i="2"/>
  <c r="O129" i="2"/>
  <c r="O235" i="2" s="1"/>
  <c r="O125" i="2"/>
  <c r="O119" i="2"/>
  <c r="O115" i="2"/>
  <c r="O112" i="2"/>
  <c r="O109" i="2"/>
  <c r="O108" i="2"/>
  <c r="O107" i="2"/>
  <c r="O106" i="2"/>
  <c r="O105" i="2"/>
  <c r="O104" i="2"/>
  <c r="O103" i="2"/>
  <c r="O102" i="2"/>
  <c r="J215" i="2"/>
  <c r="J129" i="2"/>
  <c r="J235" i="2" s="1"/>
  <c r="J119" i="2"/>
  <c r="I119" i="2"/>
  <c r="J224" i="2"/>
  <c r="J222" i="2"/>
  <c r="J220" i="2"/>
  <c r="J207" i="2" l="1"/>
  <c r="J223" i="2" l="1"/>
  <c r="J221" i="2"/>
  <c r="I223" i="2"/>
  <c r="I215" i="2" l="1"/>
  <c r="I221" i="2" l="1"/>
  <c r="I220" i="2" l="1"/>
  <c r="T214" i="2" l="1"/>
  <c r="J231" i="2"/>
  <c r="J230" i="2"/>
  <c r="J228" i="2"/>
  <c r="J225" i="2"/>
  <c r="J219" i="2"/>
  <c r="J218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4" i="2"/>
  <c r="I222" i="2"/>
  <c r="Q233" i="2" l="1"/>
  <c r="Q232" i="2"/>
  <c r="Q228" i="2"/>
  <c r="Q216" i="2"/>
  <c r="Q213" i="2"/>
  <c r="Q209" i="2"/>
  <c r="Q207" i="2"/>
  <c r="Q125" i="2"/>
  <c r="Q115" i="2"/>
  <c r="Q112" i="2"/>
  <c r="Q109" i="2"/>
  <c r="Q108" i="2"/>
  <c r="Q107" i="2"/>
  <c r="Q106" i="2"/>
  <c r="Q105" i="2"/>
  <c r="Q104" i="2"/>
  <c r="Q103" i="2"/>
  <c r="Q102" i="2"/>
  <c r="S233" i="2"/>
  <c r="S232" i="2"/>
  <c r="S228" i="2"/>
  <c r="S216" i="2"/>
  <c r="S213" i="2"/>
  <c r="S209" i="2"/>
  <c r="S207" i="2"/>
  <c r="S125" i="2"/>
  <c r="S115" i="2"/>
  <c r="S112" i="2"/>
  <c r="S109" i="2"/>
  <c r="S108" i="2"/>
  <c r="S107" i="2"/>
  <c r="S106" i="2"/>
  <c r="S105" i="2"/>
  <c r="S104" i="2"/>
  <c r="S103" i="2"/>
  <c r="S102" i="2"/>
  <c r="R233" i="2"/>
  <c r="R232" i="2"/>
  <c r="R228" i="2"/>
  <c r="R216" i="2"/>
  <c r="R213" i="2"/>
  <c r="R207" i="2"/>
  <c r="R125" i="2"/>
  <c r="R115" i="2"/>
  <c r="R112" i="2"/>
  <c r="R109" i="2"/>
  <c r="R108" i="2"/>
  <c r="R107" i="2"/>
  <c r="R106" i="2"/>
  <c r="R105" i="2"/>
  <c r="R104" i="2"/>
  <c r="R103" i="2"/>
  <c r="R102" i="2"/>
  <c r="AS233" i="2"/>
  <c r="AR233" i="2"/>
  <c r="AS232" i="2"/>
  <c r="AR232" i="2"/>
  <c r="AS228" i="2"/>
  <c r="AR228" i="2"/>
  <c r="AS216" i="2"/>
  <c r="AR216" i="2"/>
  <c r="AS213" i="2"/>
  <c r="AR213" i="2"/>
  <c r="AS209" i="2"/>
  <c r="AR209" i="2"/>
  <c r="AS207" i="2"/>
  <c r="AR207" i="2"/>
  <c r="AS125" i="2"/>
  <c r="AR125" i="2"/>
  <c r="AS115" i="2"/>
  <c r="AR115" i="2"/>
  <c r="AS112" i="2"/>
  <c r="AR112" i="2"/>
  <c r="AS109" i="2"/>
  <c r="AR109" i="2"/>
  <c r="AS108" i="2"/>
  <c r="AR108" i="2"/>
  <c r="AS107" i="2"/>
  <c r="AR107" i="2"/>
  <c r="AS106" i="2"/>
  <c r="AR106" i="2"/>
  <c r="AS105" i="2"/>
  <c r="AR105" i="2"/>
  <c r="AS104" i="2"/>
  <c r="AR104" i="2"/>
  <c r="AS103" i="2"/>
  <c r="AR103" i="2"/>
  <c r="AS102" i="2"/>
  <c r="AR102" i="2"/>
  <c r="AQ233" i="2"/>
  <c r="AQ232" i="2"/>
  <c r="AQ228" i="2"/>
  <c r="AQ216" i="2"/>
  <c r="AQ213" i="2"/>
  <c r="AQ209" i="2"/>
  <c r="AQ207" i="2"/>
  <c r="AQ125" i="2"/>
  <c r="AQ115" i="2"/>
  <c r="AQ112" i="2"/>
  <c r="AQ109" i="2"/>
  <c r="AQ108" i="2"/>
  <c r="AQ107" i="2"/>
  <c r="AQ106" i="2"/>
  <c r="AQ105" i="2"/>
  <c r="AQ104" i="2"/>
  <c r="AQ103" i="2"/>
  <c r="AQ102" i="2"/>
  <c r="AP233" i="2"/>
  <c r="AP232" i="2"/>
  <c r="AP228" i="2"/>
  <c r="AP216" i="2"/>
  <c r="AP213" i="2"/>
  <c r="AP209" i="2"/>
  <c r="AP207" i="2"/>
  <c r="AP125" i="2"/>
  <c r="AP115" i="2"/>
  <c r="AP112" i="2"/>
  <c r="AP109" i="2"/>
  <c r="AP108" i="2"/>
  <c r="AP107" i="2"/>
  <c r="AP106" i="2"/>
  <c r="AP105" i="2"/>
  <c r="AP104" i="2"/>
  <c r="AP103" i="2"/>
  <c r="AP102" i="2"/>
  <c r="AU233" i="2"/>
  <c r="AU232" i="2"/>
  <c r="AU228" i="2"/>
  <c r="AU216" i="2"/>
  <c r="AU213" i="2"/>
  <c r="AU207" i="2"/>
  <c r="AU125" i="2"/>
  <c r="AU115" i="2"/>
  <c r="AU112" i="2"/>
  <c r="AU109" i="2"/>
  <c r="AU108" i="2"/>
  <c r="AU107" i="2"/>
  <c r="AU106" i="2"/>
  <c r="AU105" i="2"/>
  <c r="AU104" i="2"/>
  <c r="AU103" i="2"/>
  <c r="AU102" i="2"/>
  <c r="AN233" i="2"/>
  <c r="AM233" i="2"/>
  <c r="AL233" i="2"/>
  <c r="AK233" i="2"/>
  <c r="AJ233" i="2"/>
  <c r="AI233" i="2"/>
  <c r="AH233" i="2"/>
  <c r="AN232" i="2"/>
  <c r="AM232" i="2"/>
  <c r="AL232" i="2"/>
  <c r="AK232" i="2"/>
  <c r="AJ232" i="2"/>
  <c r="AI232" i="2"/>
  <c r="AH232" i="2"/>
  <c r="AN228" i="2"/>
  <c r="AM228" i="2"/>
  <c r="AL228" i="2"/>
  <c r="AK228" i="2"/>
  <c r="AJ228" i="2"/>
  <c r="AI228" i="2"/>
  <c r="AH228" i="2"/>
  <c r="AN216" i="2"/>
  <c r="AM216" i="2"/>
  <c r="AL216" i="2"/>
  <c r="AK216" i="2"/>
  <c r="AJ216" i="2"/>
  <c r="AI216" i="2"/>
  <c r="AH216" i="2"/>
  <c r="AN213" i="2"/>
  <c r="AM213" i="2"/>
  <c r="AL213" i="2"/>
  <c r="AK213" i="2"/>
  <c r="AJ213" i="2"/>
  <c r="AI213" i="2"/>
  <c r="AH213" i="2"/>
  <c r="AN209" i="2"/>
  <c r="AM209" i="2"/>
  <c r="AL209" i="2"/>
  <c r="AK209" i="2"/>
  <c r="AJ209" i="2"/>
  <c r="AI209" i="2"/>
  <c r="AH209" i="2"/>
  <c r="AN207" i="2"/>
  <c r="AM207" i="2"/>
  <c r="AL207" i="2"/>
  <c r="AK207" i="2"/>
  <c r="AJ207" i="2"/>
  <c r="AI207" i="2"/>
  <c r="AH207" i="2"/>
  <c r="AN125" i="2"/>
  <c r="AM125" i="2"/>
  <c r="AL125" i="2"/>
  <c r="AK125" i="2"/>
  <c r="AJ125" i="2"/>
  <c r="AI125" i="2"/>
  <c r="AH125" i="2"/>
  <c r="AN115" i="2"/>
  <c r="AM115" i="2"/>
  <c r="AL115" i="2"/>
  <c r="AK115" i="2"/>
  <c r="AJ115" i="2"/>
  <c r="AI115" i="2"/>
  <c r="AH115" i="2"/>
  <c r="AN112" i="2"/>
  <c r="AM112" i="2"/>
  <c r="AL112" i="2"/>
  <c r="AK112" i="2"/>
  <c r="AJ112" i="2"/>
  <c r="AI112" i="2"/>
  <c r="AH112" i="2"/>
  <c r="AN109" i="2"/>
  <c r="AM109" i="2"/>
  <c r="AL109" i="2"/>
  <c r="AK109" i="2"/>
  <c r="AJ109" i="2"/>
  <c r="AI109" i="2"/>
  <c r="AH109" i="2"/>
  <c r="AN108" i="2"/>
  <c r="AM108" i="2"/>
  <c r="AL108" i="2"/>
  <c r="AK108" i="2"/>
  <c r="AJ108" i="2"/>
  <c r="AI108" i="2"/>
  <c r="AH108" i="2"/>
  <c r="AN107" i="2"/>
  <c r="AM107" i="2"/>
  <c r="AL107" i="2"/>
  <c r="AK107" i="2"/>
  <c r="AJ107" i="2"/>
  <c r="AI107" i="2"/>
  <c r="AH107" i="2"/>
  <c r="AN106" i="2"/>
  <c r="AM106" i="2"/>
  <c r="AL106" i="2"/>
  <c r="AK106" i="2"/>
  <c r="AJ106" i="2"/>
  <c r="AI106" i="2"/>
  <c r="AH106" i="2"/>
  <c r="AN105" i="2"/>
  <c r="AM105" i="2"/>
  <c r="AL105" i="2"/>
  <c r="AK105" i="2"/>
  <c r="AJ105" i="2"/>
  <c r="AI105" i="2"/>
  <c r="AH105" i="2"/>
  <c r="AN104" i="2"/>
  <c r="AM104" i="2"/>
  <c r="AL104" i="2"/>
  <c r="AK104" i="2"/>
  <c r="AJ104" i="2"/>
  <c r="AI104" i="2"/>
  <c r="AH104" i="2"/>
  <c r="AN103" i="2"/>
  <c r="AM103" i="2"/>
  <c r="AL103" i="2"/>
  <c r="AK103" i="2"/>
  <c r="AJ103" i="2"/>
  <c r="AI103" i="2"/>
  <c r="AH103" i="2"/>
  <c r="AN102" i="2"/>
  <c r="AM102" i="2"/>
  <c r="AL102" i="2"/>
  <c r="AK102" i="2"/>
  <c r="AJ102" i="2"/>
  <c r="AI102" i="2"/>
  <c r="AH102" i="2"/>
  <c r="AF233" i="2"/>
  <c r="AF232" i="2"/>
  <c r="AF228" i="2"/>
  <c r="AF216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3" i="2"/>
  <c r="AE232" i="2"/>
  <c r="AE228" i="2"/>
  <c r="AE216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32" i="2"/>
  <c r="AD228" i="2"/>
  <c r="AD216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32" i="2"/>
  <c r="AC228" i="2"/>
  <c r="AC216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32" i="2"/>
  <c r="AB228" i="2"/>
  <c r="AB216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32" i="2"/>
  <c r="AA228" i="2"/>
  <c r="AA216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Z233" i="2"/>
  <c r="Z232" i="2"/>
  <c r="Z228" i="2"/>
  <c r="Z216" i="2"/>
  <c r="Z213" i="2"/>
  <c r="Z209" i="2"/>
  <c r="Z207" i="2"/>
  <c r="Z125" i="2"/>
  <c r="Z115" i="2"/>
  <c r="Z112" i="2"/>
  <c r="Z109" i="2"/>
  <c r="Z108" i="2"/>
  <c r="Z107" i="2"/>
  <c r="Z106" i="2"/>
  <c r="Z105" i="2"/>
  <c r="Z104" i="2"/>
  <c r="Z103" i="2"/>
  <c r="Z102" i="2"/>
  <c r="Y233" i="2"/>
  <c r="X233" i="2"/>
  <c r="W233" i="2"/>
  <c r="V233" i="2"/>
  <c r="G233" i="2"/>
  <c r="Y232" i="2" l="1"/>
  <c r="Y228" i="2"/>
  <c r="Y216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X232" i="2"/>
  <c r="X228" i="2"/>
  <c r="X216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2" i="2"/>
  <c r="W228" i="2"/>
  <c r="W216" i="2"/>
  <c r="W213" i="2"/>
  <c r="W209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V232" i="2"/>
  <c r="V228" i="2"/>
  <c r="V216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AX233" i="2"/>
  <c r="AX232" i="2"/>
  <c r="AX228" i="2"/>
  <c r="AX216" i="2"/>
  <c r="AX213" i="2"/>
  <c r="AX209" i="2"/>
  <c r="AX207" i="2"/>
  <c r="AX125" i="2"/>
  <c r="AX115" i="2"/>
  <c r="AX112" i="2"/>
  <c r="AX109" i="2"/>
  <c r="AX108" i="2"/>
  <c r="AX107" i="2"/>
  <c r="AX106" i="2"/>
  <c r="AX105" i="2"/>
  <c r="AX104" i="2"/>
  <c r="AX103" i="2"/>
  <c r="AX102" i="2"/>
  <c r="G207" i="2" l="1"/>
  <c r="G232" i="2"/>
  <c r="G209" i="2" l="1"/>
  <c r="G228" i="2"/>
  <c r="G125" i="2" l="1"/>
  <c r="G105" i="2" l="1"/>
  <c r="G104" i="2"/>
  <c r="G103" i="2"/>
  <c r="G102" i="2"/>
  <c r="G222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<sst xmlns="http://schemas.openxmlformats.org/spreadsheetml/2006/main" count="2909" uniqueCount="608">
  <si>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</si>
  <si>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</si>
  <si>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</si>
  <si>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</si>
  <si>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</si>
  <si>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</si>
  <si>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</si>
  <si>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</si>
  <si>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</si>
  <si>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</si>
  <si>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</si>
  <si>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</si>
  <si>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</si>
  <si>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</si>
  <si>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</si>
  <si>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</si>
  <si>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</si>
  <si>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</si>
  <si>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</si>
  <si>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</si>
  <si>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</si>
  <si>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</si>
  <si>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</si>
  <si>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</si>
  <si>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</si>
  <si>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</si>
  <si>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</si>
  <si>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</si>
  <si>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</si>
  <si>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</si>
  <si>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</si>
  <si>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</si>
  <si>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</si>
  <si>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</si>
  <si>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</si>
  <si>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</si>
  <si>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</si>
  <si>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</si>
  <si>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</si>
  <si>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</si>
  <si>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</si>
  <si>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</si>
  <si>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</si>
  <si>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</si>
  <si>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</si>
  <si>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</si>
  <si>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</si>
  <si>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</si>
  <si>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</si>
  <si>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</si>
  <si>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</si>
  <si>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</si>
  <si>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</si>
  <si>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</si>
  <si>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</si>
  <si>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</si>
  <si>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</si>
  <si>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</si>
  <si>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</si>
  <si>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</si>
  <si>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</si>
  <si>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</si>
  <si>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</si>
  <si>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</si>
  <si>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</si>
  <si>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</si>
  <si>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</si>
  <si>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</si>
  <si>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</si>
  <si>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</si>
  <si>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</si>
  <si>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</si>
  <si>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</si>
  <si>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</si>
  <si>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</si>
  <si>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</si>
  <si>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</si>
  <si>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</si>
  <si>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</si>
  <si>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</si>
  <si>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</si>
  <si>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</si>
  <si>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</si>
  <si>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</si>
  <si>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</si>
  <si>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</si>
  <si>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</si>
  <si>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</si>
  <si>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</si>
  <si>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</si>
  <si>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</si>
  <si>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</si>
  <si>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</si>
  <si>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</si>
  <si>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</si>
  <si>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</si>
  <si>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</si>
  <si>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</si>
  <si>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</si>
  <si>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</si>
  <si>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</si>
  <si>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</si>
  <si>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</si>
  <si>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</si>
  <si>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</si>
  <si>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</si>
  <si>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</si>
  <si>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</si>
  <si>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</si>
  <si>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</si>
  <si>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</si>
  <si>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</si>
  <si>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</si>
  <si>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</si>
  <si>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</si>
  <si>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</si>
  <si>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</si>
  <si>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</si>
  <si>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</si>
  <si>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</si>
  <si>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</si>
  <si>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</si>
  <si>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</si>
  <si>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</si>
  <si>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</si>
  <si>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</si>
  <si>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</si>
  <si>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</si>
  <si>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</si>
  <si>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</si>
  <si>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</si>
  <si>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</si>
  <si>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</si>
  <si>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</si>
  <si>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</si>
  <si>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</si>
  <si>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</si>
  <si>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</si>
  <si>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</si>
  <si>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</si>
  <si>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</si>
  <si>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</si>
  <si>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</si>
  <si>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</si>
  <si>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</si>
  <si>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</si>
  <si>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</si>
  <si>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</si>
  <si>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</si>
  <si>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</si>
  <si>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</si>
  <si>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</si>
  <si>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</si>
  <si>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</si>
  <si>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</si>
  <si>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</si>
  <si>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</si>
  <si>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</si>
  <si>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</si>
  <si>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</si>
  <si>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</si>
  <si>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</si>
  <si>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</si>
  <si>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</si>
  <si>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</si>
  <si>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</si>
  <si>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</si>
  <si>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</si>
  <si>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</si>
  <si>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</si>
  <si>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</si>
  <si>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</si>
  <si>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</si>
  <si>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</si>
  <si>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</si>
  <si>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</si>
  <si>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</si>
  <si>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</si>
  <si>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</si>
  <si>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</si>
  <si>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</si>
  <si>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</si>
  <si>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</si>
  <si>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</si>
  <si>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</si>
  <si>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</si>
  <si>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</si>
  <si>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</si>
  <si>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</si>
  <si>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</si>
  <si>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</si>
  <si>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</si>
  <si>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</si>
  <si>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</si>
  <si>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</si>
  <si>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</si>
  <si>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</si>
  <si>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</si>
  <si>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</si>
  <si>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</si>
  <si>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</si>
  <si>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</si>
  <si>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</si>
  <si>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</si>
  <si>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</si>
  <si>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</si>
  <si>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</si>
  <si>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</si>
  <si>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</si>
  <si>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</si>
  <si>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</si>
  <si>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</si>
  <si>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</si>
  <si>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</si>
  <si>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</si>
  <si>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</si>
  <si>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</si>
  <si>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</si>
  <si>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</si>
  <si>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</si>
  <si>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</si>
  <si>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</si>
  <si>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</si>
  <si>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</si>
  <si>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</si>
  <si>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</si>
  <si>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</si>
  <si>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</si>
  <si>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</si>
  <si>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</si>
  <si>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</si>
  <si>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</si>
  <si>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</si>
  <si>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</si>
  <si>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</si>
  <si>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</si>
  <si>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</si>
  <si>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</si>
  <si>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</si>
  <si>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</si>
  <si>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</si>
  <si>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</si>
  <si>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</si>
  <si>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</si>
  <si>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</si>
  <si>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</si>
  <si>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</si>
  <si>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</si>
  <si>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</si>
  <si>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</si>
  <si>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</si>
  <si>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</si>
  <si>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</si>
  <si>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</si>
  <si>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</si>
  <si>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</si>
  <si>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</si>
  <si>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</si>
  <si>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</si>
  <si>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</si>
  <si>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</si>
  <si>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</si>
  <si>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</si>
  <si>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</si>
  <si>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</si>
  <si>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</si>
  <si>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</si>
  <si>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</si>
  <si>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</si>
  <si>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</si>
  <si>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</si>
  <si>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</si>
  <si>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</si>
  <si>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</si>
  <si>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</si>
  <si>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</si>
  <si>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</si>
  <si>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</si>
  <si>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</si>
  <si>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</si>
  <si>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</si>
  <si>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</si>
  <si>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</si>
  <si>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</si>
  <si>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</si>
  <si>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</si>
  <si>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</si>
  <si>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</si>
  <si>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</si>
  <si>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</si>
  <si>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</si>
  <si>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</si>
  <si>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</si>
  <si>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</si>
  <si>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</si>
  <si>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</si>
  <si>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</si>
  <si>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</si>
  <si>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</si>
  <si>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</si>
  <si>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</si>
  <si>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</si>
  <si>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</si>
  <si>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</si>
  <si>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</si>
  <si>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</si>
  <si>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</si>
  <si>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</si>
  <si>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</si>
  <si>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</si>
  <si>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</si>
  <si>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</si>
  <si>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</si>
  <si>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</si>
  <si>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</si>
  <si>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</si>
  <si>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</si>
  <si>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</si>
  <si>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</si>
  <si>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</si>
  <si>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</si>
  <si>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</si>
  <si>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</si>
  <si>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</si>
  <si>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</si>
  <si>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</si>
  <si>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</si>
  <si>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</si>
  <si>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</si>
  <si>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</si>
  <si>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</si>
  <si>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</si>
  <si>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</si>
  <si>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</si>
  <si>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</si>
  <si>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</si>
  <si>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</si>
  <si>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</si>
  <si>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</si>
  <si>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</si>
  <si>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</si>
  <si>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</si>
  <si>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</si>
  <si>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</si>
  <si>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</si>
  <si>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</si>
  <si>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</si>
  <si>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</si>
  <si>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</si>
  <si>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</si>
  <si>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</si>
  <si>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</si>
  <si>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</si>
  <si>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</si>
  <si>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</si>
  <si>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</si>
  <si>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</si>
  <si>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</si>
  <si>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</si>
  <si>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</si>
  <si>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</si>
  <si>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</si>
  <si>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</si>
  <si>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</si>
  <si>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</si>
  <si>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</si>
  <si>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</si>
  <si>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</si>
  <si>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</si>
  <si>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</si>
  <si>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</si>
  <si>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</si>
  <si>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</si>
  <si>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</si>
  <si>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</si>
  <si>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</si>
  <si>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</si>
  <si>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</si>
  <si>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</si>
  <si>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</si>
  <si>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</si>
  <si>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</si>
  <si>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</si>
  <si>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</si>
  <si>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</si>
  <si>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</si>
  <si>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</si>
  <si>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</si>
  <si>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</si>
  <si>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</si>
  <si>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</si>
  <si>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</si>
  <si>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</si>
  <si>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</si>
  <si>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</si>
  <si>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</si>
  <si>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</si>
  <si>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</si>
  <si>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</si>
  <si>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</si>
  <si>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</si>
  <si>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</si>
  <si>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</si>
  <si>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</si>
  <si>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</si>
  <si>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</si>
  <si>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</si>
  <si>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</si>
  <si>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</si>
  <si>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</si>
  <si>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</si>
  <si>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</si>
  <si>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</si>
  <si>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</si>
  <si>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</si>
  <si>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</si>
  <si>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</si>
  <si>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</si>
  <si>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</si>
  <si>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</si>
  <si>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</si>
  <si>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</si>
  <si>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</si>
  <si>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</si>
  <si>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</si>
  <si>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</si>
  <si>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</si>
  <si>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</si>
  <si>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</si>
  <si>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</si>
  <si>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</si>
  <si>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</si>
  <si>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</si>
  <si>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</si>
  <si>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</si>
  <si>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</si>
  <si>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</si>
  <si>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</si>
  <si>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</si>
  <si>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</si>
  <si>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</si>
  <si>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</si>
  <si>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</si>
  <si>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</si>
  <si>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</si>
  <si>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</si>
  <si>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</si>
  <si>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</si>
  <si>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</si>
  <si>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</si>
  <si>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</si>
  <si>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</si>
  <si>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</si>
  <si>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</si>
  <si>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</si>
  <si>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</si>
  <si>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</si>
  <si>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</si>
  <si>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</si>
  <si>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</si>
  <si>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</si>
  <si>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</si>
  <si>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</si>
  <si>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</si>
  <si>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</si>
  <si>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</si>
  <si>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</si>
  <si>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</si>
  <si>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</si>
  <si>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</si>
  <si>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</si>
  <si>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</si>
  <si>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</si>
  <si>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</si>
  <si>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</si>
  <si>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</si>
  <si>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</si>
  <si>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</si>
  <si>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</si>
  <si>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</si>
  <si>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</si>
  <si>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</si>
  <si>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</si>
  <si>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</si>
  <si>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</si>
  <si>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</si>
  <si>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</si>
  <si>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</si>
  <si>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</si>
  <si>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</si>
  <si>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</si>
  <si>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</si>
  <si>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</si>
  <si>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</si>
  <si>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</si>
  <si>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</si>
  <si>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</si>
  <si>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</si>
  <si>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</si>
  <si>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</si>
  <si>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</si>
  <si>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</si>
  <si>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</si>
  <si>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</si>
  <si>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</si>
  <si>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</si>
  <si>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</si>
  <si>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</si>
  <si>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</si>
  <si>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</si>
  <si>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</si>
  <si>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</si>
  <si>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</si>
  <si>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</si>
  <si>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</si>
  <si>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</si>
  <si>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</si>
  <si>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</si>
  <si>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</si>
  <si>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</si>
  <si>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</si>
  <si>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</si>
  <si>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</si>
  <si>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</si>
  <si>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</si>
  <si>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</si>
  <si>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</si>
  <si>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</si>
  <si>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</si>
  <si>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</si>
  <si>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</si>
  <si>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</si>
  <si>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</si>
  <si>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</si>
  <si>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</si>
  <si>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</si>
  <si>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</si>
  <si>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</si>
  <si>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</si>
  <si>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</si>
  <si>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</si>
  <si>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</si>
  <si>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</si>
  <si>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</si>
  <si>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</si>
  <si>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</si>
  <si>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</si>
  <si>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</si>
  <si>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</si>
  <si>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</si>
  <si>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</si>
  <si>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</si>
  <si>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</si>
  <si>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</si>
  <si>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</si>
  <si>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</si>
  <si>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</si>
  <si>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</si>
  <si>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</si>
  <si>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</si>
  <si>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</si>
  <si>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</si>
  <si>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</si>
  <si>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</si>
  <si>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</si>
  <si>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</si>
  <si>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</si>
  <si>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</si>
  <si>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</si>
  <si>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</si>
  <si>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</si>
  <si>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</si>
  <si>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</si>
  <si>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</si>
  <si>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</si>
  <si>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</si>
  <si>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</si>
  <si>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</si>
  <si>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</si>
  <si>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</si>
  <si>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</si>
  <si>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</si>
  <si>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</si>
  <si>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</si>
  <si>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</si>
  <si>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</si>
  <si>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</si>
  <si>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</si>
  <si>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</si>
  <si>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</si>
  <si>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</si>
  <si>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</si>
  <si>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</si>
  <si>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</si>
  <si>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</si>
  <si>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</si>
  <si>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</si>
  <si>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</si>
  <si>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</si>
  <si>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</si>
  <si>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</si>
  <si>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</si>
  <si>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</si>
  <si>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</si>
  <si>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</si>
  <si>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/10</t>
  </si>
  <si>
    <t>Pmax/50 x10</t>
  </si>
  <si>
    <t>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</si>
</sst>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36"/>
  <sheetViews>
    <sheetView tabSelected="1" zoomScale="79" zoomScaleNormal="100" workbookViewId="0">
      <pane xSplit="6" ySplit="1" topLeftCell="G102" activePane="bottomRight" state="frozen"/>
      <selection pane="topRight" activeCell="G1" sqref="G1"/>
      <selection pane="bottomLeft" activeCell="A2" sqref="A2"/>
      <selection pane="bottomRight" activeCell="M128" sqref="M128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50" width="21.5703125" style="1" customWidth="1"/>
  </cols>
  <sheetData>
    <row r="1" spans="1:50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 t="s">
        <v>604</v>
      </c>
      <c r="O1" s="54" t="s">
        <v>596</v>
      </c>
      <c r="P1" s="54"/>
      <c r="Q1" s="54" t="s">
        <v>570</v>
      </c>
      <c r="R1" s="54" t="s">
        <v>568</v>
      </c>
      <c r="S1" s="54" t="s">
        <v>569</v>
      </c>
      <c r="U1" s="1" t="s">
        <v>567</v>
      </c>
      <c r="V1" s="36" t="s">
        <v>543</v>
      </c>
      <c r="W1" s="36" t="s">
        <v>544</v>
      </c>
      <c r="X1" s="36" t="s">
        <v>545</v>
      </c>
      <c r="Y1" s="36" t="s">
        <v>546</v>
      </c>
      <c r="Z1" s="36" t="s">
        <v>547</v>
      </c>
      <c r="AA1" s="36" t="s">
        <v>548</v>
      </c>
      <c r="AB1" s="36" t="s">
        <v>549</v>
      </c>
      <c r="AC1" s="36" t="s">
        <v>550</v>
      </c>
      <c r="AD1" s="36" t="s">
        <v>551</v>
      </c>
      <c r="AE1" s="36" t="s">
        <v>552</v>
      </c>
      <c r="AF1" s="36" t="s">
        <v>553</v>
      </c>
      <c r="AG1"/>
      <c r="AH1" s="36" t="s">
        <v>554</v>
      </c>
      <c r="AI1" s="36" t="s">
        <v>555</v>
      </c>
      <c r="AJ1" s="36" t="s">
        <v>556</v>
      </c>
      <c r="AK1" s="36" t="s">
        <v>557</v>
      </c>
      <c r="AL1" s="36" t="s">
        <v>558</v>
      </c>
      <c r="AM1" s="36" t="s">
        <v>559</v>
      </c>
      <c r="AN1" s="36" t="s">
        <v>560</v>
      </c>
      <c r="AO1"/>
      <c r="AP1" s="36" t="s">
        <v>563</v>
      </c>
      <c r="AQ1" s="36" t="s">
        <v>564</v>
      </c>
      <c r="AR1" s="36" t="s">
        <v>565</v>
      </c>
      <c r="AS1" s="36" t="s">
        <v>566</v>
      </c>
      <c r="AT1"/>
      <c r="AU1" s="36" t="s">
        <v>562</v>
      </c>
      <c r="AV1"/>
      <c r="AW1"/>
      <c r="AX1" s="36" t="s">
        <v>542</v>
      </c>
    </row>
    <row r="2" spans="1:50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 t="s">
        <v>478</v>
      </c>
      <c r="O2" s="44" t="s">
        <v>478</v>
      </c>
      <c r="P2" s="44"/>
      <c r="Q2" s="44" t="s">
        <v>478</v>
      </c>
      <c r="R2" s="44" t="s">
        <v>478</v>
      </c>
      <c r="S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/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 s="44" t="s">
        <v>478</v>
      </c>
      <c r="AO2"/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/>
      <c r="AW2"/>
      <c r="AX2" s="44" t="s">
        <v>478</v>
      </c>
    </row>
    <row r="3" spans="1:50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 t="s">
        <v>593</v>
      </c>
      <c r="O3" s="44" t="s">
        <v>476</v>
      </c>
      <c r="P3" s="44"/>
      <c r="Q3" s="44" t="s">
        <v>476</v>
      </c>
      <c r="R3" s="44" t="s">
        <v>476</v>
      </c>
      <c r="S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/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 s="44" t="s">
        <v>476</v>
      </c>
      <c r="AO3"/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/>
      <c r="AW3"/>
      <c r="AX3" s="44" t="s">
        <v>476</v>
      </c>
    </row>
    <row r="4" spans="1:50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 t="s">
        <v>476</v>
      </c>
      <c r="O4" s="44" t="s">
        <v>476</v>
      </c>
      <c r="P4" s="44"/>
      <c r="Q4" s="44" t="s">
        <v>476</v>
      </c>
      <c r="R4" s="44" t="s">
        <v>476</v>
      </c>
      <c r="S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/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 s="44" t="s">
        <v>476</v>
      </c>
      <c r="AN4" s="44" t="s">
        <v>476</v>
      </c>
      <c r="AO4"/>
      <c r="AP4" s="44" t="s">
        <v>476</v>
      </c>
      <c r="AQ4" s="44" t="s">
        <v>476</v>
      </c>
      <c r="AR4" s="44" t="s">
        <v>476</v>
      </c>
      <c r="AS4" s="44" t="s">
        <v>476</v>
      </c>
      <c r="AT4"/>
      <c r="AU4" s="44" t="s">
        <v>476</v>
      </c>
      <c r="AV4"/>
      <c r="AW4"/>
      <c r="AX4" s="44" t="s">
        <v>476</v>
      </c>
    </row>
    <row r="5" spans="1:50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 t="s">
        <v>86</v>
      </c>
      <c r="O5" s="44" t="s">
        <v>86</v>
      </c>
      <c r="P5" s="44"/>
      <c r="Q5" s="44" t="s">
        <v>86</v>
      </c>
      <c r="R5" s="44" t="s">
        <v>86</v>
      </c>
      <c r="S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/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 s="44" t="s">
        <v>86</v>
      </c>
      <c r="AO5"/>
      <c r="AP5" s="44" t="s">
        <v>86</v>
      </c>
      <c r="AQ5" s="44" t="s">
        <v>86</v>
      </c>
      <c r="AR5" s="44" t="s">
        <v>86</v>
      </c>
      <c r="AS5" s="44" t="s">
        <v>86</v>
      </c>
      <c r="AT5"/>
      <c r="AU5" s="44" t="s">
        <v>86</v>
      </c>
      <c r="AV5"/>
      <c r="AW5"/>
      <c r="AX5" s="44" t="s">
        <v>86</v>
      </c>
    </row>
    <row r="6" spans="1:50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>
        <v>1</v>
      </c>
      <c r="O6" s="44">
        <v>1</v>
      </c>
      <c r="P6" s="44"/>
      <c r="Q6" s="44">
        <v>1</v>
      </c>
      <c r="R6" s="44">
        <v>1</v>
      </c>
      <c r="S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/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 s="44">
        <v>1</v>
      </c>
      <c r="AN6" s="44">
        <v>1</v>
      </c>
      <c r="AO6"/>
      <c r="AP6" s="44">
        <v>1</v>
      </c>
      <c r="AQ6" s="44">
        <v>1</v>
      </c>
      <c r="AR6" s="44">
        <v>1</v>
      </c>
      <c r="AS6" s="44">
        <v>1</v>
      </c>
      <c r="AT6"/>
      <c r="AU6" s="44">
        <v>1</v>
      </c>
      <c r="AV6"/>
      <c r="AW6"/>
      <c r="AX6" s="44">
        <v>1</v>
      </c>
    </row>
    <row r="7" spans="1:50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>
        <v>180</v>
      </c>
      <c r="O7" s="44">
        <v>180</v>
      </c>
      <c r="P7" s="44"/>
      <c r="Q7" s="44">
        <v>180</v>
      </c>
      <c r="R7" s="44">
        <v>180</v>
      </c>
      <c r="S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/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 s="44">
        <v>180</v>
      </c>
      <c r="AN7" s="44">
        <v>180</v>
      </c>
      <c r="AO7"/>
      <c r="AP7" s="44">
        <v>180</v>
      </c>
      <c r="AQ7" s="44">
        <v>180</v>
      </c>
      <c r="AR7" s="44">
        <v>180</v>
      </c>
      <c r="AS7" s="44">
        <v>180</v>
      </c>
      <c r="AT7"/>
      <c r="AU7" s="44">
        <v>180</v>
      </c>
      <c r="AV7"/>
      <c r="AW7"/>
      <c r="AX7" s="44">
        <v>180</v>
      </c>
    </row>
    <row r="8" spans="1:50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O8" s="44">
        <v>4.1666666999999998E-2</v>
      </c>
      <c r="P8" s="44"/>
      <c r="Q8" s="44">
        <v>4.1666666999999998E-2</v>
      </c>
      <c r="R8" s="44">
        <v>4.1666666999999998E-2</v>
      </c>
      <c r="S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/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/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/>
      <c r="AW8"/>
      <c r="AX8" s="44">
        <v>4.1666666999999998E-2</v>
      </c>
    </row>
    <row r="9" spans="1:50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>
        <v>4.1666666999999998E-2</v>
      </c>
      <c r="O9" s="44">
        <v>4.1666666999999998E-2</v>
      </c>
      <c r="P9" s="44"/>
      <c r="Q9" s="44">
        <v>4.1666666999999998E-2</v>
      </c>
      <c r="R9" s="44">
        <v>4.1666666999999998E-2</v>
      </c>
      <c r="S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/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 s="44">
        <v>4.1666666999999998E-2</v>
      </c>
      <c r="AN9" s="44">
        <v>4.1666666999999998E-2</v>
      </c>
      <c r="AO9"/>
      <c r="AP9" s="44">
        <v>4.1666666999999998E-2</v>
      </c>
      <c r="AQ9" s="44">
        <v>4.1666666999999998E-2</v>
      </c>
      <c r="AR9" s="44">
        <v>4.1666666999999998E-2</v>
      </c>
      <c r="AS9" s="44">
        <v>4.1666666999999998E-2</v>
      </c>
      <c r="AT9"/>
      <c r="AU9" s="44">
        <v>4.1666666999999998E-2</v>
      </c>
      <c r="AV9"/>
      <c r="AW9"/>
      <c r="AX9" s="44">
        <v>4.1666666999999998E-2</v>
      </c>
    </row>
    <row r="10" spans="1:50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>
        <v>1</v>
      </c>
      <c r="O10" s="44">
        <v>1</v>
      </c>
      <c r="P10" s="44"/>
      <c r="Q10" s="44">
        <v>1</v>
      </c>
      <c r="R10" s="44">
        <v>1</v>
      </c>
      <c r="S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/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 s="44">
        <v>1</v>
      </c>
      <c r="AN10" s="44">
        <v>1</v>
      </c>
      <c r="AO10"/>
      <c r="AP10" s="44">
        <v>1</v>
      </c>
      <c r="AQ10" s="44">
        <v>1</v>
      </c>
      <c r="AR10" s="44">
        <v>1</v>
      </c>
      <c r="AS10" s="44">
        <v>1</v>
      </c>
      <c r="AT10"/>
      <c r="AU10" s="44">
        <v>1</v>
      </c>
      <c r="AV10"/>
      <c r="AW10"/>
      <c r="AX10" s="44">
        <v>1</v>
      </c>
    </row>
    <row r="11" spans="1:50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>
        <v>0</v>
      </c>
      <c r="O11" s="44">
        <v>0</v>
      </c>
      <c r="P11" s="44"/>
      <c r="Q11" s="44">
        <v>0</v>
      </c>
      <c r="R11" s="44">
        <v>0</v>
      </c>
      <c r="S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/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 s="44">
        <v>0</v>
      </c>
      <c r="AN11" s="44">
        <v>0</v>
      </c>
      <c r="AO11"/>
      <c r="AP11" s="44">
        <v>0</v>
      </c>
      <c r="AQ11" s="44">
        <v>0</v>
      </c>
      <c r="AR11" s="44">
        <v>0</v>
      </c>
      <c r="AS11" s="44">
        <v>0</v>
      </c>
      <c r="AT11"/>
      <c r="AU11" s="44">
        <v>0</v>
      </c>
      <c r="AV11"/>
      <c r="AW11"/>
      <c r="AX11" s="44">
        <v>0</v>
      </c>
    </row>
    <row r="12" spans="1:50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 t="s">
        <v>87</v>
      </c>
      <c r="O12" s="44" t="s">
        <v>87</v>
      </c>
      <c r="P12" s="44"/>
      <c r="Q12" s="44" t="s">
        <v>87</v>
      </c>
      <c r="R12" s="44" t="s">
        <v>87</v>
      </c>
      <c r="S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/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 s="44" t="s">
        <v>87</v>
      </c>
      <c r="AN12" s="44" t="s">
        <v>87</v>
      </c>
      <c r="AO12"/>
      <c r="AP12" s="44" t="s">
        <v>87</v>
      </c>
      <c r="AQ12" s="44" t="s">
        <v>87</v>
      </c>
      <c r="AR12" s="44" t="s">
        <v>87</v>
      </c>
      <c r="AS12" s="44" t="s">
        <v>87</v>
      </c>
      <c r="AT12"/>
      <c r="AU12" s="44" t="s">
        <v>87</v>
      </c>
      <c r="AV12"/>
      <c r="AW12"/>
      <c r="AX12" s="44" t="s">
        <v>87</v>
      </c>
    </row>
    <row r="13" spans="1:50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>
        <v>5.0000000000000001E-9</v>
      </c>
      <c r="O13" s="44">
        <v>5.0000000000000001E-9</v>
      </c>
      <c r="P13" s="44"/>
      <c r="Q13" s="44">
        <v>5.0000000000000001E-9</v>
      </c>
      <c r="R13" s="44">
        <v>5.0000000000000001E-9</v>
      </c>
      <c r="S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/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 s="44">
        <v>5.0000000000000001E-9</v>
      </c>
      <c r="AN13" s="44">
        <v>5.0000000000000001E-9</v>
      </c>
      <c r="AO13"/>
      <c r="AP13" s="44">
        <v>5.0000000000000001E-9</v>
      </c>
      <c r="AQ13" s="44">
        <v>5.0000000000000001E-9</v>
      </c>
      <c r="AR13" s="44">
        <v>5.0000000000000001E-9</v>
      </c>
      <c r="AS13" s="44">
        <v>5.0000000000000001E-9</v>
      </c>
      <c r="AT13"/>
      <c r="AU13" s="44">
        <v>5.0000000000000001E-9</v>
      </c>
      <c r="AV13"/>
      <c r="AW13"/>
      <c r="AX13" s="44">
        <v>5.0000000000000001E-9</v>
      </c>
    </row>
    <row r="14" spans="1:50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>
        <v>10</v>
      </c>
      <c r="O14" s="44">
        <v>10</v>
      </c>
      <c r="P14" s="44"/>
      <c r="Q14" s="44">
        <v>10</v>
      </c>
      <c r="R14" s="44">
        <v>10</v>
      </c>
      <c r="S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/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 s="44">
        <v>10</v>
      </c>
      <c r="AN14" s="44">
        <v>10</v>
      </c>
      <c r="AO14"/>
      <c r="AP14" s="44">
        <v>10</v>
      </c>
      <c r="AQ14" s="44">
        <v>10</v>
      </c>
      <c r="AR14" s="44">
        <v>10</v>
      </c>
      <c r="AS14" s="44">
        <v>10</v>
      </c>
      <c r="AT14"/>
      <c r="AU14" s="44">
        <v>10</v>
      </c>
      <c r="AV14"/>
      <c r="AW14"/>
      <c r="AX14" s="44">
        <v>10</v>
      </c>
    </row>
    <row r="15" spans="1:50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 t="s">
        <v>87</v>
      </c>
      <c r="O15" s="44" t="s">
        <v>87</v>
      </c>
      <c r="P15" s="44"/>
      <c r="Q15" s="44" t="s">
        <v>87</v>
      </c>
      <c r="R15" s="44" t="s">
        <v>87</v>
      </c>
      <c r="S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/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 s="44" t="s">
        <v>87</v>
      </c>
      <c r="AO15"/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/>
      <c r="AW15"/>
      <c r="AX15" s="44" t="s">
        <v>87</v>
      </c>
    </row>
    <row r="16" spans="1:50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 t="s">
        <v>87</v>
      </c>
      <c r="O16" s="44" t="s">
        <v>87</v>
      </c>
      <c r="P16" s="44"/>
      <c r="Q16" s="44" t="s">
        <v>87</v>
      </c>
      <c r="R16" s="44" t="s">
        <v>87</v>
      </c>
      <c r="S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/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 s="44" t="s">
        <v>87</v>
      </c>
      <c r="AO16"/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/>
      <c r="AW16"/>
      <c r="AX16" s="44" t="s">
        <v>87</v>
      </c>
    </row>
    <row r="17" spans="1:50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 t="s">
        <v>87</v>
      </c>
      <c r="O17" s="44" t="s">
        <v>87</v>
      </c>
      <c r="P17" s="44"/>
      <c r="Q17" s="44" t="s">
        <v>87</v>
      </c>
      <c r="R17" s="44" t="s">
        <v>87</v>
      </c>
      <c r="S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/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 s="44" t="s">
        <v>87</v>
      </c>
      <c r="AN17" s="44" t="s">
        <v>87</v>
      </c>
      <c r="AO17"/>
      <c r="AP17" s="44" t="s">
        <v>87</v>
      </c>
      <c r="AQ17" s="44" t="s">
        <v>87</v>
      </c>
      <c r="AR17" s="44" t="s">
        <v>87</v>
      </c>
      <c r="AS17" s="44" t="s">
        <v>87</v>
      </c>
      <c r="AT17"/>
      <c r="AU17" s="44" t="s">
        <v>87</v>
      </c>
      <c r="AV17"/>
      <c r="AW17"/>
      <c r="AX17" s="44" t="s">
        <v>87</v>
      </c>
    </row>
    <row r="18" spans="1:50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>
        <v>86400</v>
      </c>
      <c r="O18" s="44">
        <v>86400</v>
      </c>
      <c r="P18" s="44"/>
      <c r="Q18" s="44">
        <v>86400</v>
      </c>
      <c r="R18" s="44">
        <v>86400</v>
      </c>
      <c r="S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/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 s="44">
        <v>86400</v>
      </c>
      <c r="AN18" s="44">
        <v>86400</v>
      </c>
      <c r="AO18"/>
      <c r="AP18" s="44">
        <v>86400</v>
      </c>
      <c r="AQ18" s="44">
        <v>86400</v>
      </c>
      <c r="AR18" s="44">
        <v>86400</v>
      </c>
      <c r="AS18" s="44">
        <v>86400</v>
      </c>
      <c r="AT18"/>
      <c r="AU18" s="44">
        <v>86400</v>
      </c>
      <c r="AV18"/>
      <c r="AW18"/>
      <c r="AX18" s="44">
        <v>86400</v>
      </c>
    </row>
    <row r="19" spans="1:50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 t="s">
        <v>86</v>
      </c>
      <c r="O19" s="44" t="s">
        <v>86</v>
      </c>
      <c r="P19" s="44"/>
      <c r="Q19" s="44" t="s">
        <v>86</v>
      </c>
      <c r="R19" s="44" t="s">
        <v>86</v>
      </c>
      <c r="S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/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 s="44" t="s">
        <v>86</v>
      </c>
      <c r="AO19"/>
      <c r="AP19" s="44" t="s">
        <v>86</v>
      </c>
      <c r="AQ19" s="44" t="s">
        <v>86</v>
      </c>
      <c r="AR19" s="44" t="s">
        <v>86</v>
      </c>
      <c r="AS19" s="44" t="s">
        <v>86</v>
      </c>
      <c r="AT19"/>
      <c r="AU19" s="44" t="s">
        <v>86</v>
      </c>
      <c r="AV19"/>
      <c r="AW19"/>
      <c r="AX19" s="44" t="s">
        <v>86</v>
      </c>
    </row>
    <row r="20" spans="1:50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>
        <v>3</v>
      </c>
      <c r="O20" s="44">
        <v>3</v>
      </c>
      <c r="P20" s="44"/>
      <c r="Q20" s="44">
        <v>3</v>
      </c>
      <c r="R20" s="44">
        <v>3</v>
      </c>
      <c r="S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/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 s="44">
        <v>3</v>
      </c>
      <c r="AN20" s="44">
        <v>3</v>
      </c>
      <c r="AO20"/>
      <c r="AP20" s="44">
        <v>3</v>
      </c>
      <c r="AQ20" s="44">
        <v>3</v>
      </c>
      <c r="AR20" s="44">
        <v>3</v>
      </c>
      <c r="AS20" s="44">
        <v>3</v>
      </c>
      <c r="AT20"/>
      <c r="AU20" s="44">
        <v>3</v>
      </c>
      <c r="AV20"/>
      <c r="AW20"/>
      <c r="AX20" s="44">
        <v>3</v>
      </c>
    </row>
    <row r="21" spans="1:50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 t="s">
        <v>87</v>
      </c>
      <c r="O21" s="44" t="s">
        <v>87</v>
      </c>
      <c r="P21" s="44"/>
      <c r="Q21" s="44" t="s">
        <v>87</v>
      </c>
      <c r="R21" s="44" t="s">
        <v>87</v>
      </c>
      <c r="S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/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 s="44" t="s">
        <v>87</v>
      </c>
      <c r="AO21"/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/>
      <c r="AW21"/>
      <c r="AX21" s="44" t="s">
        <v>87</v>
      </c>
    </row>
    <row r="22" spans="1:50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 t="s">
        <v>87</v>
      </c>
      <c r="O22" s="44" t="s">
        <v>87</v>
      </c>
      <c r="P22" s="44"/>
      <c r="Q22" s="44" t="s">
        <v>87</v>
      </c>
      <c r="R22" s="44" t="s">
        <v>87</v>
      </c>
      <c r="S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/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 s="44" t="s">
        <v>87</v>
      </c>
      <c r="AO22"/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/>
      <c r="AW22"/>
      <c r="AX22" s="44" t="s">
        <v>87</v>
      </c>
    </row>
    <row r="23" spans="1:50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 t="s">
        <v>87</v>
      </c>
      <c r="O23" s="44" t="s">
        <v>87</v>
      </c>
      <c r="P23" s="44"/>
      <c r="Q23" s="44" t="s">
        <v>87</v>
      </c>
      <c r="R23" s="44" t="s">
        <v>87</v>
      </c>
      <c r="S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/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 s="44" t="s">
        <v>87</v>
      </c>
      <c r="AO23"/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/>
      <c r="AW23"/>
      <c r="AX23" s="44" t="s">
        <v>87</v>
      </c>
    </row>
    <row r="24" spans="1:50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 t="s">
        <v>87</v>
      </c>
      <c r="O24" s="44" t="s">
        <v>87</v>
      </c>
      <c r="P24" s="44"/>
      <c r="Q24" s="44" t="s">
        <v>87</v>
      </c>
      <c r="R24" s="44" t="s">
        <v>87</v>
      </c>
      <c r="S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/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 s="44" t="s">
        <v>87</v>
      </c>
      <c r="AO24"/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/>
      <c r="AW24"/>
      <c r="AX24" s="44" t="s">
        <v>87</v>
      </c>
    </row>
    <row r="25" spans="1:50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 t="s">
        <v>87</v>
      </c>
      <c r="O25" s="44" t="s">
        <v>87</v>
      </c>
      <c r="P25" s="44"/>
      <c r="Q25" s="44" t="s">
        <v>87</v>
      </c>
      <c r="R25" s="44" t="s">
        <v>87</v>
      </c>
      <c r="S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/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 s="44" t="s">
        <v>87</v>
      </c>
      <c r="AO25"/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/>
      <c r="AW25"/>
      <c r="AX25" s="44" t="s">
        <v>87</v>
      </c>
    </row>
    <row r="26" spans="1:50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 t="s">
        <v>87</v>
      </c>
      <c r="O26" s="44" t="s">
        <v>87</v>
      </c>
      <c r="P26" s="44"/>
      <c r="Q26" s="44" t="s">
        <v>87</v>
      </c>
      <c r="R26" s="44" t="s">
        <v>87</v>
      </c>
      <c r="S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/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 s="44" t="s">
        <v>87</v>
      </c>
      <c r="AN26" s="44" t="s">
        <v>87</v>
      </c>
      <c r="AO26"/>
      <c r="AP26" s="44" t="s">
        <v>87</v>
      </c>
      <c r="AQ26" s="44" t="s">
        <v>87</v>
      </c>
      <c r="AR26" s="44" t="s">
        <v>87</v>
      </c>
      <c r="AS26" s="44" t="s">
        <v>87</v>
      </c>
      <c r="AT26"/>
      <c r="AU26" s="44" t="s">
        <v>87</v>
      </c>
      <c r="AV26"/>
      <c r="AW26"/>
      <c r="AX26" s="44" t="s">
        <v>87</v>
      </c>
    </row>
    <row r="27" spans="1:50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>
        <v>0.33</v>
      </c>
      <c r="O27" s="44">
        <v>0.33</v>
      </c>
      <c r="P27" s="44"/>
      <c r="Q27" s="44">
        <v>0.33</v>
      </c>
      <c r="R27" s="44">
        <v>0.33</v>
      </c>
      <c r="S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/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 s="44">
        <v>0.33</v>
      </c>
      <c r="AN27" s="44">
        <v>0.33</v>
      </c>
      <c r="AO27"/>
      <c r="AP27" s="44">
        <v>0.33</v>
      </c>
      <c r="AQ27" s="44">
        <v>0.33</v>
      </c>
      <c r="AR27" s="44">
        <v>0.33</v>
      </c>
      <c r="AS27" s="44">
        <v>0.33</v>
      </c>
      <c r="AT27"/>
      <c r="AU27" s="44">
        <v>0.33</v>
      </c>
      <c r="AV27"/>
      <c r="AW27"/>
      <c r="AX27" s="44">
        <v>0.33</v>
      </c>
    </row>
    <row r="28" spans="1:50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 t="s">
        <v>87</v>
      </c>
      <c r="O28" s="44" t="s">
        <v>87</v>
      </c>
      <c r="P28" s="44"/>
      <c r="Q28" s="44" t="s">
        <v>87</v>
      </c>
      <c r="R28" s="44" t="s">
        <v>87</v>
      </c>
      <c r="S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/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 s="44" t="s">
        <v>87</v>
      </c>
      <c r="AO28"/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/>
      <c r="AW28"/>
      <c r="AX28" s="44" t="s">
        <v>87</v>
      </c>
    </row>
    <row r="29" spans="1:50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 t="s">
        <v>87</v>
      </c>
      <c r="O29" s="44" t="s">
        <v>87</v>
      </c>
      <c r="P29" s="44"/>
      <c r="Q29" s="44" t="s">
        <v>87</v>
      </c>
      <c r="R29" s="44" t="s">
        <v>87</v>
      </c>
      <c r="S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/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 s="44" t="s">
        <v>87</v>
      </c>
      <c r="AO29"/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/>
      <c r="AW29"/>
      <c r="AX29" s="44" t="s">
        <v>87</v>
      </c>
    </row>
    <row r="30" spans="1:50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 t="s">
        <v>87</v>
      </c>
      <c r="O30" s="44" t="s">
        <v>87</v>
      </c>
      <c r="P30" s="44"/>
      <c r="Q30" s="44" t="s">
        <v>87</v>
      </c>
      <c r="R30" s="44" t="s">
        <v>87</v>
      </c>
      <c r="S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/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 s="44" t="s">
        <v>87</v>
      </c>
      <c r="AN30" s="44" t="s">
        <v>87</v>
      </c>
      <c r="AO30"/>
      <c r="AP30" s="44" t="s">
        <v>87</v>
      </c>
      <c r="AQ30" s="44" t="s">
        <v>87</v>
      </c>
      <c r="AR30" s="44" t="s">
        <v>87</v>
      </c>
      <c r="AS30" s="44" t="s">
        <v>87</v>
      </c>
      <c r="AT30"/>
      <c r="AU30" s="44" t="s">
        <v>87</v>
      </c>
      <c r="AV30"/>
      <c r="AW30"/>
      <c r="AX30" s="44" t="s">
        <v>87</v>
      </c>
    </row>
    <row r="31" spans="1:50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 t="s">
        <v>86</v>
      </c>
      <c r="O31" s="44" t="s">
        <v>86</v>
      </c>
      <c r="P31" s="44"/>
      <c r="Q31" s="44" t="s">
        <v>86</v>
      </c>
      <c r="R31" s="44" t="s">
        <v>86</v>
      </c>
      <c r="S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/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 s="44" t="s">
        <v>86</v>
      </c>
      <c r="AO31"/>
      <c r="AP31" s="44" t="s">
        <v>86</v>
      </c>
      <c r="AQ31" s="44" t="s">
        <v>86</v>
      </c>
      <c r="AR31" s="44" t="s">
        <v>86</v>
      </c>
      <c r="AS31" s="44" t="s">
        <v>86</v>
      </c>
      <c r="AT31"/>
      <c r="AU31" s="44" t="s">
        <v>86</v>
      </c>
      <c r="AV31"/>
      <c r="AW31"/>
      <c r="AX31" s="44" t="s">
        <v>86</v>
      </c>
    </row>
    <row r="32" spans="1:50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 t="s">
        <v>436</v>
      </c>
      <c r="O32" s="45" t="s">
        <v>436</v>
      </c>
      <c r="P32" s="45"/>
      <c r="Q32" s="45" t="s">
        <v>436</v>
      </c>
      <c r="R32" s="45" t="s">
        <v>436</v>
      </c>
      <c r="S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/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 s="45" t="s">
        <v>436</v>
      </c>
      <c r="AN32" s="45" t="s">
        <v>436</v>
      </c>
      <c r="AO32"/>
      <c r="AP32" s="45" t="s">
        <v>436</v>
      </c>
      <c r="AQ32" s="45" t="s">
        <v>436</v>
      </c>
      <c r="AR32" s="45" t="s">
        <v>436</v>
      </c>
      <c r="AS32" s="45" t="s">
        <v>436</v>
      </c>
      <c r="AT32"/>
      <c r="AU32" s="45" t="s">
        <v>436</v>
      </c>
      <c r="AV32"/>
      <c r="AW32"/>
      <c r="AX32" s="45" t="s">
        <v>436</v>
      </c>
    </row>
    <row r="33" spans="1:50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>
        <v>9.9999999999999995E-7</v>
      </c>
      <c r="O33" s="44">
        <v>9.9999999999999995E-7</v>
      </c>
      <c r="P33" s="44"/>
      <c r="Q33" s="44">
        <v>9.9999999999999995E-7</v>
      </c>
      <c r="R33" s="44">
        <v>9.9999999999999995E-7</v>
      </c>
      <c r="S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/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 s="44">
        <v>9.9999999999999995E-7</v>
      </c>
      <c r="AN33" s="44">
        <v>9.9999999999999995E-7</v>
      </c>
      <c r="AO33"/>
      <c r="AP33" s="44">
        <v>9.9999999999999995E-7</v>
      </c>
      <c r="AQ33" s="44">
        <v>9.9999999999999995E-7</v>
      </c>
      <c r="AR33" s="44">
        <v>9.9999999999999995E-7</v>
      </c>
      <c r="AS33" s="44">
        <v>9.9999999999999995E-7</v>
      </c>
      <c r="AT33"/>
      <c r="AU33" s="44">
        <v>9.9999999999999995E-7</v>
      </c>
      <c r="AV33"/>
      <c r="AW33"/>
      <c r="AX33" s="44">
        <v>9.9999999999999995E-7</v>
      </c>
    </row>
    <row r="34" spans="1:50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>
        <v>1E-3</v>
      </c>
      <c r="O34" s="44">
        <v>1E-3</v>
      </c>
      <c r="P34" s="44"/>
      <c r="Q34" s="44">
        <v>1E-3</v>
      </c>
      <c r="R34" s="44">
        <v>1E-3</v>
      </c>
      <c r="S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/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 s="44">
        <v>1E-3</v>
      </c>
      <c r="AN34" s="44">
        <v>1E-3</v>
      </c>
      <c r="AO34"/>
      <c r="AP34" s="44">
        <v>1E-3</v>
      </c>
      <c r="AQ34" s="44">
        <v>1E-3</v>
      </c>
      <c r="AR34" s="44">
        <v>1E-3</v>
      </c>
      <c r="AS34" s="44">
        <v>1E-3</v>
      </c>
      <c r="AT34"/>
      <c r="AU34" s="44">
        <v>1E-3</v>
      </c>
      <c r="AV34"/>
      <c r="AW34"/>
      <c r="AX34" s="44">
        <v>1E-3</v>
      </c>
    </row>
    <row r="35" spans="1:50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 t="s">
        <v>86</v>
      </c>
      <c r="O35" s="44" t="s">
        <v>86</v>
      </c>
      <c r="P35" s="44"/>
      <c r="Q35" s="44" t="s">
        <v>86</v>
      </c>
      <c r="R35" s="44" t="s">
        <v>86</v>
      </c>
      <c r="S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/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 s="44" t="s">
        <v>86</v>
      </c>
      <c r="AO35"/>
      <c r="AP35" s="44" t="s">
        <v>86</v>
      </c>
      <c r="AQ35" s="44" t="s">
        <v>86</v>
      </c>
      <c r="AR35" s="44" t="s">
        <v>86</v>
      </c>
      <c r="AS35" s="44" t="s">
        <v>86</v>
      </c>
      <c r="AT35"/>
      <c r="AU35" s="44" t="s">
        <v>86</v>
      </c>
      <c r="AV35"/>
      <c r="AW35"/>
      <c r="AX35" s="44" t="s">
        <v>86</v>
      </c>
    </row>
    <row r="36" spans="1:50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 t="s">
        <v>88</v>
      </c>
      <c r="O36" s="44" t="s">
        <v>88</v>
      </c>
      <c r="P36" s="44"/>
      <c r="Q36" s="44" t="s">
        <v>88</v>
      </c>
      <c r="R36" s="44" t="s">
        <v>88</v>
      </c>
      <c r="S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/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 s="44" t="s">
        <v>88</v>
      </c>
      <c r="AN36" s="44" t="s">
        <v>88</v>
      </c>
      <c r="AO36"/>
      <c r="AP36" s="44" t="s">
        <v>88</v>
      </c>
      <c r="AQ36" s="44" t="s">
        <v>88</v>
      </c>
      <c r="AR36" s="44" t="s">
        <v>88</v>
      </c>
      <c r="AS36" s="44" t="s">
        <v>88</v>
      </c>
      <c r="AT36"/>
      <c r="AU36" s="44" t="s">
        <v>88</v>
      </c>
      <c r="AV36"/>
      <c r="AW36"/>
      <c r="AX36" s="44" t="s">
        <v>88</v>
      </c>
    </row>
    <row r="37" spans="1:50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 t="s">
        <v>86</v>
      </c>
      <c r="O37" s="44" t="s">
        <v>86</v>
      </c>
      <c r="P37" s="44"/>
      <c r="Q37" s="44" t="s">
        <v>86</v>
      </c>
      <c r="R37" s="44" t="s">
        <v>86</v>
      </c>
      <c r="S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/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 s="44" t="s">
        <v>86</v>
      </c>
      <c r="AO37"/>
      <c r="AP37" s="44" t="s">
        <v>86</v>
      </c>
      <c r="AQ37" s="44" t="s">
        <v>86</v>
      </c>
      <c r="AR37" s="44" t="s">
        <v>86</v>
      </c>
      <c r="AS37" s="44" t="s">
        <v>86</v>
      </c>
      <c r="AT37"/>
      <c r="AU37" s="44" t="s">
        <v>86</v>
      </c>
      <c r="AV37"/>
      <c r="AW37"/>
      <c r="AX37" s="44" t="s">
        <v>86</v>
      </c>
    </row>
    <row r="38" spans="1:50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 t="s">
        <v>87</v>
      </c>
      <c r="O38" s="44" t="s">
        <v>87</v>
      </c>
      <c r="P38" s="44"/>
      <c r="Q38" s="44" t="s">
        <v>87</v>
      </c>
      <c r="R38" s="44" t="s">
        <v>87</v>
      </c>
      <c r="S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/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 s="44" t="s">
        <v>87</v>
      </c>
      <c r="AN38" s="44" t="s">
        <v>87</v>
      </c>
      <c r="AO38"/>
      <c r="AP38" s="44" t="s">
        <v>87</v>
      </c>
      <c r="AQ38" s="44" t="s">
        <v>87</v>
      </c>
      <c r="AR38" s="44" t="s">
        <v>87</v>
      </c>
      <c r="AS38" s="44" t="s">
        <v>87</v>
      </c>
      <c r="AT38"/>
      <c r="AU38" s="44" t="s">
        <v>87</v>
      </c>
      <c r="AV38"/>
      <c r="AW38"/>
      <c r="AX38" s="44" t="s">
        <v>87</v>
      </c>
    </row>
    <row r="39" spans="1:50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>
        <v>120</v>
      </c>
      <c r="O39" s="44">
        <v>120</v>
      </c>
      <c r="P39" s="44"/>
      <c r="Q39" s="44">
        <v>120</v>
      </c>
      <c r="R39" s="44">
        <v>120</v>
      </c>
      <c r="S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/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 s="44">
        <v>120</v>
      </c>
      <c r="AN39" s="44">
        <v>120</v>
      </c>
      <c r="AO39"/>
      <c r="AP39" s="44">
        <v>120</v>
      </c>
      <c r="AQ39" s="44">
        <v>120</v>
      </c>
      <c r="AR39" s="44">
        <v>120</v>
      </c>
      <c r="AS39" s="44">
        <v>120</v>
      </c>
      <c r="AT39"/>
      <c r="AU39" s="44">
        <v>120</v>
      </c>
      <c r="AV39"/>
      <c r="AW39"/>
      <c r="AX39" s="44">
        <v>120</v>
      </c>
    </row>
    <row r="40" spans="1:50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>
        <v>0</v>
      </c>
      <c r="O40" s="44">
        <v>0</v>
      </c>
      <c r="P40" s="44"/>
      <c r="Q40" s="44">
        <v>0</v>
      </c>
      <c r="R40" s="44">
        <v>0</v>
      </c>
      <c r="S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/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 s="44">
        <v>0</v>
      </c>
      <c r="AO40"/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/>
      <c r="AW40"/>
      <c r="AX40" s="44">
        <v>0</v>
      </c>
    </row>
    <row r="41" spans="1:50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>
        <v>0</v>
      </c>
      <c r="O41" s="44">
        <v>0</v>
      </c>
      <c r="P41" s="44"/>
      <c r="Q41" s="44">
        <v>0</v>
      </c>
      <c r="R41" s="44">
        <v>0</v>
      </c>
      <c r="S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/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 s="44">
        <v>0</v>
      </c>
      <c r="AN41" s="44">
        <v>0</v>
      </c>
      <c r="AO41"/>
      <c r="AP41" s="44">
        <v>0</v>
      </c>
      <c r="AQ41" s="44">
        <v>0</v>
      </c>
      <c r="AR41" s="44">
        <v>0</v>
      </c>
      <c r="AS41" s="44">
        <v>0</v>
      </c>
      <c r="AT41"/>
      <c r="AU41" s="44">
        <v>0</v>
      </c>
      <c r="AV41"/>
      <c r="AW41"/>
      <c r="AX41" s="44">
        <v>0</v>
      </c>
    </row>
    <row r="42" spans="1:50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>
        <v>-0.1</v>
      </c>
      <c r="O42" s="44">
        <v>-0.1</v>
      </c>
      <c r="P42" s="44"/>
      <c r="Q42" s="44">
        <v>-0.1</v>
      </c>
      <c r="R42" s="44">
        <v>-0.1</v>
      </c>
      <c r="S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/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 s="44">
        <v>-0.1</v>
      </c>
      <c r="AN42" s="44">
        <v>-0.1</v>
      </c>
      <c r="AO42"/>
      <c r="AP42" s="44">
        <v>-0.1</v>
      </c>
      <c r="AQ42" s="44">
        <v>-0.1</v>
      </c>
      <c r="AR42" s="44">
        <v>-0.1</v>
      </c>
      <c r="AS42" s="44">
        <v>-0.1</v>
      </c>
      <c r="AT42"/>
      <c r="AU42" s="44">
        <v>-0.1</v>
      </c>
      <c r="AV42"/>
      <c r="AW42"/>
      <c r="AX42" s="44">
        <v>-0.1</v>
      </c>
    </row>
    <row r="43" spans="1:50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>
        <v>-0.2</v>
      </c>
      <c r="O43" s="44">
        <v>-0.2</v>
      </c>
      <c r="P43" s="44"/>
      <c r="Q43" s="44">
        <v>-0.2</v>
      </c>
      <c r="R43" s="44">
        <v>-0.2</v>
      </c>
      <c r="S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/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 s="44">
        <v>-0.2</v>
      </c>
      <c r="AN43" s="44">
        <v>-0.2</v>
      </c>
      <c r="AO43"/>
      <c r="AP43" s="44">
        <v>-0.2</v>
      </c>
      <c r="AQ43" s="44">
        <v>-0.2</v>
      </c>
      <c r="AR43" s="44">
        <v>-0.2</v>
      </c>
      <c r="AS43" s="44">
        <v>-0.2</v>
      </c>
      <c r="AT43"/>
      <c r="AU43" s="44">
        <v>-0.2</v>
      </c>
      <c r="AV43"/>
      <c r="AW43"/>
      <c r="AX43" s="44">
        <v>-0.2</v>
      </c>
    </row>
    <row r="44" spans="1:50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>
        <v>0.4</v>
      </c>
      <c r="O44" s="44">
        <v>0.4</v>
      </c>
      <c r="P44" s="44"/>
      <c r="Q44" s="44">
        <v>0.4</v>
      </c>
      <c r="R44" s="44">
        <v>0.4</v>
      </c>
      <c r="S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/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 s="44">
        <v>0.4</v>
      </c>
      <c r="AN44" s="44">
        <v>0.4</v>
      </c>
      <c r="AO44"/>
      <c r="AP44" s="44">
        <v>0.4</v>
      </c>
      <c r="AQ44" s="44">
        <v>0.4</v>
      </c>
      <c r="AR44" s="44">
        <v>0.4</v>
      </c>
      <c r="AS44" s="44">
        <v>0.4</v>
      </c>
      <c r="AT44"/>
      <c r="AU44" s="44">
        <v>0.4</v>
      </c>
      <c r="AV44"/>
      <c r="AW44"/>
      <c r="AX44" s="44">
        <v>0.4</v>
      </c>
    </row>
    <row r="45" spans="1:50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>
        <v>0</v>
      </c>
      <c r="O45" s="44">
        <v>0</v>
      </c>
      <c r="P45" s="44"/>
      <c r="Q45" s="44">
        <v>0</v>
      </c>
      <c r="R45" s="44">
        <v>0</v>
      </c>
      <c r="S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/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 s="44">
        <v>0</v>
      </c>
      <c r="AN45" s="44">
        <v>0</v>
      </c>
      <c r="AO45"/>
      <c r="AP45" s="44">
        <v>0</v>
      </c>
      <c r="AQ45" s="44">
        <v>0</v>
      </c>
      <c r="AR45" s="44">
        <v>0</v>
      </c>
      <c r="AS45" s="44">
        <v>0</v>
      </c>
      <c r="AT45"/>
      <c r="AU45" s="44">
        <v>0</v>
      </c>
      <c r="AV45"/>
      <c r="AW45"/>
      <c r="AX45" s="44">
        <v>0</v>
      </c>
    </row>
    <row r="46" spans="1:50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>
        <v>1200</v>
      </c>
      <c r="O46" s="44">
        <v>1200</v>
      </c>
      <c r="P46" s="44"/>
      <c r="Q46" s="44">
        <v>1200</v>
      </c>
      <c r="R46" s="44">
        <v>1200</v>
      </c>
      <c r="S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/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 s="44">
        <v>1200</v>
      </c>
      <c r="AO46"/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/>
      <c r="AW46"/>
      <c r="AX46" s="44">
        <v>1200</v>
      </c>
    </row>
    <row r="47" spans="1:50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>
        <v>1200</v>
      </c>
      <c r="O47" s="44">
        <v>1200</v>
      </c>
      <c r="P47" s="44"/>
      <c r="Q47" s="44">
        <v>1200</v>
      </c>
      <c r="R47" s="44">
        <v>1200</v>
      </c>
      <c r="S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/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 s="44">
        <v>1200</v>
      </c>
      <c r="AN47" s="44">
        <v>1200</v>
      </c>
      <c r="AO47"/>
      <c r="AP47" s="44">
        <v>1200</v>
      </c>
      <c r="AQ47" s="44">
        <v>1200</v>
      </c>
      <c r="AR47" s="44">
        <v>1200</v>
      </c>
      <c r="AS47" s="44">
        <v>1200</v>
      </c>
      <c r="AT47"/>
      <c r="AU47" s="44">
        <v>1200</v>
      </c>
      <c r="AV47"/>
      <c r="AW47"/>
      <c r="AX47" s="44">
        <v>1200</v>
      </c>
    </row>
    <row r="48" spans="1:50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 t="s">
        <v>462</v>
      </c>
      <c r="O48" s="44" t="s">
        <v>462</v>
      </c>
      <c r="P48" s="44"/>
      <c r="Q48" s="44" t="s">
        <v>462</v>
      </c>
      <c r="R48" s="44" t="s">
        <v>462</v>
      </c>
      <c r="S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/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 s="44" t="s">
        <v>462</v>
      </c>
      <c r="AN48" s="44" t="s">
        <v>462</v>
      </c>
      <c r="AO48"/>
      <c r="AP48" s="44" t="s">
        <v>462</v>
      </c>
      <c r="AQ48" s="44" t="s">
        <v>462</v>
      </c>
      <c r="AR48" s="44" t="s">
        <v>462</v>
      </c>
      <c r="AS48" s="44" t="s">
        <v>462</v>
      </c>
      <c r="AT48"/>
      <c r="AU48" s="44" t="s">
        <v>462</v>
      </c>
      <c r="AV48"/>
      <c r="AW48"/>
      <c r="AX48" s="44" t="s">
        <v>462</v>
      </c>
    </row>
    <row r="49" spans="1:50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 t="s">
        <v>86</v>
      </c>
      <c r="O49" s="44" t="s">
        <v>86</v>
      </c>
      <c r="P49" s="44"/>
      <c r="Q49" s="44" t="s">
        <v>86</v>
      </c>
      <c r="R49" s="44" t="s">
        <v>86</v>
      </c>
      <c r="S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/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 s="44" t="s">
        <v>86</v>
      </c>
      <c r="AO49"/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/>
      <c r="AW49"/>
      <c r="AX49" s="44" t="s">
        <v>86</v>
      </c>
    </row>
    <row r="50" spans="1:50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 t="s">
        <v>86</v>
      </c>
      <c r="O50" s="44" t="s">
        <v>86</v>
      </c>
      <c r="P50" s="44"/>
      <c r="Q50" s="44" t="s">
        <v>86</v>
      </c>
      <c r="R50" s="44" t="s">
        <v>86</v>
      </c>
      <c r="S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/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 s="44" t="s">
        <v>86</v>
      </c>
      <c r="AO50"/>
      <c r="AP50" s="44" t="s">
        <v>86</v>
      </c>
      <c r="AQ50" s="44" t="s">
        <v>86</v>
      </c>
      <c r="AR50" s="44" t="s">
        <v>86</v>
      </c>
      <c r="AS50" s="44" t="s">
        <v>86</v>
      </c>
      <c r="AT50"/>
      <c r="AU50" s="44" t="s">
        <v>86</v>
      </c>
      <c r="AV50"/>
      <c r="AW50"/>
      <c r="AX50" s="44" t="s">
        <v>86</v>
      </c>
    </row>
    <row r="51" spans="1:50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>
        <v>0</v>
      </c>
      <c r="O51" s="44">
        <v>0</v>
      </c>
      <c r="P51" s="44"/>
      <c r="Q51" s="44">
        <v>0</v>
      </c>
      <c r="R51" s="44">
        <v>0</v>
      </c>
      <c r="S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/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 s="44">
        <v>0</v>
      </c>
      <c r="AN51" s="44">
        <v>0</v>
      </c>
      <c r="AO51"/>
      <c r="AP51" s="44">
        <v>0</v>
      </c>
      <c r="AQ51" s="44">
        <v>0</v>
      </c>
      <c r="AR51" s="44">
        <v>0</v>
      </c>
      <c r="AS51" s="44">
        <v>0</v>
      </c>
      <c r="AT51"/>
      <c r="AU51" s="44">
        <v>0</v>
      </c>
      <c r="AV51"/>
      <c r="AW51"/>
      <c r="AX51" s="44">
        <v>0</v>
      </c>
    </row>
    <row r="52" spans="1:50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>
        <v>0.5</v>
      </c>
      <c r="O52" s="44">
        <v>0.5</v>
      </c>
      <c r="P52" s="44"/>
      <c r="Q52" s="44">
        <v>0.5</v>
      </c>
      <c r="R52" s="44">
        <v>0.5</v>
      </c>
      <c r="S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/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 s="44">
        <v>0.5</v>
      </c>
      <c r="AN52" s="44">
        <v>0.5</v>
      </c>
      <c r="AO52"/>
      <c r="AP52" s="44">
        <v>0.5</v>
      </c>
      <c r="AQ52" s="44">
        <v>0.5</v>
      </c>
      <c r="AR52" s="44">
        <v>0.5</v>
      </c>
      <c r="AS52" s="44">
        <v>0.5</v>
      </c>
      <c r="AT52"/>
      <c r="AU52" s="44">
        <v>0.5</v>
      </c>
      <c r="AV52"/>
      <c r="AW52"/>
      <c r="AX52" s="44">
        <v>0.5</v>
      </c>
    </row>
    <row r="53" spans="1:50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>
        <v>0.05</v>
      </c>
      <c r="O53" s="44">
        <v>0.05</v>
      </c>
      <c r="P53" s="44"/>
      <c r="Q53" s="44">
        <v>0.05</v>
      </c>
      <c r="R53" s="44">
        <v>0.05</v>
      </c>
      <c r="S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/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 s="44">
        <v>0.05</v>
      </c>
      <c r="AN53" s="44">
        <v>0.05</v>
      </c>
      <c r="AO53"/>
      <c r="AP53" s="44">
        <v>0.05</v>
      </c>
      <c r="AQ53" s="44">
        <v>0.05</v>
      </c>
      <c r="AR53" s="44">
        <v>0.05</v>
      </c>
      <c r="AS53" s="44">
        <v>0.05</v>
      </c>
      <c r="AT53"/>
      <c r="AU53" s="44">
        <v>0.05</v>
      </c>
      <c r="AV53"/>
      <c r="AW53"/>
      <c r="AX53" s="44">
        <v>0.05</v>
      </c>
    </row>
    <row r="54" spans="1:50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>
        <v>1E-3</v>
      </c>
      <c r="O54" s="44">
        <v>1E-3</v>
      </c>
      <c r="P54" s="44"/>
      <c r="Q54" s="44">
        <v>1E-3</v>
      </c>
      <c r="R54" s="44">
        <v>1E-3</v>
      </c>
      <c r="S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/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 s="44">
        <v>1E-3</v>
      </c>
      <c r="AN54" s="44">
        <v>1E-3</v>
      </c>
      <c r="AO54"/>
      <c r="AP54" s="44">
        <v>1E-3</v>
      </c>
      <c r="AQ54" s="44">
        <v>1E-3</v>
      </c>
      <c r="AR54" s="44">
        <v>1E-3</v>
      </c>
      <c r="AS54" s="44">
        <v>1E-3</v>
      </c>
      <c r="AT54"/>
      <c r="AU54" s="44">
        <v>1E-3</v>
      </c>
      <c r="AV54"/>
      <c r="AW54"/>
      <c r="AX54" s="44">
        <v>1E-3</v>
      </c>
    </row>
    <row r="55" spans="1:50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>
        <v>0</v>
      </c>
      <c r="O55" s="44">
        <v>0</v>
      </c>
      <c r="P55" s="44"/>
      <c r="Q55" s="44">
        <v>0</v>
      </c>
      <c r="R55" s="44">
        <v>0</v>
      </c>
      <c r="S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/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 s="44">
        <v>0</v>
      </c>
      <c r="AN55" s="44">
        <v>0</v>
      </c>
      <c r="AO55"/>
      <c r="AP55" s="44">
        <v>0</v>
      </c>
      <c r="AQ55" s="44">
        <v>0</v>
      </c>
      <c r="AR55" s="44">
        <v>0</v>
      </c>
      <c r="AS55" s="44">
        <v>0</v>
      </c>
      <c r="AT55"/>
      <c r="AU55" s="44">
        <v>0</v>
      </c>
      <c r="AV55"/>
      <c r="AW55"/>
      <c r="AX55" s="44">
        <v>0</v>
      </c>
    </row>
    <row r="56" spans="1:50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>
        <v>1E-4</v>
      </c>
      <c r="O56" s="44">
        <v>1E-4</v>
      </c>
      <c r="P56" s="44"/>
      <c r="Q56" s="44">
        <v>1E-4</v>
      </c>
      <c r="R56" s="44">
        <v>1E-4</v>
      </c>
      <c r="S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/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 s="44">
        <v>1E-4</v>
      </c>
      <c r="AO56"/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/>
      <c r="AW56"/>
      <c r="AX56" s="44">
        <v>1E-4</v>
      </c>
    </row>
    <row r="57" spans="1:50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>
        <v>1E-4</v>
      </c>
      <c r="O57" s="44">
        <v>1E-4</v>
      </c>
      <c r="P57" s="44"/>
      <c r="Q57" s="44">
        <v>1E-4</v>
      </c>
      <c r="R57" s="44">
        <v>1E-4</v>
      </c>
      <c r="S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/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 s="44">
        <v>1E-4</v>
      </c>
      <c r="AN57" s="44">
        <v>1E-4</v>
      </c>
      <c r="AO57"/>
      <c r="AP57" s="44">
        <v>1E-4</v>
      </c>
      <c r="AQ57" s="44">
        <v>1E-4</v>
      </c>
      <c r="AR57" s="44">
        <v>1E-4</v>
      </c>
      <c r="AS57" s="44">
        <v>1E-4</v>
      </c>
      <c r="AT57"/>
      <c r="AU57" s="44">
        <v>1E-4</v>
      </c>
      <c r="AV57"/>
      <c r="AW57"/>
      <c r="AX57" s="44">
        <v>1E-4</v>
      </c>
    </row>
    <row r="58" spans="1:50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>
        <v>6.9999999999999999E-4</v>
      </c>
      <c r="O58" s="44">
        <v>6.9999999999999999E-4</v>
      </c>
      <c r="P58" s="44"/>
      <c r="Q58" s="44">
        <v>6.9999999999999999E-4</v>
      </c>
      <c r="R58" s="44">
        <v>6.9999999999999999E-4</v>
      </c>
      <c r="S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/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 s="44">
        <v>6.9999999999999999E-4</v>
      </c>
      <c r="AN58" s="44">
        <v>6.9999999999999999E-4</v>
      </c>
      <c r="AO58"/>
      <c r="AP58" s="44">
        <v>6.9999999999999999E-4</v>
      </c>
      <c r="AQ58" s="44">
        <v>6.9999999999999999E-4</v>
      </c>
      <c r="AR58" s="44">
        <v>6.9999999999999999E-4</v>
      </c>
      <c r="AS58" s="44">
        <v>6.9999999999999999E-4</v>
      </c>
      <c r="AT58"/>
      <c r="AU58" s="44">
        <v>6.9999999999999999E-4</v>
      </c>
      <c r="AV58"/>
      <c r="AW58"/>
      <c r="AX58" s="44">
        <v>6.9999999999999999E-4</v>
      </c>
    </row>
    <row r="59" spans="1:50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>
        <v>1.22E-4</v>
      </c>
      <c r="O59" s="44">
        <v>1.22E-4</v>
      </c>
      <c r="P59" s="44"/>
      <c r="Q59" s="44">
        <v>1.22E-4</v>
      </c>
      <c r="R59" s="44">
        <v>1.22E-4</v>
      </c>
      <c r="S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/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 s="44">
        <v>1.22E-4</v>
      </c>
      <c r="AN59" s="44">
        <v>1.22E-4</v>
      </c>
      <c r="AO59"/>
      <c r="AP59" s="44">
        <v>1.22E-4</v>
      </c>
      <c r="AQ59" s="44">
        <v>1.22E-4</v>
      </c>
      <c r="AR59" s="44">
        <v>1.22E-4</v>
      </c>
      <c r="AS59" s="44">
        <v>1.22E-4</v>
      </c>
      <c r="AT59"/>
      <c r="AU59" s="44">
        <v>1.22E-4</v>
      </c>
      <c r="AV59"/>
      <c r="AW59"/>
      <c r="AX59" s="44">
        <v>1.22E-4</v>
      </c>
    </row>
    <row r="60" spans="1:50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>
        <v>1</v>
      </c>
      <c r="O60" s="44">
        <v>1</v>
      </c>
      <c r="P60" s="44"/>
      <c r="Q60" s="44">
        <v>1</v>
      </c>
      <c r="R60" s="44">
        <v>1</v>
      </c>
      <c r="S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/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 s="44">
        <v>1</v>
      </c>
      <c r="AN60" s="44">
        <v>1</v>
      </c>
      <c r="AO60"/>
      <c r="AP60" s="44">
        <v>1</v>
      </c>
      <c r="AQ60" s="44">
        <v>1</v>
      </c>
      <c r="AR60" s="44">
        <v>1</v>
      </c>
      <c r="AS60" s="44">
        <v>1</v>
      </c>
      <c r="AT60"/>
      <c r="AU60" s="44">
        <v>1</v>
      </c>
      <c r="AV60"/>
      <c r="AW60"/>
      <c r="AX60" s="44">
        <v>1</v>
      </c>
    </row>
    <row r="61" spans="1:50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>
        <v>0.95</v>
      </c>
      <c r="O61" s="44">
        <v>0.95</v>
      </c>
      <c r="P61" s="44"/>
      <c r="Q61" s="44">
        <v>0.95</v>
      </c>
      <c r="R61" s="44">
        <v>0.95</v>
      </c>
      <c r="S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/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 s="44">
        <v>0.95</v>
      </c>
      <c r="AN61" s="44">
        <v>0.95</v>
      </c>
      <c r="AO61"/>
      <c r="AP61" s="44">
        <v>0.95</v>
      </c>
      <c r="AQ61" s="44">
        <v>0.95</v>
      </c>
      <c r="AR61" s="44">
        <v>0.95</v>
      </c>
      <c r="AS61" s="44">
        <v>0.95</v>
      </c>
      <c r="AT61"/>
      <c r="AU61" s="44">
        <v>0.95</v>
      </c>
      <c r="AV61"/>
      <c r="AW61"/>
      <c r="AX61" s="44">
        <v>0.95</v>
      </c>
    </row>
    <row r="62" spans="1:50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 t="s">
        <v>87</v>
      </c>
      <c r="O62" s="44" t="s">
        <v>87</v>
      </c>
      <c r="P62" s="44"/>
      <c r="Q62" s="44" t="s">
        <v>87</v>
      </c>
      <c r="R62" s="44" t="s">
        <v>87</v>
      </c>
      <c r="S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/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 s="44" t="s">
        <v>87</v>
      </c>
      <c r="AN62" s="44" t="s">
        <v>87</v>
      </c>
      <c r="AO62"/>
      <c r="AP62" s="44" t="s">
        <v>87</v>
      </c>
      <c r="AQ62" s="44" t="s">
        <v>87</v>
      </c>
      <c r="AR62" s="44" t="s">
        <v>87</v>
      </c>
      <c r="AS62" s="44" t="s">
        <v>87</v>
      </c>
      <c r="AT62"/>
      <c r="AU62" s="44" t="s">
        <v>87</v>
      </c>
      <c r="AV62"/>
      <c r="AW62"/>
      <c r="AX62" s="44" t="s">
        <v>87</v>
      </c>
    </row>
    <row r="63" spans="1:50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>
        <v>5</v>
      </c>
      <c r="O63" s="44">
        <v>5</v>
      </c>
      <c r="P63" s="44"/>
      <c r="Q63" s="44">
        <v>5</v>
      </c>
      <c r="R63" s="44">
        <v>5</v>
      </c>
      <c r="S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/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 s="44">
        <v>5</v>
      </c>
      <c r="AN63" s="44">
        <v>5</v>
      </c>
      <c r="AO63"/>
      <c r="AP63" s="44">
        <v>5</v>
      </c>
      <c r="AQ63" s="44">
        <v>5</v>
      </c>
      <c r="AR63" s="44">
        <v>5</v>
      </c>
      <c r="AS63" s="44">
        <v>5</v>
      </c>
      <c r="AT63"/>
      <c r="AU63" s="44">
        <v>5</v>
      </c>
      <c r="AV63"/>
      <c r="AW63"/>
      <c r="AX63" s="44">
        <v>5</v>
      </c>
    </row>
    <row r="64" spans="1:50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 t="s">
        <v>87</v>
      </c>
      <c r="O64" s="44" t="s">
        <v>87</v>
      </c>
      <c r="P64" s="44"/>
      <c r="Q64" s="44" t="s">
        <v>87</v>
      </c>
      <c r="R64" s="44" t="s">
        <v>87</v>
      </c>
      <c r="S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/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 s="44" t="s">
        <v>87</v>
      </c>
      <c r="AN64" s="44" t="s">
        <v>87</v>
      </c>
      <c r="AO64"/>
      <c r="AP64" s="44" t="s">
        <v>87</v>
      </c>
      <c r="AQ64" s="44" t="s">
        <v>87</v>
      </c>
      <c r="AR64" s="44" t="s">
        <v>87</v>
      </c>
      <c r="AS64" s="44" t="s">
        <v>87</v>
      </c>
      <c r="AT64"/>
      <c r="AU64" s="44" t="s">
        <v>87</v>
      </c>
      <c r="AV64"/>
      <c r="AW64"/>
      <c r="AX64" s="44" t="s">
        <v>87</v>
      </c>
    </row>
    <row r="65" spans="1:50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>
        <v>50</v>
      </c>
      <c r="O65" s="44">
        <v>50</v>
      </c>
      <c r="P65" s="44"/>
      <c r="Q65" s="44">
        <v>50</v>
      </c>
      <c r="R65" s="44">
        <v>50</v>
      </c>
      <c r="S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/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 s="44">
        <v>50</v>
      </c>
      <c r="AN65" s="44">
        <v>50</v>
      </c>
      <c r="AO65"/>
      <c r="AP65" s="44">
        <v>50</v>
      </c>
      <c r="AQ65" s="44">
        <v>50</v>
      </c>
      <c r="AR65" s="44">
        <v>50</v>
      </c>
      <c r="AS65" s="44">
        <v>50</v>
      </c>
      <c r="AT65"/>
      <c r="AU65" s="44">
        <v>50</v>
      </c>
      <c r="AV65"/>
      <c r="AW65"/>
      <c r="AX65" s="44">
        <v>50</v>
      </c>
    </row>
    <row r="66" spans="1:50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>
        <v>1453890.8941884842</v>
      </c>
      <c r="O66" s="44">
        <v>1453890.8941884842</v>
      </c>
      <c r="P66" s="44"/>
      <c r="Q66" s="44">
        <v>1453890.8941884842</v>
      </c>
      <c r="R66" s="44">
        <v>1453890.8941884842</v>
      </c>
      <c r="S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/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 s="44">
        <v>1453890.8941884842</v>
      </c>
      <c r="AN66" s="44">
        <v>1453890.8941884842</v>
      </c>
      <c r="AO66"/>
      <c r="AP66" s="44">
        <v>1453890.8941884842</v>
      </c>
      <c r="AQ66" s="44">
        <v>1453890.8941884842</v>
      </c>
      <c r="AR66" s="44">
        <v>1453890.8941884842</v>
      </c>
      <c r="AS66" s="44">
        <v>1453890.8941884842</v>
      </c>
      <c r="AT66"/>
      <c r="AU66" s="44">
        <v>1453890.8941884842</v>
      </c>
      <c r="AV66"/>
      <c r="AW66"/>
      <c r="AX66" s="44">
        <v>1453890.8941884842</v>
      </c>
    </row>
    <row r="67" spans="1:50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>
        <v>1.3888888888888888E-5</v>
      </c>
      <c r="O67" s="44">
        <v>1.3888888888888888E-5</v>
      </c>
      <c r="P67" s="44"/>
      <c r="Q67" s="44">
        <v>1.3888888888888888E-5</v>
      </c>
      <c r="R67" s="44">
        <v>1.3888888888888888E-5</v>
      </c>
      <c r="S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/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 s="44">
        <v>1.3888888888888888E-5</v>
      </c>
      <c r="AN67" s="44">
        <v>1.3888888888888888E-5</v>
      </c>
      <c r="AO67"/>
      <c r="AP67" s="44">
        <v>1.3888888888888888E-5</v>
      </c>
      <c r="AQ67" s="44">
        <v>1.3888888888888888E-5</v>
      </c>
      <c r="AR67" s="44">
        <v>1.3888888888888888E-5</v>
      </c>
      <c r="AS67" s="44">
        <v>1.3888888888888888E-5</v>
      </c>
      <c r="AT67"/>
      <c r="AU67" s="44">
        <v>1.3888888888888888E-5</v>
      </c>
      <c r="AV67"/>
      <c r="AW67"/>
      <c r="AX67" s="44">
        <v>1.3888888888888888E-5</v>
      </c>
    </row>
    <row r="68" spans="1:50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>
        <v>6.5011574074074071E-4</v>
      </c>
      <c r="O68" s="44">
        <v>6.5011574074074071E-4</v>
      </c>
      <c r="P68" s="44"/>
      <c r="Q68" s="44">
        <v>6.5011574074074071E-4</v>
      </c>
      <c r="R68" s="44">
        <v>6.5011574074074071E-4</v>
      </c>
      <c r="S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/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 s="44">
        <v>6.5011574074074071E-4</v>
      </c>
      <c r="AN68" s="44">
        <v>6.5011574074074071E-4</v>
      </c>
      <c r="AO68"/>
      <c r="AP68" s="44">
        <v>6.5011574074074071E-4</v>
      </c>
      <c r="AQ68" s="44">
        <v>6.5011574074074071E-4</v>
      </c>
      <c r="AR68" s="44">
        <v>6.5011574074074071E-4</v>
      </c>
      <c r="AS68" s="44">
        <v>6.5011574074074071E-4</v>
      </c>
      <c r="AT68"/>
      <c r="AU68" s="44">
        <v>6.5011574074074071E-4</v>
      </c>
      <c r="AV68"/>
      <c r="AW68"/>
      <c r="AX68" s="44">
        <v>6.5011574074074071E-4</v>
      </c>
    </row>
    <row r="69" spans="1:50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>
        <v>4.7400000000000003E-3</v>
      </c>
      <c r="O69" s="44">
        <v>4.7400000000000003E-3</v>
      </c>
      <c r="P69" s="44"/>
      <c r="Q69" s="44">
        <v>4.7400000000000003E-3</v>
      </c>
      <c r="R69" s="44">
        <v>4.7400000000000003E-3</v>
      </c>
      <c r="S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/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 s="44">
        <v>4.7400000000000003E-3</v>
      </c>
      <c r="AN69" s="44">
        <v>4.7400000000000003E-3</v>
      </c>
      <c r="AO69"/>
      <c r="AP69" s="44">
        <v>4.7400000000000003E-3</v>
      </c>
      <c r="AQ69" s="44">
        <v>4.7400000000000003E-3</v>
      </c>
      <c r="AR69" s="44">
        <v>4.7400000000000003E-3</v>
      </c>
      <c r="AS69" s="44">
        <v>4.7400000000000003E-3</v>
      </c>
      <c r="AT69"/>
      <c r="AU69" s="44">
        <v>4.7400000000000003E-3</v>
      </c>
      <c r="AV69"/>
      <c r="AW69"/>
      <c r="AX69" s="44">
        <v>4.7400000000000003E-3</v>
      </c>
    </row>
    <row r="70" spans="1:50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>
        <v>282528</v>
      </c>
      <c r="O70" s="44">
        <v>282528</v>
      </c>
      <c r="P70" s="44"/>
      <c r="Q70" s="44">
        <v>282528</v>
      </c>
      <c r="R70" s="44">
        <v>282528</v>
      </c>
      <c r="S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/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 s="44">
        <v>282528</v>
      </c>
      <c r="AN70" s="44">
        <v>282528</v>
      </c>
      <c r="AO70"/>
      <c r="AP70" s="44">
        <v>282528</v>
      </c>
      <c r="AQ70" s="44">
        <v>282528</v>
      </c>
      <c r="AR70" s="44">
        <v>282528</v>
      </c>
      <c r="AS70" s="44">
        <v>282528</v>
      </c>
      <c r="AT70"/>
      <c r="AU70" s="44">
        <v>282528</v>
      </c>
      <c r="AV70"/>
      <c r="AW70"/>
      <c r="AX70" s="44">
        <v>282528</v>
      </c>
    </row>
    <row r="71" spans="1:50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>
        <v>0.56999999999999995</v>
      </c>
      <c r="O71" s="44">
        <v>0.56999999999999995</v>
      </c>
      <c r="P71" s="44"/>
      <c r="Q71" s="44">
        <v>0.56999999999999995</v>
      </c>
      <c r="R71" s="44">
        <v>0.56999999999999995</v>
      </c>
      <c r="S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/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 s="44">
        <v>0.56999999999999995</v>
      </c>
      <c r="AN71" s="44">
        <v>0.56999999999999995</v>
      </c>
      <c r="AO71"/>
      <c r="AP71" s="44">
        <v>0.56999999999999995</v>
      </c>
      <c r="AQ71" s="44">
        <v>0.56999999999999995</v>
      </c>
      <c r="AR71" s="44">
        <v>0.56999999999999995</v>
      </c>
      <c r="AS71" s="44">
        <v>0.56999999999999995</v>
      </c>
      <c r="AT71"/>
      <c r="AU71" s="44">
        <v>0.56999999999999995</v>
      </c>
      <c r="AV71"/>
      <c r="AW71"/>
      <c r="AX71" s="44">
        <v>0.56999999999999995</v>
      </c>
    </row>
    <row r="72" spans="1:50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>
        <v>0.16</v>
      </c>
      <c r="O72" s="44">
        <v>0.16</v>
      </c>
      <c r="P72" s="44"/>
      <c r="Q72" s="44">
        <v>0.16</v>
      </c>
      <c r="R72" s="44">
        <v>0.16</v>
      </c>
      <c r="S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/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 s="44">
        <v>0.16</v>
      </c>
      <c r="AN72" s="44">
        <v>0.16</v>
      </c>
      <c r="AO72"/>
      <c r="AP72" s="44">
        <v>0.16</v>
      </c>
      <c r="AQ72" s="44">
        <v>0.16</v>
      </c>
      <c r="AR72" s="44">
        <v>0.16</v>
      </c>
      <c r="AS72" s="44">
        <v>0.16</v>
      </c>
      <c r="AT72"/>
      <c r="AU72" s="44">
        <v>0.16</v>
      </c>
      <c r="AV72"/>
      <c r="AW72"/>
      <c r="AX72" s="44">
        <v>0.16</v>
      </c>
    </row>
    <row r="73" spans="1:50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>
        <v>0</v>
      </c>
      <c r="O73" s="44">
        <v>0</v>
      </c>
      <c r="P73" s="44"/>
      <c r="Q73" s="44">
        <v>0</v>
      </c>
      <c r="R73" s="44">
        <v>0</v>
      </c>
      <c r="S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/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 s="44">
        <v>0</v>
      </c>
      <c r="AN73" s="44">
        <v>0</v>
      </c>
      <c r="AO73"/>
      <c r="AP73" s="44">
        <v>0</v>
      </c>
      <c r="AQ73" s="44">
        <v>0</v>
      </c>
      <c r="AR73" s="44">
        <v>0</v>
      </c>
      <c r="AS73" s="44">
        <v>0</v>
      </c>
      <c r="AT73"/>
      <c r="AU73" s="44">
        <v>0</v>
      </c>
      <c r="AV73"/>
      <c r="AW73"/>
      <c r="AX73" s="44">
        <v>0</v>
      </c>
    </row>
    <row r="74" spans="1:50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>
        <v>745476480000</v>
      </c>
      <c r="O74" s="44">
        <v>745476480000</v>
      </c>
      <c r="P74" s="44"/>
      <c r="Q74" s="44">
        <v>745476480000</v>
      </c>
      <c r="R74" s="44">
        <v>745476480000</v>
      </c>
      <c r="S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/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 s="44">
        <v>745476480000</v>
      </c>
      <c r="AN74" s="44">
        <v>745476480000</v>
      </c>
      <c r="AO74"/>
      <c r="AP74" s="44">
        <v>745476480000</v>
      </c>
      <c r="AQ74" s="44">
        <v>745476480000</v>
      </c>
      <c r="AR74" s="44">
        <v>745476480000</v>
      </c>
      <c r="AS74" s="44">
        <v>745476480000</v>
      </c>
      <c r="AT74"/>
      <c r="AU74" s="44">
        <v>745476480000</v>
      </c>
      <c r="AV74"/>
      <c r="AW74"/>
      <c r="AX74" s="44">
        <v>745476480000</v>
      </c>
    </row>
    <row r="75" spans="1:50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>
        <v>100</v>
      </c>
      <c r="O75" s="44">
        <v>100</v>
      </c>
      <c r="P75" s="44"/>
      <c r="Q75" s="44">
        <v>100</v>
      </c>
      <c r="R75" s="44">
        <v>100</v>
      </c>
      <c r="S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/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 s="44">
        <v>100</v>
      </c>
      <c r="AN75" s="44">
        <v>100</v>
      </c>
      <c r="AO75"/>
      <c r="AP75" s="44">
        <v>100</v>
      </c>
      <c r="AQ75" s="44">
        <v>100</v>
      </c>
      <c r="AR75" s="44">
        <v>100</v>
      </c>
      <c r="AS75" s="44">
        <v>100</v>
      </c>
      <c r="AT75"/>
      <c r="AU75" s="44">
        <v>100</v>
      </c>
      <c r="AV75"/>
      <c r="AW75"/>
      <c r="AX75" s="44">
        <v>100</v>
      </c>
    </row>
    <row r="76" spans="1:50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 t="s">
        <v>86</v>
      </c>
      <c r="O76" s="44" t="s">
        <v>86</v>
      </c>
      <c r="P76" s="44"/>
      <c r="Q76" s="44" t="s">
        <v>86</v>
      </c>
      <c r="R76" s="44" t="s">
        <v>86</v>
      </c>
      <c r="S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/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 s="44" t="s">
        <v>86</v>
      </c>
      <c r="AO76"/>
      <c r="AP76" s="44" t="s">
        <v>86</v>
      </c>
      <c r="AQ76" s="44" t="s">
        <v>86</v>
      </c>
      <c r="AR76" s="44" t="s">
        <v>86</v>
      </c>
      <c r="AS76" s="44" t="s">
        <v>86</v>
      </c>
      <c r="AT76"/>
      <c r="AU76" s="44" t="s">
        <v>86</v>
      </c>
      <c r="AV76"/>
      <c r="AW76"/>
      <c r="AX76" s="44" t="s">
        <v>86</v>
      </c>
    </row>
    <row r="77" spans="1:50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>
        <v>21600</v>
      </c>
      <c r="O77" s="44">
        <v>21600</v>
      </c>
      <c r="P77" s="44"/>
      <c r="Q77" s="44">
        <v>21600</v>
      </c>
      <c r="R77" s="44">
        <v>21600</v>
      </c>
      <c r="S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/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 s="44">
        <v>21600</v>
      </c>
      <c r="AN77" s="44">
        <v>21600</v>
      </c>
      <c r="AO77"/>
      <c r="AP77" s="44">
        <v>21600</v>
      </c>
      <c r="AQ77" s="44">
        <v>21600</v>
      </c>
      <c r="AR77" s="44">
        <v>21600</v>
      </c>
      <c r="AS77" s="44">
        <v>21600</v>
      </c>
      <c r="AT77"/>
      <c r="AU77" s="44">
        <v>21600</v>
      </c>
      <c r="AV77"/>
      <c r="AW77"/>
      <c r="AX77" s="44">
        <v>21600</v>
      </c>
    </row>
    <row r="78" spans="1:50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>
        <v>0.5</v>
      </c>
      <c r="O78" s="44">
        <v>0.5</v>
      </c>
      <c r="P78" s="44"/>
      <c r="Q78" s="44">
        <v>0.5</v>
      </c>
      <c r="R78" s="44">
        <v>0.5</v>
      </c>
      <c r="S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/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 s="44">
        <v>0.5</v>
      </c>
      <c r="AN78" s="44">
        <v>0.5</v>
      </c>
      <c r="AO78"/>
      <c r="AP78" s="44">
        <v>0.5</v>
      </c>
      <c r="AQ78" s="44">
        <v>0.5</v>
      </c>
      <c r="AR78" s="44">
        <v>0.5</v>
      </c>
      <c r="AS78" s="44">
        <v>0.5</v>
      </c>
      <c r="AT78"/>
      <c r="AU78" s="44">
        <v>0.5</v>
      </c>
      <c r="AV78"/>
      <c r="AW78"/>
      <c r="AX78" s="44">
        <v>0.5</v>
      </c>
    </row>
    <row r="79" spans="1:50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>
        <v>60479.999999999993</v>
      </c>
      <c r="O79" s="44">
        <v>60479.999999999993</v>
      </c>
      <c r="P79" s="44"/>
      <c r="Q79" s="44">
        <v>60479.999999999993</v>
      </c>
      <c r="R79" s="44">
        <v>60479.999999999993</v>
      </c>
      <c r="S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/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 s="44">
        <v>60479.999999999993</v>
      </c>
      <c r="AN79" s="44">
        <v>60479.999999999993</v>
      </c>
      <c r="AO79"/>
      <c r="AP79" s="44">
        <v>60479.999999999993</v>
      </c>
      <c r="AQ79" s="44">
        <v>60479.999999999993</v>
      </c>
      <c r="AR79" s="44">
        <v>60479.999999999993</v>
      </c>
      <c r="AS79" s="44">
        <v>60479.999999999993</v>
      </c>
      <c r="AT79"/>
      <c r="AU79" s="44">
        <v>60479.999999999993</v>
      </c>
      <c r="AV79"/>
      <c r="AW79"/>
      <c r="AX79" s="44">
        <v>60479.999999999993</v>
      </c>
    </row>
    <row r="80" spans="1:50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>
        <v>0.85</v>
      </c>
      <c r="O80" s="44">
        <v>0.85</v>
      </c>
      <c r="P80" s="44"/>
      <c r="Q80" s="44">
        <v>0.85</v>
      </c>
      <c r="R80" s="44">
        <v>0.85</v>
      </c>
      <c r="S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/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 s="44">
        <v>0.85</v>
      </c>
      <c r="AN80" s="44">
        <v>0.85</v>
      </c>
      <c r="AO80"/>
      <c r="AP80" s="44">
        <v>0.85</v>
      </c>
      <c r="AQ80" s="44">
        <v>0.85</v>
      </c>
      <c r="AR80" s="44">
        <v>0.85</v>
      </c>
      <c r="AS80" s="44">
        <v>0.85</v>
      </c>
      <c r="AT80"/>
      <c r="AU80" s="44">
        <v>0.85</v>
      </c>
      <c r="AV80"/>
      <c r="AW80"/>
      <c r="AX80" s="44">
        <v>0.85</v>
      </c>
    </row>
    <row r="81" spans="1:50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>
        <v>518400</v>
      </c>
      <c r="O81" s="44">
        <v>518400</v>
      </c>
      <c r="P81" s="44"/>
      <c r="Q81" s="44">
        <v>518400</v>
      </c>
      <c r="R81" s="44">
        <v>518400</v>
      </c>
      <c r="S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/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 s="44">
        <v>518400</v>
      </c>
      <c r="AN81" s="44">
        <v>518400</v>
      </c>
      <c r="AO81"/>
      <c r="AP81" s="44">
        <v>518400</v>
      </c>
      <c r="AQ81" s="44">
        <v>518400</v>
      </c>
      <c r="AR81" s="44">
        <v>518400</v>
      </c>
      <c r="AS81" s="44">
        <v>518400</v>
      </c>
      <c r="AT81"/>
      <c r="AU81" s="44">
        <v>518400</v>
      </c>
      <c r="AV81"/>
      <c r="AW81"/>
      <c r="AX81" s="44">
        <v>518400</v>
      </c>
    </row>
    <row r="82" spans="1:50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>
        <v>5184000</v>
      </c>
      <c r="O82" s="44">
        <v>5184000</v>
      </c>
      <c r="P82" s="44"/>
      <c r="Q82" s="44">
        <v>5184000</v>
      </c>
      <c r="R82" s="44">
        <v>5184000</v>
      </c>
      <c r="S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/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 s="44">
        <v>5184000</v>
      </c>
      <c r="AN82" s="44">
        <v>5184000</v>
      </c>
      <c r="AO82"/>
      <c r="AP82" s="44">
        <v>5184000</v>
      </c>
      <c r="AQ82" s="44">
        <v>5184000</v>
      </c>
      <c r="AR82" s="44">
        <v>5184000</v>
      </c>
      <c r="AS82" s="44">
        <v>5184000</v>
      </c>
      <c r="AT82"/>
      <c r="AU82" s="44">
        <v>5184000</v>
      </c>
      <c r="AV82"/>
      <c r="AW82"/>
      <c r="AX82" s="44">
        <v>5184000</v>
      </c>
    </row>
    <row r="83" spans="1:50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>
        <v>50000</v>
      </c>
      <c r="O83" s="44">
        <v>50000</v>
      </c>
      <c r="P83" s="44"/>
      <c r="Q83" s="44">
        <v>50000</v>
      </c>
      <c r="R83" s="44">
        <v>50000</v>
      </c>
      <c r="S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/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 s="44">
        <v>50000</v>
      </c>
      <c r="AN83" s="44">
        <v>50000</v>
      </c>
      <c r="AO83"/>
      <c r="AP83" s="44">
        <v>50000</v>
      </c>
      <c r="AQ83" s="44">
        <v>50000</v>
      </c>
      <c r="AR83" s="44">
        <v>50000</v>
      </c>
      <c r="AS83" s="44">
        <v>50000</v>
      </c>
      <c r="AT83"/>
      <c r="AU83" s="44">
        <v>50000</v>
      </c>
      <c r="AV83"/>
      <c r="AW83"/>
      <c r="AX83" s="44">
        <v>50000</v>
      </c>
    </row>
    <row r="84" spans="1:50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>
        <v>140000</v>
      </c>
      <c r="O84" s="44">
        <v>140000</v>
      </c>
      <c r="P84" s="44"/>
      <c r="Q84" s="44">
        <v>140000</v>
      </c>
      <c r="R84" s="44">
        <v>140000</v>
      </c>
      <c r="S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/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 s="44">
        <v>140000</v>
      </c>
      <c r="AN84" s="44">
        <v>140000</v>
      </c>
      <c r="AO84"/>
      <c r="AP84" s="44">
        <v>140000</v>
      </c>
      <c r="AQ84" s="44">
        <v>140000</v>
      </c>
      <c r="AR84" s="44">
        <v>140000</v>
      </c>
      <c r="AS84" s="44">
        <v>140000</v>
      </c>
      <c r="AT84"/>
      <c r="AU84" s="44">
        <v>140000</v>
      </c>
      <c r="AV84"/>
      <c r="AW84"/>
      <c r="AX84" s="44">
        <v>140000</v>
      </c>
    </row>
    <row r="85" spans="1:50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>
        <v>3.6636136999999999E-2</v>
      </c>
      <c r="O85" s="44">
        <v>3.6636136999999999E-2</v>
      </c>
      <c r="P85" s="44"/>
      <c r="Q85" s="44">
        <v>3.6636136999999999E-2</v>
      </c>
      <c r="R85" s="44">
        <v>3.6636136999999999E-2</v>
      </c>
      <c r="S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/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 s="44">
        <v>3.6636136999999999E-2</v>
      </c>
      <c r="AN85" s="44">
        <v>3.6636136999999999E-2</v>
      </c>
      <c r="AO85"/>
      <c r="AP85" s="44">
        <v>3.6636136999999999E-2</v>
      </c>
      <c r="AQ85" s="44">
        <v>3.6636136999999999E-2</v>
      </c>
      <c r="AR85" s="44">
        <v>3.6636136999999999E-2</v>
      </c>
      <c r="AS85" s="44">
        <v>3.6636136999999999E-2</v>
      </c>
      <c r="AT85"/>
      <c r="AU85" s="44">
        <v>3.6636136999999999E-2</v>
      </c>
      <c r="AV85"/>
      <c r="AW85"/>
      <c r="AX85" s="44">
        <v>3.6636136999999999E-2</v>
      </c>
    </row>
    <row r="86" spans="1:50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>
        <v>4.4999999999999997E-3</v>
      </c>
      <c r="O86" s="44">
        <v>4.4999999999999997E-3</v>
      </c>
      <c r="P86" s="44"/>
      <c r="Q86" s="44">
        <v>4.4999999999999997E-3</v>
      </c>
      <c r="R86" s="44">
        <v>4.4999999999999997E-3</v>
      </c>
      <c r="S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/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 s="44">
        <v>4.4999999999999997E-3</v>
      </c>
      <c r="AN86" s="44">
        <v>4.4999999999999997E-3</v>
      </c>
      <c r="AO86"/>
      <c r="AP86" s="44">
        <v>4.4999999999999997E-3</v>
      </c>
      <c r="AQ86" s="44">
        <v>4.4999999999999997E-3</v>
      </c>
      <c r="AR86" s="44">
        <v>4.4999999999999997E-3</v>
      </c>
      <c r="AS86" s="44">
        <v>4.4999999999999997E-3</v>
      </c>
      <c r="AT86"/>
      <c r="AU86" s="44">
        <v>4.4999999999999997E-3</v>
      </c>
      <c r="AV86"/>
      <c r="AW86"/>
      <c r="AX86" s="44">
        <v>4.4999999999999997E-3</v>
      </c>
    </row>
    <row r="87" spans="1:50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>
        <v>0.05</v>
      </c>
      <c r="O87" s="44">
        <v>0.05</v>
      </c>
      <c r="P87" s="44"/>
      <c r="Q87" s="44">
        <v>0.05</v>
      </c>
      <c r="R87" s="44">
        <v>0.05</v>
      </c>
      <c r="S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/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 s="44">
        <v>0.05</v>
      </c>
      <c r="AN87" s="44">
        <v>0.05</v>
      </c>
      <c r="AO87"/>
      <c r="AP87" s="44">
        <v>0.05</v>
      </c>
      <c r="AQ87" s="44">
        <v>0.05</v>
      </c>
      <c r="AR87" s="44">
        <v>0.05</v>
      </c>
      <c r="AS87" s="44">
        <v>0.05</v>
      </c>
      <c r="AT87"/>
      <c r="AU87" s="44">
        <v>0.05</v>
      </c>
      <c r="AV87"/>
      <c r="AW87"/>
      <c r="AX87" s="44">
        <v>0.05</v>
      </c>
    </row>
    <row r="88" spans="1:50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>
        <v>6.0000000000000002E-6</v>
      </c>
      <c r="O88" s="44">
        <v>6.0000000000000002E-6</v>
      </c>
      <c r="P88" s="44"/>
      <c r="Q88" s="44">
        <v>6.0000000000000002E-6</v>
      </c>
      <c r="R88" s="44">
        <v>6.0000000000000002E-6</v>
      </c>
      <c r="S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/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 s="44">
        <v>6.0000000000000002E-6</v>
      </c>
      <c r="AN88" s="44">
        <v>6.0000000000000002E-6</v>
      </c>
      <c r="AO88"/>
      <c r="AP88" s="44">
        <v>6.0000000000000002E-6</v>
      </c>
      <c r="AQ88" s="44">
        <v>6.0000000000000002E-6</v>
      </c>
      <c r="AR88" s="44">
        <v>6.0000000000000002E-6</v>
      </c>
      <c r="AS88" s="44">
        <v>6.0000000000000002E-6</v>
      </c>
      <c r="AT88"/>
      <c r="AU88" s="44">
        <v>6.0000000000000002E-6</v>
      </c>
      <c r="AV88"/>
      <c r="AW88"/>
      <c r="AX88" s="44">
        <v>6.0000000000000002E-6</v>
      </c>
    </row>
    <row r="89" spans="1:50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>
        <v>1E-3</v>
      </c>
      <c r="O89" s="44">
        <v>1E-3</v>
      </c>
      <c r="P89" s="44"/>
      <c r="Q89" s="44">
        <v>1E-3</v>
      </c>
      <c r="R89" s="44">
        <v>1E-3</v>
      </c>
      <c r="S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/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 s="44">
        <v>1E-3</v>
      </c>
      <c r="AN89" s="44">
        <v>1E-3</v>
      </c>
      <c r="AO89"/>
      <c r="AP89" s="44">
        <v>1E-3</v>
      </c>
      <c r="AQ89" s="44">
        <v>1E-3</v>
      </c>
      <c r="AR89" s="44">
        <v>1E-3</v>
      </c>
      <c r="AS89" s="44">
        <v>1E-3</v>
      </c>
      <c r="AT89"/>
      <c r="AU89" s="44">
        <v>1E-3</v>
      </c>
      <c r="AV89"/>
      <c r="AW89"/>
      <c r="AX89" s="44">
        <v>1E-3</v>
      </c>
    </row>
    <row r="90" spans="1:50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>
        <v>374999999.99999994</v>
      </c>
      <c r="O90" s="44">
        <v>374999999.99999994</v>
      </c>
      <c r="P90" s="44"/>
      <c r="Q90" s="44">
        <v>374999999.99999994</v>
      </c>
      <c r="R90" s="44">
        <v>374999999.99999994</v>
      </c>
      <c r="S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/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 s="44">
        <v>374999999.99999994</v>
      </c>
      <c r="AN90" s="44">
        <v>374999999.99999994</v>
      </c>
      <c r="AO90"/>
      <c r="AP90" s="44">
        <v>374999999.99999994</v>
      </c>
      <c r="AQ90" s="44">
        <v>374999999.99999994</v>
      </c>
      <c r="AR90" s="44">
        <v>374999999.99999994</v>
      </c>
      <c r="AS90" s="44">
        <v>374999999.99999994</v>
      </c>
      <c r="AT90"/>
      <c r="AU90" s="44">
        <v>374999999.99999994</v>
      </c>
      <c r="AV90"/>
      <c r="AW90"/>
      <c r="AX90" s="44">
        <v>374999999.99999994</v>
      </c>
    </row>
    <row r="91" spans="1:50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>
        <v>3.7037037037037038E-3</v>
      </c>
      <c r="O91" s="44">
        <v>3.7037037037037038E-3</v>
      </c>
      <c r="P91" s="44"/>
      <c r="Q91" s="44">
        <v>3.7037037037037038E-3</v>
      </c>
      <c r="R91" s="44">
        <v>3.7037037037037038E-3</v>
      </c>
      <c r="S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/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 s="44">
        <v>3.7037037037037038E-3</v>
      </c>
      <c r="AN91" s="44">
        <v>3.7037037037037038E-3</v>
      </c>
      <c r="AO91"/>
      <c r="AP91" s="44">
        <v>3.7037037037037038E-3</v>
      </c>
      <c r="AQ91" s="44">
        <v>3.7037037037037038E-3</v>
      </c>
      <c r="AR91" s="44">
        <v>3.7037037037037038E-3</v>
      </c>
      <c r="AS91" s="44">
        <v>3.7037037037037038E-3</v>
      </c>
      <c r="AT91"/>
      <c r="AU91" s="44">
        <v>3.7037037037037038E-3</v>
      </c>
      <c r="AV91"/>
      <c r="AW91"/>
      <c r="AX91" s="44">
        <v>3.7037037037037038E-3</v>
      </c>
    </row>
    <row r="92" spans="1:50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>
        <v>165600</v>
      </c>
      <c r="O92" s="44">
        <v>165600</v>
      </c>
      <c r="P92" s="44"/>
      <c r="Q92" s="44">
        <v>165600</v>
      </c>
      <c r="R92" s="44">
        <v>165600</v>
      </c>
      <c r="S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/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 s="44">
        <v>165600</v>
      </c>
      <c r="AN92" s="44">
        <v>165600</v>
      </c>
      <c r="AO92"/>
      <c r="AP92" s="44">
        <v>165600</v>
      </c>
      <c r="AQ92" s="44">
        <v>165600</v>
      </c>
      <c r="AR92" s="44">
        <v>165600</v>
      </c>
      <c r="AS92" s="44">
        <v>165600</v>
      </c>
      <c r="AT92"/>
      <c r="AU92" s="44">
        <v>165600</v>
      </c>
      <c r="AV92"/>
      <c r="AW92"/>
      <c r="AX92" s="44">
        <v>165600</v>
      </c>
    </row>
    <row r="93" spans="1:50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>
        <v>20</v>
      </c>
      <c r="O93" s="44">
        <v>20</v>
      </c>
      <c r="P93" s="44"/>
      <c r="Q93" s="44">
        <v>20</v>
      </c>
      <c r="R93" s="44">
        <v>20</v>
      </c>
      <c r="S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/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 s="44">
        <v>20</v>
      </c>
      <c r="AN93" s="44">
        <v>20</v>
      </c>
      <c r="AO93"/>
      <c r="AP93" s="44">
        <v>20</v>
      </c>
      <c r="AQ93" s="44">
        <v>20</v>
      </c>
      <c r="AR93" s="44">
        <v>20</v>
      </c>
      <c r="AS93" s="44">
        <v>20</v>
      </c>
      <c r="AT93"/>
      <c r="AU93" s="44">
        <v>20</v>
      </c>
      <c r="AV93"/>
      <c r="AW93"/>
      <c r="AX93" s="44">
        <v>20</v>
      </c>
    </row>
    <row r="94" spans="1:50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>
        <v>1</v>
      </c>
      <c r="O94" s="44">
        <v>1</v>
      </c>
      <c r="P94" s="44"/>
      <c r="Q94" s="44">
        <v>1</v>
      </c>
      <c r="R94" s="44">
        <v>1</v>
      </c>
      <c r="S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/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 s="44">
        <v>1</v>
      </c>
      <c r="AN94" s="44">
        <v>1</v>
      </c>
      <c r="AO94"/>
      <c r="AP94" s="44">
        <v>1</v>
      </c>
      <c r="AQ94" s="44">
        <v>1</v>
      </c>
      <c r="AR94" s="44">
        <v>1</v>
      </c>
      <c r="AS94" s="44">
        <v>1</v>
      </c>
      <c r="AT94"/>
      <c r="AU94" s="44">
        <v>1</v>
      </c>
      <c r="AV94"/>
      <c r="AW94"/>
      <c r="AX94" s="44">
        <v>1</v>
      </c>
    </row>
    <row r="95" spans="1:50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>
        <v>21</v>
      </c>
      <c r="O95" s="44">
        <v>21</v>
      </c>
      <c r="P95" s="44"/>
      <c r="Q95" s="44">
        <v>21</v>
      </c>
      <c r="R95" s="44">
        <v>21</v>
      </c>
      <c r="S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/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 s="44">
        <v>21</v>
      </c>
      <c r="AN95" s="44">
        <v>21</v>
      </c>
      <c r="AO95"/>
      <c r="AP95" s="44">
        <v>21</v>
      </c>
      <c r="AQ95" s="44">
        <v>21</v>
      </c>
      <c r="AR95" s="44">
        <v>21</v>
      </c>
      <c r="AS95" s="44">
        <v>21</v>
      </c>
      <c r="AT95"/>
      <c r="AU95" s="44">
        <v>21</v>
      </c>
      <c r="AV95"/>
      <c r="AW95"/>
      <c r="AX95" s="44">
        <v>21</v>
      </c>
    </row>
    <row r="96" spans="1:50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>
        <v>0.64</v>
      </c>
      <c r="O96" s="44">
        <v>0.64</v>
      </c>
      <c r="P96" s="44"/>
      <c r="Q96" s="44">
        <v>0.64</v>
      </c>
      <c r="R96" s="44">
        <v>0.64</v>
      </c>
      <c r="S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/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 s="44">
        <v>0.64</v>
      </c>
      <c r="AN96" s="44">
        <v>0.64</v>
      </c>
      <c r="AO96"/>
      <c r="AP96" s="44">
        <v>0.64</v>
      </c>
      <c r="AQ96" s="44">
        <v>0.64</v>
      </c>
      <c r="AR96" s="44">
        <v>0.64</v>
      </c>
      <c r="AS96" s="44">
        <v>0.64</v>
      </c>
      <c r="AT96"/>
      <c r="AU96" s="44">
        <v>0.64</v>
      </c>
      <c r="AV96"/>
      <c r="AW96"/>
      <c r="AX96" s="44">
        <v>0.64</v>
      </c>
    </row>
    <row r="97" spans="1:50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>
        <v>8</v>
      </c>
      <c r="O97" s="44">
        <v>8</v>
      </c>
      <c r="P97" s="44"/>
      <c r="Q97" s="44">
        <v>8</v>
      </c>
      <c r="R97" s="44">
        <v>8</v>
      </c>
      <c r="S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/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 s="44">
        <v>8</v>
      </c>
      <c r="AN97" s="44">
        <v>8</v>
      </c>
      <c r="AO97"/>
      <c r="AP97" s="44">
        <v>8</v>
      </c>
      <c r="AQ97" s="44">
        <v>8</v>
      </c>
      <c r="AR97" s="44">
        <v>8</v>
      </c>
      <c r="AS97" s="44">
        <v>8</v>
      </c>
      <c r="AT97"/>
      <c r="AU97" s="44">
        <v>8</v>
      </c>
      <c r="AV97"/>
      <c r="AW97"/>
      <c r="AX97" s="44">
        <v>8</v>
      </c>
    </row>
    <row r="98" spans="1:50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>
        <v>10</v>
      </c>
      <c r="O98" s="44">
        <v>10</v>
      </c>
      <c r="P98" s="44"/>
      <c r="Q98" s="44">
        <v>10</v>
      </c>
      <c r="R98" s="44">
        <v>10</v>
      </c>
      <c r="S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/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 s="44">
        <v>10</v>
      </c>
      <c r="AN98" s="44">
        <v>10</v>
      </c>
      <c r="AO98"/>
      <c r="AP98" s="44">
        <v>10</v>
      </c>
      <c r="AQ98" s="44">
        <v>10</v>
      </c>
      <c r="AR98" s="44">
        <v>10</v>
      </c>
      <c r="AS98" s="44">
        <v>10</v>
      </c>
      <c r="AT98"/>
      <c r="AU98" s="44">
        <v>10</v>
      </c>
      <c r="AV98"/>
      <c r="AW98"/>
      <c r="AX98" s="44">
        <v>10</v>
      </c>
    </row>
    <row r="99" spans="1:50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>
        <v>8</v>
      </c>
      <c r="O99" s="44">
        <v>8</v>
      </c>
      <c r="P99" s="44"/>
      <c r="Q99" s="44">
        <v>8</v>
      </c>
      <c r="R99" s="44">
        <v>8</v>
      </c>
      <c r="S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/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 s="44">
        <v>8</v>
      </c>
      <c r="AN99" s="44">
        <v>8</v>
      </c>
      <c r="AO99"/>
      <c r="AP99" s="44">
        <v>8</v>
      </c>
      <c r="AQ99" s="44">
        <v>8</v>
      </c>
      <c r="AR99" s="44">
        <v>8</v>
      </c>
      <c r="AS99" s="44">
        <v>8</v>
      </c>
      <c r="AT99"/>
      <c r="AU99" s="44">
        <v>8</v>
      </c>
      <c r="AV99"/>
      <c r="AW99"/>
      <c r="AX99" s="44">
        <v>8</v>
      </c>
    </row>
    <row r="100" spans="1:50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>
        <v>1</v>
      </c>
      <c r="O100" s="44">
        <v>1</v>
      </c>
      <c r="P100" s="44"/>
      <c r="Q100" s="44">
        <v>1</v>
      </c>
      <c r="R100" s="44">
        <v>1</v>
      </c>
      <c r="S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/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 s="44">
        <v>1</v>
      </c>
      <c r="AN100" s="44">
        <v>1</v>
      </c>
      <c r="AO100"/>
      <c r="AP100" s="44">
        <v>1</v>
      </c>
      <c r="AQ100" s="44">
        <v>1</v>
      </c>
      <c r="AR100" s="44">
        <v>1</v>
      </c>
      <c r="AS100" s="44">
        <v>1</v>
      </c>
      <c r="AT100"/>
      <c r="AU100" s="44">
        <v>1</v>
      </c>
      <c r="AV100"/>
      <c r="AW100"/>
      <c r="AX100" s="44">
        <v>1</v>
      </c>
    </row>
    <row r="101" spans="1:50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>
        <v>0.5</v>
      </c>
      <c r="O101" s="44">
        <v>0.5</v>
      </c>
      <c r="P101" s="44"/>
      <c r="Q101" s="44">
        <v>0.5</v>
      </c>
      <c r="R101" s="44">
        <v>0.5</v>
      </c>
      <c r="S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/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 s="44">
        <v>0.5</v>
      </c>
      <c r="AN101" s="44">
        <v>0.5</v>
      </c>
      <c r="AO101"/>
      <c r="AP101" s="44">
        <v>0.5</v>
      </c>
      <c r="AQ101" s="44">
        <v>0.5</v>
      </c>
      <c r="AR101" s="44">
        <v>0.5</v>
      </c>
      <c r="AS101" s="44">
        <v>0.5</v>
      </c>
      <c r="AT101"/>
      <c r="AU101" s="44">
        <v>0.5</v>
      </c>
      <c r="AV101"/>
      <c r="AW101"/>
      <c r="AX101" s="44">
        <v>0.5</v>
      </c>
    </row>
    <row r="102" spans="1:50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X102" si="1">10/0.1</f>
        <v>100</v>
      </c>
      <c r="K102" s="44">
        <f t="shared" si="1"/>
        <v>100</v>
      </c>
      <c r="L102" s="44">
        <f t="shared" si="1"/>
        <v>100</v>
      </c>
      <c r="M102" s="44">
        <f t="shared" si="1"/>
        <v>100</v>
      </c>
      <c r="O102" s="44">
        <f t="shared" si="1"/>
        <v>100</v>
      </c>
      <c r="P102" s="44"/>
      <c r="Q102" s="44">
        <f t="shared" si="1"/>
        <v>100</v>
      </c>
      <c r="R102" s="44">
        <f t="shared" si="1"/>
        <v>100</v>
      </c>
      <c r="S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/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/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/>
      <c r="AU102" s="44">
        <f t="shared" si="1"/>
        <v>100</v>
      </c>
      <c r="AV102"/>
      <c r="AW102"/>
      <c r="AX102" s="44">
        <f t="shared" si="1"/>
        <v>100</v>
      </c>
    </row>
    <row r="103" spans="1:50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X103" si="2">150/0.1</f>
        <v>1500</v>
      </c>
      <c r="K103" s="44">
        <f t="shared" si="2"/>
        <v>1500</v>
      </c>
      <c r="L103" s="44">
        <f t="shared" si="2"/>
        <v>1500</v>
      </c>
      <c r="M103" s="44">
        <f t="shared" si="2"/>
        <v>1500</v>
      </c>
      <c r="O103" s="44">
        <f t="shared" si="2"/>
        <v>1500</v>
      </c>
      <c r="P103" s="44"/>
      <c r="Q103" s="44">
        <f t="shared" si="2"/>
        <v>1500</v>
      </c>
      <c r="R103" s="44">
        <f t="shared" si="2"/>
        <v>1500</v>
      </c>
      <c r="S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/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/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/>
      <c r="AU103" s="44">
        <f t="shared" si="2"/>
        <v>1500</v>
      </c>
      <c r="AV103"/>
      <c r="AW103"/>
      <c r="AX103" s="44">
        <f t="shared" si="2"/>
        <v>1500</v>
      </c>
    </row>
    <row r="104" spans="1:50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X104" si="4">20/0.1</f>
        <v>200</v>
      </c>
      <c r="K104" s="44">
        <f t="shared" si="4"/>
        <v>200</v>
      </c>
      <c r="L104" s="44">
        <f t="shared" si="4"/>
        <v>200</v>
      </c>
      <c r="M104" s="44">
        <f t="shared" si="4"/>
        <v>200</v>
      </c>
      <c r="O104" s="44">
        <f t="shared" si="4"/>
        <v>200</v>
      </c>
      <c r="P104" s="44"/>
      <c r="Q104" s="44">
        <f t="shared" si="4"/>
        <v>200</v>
      </c>
      <c r="R104" s="44">
        <f t="shared" si="4"/>
        <v>200</v>
      </c>
      <c r="S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/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/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/>
      <c r="AU104" s="44">
        <f t="shared" si="4"/>
        <v>200</v>
      </c>
      <c r="AV104"/>
      <c r="AW104"/>
      <c r="AX104" s="44">
        <f t="shared" si="4"/>
        <v>200</v>
      </c>
    </row>
    <row r="105" spans="1:50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X105" si="5">400/0.1</f>
        <v>4000</v>
      </c>
      <c r="K105" s="44">
        <f t="shared" si="5"/>
        <v>4000</v>
      </c>
      <c r="L105" s="44">
        <f t="shared" si="5"/>
        <v>4000</v>
      </c>
      <c r="M105" s="44">
        <f t="shared" si="5"/>
        <v>4000</v>
      </c>
      <c r="O105" s="44">
        <f t="shared" si="5"/>
        <v>4000</v>
      </c>
      <c r="P105" s="44"/>
      <c r="Q105" s="44">
        <f t="shared" si="5"/>
        <v>4000</v>
      </c>
      <c r="R105" s="44">
        <f t="shared" si="5"/>
        <v>4000</v>
      </c>
      <c r="S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/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/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/>
      <c r="AU105" s="44">
        <f t="shared" si="5"/>
        <v>4000</v>
      </c>
      <c r="AV105"/>
      <c r="AW105"/>
      <c r="AX105" s="44">
        <f t="shared" si="5"/>
        <v>4000</v>
      </c>
    </row>
    <row r="106" spans="1:50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X106" si="6">10/0.1</f>
        <v>100</v>
      </c>
      <c r="K106" s="44">
        <f t="shared" si="6"/>
        <v>100</v>
      </c>
      <c r="L106" s="44">
        <f t="shared" si="6"/>
        <v>100</v>
      </c>
      <c r="M106" s="44">
        <f t="shared" si="6"/>
        <v>100</v>
      </c>
      <c r="O106" s="44">
        <f t="shared" si="6"/>
        <v>100</v>
      </c>
      <c r="P106" s="44"/>
      <c r="Q106" s="44">
        <f t="shared" si="6"/>
        <v>100</v>
      </c>
      <c r="R106" s="44">
        <f t="shared" si="6"/>
        <v>100</v>
      </c>
      <c r="S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/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/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/>
      <c r="AU106" s="44">
        <f t="shared" si="6"/>
        <v>100</v>
      </c>
      <c r="AV106"/>
      <c r="AW106"/>
      <c r="AX106" s="44">
        <f t="shared" si="6"/>
        <v>100</v>
      </c>
    </row>
    <row r="107" spans="1:50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X107" si="7">150/0.1</f>
        <v>1500</v>
      </c>
      <c r="K107" s="44">
        <f t="shared" si="7"/>
        <v>1500</v>
      </c>
      <c r="L107" s="44">
        <f t="shared" si="7"/>
        <v>1500</v>
      </c>
      <c r="M107" s="44">
        <f t="shared" si="7"/>
        <v>1500</v>
      </c>
      <c r="O107" s="44">
        <f t="shared" si="7"/>
        <v>1500</v>
      </c>
      <c r="P107" s="44"/>
      <c r="Q107" s="44">
        <f t="shared" si="7"/>
        <v>1500</v>
      </c>
      <c r="R107" s="44">
        <f t="shared" si="7"/>
        <v>1500</v>
      </c>
      <c r="S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/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/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/>
      <c r="AU107" s="44">
        <f t="shared" si="7"/>
        <v>1500</v>
      </c>
      <c r="AV107"/>
      <c r="AW107"/>
      <c r="AX107" s="44">
        <f t="shared" si="7"/>
        <v>1500</v>
      </c>
    </row>
    <row r="108" spans="1:50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X108" si="8">20/0.1</f>
        <v>200</v>
      </c>
      <c r="K108" s="44">
        <f t="shared" si="8"/>
        <v>200</v>
      </c>
      <c r="L108" s="44">
        <f t="shared" si="8"/>
        <v>200</v>
      </c>
      <c r="M108" s="44">
        <f t="shared" si="8"/>
        <v>200</v>
      </c>
      <c r="O108" s="44">
        <f t="shared" si="8"/>
        <v>200</v>
      </c>
      <c r="P108" s="44"/>
      <c r="Q108" s="44">
        <f t="shared" si="8"/>
        <v>200</v>
      </c>
      <c r="R108" s="44">
        <f t="shared" si="8"/>
        <v>200</v>
      </c>
      <c r="S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/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/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/>
      <c r="AU108" s="44">
        <f t="shared" si="8"/>
        <v>200</v>
      </c>
      <c r="AV108"/>
      <c r="AW108"/>
      <c r="AX108" s="44">
        <f t="shared" si="8"/>
        <v>200</v>
      </c>
    </row>
    <row r="109" spans="1:50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X109" si="9">400/0.1</f>
        <v>4000</v>
      </c>
      <c r="K109" s="44">
        <f t="shared" si="9"/>
        <v>4000</v>
      </c>
      <c r="L109" s="44">
        <f t="shared" si="9"/>
        <v>4000</v>
      </c>
      <c r="M109" s="44">
        <f t="shared" si="9"/>
        <v>4000</v>
      </c>
      <c r="O109" s="44">
        <f t="shared" si="9"/>
        <v>4000</v>
      </c>
      <c r="P109" s="44"/>
      <c r="Q109" s="44">
        <f t="shared" si="9"/>
        <v>4000</v>
      </c>
      <c r="R109" s="44">
        <f t="shared" si="9"/>
        <v>4000</v>
      </c>
      <c r="S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/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/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/>
      <c r="AU109" s="44">
        <f t="shared" si="9"/>
        <v>4000</v>
      </c>
      <c r="AV109"/>
      <c r="AW109"/>
      <c r="AX109" s="44">
        <f t="shared" si="9"/>
        <v>4000</v>
      </c>
    </row>
    <row r="110" spans="1:50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>
        <v>100</v>
      </c>
      <c r="O110" s="44">
        <v>100</v>
      </c>
      <c r="P110" s="44"/>
      <c r="Q110" s="44">
        <v>100</v>
      </c>
      <c r="R110" s="44">
        <v>100</v>
      </c>
      <c r="S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/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 s="44">
        <v>100</v>
      </c>
      <c r="AN110" s="44">
        <v>100</v>
      </c>
      <c r="AO110"/>
      <c r="AP110" s="44">
        <v>100</v>
      </c>
      <c r="AQ110" s="44">
        <v>100</v>
      </c>
      <c r="AR110" s="44">
        <v>100</v>
      </c>
      <c r="AS110" s="44">
        <v>100</v>
      </c>
      <c r="AT110"/>
      <c r="AU110" s="44">
        <v>100</v>
      </c>
      <c r="AV110"/>
      <c r="AW110"/>
      <c r="AX110" s="44">
        <v>100</v>
      </c>
    </row>
    <row r="111" spans="1:50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>
        <v>280800</v>
      </c>
      <c r="O111" s="44">
        <v>280800</v>
      </c>
      <c r="P111" s="44"/>
      <c r="Q111" s="44">
        <v>280800</v>
      </c>
      <c r="R111" s="44">
        <v>280800</v>
      </c>
      <c r="S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/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 s="44">
        <v>280800</v>
      </c>
      <c r="AN111" s="44">
        <v>280800</v>
      </c>
      <c r="AO111"/>
      <c r="AP111" s="44">
        <v>280800</v>
      </c>
      <c r="AQ111" s="44">
        <v>280800</v>
      </c>
      <c r="AR111" s="44">
        <v>280800</v>
      </c>
      <c r="AS111" s="44">
        <v>280800</v>
      </c>
      <c r="AT111"/>
      <c r="AU111" s="44">
        <v>280800</v>
      </c>
      <c r="AV111"/>
      <c r="AW111"/>
      <c r="AX111" s="44">
        <v>280800</v>
      </c>
    </row>
    <row r="112" spans="1:50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X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>
        <f t="shared" si="10"/>
        <v>0.11100000000000002</v>
      </c>
      <c r="O112" s="44">
        <f t="shared" si="10"/>
        <v>0.11100000000000002</v>
      </c>
      <c r="P112" s="44"/>
      <c r="Q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/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/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/>
      <c r="AU112" s="44">
        <f t="shared" si="10"/>
        <v>0.11100000000000002</v>
      </c>
      <c r="AV112"/>
      <c r="AW112"/>
      <c r="AX112" s="44">
        <f t="shared" si="10"/>
        <v>0.11100000000000002</v>
      </c>
    </row>
    <row r="113" spans="1:50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>
        <v>100</v>
      </c>
      <c r="O113" s="44">
        <v>100</v>
      </c>
      <c r="P113" s="44"/>
      <c r="Q113" s="44">
        <v>100</v>
      </c>
      <c r="R113" s="44">
        <v>100</v>
      </c>
      <c r="S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/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 s="44">
        <v>100</v>
      </c>
      <c r="AN113" s="44">
        <v>100</v>
      </c>
      <c r="AO113"/>
      <c r="AP113" s="44">
        <v>100</v>
      </c>
      <c r="AQ113" s="44">
        <v>100</v>
      </c>
      <c r="AR113" s="44">
        <v>100</v>
      </c>
      <c r="AS113" s="44">
        <v>100</v>
      </c>
      <c r="AT113"/>
      <c r="AU113" s="44">
        <v>100</v>
      </c>
      <c r="AV113"/>
      <c r="AW113"/>
      <c r="AX113" s="44">
        <v>100</v>
      </c>
    </row>
    <row r="114" spans="1:50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>
        <v>459648</v>
      </c>
      <c r="O114" s="44">
        <v>459648</v>
      </c>
      <c r="P114" s="44"/>
      <c r="Q114" s="44">
        <v>459648</v>
      </c>
      <c r="R114" s="44">
        <v>459648</v>
      </c>
      <c r="S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/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 s="44">
        <v>459648</v>
      </c>
      <c r="AN114" s="44">
        <v>459648</v>
      </c>
      <c r="AO114"/>
      <c r="AP114" s="44">
        <v>459648</v>
      </c>
      <c r="AQ114" s="44">
        <v>459648</v>
      </c>
      <c r="AR114" s="44">
        <v>459648</v>
      </c>
      <c r="AS114" s="44">
        <v>459648</v>
      </c>
      <c r="AT114"/>
      <c r="AU114" s="44">
        <v>459648</v>
      </c>
      <c r="AV114"/>
      <c r="AW114"/>
      <c r="AX114" s="44">
        <v>459648</v>
      </c>
    </row>
    <row r="115" spans="1:50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X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>
        <f t="shared" si="11"/>
        <v>0.13875000000000001</v>
      </c>
      <c r="O115" s="44">
        <f t="shared" si="11"/>
        <v>0.13875000000000001</v>
      </c>
      <c r="P115" s="44"/>
      <c r="Q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/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/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/>
      <c r="AU115" s="44">
        <f t="shared" si="11"/>
        <v>0.13875000000000001</v>
      </c>
      <c r="AV115"/>
      <c r="AW115"/>
      <c r="AX115" s="44">
        <f t="shared" si="11"/>
        <v>0.13875000000000001</v>
      </c>
    </row>
    <row r="116" spans="1:50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>
        <v>21600</v>
      </c>
      <c r="O116" s="44">
        <v>21600</v>
      </c>
      <c r="P116" s="44"/>
      <c r="Q116" s="44">
        <v>21600</v>
      </c>
      <c r="R116" s="44">
        <v>21600</v>
      </c>
      <c r="S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/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 s="44">
        <v>21600</v>
      </c>
      <c r="AN116" s="44">
        <v>21600</v>
      </c>
      <c r="AO116"/>
      <c r="AP116" s="44">
        <v>21600</v>
      </c>
      <c r="AQ116" s="44">
        <v>21600</v>
      </c>
      <c r="AR116" s="44">
        <v>21600</v>
      </c>
      <c r="AS116" s="44">
        <v>21600</v>
      </c>
      <c r="AT116"/>
      <c r="AU116" s="44">
        <v>21600</v>
      </c>
      <c r="AV116"/>
      <c r="AW116"/>
      <c r="AX116" s="44">
        <v>21600</v>
      </c>
    </row>
    <row r="117" spans="1:50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>
        <v>43200</v>
      </c>
      <c r="O117" s="44">
        <v>43200</v>
      </c>
      <c r="P117" s="44"/>
      <c r="Q117" s="44">
        <v>43200</v>
      </c>
      <c r="R117" s="44">
        <v>43200</v>
      </c>
      <c r="S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/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 s="44">
        <v>43200</v>
      </c>
      <c r="AN117" s="44">
        <v>43200</v>
      </c>
      <c r="AO117"/>
      <c r="AP117" s="44">
        <v>43200</v>
      </c>
      <c r="AQ117" s="44">
        <v>43200</v>
      </c>
      <c r="AR117" s="44">
        <v>43200</v>
      </c>
      <c r="AS117" s="44">
        <v>43200</v>
      </c>
      <c r="AT117"/>
      <c r="AU117" s="44">
        <v>43200</v>
      </c>
      <c r="AV117"/>
      <c r="AW117"/>
      <c r="AX117" s="44">
        <v>43200</v>
      </c>
    </row>
    <row r="118" spans="1:50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>
        <v>0.8</v>
      </c>
      <c r="O118" s="44">
        <v>0.8</v>
      </c>
      <c r="P118" s="44"/>
      <c r="Q118" s="44">
        <v>0.8</v>
      </c>
      <c r="R118" s="44">
        <v>0.8</v>
      </c>
      <c r="S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/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 s="44">
        <v>0.8</v>
      </c>
      <c r="AN118" s="44">
        <v>0.8</v>
      </c>
      <c r="AO118"/>
      <c r="AP118" s="44">
        <v>0.8</v>
      </c>
      <c r="AQ118" s="44">
        <v>0.8</v>
      </c>
      <c r="AR118" s="44">
        <v>0.8</v>
      </c>
      <c r="AS118" s="44">
        <v>0.8</v>
      </c>
      <c r="AT118"/>
      <c r="AU118" s="44">
        <v>0.8</v>
      </c>
      <c r="AV118"/>
      <c r="AW118"/>
      <c r="AX118" s="44">
        <v>0.8</v>
      </c>
    </row>
    <row r="119" spans="1:50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>
        <f>0.000208333333333333 / 2</f>
        <v>1.041666666666665E-4</v>
      </c>
      <c r="N119" s="1" t="s">
        <v>595</v>
      </c>
      <c r="O119" s="44">
        <f>0.000208333333333333 / 2</f>
        <v>1.041666666666665E-4</v>
      </c>
      <c r="P119" s="44"/>
      <c r="Q119" s="44">
        <v>2.0833333333333335E-4</v>
      </c>
      <c r="R119" s="44">
        <v>2.0833333333333335E-4</v>
      </c>
      <c r="S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/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 s="44">
        <v>2.0833333333333335E-4</v>
      </c>
      <c r="AN119" s="44">
        <v>2.0833333333333335E-4</v>
      </c>
      <c r="AO119"/>
      <c r="AP119" s="44">
        <v>2.0833333333333335E-4</v>
      </c>
      <c r="AQ119" s="44">
        <v>2.0833333333333335E-4</v>
      </c>
      <c r="AR119" s="44">
        <v>2.0833333333333335E-4</v>
      </c>
      <c r="AS119" s="44">
        <v>2.0833333333333335E-4</v>
      </c>
      <c r="AT119"/>
      <c r="AU119" s="44">
        <v>2.0833333333333335E-4</v>
      </c>
      <c r="AV119"/>
      <c r="AW119"/>
      <c r="AX119" s="44">
        <v>2.0833333333333335E-4</v>
      </c>
    </row>
    <row r="120" spans="1:50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>
        <v>5.7899999999999998E-7</v>
      </c>
      <c r="O120" s="44">
        <v>5.7899999999999998E-7</v>
      </c>
      <c r="P120" s="44"/>
      <c r="Q120" s="44">
        <v>5.7899999999999998E-7</v>
      </c>
      <c r="R120" s="44">
        <v>5.7899999999999998E-7</v>
      </c>
      <c r="S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/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 s="44">
        <v>5.7899999999999998E-7</v>
      </c>
      <c r="AN120" s="44">
        <v>5.7899999999999998E-7</v>
      </c>
      <c r="AO120"/>
      <c r="AP120" s="44">
        <v>5.7899999999999998E-7</v>
      </c>
      <c r="AQ120" s="44">
        <v>5.7899999999999998E-7</v>
      </c>
      <c r="AR120" s="44">
        <v>5.7899999999999998E-7</v>
      </c>
      <c r="AS120" s="44">
        <v>5.7899999999999998E-7</v>
      </c>
      <c r="AT120"/>
      <c r="AU120" s="44">
        <v>5.7899999999999998E-7</v>
      </c>
      <c r="AV120"/>
      <c r="AW120"/>
      <c r="AX120" s="44">
        <v>5.7899999999999998E-7</v>
      </c>
    </row>
    <row r="121" spans="1:50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>
        <v>2.0833333333333335E-4</v>
      </c>
      <c r="O121" s="44">
        <v>2.0833333333333335E-4</v>
      </c>
      <c r="P121" s="44"/>
      <c r="Q121" s="44">
        <v>2.0833333333333335E-4</v>
      </c>
      <c r="R121" s="44">
        <v>2.0833333333333335E-4</v>
      </c>
      <c r="S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/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 s="44">
        <v>2.0833333333333335E-4</v>
      </c>
      <c r="AN121" s="44">
        <v>2.0833333333333335E-4</v>
      </c>
      <c r="AO121"/>
      <c r="AP121" s="44">
        <v>2.0833333333333335E-4</v>
      </c>
      <c r="AQ121" s="44">
        <v>2.0833333333333335E-4</v>
      </c>
      <c r="AR121" s="44">
        <v>2.0833333333333335E-4</v>
      </c>
      <c r="AS121" s="44">
        <v>2.0833333333333335E-4</v>
      </c>
      <c r="AT121"/>
      <c r="AU121" s="44">
        <v>2.0833333333333335E-4</v>
      </c>
      <c r="AV121"/>
      <c r="AW121"/>
      <c r="AX121" s="44">
        <v>2.0833333333333335E-4</v>
      </c>
    </row>
    <row r="122" spans="1:50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>
        <v>0</v>
      </c>
      <c r="O122" s="44">
        <v>0</v>
      </c>
      <c r="P122" s="44"/>
      <c r="Q122" s="44">
        <v>0</v>
      </c>
      <c r="R122" s="44">
        <v>0</v>
      </c>
      <c r="S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/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 s="44">
        <v>0</v>
      </c>
      <c r="AO122"/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/>
      <c r="AW122"/>
      <c r="AX122" s="44">
        <v>0</v>
      </c>
    </row>
    <row r="123" spans="1:50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>
        <v>0</v>
      </c>
      <c r="O123" s="44">
        <v>0</v>
      </c>
      <c r="P123" s="44"/>
      <c r="Q123" s="44">
        <v>0</v>
      </c>
      <c r="R123" s="44">
        <v>0</v>
      </c>
      <c r="S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/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 s="44">
        <v>0</v>
      </c>
      <c r="AO123"/>
      <c r="AP123" s="44">
        <v>0</v>
      </c>
      <c r="AQ123" s="44">
        <v>0</v>
      </c>
      <c r="AR123" s="44">
        <v>0</v>
      </c>
      <c r="AS123" s="44">
        <v>0</v>
      </c>
      <c r="AT123"/>
      <c r="AU123" s="44">
        <v>0</v>
      </c>
      <c r="AV123"/>
      <c r="AW123"/>
      <c r="AX123" s="44">
        <v>0</v>
      </c>
    </row>
    <row r="124" spans="1:50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>
        <v>0</v>
      </c>
      <c r="O124" s="44">
        <v>0</v>
      </c>
      <c r="P124" s="44"/>
      <c r="Q124" s="44">
        <v>5.9999999999999997E-7</v>
      </c>
      <c r="R124" s="44">
        <v>5.9999999999999997E-7</v>
      </c>
      <c r="S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/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 s="44">
        <v>5.9999999999999997E-7</v>
      </c>
      <c r="AN124" s="44">
        <v>5.9999999999999997E-7</v>
      </c>
      <c r="AO124"/>
      <c r="AP124" s="44">
        <v>5.9999999999999997E-7</v>
      </c>
      <c r="AQ124" s="44">
        <v>5.9999999999999997E-7</v>
      </c>
      <c r="AR124" s="44">
        <v>5.9999999999999997E-7</v>
      </c>
      <c r="AS124" s="44">
        <v>5.9999999999999997E-7</v>
      </c>
      <c r="AT124"/>
      <c r="AU124" s="44">
        <v>5.9999999999999997E-7</v>
      </c>
      <c r="AV124"/>
      <c r="AW124"/>
      <c r="AX124" s="44">
        <v>9.9999999999999995E-8</v>
      </c>
    </row>
    <row r="125" spans="1:50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X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>
        <f t="shared" si="12"/>
        <v>8.3333333333333331E-5</v>
      </c>
      <c r="O125" s="44">
        <f t="shared" si="12"/>
        <v>8.3333333333333331E-5</v>
      </c>
      <c r="P125" s="44"/>
      <c r="Q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/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/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/>
      <c r="AU125" s="44">
        <f t="shared" si="12"/>
        <v>8.3333333333333331E-5</v>
      </c>
      <c r="AV125"/>
      <c r="AW125"/>
      <c r="AX125" s="44">
        <f t="shared" si="12"/>
        <v>8.3333333333333331E-5</v>
      </c>
    </row>
    <row r="126" spans="1:50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 t="s">
        <v>86</v>
      </c>
      <c r="O126" s="44" t="s">
        <v>86</v>
      </c>
      <c r="P126" s="44"/>
      <c r="Q126" s="44" t="s">
        <v>86</v>
      </c>
      <c r="R126" s="44" t="s">
        <v>86</v>
      </c>
      <c r="S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/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 s="44" t="s">
        <v>86</v>
      </c>
      <c r="AO126"/>
      <c r="AP126" s="44" t="s">
        <v>86</v>
      </c>
      <c r="AQ126" s="44" t="s">
        <v>86</v>
      </c>
      <c r="AR126" s="44" t="s">
        <v>86</v>
      </c>
      <c r="AS126" s="44" t="s">
        <v>86</v>
      </c>
      <c r="AT126"/>
      <c r="AU126" s="44" t="s">
        <v>86</v>
      </c>
      <c r="AV126"/>
      <c r="AW126"/>
      <c r="AX126" s="44" t="s">
        <v>86</v>
      </c>
    </row>
    <row r="127" spans="1:50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>
        <v>5.0000000000000001E-4</v>
      </c>
      <c r="O127" s="44">
        <v>5.0000000000000001E-4</v>
      </c>
      <c r="P127" s="44"/>
      <c r="Q127" s="44">
        <v>5.0000000000000001E-4</v>
      </c>
      <c r="R127" s="44">
        <v>5.0000000000000001E-4</v>
      </c>
      <c r="S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/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 s="44">
        <v>5.0000000000000001E-4</v>
      </c>
      <c r="AN127" s="44">
        <v>5.0000000000000001E-4</v>
      </c>
      <c r="AO127"/>
      <c r="AP127" s="44">
        <v>5.0000000000000001E-4</v>
      </c>
      <c r="AQ127" s="44">
        <v>5.0000000000000001E-4</v>
      </c>
      <c r="AR127" s="44">
        <v>5.0000000000000001E-4</v>
      </c>
      <c r="AS127" s="44">
        <v>5.0000000000000001E-4</v>
      </c>
      <c r="AT127"/>
      <c r="AU127" s="44">
        <v>5.0000000000000001E-4</v>
      </c>
      <c r="AV127"/>
      <c r="AW127"/>
      <c r="AX127" s="44">
        <v>5.0000000000000001E-4</v>
      </c>
    </row>
    <row r="128" spans="1:50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>
        <f>0.0000000000005</f>
        <v>4.9999999999999999E-13</v>
      </c>
      <c r="O128" s="44">
        <f>0.00000000000003/2/2/2</f>
        <v>3.7499999999999998E-15</v>
      </c>
      <c r="P128" s="44"/>
      <c r="Q128" s="44">
        <v>4.9999999999999999E-13</v>
      </c>
      <c r="R128" s="44">
        <v>4.9999999999999999E-13</v>
      </c>
      <c r="S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/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 s="44">
        <v>4.9999999999999999E-13</v>
      </c>
      <c r="AN128" s="44">
        <v>4.9999999999999999E-13</v>
      </c>
      <c r="AO128"/>
      <c r="AP128" s="44">
        <v>4.9999999999999999E-13</v>
      </c>
      <c r="AQ128" s="44">
        <v>4.9999999999999999E-13</v>
      </c>
      <c r="AR128" s="44">
        <v>4.9999999999999999E-13</v>
      </c>
      <c r="AS128" s="44">
        <v>4.9999999999999999E-13</v>
      </c>
      <c r="AT128"/>
      <c r="AU128" s="44">
        <v>4.9999999999999999E-13</v>
      </c>
      <c r="AV128"/>
      <c r="AW128"/>
      <c r="AX128" s="44">
        <v>4.9999999999999999E-13</v>
      </c>
    </row>
    <row r="129" spans="1:50" x14ac:dyDescent="0.25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>
        <f>0.000005/3600/10</f>
        <v>1.3888888888888891E-10</v>
      </c>
      <c r="O129" s="44">
        <f>0.00000000000003/2/2/2</f>
        <v>3.7499999999999998E-15</v>
      </c>
      <c r="P129" s="44"/>
      <c r="Q129" s="44">
        <v>4.9999999999999999E-13</v>
      </c>
      <c r="R129" s="44">
        <v>4.9999999999999999E-13</v>
      </c>
      <c r="S129" s="44">
        <v>4.9999999999999999E-13</v>
      </c>
      <c r="V129" s="44">
        <v>4.9999999999999999E-13</v>
      </c>
      <c r="W129" s="44">
        <v>4.9999999999999999E-13</v>
      </c>
      <c r="X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/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 s="44">
        <v>4.9999999999999999E-13</v>
      </c>
      <c r="AM129" s="44">
        <v>4.9999999999999999E-13</v>
      </c>
      <c r="AN129" s="44">
        <v>4.9999999999999999E-13</v>
      </c>
      <c r="AO129"/>
      <c r="AP129" s="44">
        <v>4.9999999999999999E-13</v>
      </c>
      <c r="AQ129" s="44">
        <v>4.9999999999999999E-13</v>
      </c>
      <c r="AR129" s="44">
        <v>4.9999999999999999E-13</v>
      </c>
      <c r="AS129" s="44">
        <v>4.9999999999999999E-13</v>
      </c>
      <c r="AT129"/>
      <c r="AU129" s="44">
        <v>4.9999999999999999E-13</v>
      </c>
      <c r="AV129"/>
      <c r="AW129"/>
      <c r="AX129" s="44">
        <v>4.9999999999999999E-13</v>
      </c>
    </row>
    <row r="130" spans="1:50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>
        <v>10</v>
      </c>
      <c r="O130" s="44">
        <v>10</v>
      </c>
      <c r="P130" s="44"/>
      <c r="Q130" s="44">
        <v>10</v>
      </c>
      <c r="R130" s="44">
        <v>10</v>
      </c>
      <c r="S130" s="44">
        <v>10</v>
      </c>
      <c r="V130" s="44">
        <v>10</v>
      </c>
      <c r="W130" s="44">
        <v>10</v>
      </c>
      <c r="X130" s="44">
        <v>10</v>
      </c>
      <c r="Y130" s="44">
        <v>10</v>
      </c>
      <c r="Z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/>
      <c r="AH130" s="44">
        <v>10</v>
      </c>
      <c r="AI130" s="44">
        <v>10</v>
      </c>
      <c r="AJ130" s="44">
        <v>10</v>
      </c>
      <c r="AK130" s="44">
        <v>10</v>
      </c>
      <c r="AL130" s="44">
        <v>10</v>
      </c>
      <c r="AM130" s="44">
        <v>10</v>
      </c>
      <c r="AN130" s="44">
        <v>10</v>
      </c>
      <c r="AO130"/>
      <c r="AP130" s="44">
        <v>10</v>
      </c>
      <c r="AQ130" s="44">
        <v>10</v>
      </c>
      <c r="AR130" s="44">
        <v>10</v>
      </c>
      <c r="AS130" s="44">
        <v>10</v>
      </c>
      <c r="AT130"/>
      <c r="AU130" s="44">
        <v>10</v>
      </c>
      <c r="AV130"/>
      <c r="AW130"/>
      <c r="AX130" s="44">
        <v>10</v>
      </c>
    </row>
    <row r="131" spans="1:50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>
        <v>-0.04</v>
      </c>
      <c r="O131" s="44">
        <v>-0.04</v>
      </c>
      <c r="P131" s="44"/>
      <c r="Q131" s="44">
        <v>-0.04</v>
      </c>
      <c r="R131" s="44">
        <v>-0.04</v>
      </c>
      <c r="S131" s="44">
        <v>-0.04</v>
      </c>
      <c r="V131" s="44">
        <v>-0.04</v>
      </c>
      <c r="W131" s="44">
        <v>-0.04</v>
      </c>
      <c r="X131" s="44">
        <v>-0.04</v>
      </c>
      <c r="Y131" s="44">
        <v>-0.04</v>
      </c>
      <c r="Z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/>
      <c r="AH131" s="44">
        <v>-0.04</v>
      </c>
      <c r="AI131" s="44">
        <v>-0.04</v>
      </c>
      <c r="AJ131" s="44">
        <v>-0.04</v>
      </c>
      <c r="AK131" s="44">
        <v>-0.04</v>
      </c>
      <c r="AL131" s="44">
        <v>-0.04</v>
      </c>
      <c r="AM131" s="44">
        <v>-0.04</v>
      </c>
      <c r="AN131" s="44">
        <v>-0.04</v>
      </c>
      <c r="AO131"/>
      <c r="AP131" s="44">
        <v>-0.04</v>
      </c>
      <c r="AQ131" s="44">
        <v>-0.04</v>
      </c>
      <c r="AR131" s="44">
        <v>-0.04</v>
      </c>
      <c r="AS131" s="44">
        <v>-0.04</v>
      </c>
      <c r="AT131"/>
      <c r="AU131" s="44">
        <v>-0.04</v>
      </c>
      <c r="AV131"/>
      <c r="AW131"/>
      <c r="AX131" s="44">
        <v>-0.04</v>
      </c>
    </row>
    <row r="132" spans="1:50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>
        <v>2.9</v>
      </c>
      <c r="O132" s="44">
        <v>2.9</v>
      </c>
      <c r="P132" s="44"/>
      <c r="Q132" s="44">
        <v>2.9</v>
      </c>
      <c r="R132" s="44">
        <v>2.9</v>
      </c>
      <c r="S132" s="44">
        <v>2.9</v>
      </c>
      <c r="V132" s="44">
        <v>2.9</v>
      </c>
      <c r="W132" s="44">
        <v>2.9</v>
      </c>
      <c r="X132" s="44">
        <v>2.9</v>
      </c>
      <c r="Y132" s="44">
        <v>2.9</v>
      </c>
      <c r="Z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/>
      <c r="AH132" s="44">
        <v>2.9</v>
      </c>
      <c r="AI132" s="44">
        <v>2.9</v>
      </c>
      <c r="AJ132" s="44">
        <v>2.9</v>
      </c>
      <c r="AK132" s="44">
        <v>2.9</v>
      </c>
      <c r="AL132" s="44">
        <v>2.9</v>
      </c>
      <c r="AM132" s="44">
        <v>2.9</v>
      </c>
      <c r="AN132" s="44">
        <v>2.9</v>
      </c>
      <c r="AO132"/>
      <c r="AP132" s="44">
        <v>2.9</v>
      </c>
      <c r="AQ132" s="44">
        <v>2.9</v>
      </c>
      <c r="AR132" s="44">
        <v>2.9</v>
      </c>
      <c r="AS132" s="44">
        <v>2.9</v>
      </c>
      <c r="AT132"/>
      <c r="AU132" s="44">
        <v>2.9</v>
      </c>
      <c r="AV132"/>
      <c r="AW132"/>
      <c r="AX132" s="44">
        <v>2.9</v>
      </c>
    </row>
    <row r="133" spans="1:50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>
        <v>1</v>
      </c>
      <c r="O133" s="44">
        <v>1</v>
      </c>
      <c r="P133" s="44"/>
      <c r="Q133" s="44">
        <v>1</v>
      </c>
      <c r="R133" s="44">
        <v>1</v>
      </c>
      <c r="S133" s="44">
        <v>1</v>
      </c>
      <c r="V133" s="44">
        <v>1</v>
      </c>
      <c r="W133" s="44">
        <v>1</v>
      </c>
      <c r="X133" s="44">
        <v>1</v>
      </c>
      <c r="Y133" s="44">
        <v>1</v>
      </c>
      <c r="Z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/>
      <c r="AH133" s="44">
        <v>1</v>
      </c>
      <c r="AI133" s="44">
        <v>1</v>
      </c>
      <c r="AJ133" s="44">
        <v>1</v>
      </c>
      <c r="AK133" s="44">
        <v>1</v>
      </c>
      <c r="AL133" s="44">
        <v>1</v>
      </c>
      <c r="AM133" s="44">
        <v>1</v>
      </c>
      <c r="AN133" s="44">
        <v>1</v>
      </c>
      <c r="AO133"/>
      <c r="AP133" s="44">
        <v>1</v>
      </c>
      <c r="AQ133" s="44">
        <v>1</v>
      </c>
      <c r="AR133" s="44">
        <v>1</v>
      </c>
      <c r="AS133" s="44">
        <v>1</v>
      </c>
      <c r="AT133"/>
      <c r="AU133" s="44">
        <v>1</v>
      </c>
      <c r="AV133"/>
      <c r="AW133"/>
      <c r="AX133" s="44">
        <v>1</v>
      </c>
    </row>
    <row r="134" spans="1:50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>
        <v>1.9999999999999999E-7</v>
      </c>
      <c r="O134" s="44">
        <v>1.9999999999999999E-7</v>
      </c>
      <c r="P134" s="44"/>
      <c r="Q134" s="44">
        <v>1.9999999999999999E-7</v>
      </c>
      <c r="R134" s="44">
        <v>1.9999999999999999E-7</v>
      </c>
      <c r="S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/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 s="44">
        <v>1.9999999999999999E-7</v>
      </c>
      <c r="AN134" s="44">
        <v>1.9999999999999999E-7</v>
      </c>
      <c r="AO134"/>
      <c r="AP134" s="44">
        <v>1.9999999999999999E-7</v>
      </c>
      <c r="AQ134" s="44">
        <v>1.9999999999999999E-7</v>
      </c>
      <c r="AR134" s="44">
        <v>1.9999999999999999E-7</v>
      </c>
      <c r="AS134" s="44">
        <v>1.9999999999999999E-7</v>
      </c>
      <c r="AT134"/>
      <c r="AU134" s="44">
        <v>1.9999999999999999E-7</v>
      </c>
      <c r="AV134"/>
      <c r="AW134"/>
      <c r="AX134" s="44">
        <v>1.9999999999999999E-7</v>
      </c>
    </row>
    <row r="135" spans="1:50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>
        <v>0</v>
      </c>
      <c r="O135" s="55">
        <v>0</v>
      </c>
      <c r="P135" s="55"/>
      <c r="Q135" s="44">
        <v>1.9999999999999999E-7</v>
      </c>
      <c r="R135" s="44">
        <v>1.9999999999999999E-7</v>
      </c>
      <c r="S135" s="44">
        <v>1.9999999999999999E-7</v>
      </c>
      <c r="V135" s="44">
        <v>1.9999999999999999E-7</v>
      </c>
      <c r="W135" s="44">
        <v>1.9999999999999999E-7</v>
      </c>
      <c r="X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/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 s="44">
        <v>1.9999999999999999E-7</v>
      </c>
      <c r="AM135" s="44">
        <v>1.9999999999999999E-7</v>
      </c>
      <c r="AN135" s="44">
        <v>1.9999999999999999E-7</v>
      </c>
      <c r="AO135"/>
      <c r="AP135" s="44">
        <v>1.9999999999999999E-7</v>
      </c>
      <c r="AQ135" s="44">
        <v>1.9999999999999999E-7</v>
      </c>
      <c r="AR135" s="44">
        <v>1.9999999999999999E-7</v>
      </c>
      <c r="AS135" s="44">
        <v>1.9999999999999999E-7</v>
      </c>
      <c r="AT135"/>
      <c r="AU135" s="44">
        <v>1.9999999999999999E-7</v>
      </c>
      <c r="AV135"/>
      <c r="AW135"/>
      <c r="AX135" s="44">
        <v>1.9999999999999999E-7</v>
      </c>
    </row>
    <row r="136" spans="1:50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>
        <v>10</v>
      </c>
      <c r="O136" s="44">
        <v>10</v>
      </c>
      <c r="P136" s="44"/>
      <c r="Q136" s="44">
        <v>10</v>
      </c>
      <c r="R136" s="44">
        <v>10</v>
      </c>
      <c r="S136" s="44">
        <v>10</v>
      </c>
      <c r="V136" s="44">
        <v>10</v>
      </c>
      <c r="W136" s="44">
        <v>10</v>
      </c>
      <c r="X136" s="44">
        <v>10</v>
      </c>
      <c r="Y136" s="44">
        <v>10</v>
      </c>
      <c r="Z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/>
      <c r="AH136" s="44">
        <v>10</v>
      </c>
      <c r="AI136" s="44">
        <v>10</v>
      </c>
      <c r="AJ136" s="44">
        <v>10</v>
      </c>
      <c r="AK136" s="44">
        <v>10</v>
      </c>
      <c r="AL136" s="44">
        <v>10</v>
      </c>
      <c r="AM136" s="44">
        <v>10</v>
      </c>
      <c r="AN136" s="44">
        <v>10</v>
      </c>
      <c r="AO136"/>
      <c r="AP136" s="44">
        <v>10</v>
      </c>
      <c r="AQ136" s="44">
        <v>10</v>
      </c>
      <c r="AR136" s="44">
        <v>10</v>
      </c>
      <c r="AS136" s="44">
        <v>10</v>
      </c>
      <c r="AT136"/>
      <c r="AU136" s="44">
        <v>10</v>
      </c>
      <c r="AV136"/>
      <c r="AW136"/>
      <c r="AX136" s="44">
        <v>10</v>
      </c>
    </row>
    <row r="137" spans="1:50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>
        <v>-0.04</v>
      </c>
      <c r="O137" s="44">
        <v>-0.04</v>
      </c>
      <c r="P137" s="44"/>
      <c r="Q137" s="44">
        <v>-0.04</v>
      </c>
      <c r="R137" s="44">
        <v>-0.04</v>
      </c>
      <c r="S137" s="44">
        <v>-0.04</v>
      </c>
      <c r="V137" s="44">
        <v>-0.04</v>
      </c>
      <c r="W137" s="44">
        <v>-0.04</v>
      </c>
      <c r="X137" s="44">
        <v>-0.04</v>
      </c>
      <c r="Y137" s="44">
        <v>-0.04</v>
      </c>
      <c r="Z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/>
      <c r="AH137" s="44">
        <v>-0.04</v>
      </c>
      <c r="AI137" s="44">
        <v>-0.04</v>
      </c>
      <c r="AJ137" s="44">
        <v>-0.04</v>
      </c>
      <c r="AK137" s="44">
        <v>-0.04</v>
      </c>
      <c r="AL137" s="44">
        <v>-0.04</v>
      </c>
      <c r="AM137" s="44">
        <v>-0.04</v>
      </c>
      <c r="AN137" s="44">
        <v>-0.04</v>
      </c>
      <c r="AO137"/>
      <c r="AP137" s="44">
        <v>-0.04</v>
      </c>
      <c r="AQ137" s="44">
        <v>-0.04</v>
      </c>
      <c r="AR137" s="44">
        <v>-0.04</v>
      </c>
      <c r="AS137" s="44">
        <v>-0.04</v>
      </c>
      <c r="AT137"/>
      <c r="AU137" s="44">
        <v>-0.04</v>
      </c>
      <c r="AV137"/>
      <c r="AW137"/>
      <c r="AX137" s="44">
        <v>-0.04</v>
      </c>
    </row>
    <row r="138" spans="1:50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>
        <v>2.9</v>
      </c>
      <c r="O138" s="44">
        <v>2.9</v>
      </c>
      <c r="P138" s="44"/>
      <c r="Q138" s="44">
        <v>2.9</v>
      </c>
      <c r="R138" s="44">
        <v>2.9</v>
      </c>
      <c r="S138" s="44">
        <v>2.9</v>
      </c>
      <c r="V138" s="44">
        <v>2.9</v>
      </c>
      <c r="W138" s="44">
        <v>2.9</v>
      </c>
      <c r="X138" s="44">
        <v>2.9</v>
      </c>
      <c r="Y138" s="44">
        <v>2.9</v>
      </c>
      <c r="Z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/>
      <c r="AH138" s="44">
        <v>2.9</v>
      </c>
      <c r="AI138" s="44">
        <v>2.9</v>
      </c>
      <c r="AJ138" s="44">
        <v>2.9</v>
      </c>
      <c r="AK138" s="44">
        <v>2.9</v>
      </c>
      <c r="AL138" s="44">
        <v>2.9</v>
      </c>
      <c r="AM138" s="44">
        <v>2.9</v>
      </c>
      <c r="AN138" s="44">
        <v>2.9</v>
      </c>
      <c r="AO138"/>
      <c r="AP138" s="44">
        <v>2.9</v>
      </c>
      <c r="AQ138" s="44">
        <v>2.9</v>
      </c>
      <c r="AR138" s="44">
        <v>2.9</v>
      </c>
      <c r="AS138" s="44">
        <v>2.9</v>
      </c>
      <c r="AT138"/>
      <c r="AU138" s="44">
        <v>2.9</v>
      </c>
      <c r="AV138"/>
      <c r="AW138"/>
      <c r="AX138" s="44">
        <v>2.9</v>
      </c>
    </row>
    <row r="139" spans="1:50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>
        <v>1</v>
      </c>
      <c r="O139" s="44">
        <v>1</v>
      </c>
      <c r="P139" s="44"/>
      <c r="Q139" s="44">
        <v>1</v>
      </c>
      <c r="R139" s="44">
        <v>1</v>
      </c>
      <c r="S139" s="44">
        <v>1</v>
      </c>
      <c r="V139" s="44">
        <v>1</v>
      </c>
      <c r="W139" s="44">
        <v>1</v>
      </c>
      <c r="X139" s="44">
        <v>1</v>
      </c>
      <c r="Y139" s="44">
        <v>1</v>
      </c>
      <c r="Z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/>
      <c r="AH139" s="44">
        <v>1</v>
      </c>
      <c r="AI139" s="44">
        <v>1</v>
      </c>
      <c r="AJ139" s="44">
        <v>1</v>
      </c>
      <c r="AK139" s="44">
        <v>1</v>
      </c>
      <c r="AL139" s="44">
        <v>1</v>
      </c>
      <c r="AM139" s="44">
        <v>1</v>
      </c>
      <c r="AN139" s="44">
        <v>1</v>
      </c>
      <c r="AO139"/>
      <c r="AP139" s="44">
        <v>1</v>
      </c>
      <c r="AQ139" s="44">
        <v>1</v>
      </c>
      <c r="AR139" s="44">
        <v>1</v>
      </c>
      <c r="AS139" s="44">
        <v>1</v>
      </c>
      <c r="AT139"/>
      <c r="AU139" s="44">
        <v>1</v>
      </c>
      <c r="AV139"/>
      <c r="AW139"/>
      <c r="AX139" s="44">
        <v>1</v>
      </c>
    </row>
    <row r="140" spans="1:50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>
        <v>0</v>
      </c>
      <c r="O140" s="44">
        <v>0</v>
      </c>
      <c r="P140" s="44"/>
      <c r="Q140" s="44">
        <v>0</v>
      </c>
      <c r="R140" s="44">
        <v>0</v>
      </c>
      <c r="S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/>
      <c r="AH140" s="44">
        <v>0</v>
      </c>
      <c r="AI140" s="44">
        <v>0</v>
      </c>
      <c r="AJ140" s="44">
        <v>0</v>
      </c>
      <c r="AK140" s="44">
        <v>0</v>
      </c>
      <c r="AL140" s="44">
        <v>0</v>
      </c>
      <c r="AM140" s="44">
        <v>0</v>
      </c>
      <c r="AN140" s="44">
        <v>0</v>
      </c>
      <c r="AO140"/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/>
      <c r="AW140"/>
      <c r="AX140" s="44">
        <v>0</v>
      </c>
    </row>
    <row r="141" spans="1:50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>
        <v>5.0000000000000004E-6</v>
      </c>
      <c r="O141" s="44">
        <v>5.0000000000000004E-6</v>
      </c>
      <c r="P141" s="44"/>
      <c r="Q141" s="44">
        <v>5.0000000000000004E-6</v>
      </c>
      <c r="R141" s="44">
        <v>5.0000000000000004E-6</v>
      </c>
      <c r="S141" s="44">
        <v>5.0000000000000004E-6</v>
      </c>
      <c r="V141" s="44">
        <v>5.0000000000000004E-6</v>
      </c>
      <c r="W141" s="44">
        <v>5.0000000000000004E-6</v>
      </c>
      <c r="X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/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 s="44">
        <v>5.0000000000000004E-6</v>
      </c>
      <c r="AM141" s="44">
        <v>5.0000000000000004E-6</v>
      </c>
      <c r="AN141" s="44">
        <v>5.0000000000000004E-6</v>
      </c>
      <c r="AO141"/>
      <c r="AP141" s="44">
        <v>5.0000000000000004E-6</v>
      </c>
      <c r="AQ141" s="44">
        <v>5.0000000000000004E-6</v>
      </c>
      <c r="AR141" s="44">
        <v>5.0000000000000004E-6</v>
      </c>
      <c r="AS141" s="44">
        <v>5.0000000000000004E-6</v>
      </c>
      <c r="AT141"/>
      <c r="AU141" s="44">
        <v>5.0000000000000004E-6</v>
      </c>
      <c r="AV141"/>
      <c r="AW141"/>
      <c r="AX141" s="44">
        <v>5.0000000000000004E-6</v>
      </c>
    </row>
    <row r="142" spans="1:50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>
        <v>0</v>
      </c>
      <c r="O142" s="44">
        <v>0</v>
      </c>
      <c r="P142" s="44"/>
      <c r="Q142" s="44">
        <v>0</v>
      </c>
      <c r="R142" s="44">
        <v>0</v>
      </c>
      <c r="S142" s="44">
        <v>0</v>
      </c>
      <c r="V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/>
      <c r="AH142" s="44">
        <v>0</v>
      </c>
      <c r="AI142" s="44">
        <v>0</v>
      </c>
      <c r="AJ142" s="44">
        <v>0</v>
      </c>
      <c r="AK142" s="44">
        <v>0</v>
      </c>
      <c r="AL142" s="44">
        <v>0</v>
      </c>
      <c r="AM142" s="44">
        <v>0</v>
      </c>
      <c r="AN142" s="44">
        <v>0</v>
      </c>
      <c r="AO142"/>
      <c r="AP142" s="44">
        <v>0</v>
      </c>
      <c r="AQ142" s="44">
        <v>0</v>
      </c>
      <c r="AR142" s="44">
        <v>0</v>
      </c>
      <c r="AS142" s="44">
        <v>0</v>
      </c>
      <c r="AT142"/>
      <c r="AU142" s="44">
        <v>0</v>
      </c>
      <c r="AV142"/>
      <c r="AW142"/>
      <c r="AX142" s="44">
        <v>0</v>
      </c>
    </row>
    <row r="143" spans="1:50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>
        <v>2E-3</v>
      </c>
      <c r="O143" s="44">
        <v>2E-3</v>
      </c>
      <c r="P143" s="44"/>
      <c r="Q143" s="44">
        <v>2E-3</v>
      </c>
      <c r="R143" s="44">
        <v>2E-3</v>
      </c>
      <c r="S143" s="44">
        <v>2E-3</v>
      </c>
      <c r="V143" s="44">
        <v>2E-3</v>
      </c>
      <c r="W143" s="44">
        <v>2E-3</v>
      </c>
      <c r="X143" s="44">
        <v>2E-3</v>
      </c>
      <c r="Y143" s="44">
        <v>2E-3</v>
      </c>
      <c r="Z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/>
      <c r="AH143" s="44">
        <v>2E-3</v>
      </c>
      <c r="AI143" s="44">
        <v>2E-3</v>
      </c>
      <c r="AJ143" s="44">
        <v>2E-3</v>
      </c>
      <c r="AK143" s="44">
        <v>2E-3</v>
      </c>
      <c r="AL143" s="44">
        <v>2E-3</v>
      </c>
      <c r="AM143" s="44">
        <v>2E-3</v>
      </c>
      <c r="AN143" s="44">
        <v>2E-3</v>
      </c>
      <c r="AO143"/>
      <c r="AP143" s="44">
        <v>2E-3</v>
      </c>
      <c r="AQ143" s="44">
        <v>2E-3</v>
      </c>
      <c r="AR143" s="44">
        <v>2E-3</v>
      </c>
      <c r="AS143" s="44">
        <v>2E-3</v>
      </c>
      <c r="AT143"/>
      <c r="AU143" s="44">
        <v>2E-3</v>
      </c>
      <c r="AV143"/>
      <c r="AW143"/>
      <c r="AX143" s="44">
        <v>2E-3</v>
      </c>
    </row>
    <row r="144" spans="1:50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>
        <v>3.9999999999999998E-6</v>
      </c>
      <c r="O144" s="44">
        <v>3.9999999999999998E-6</v>
      </c>
      <c r="P144" s="44"/>
      <c r="Q144" s="44">
        <v>3.9999999999999998E-6</v>
      </c>
      <c r="R144" s="44">
        <v>3.9999999999999998E-6</v>
      </c>
      <c r="S144" s="44">
        <v>3.9999999999999998E-6</v>
      </c>
      <c r="V144" s="44">
        <v>3.9999999999999998E-6</v>
      </c>
      <c r="W144" s="44">
        <v>3.9999999999999998E-6</v>
      </c>
      <c r="X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/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 s="44">
        <v>3.9999999999999998E-6</v>
      </c>
      <c r="AM144" s="44">
        <v>3.9999999999999998E-6</v>
      </c>
      <c r="AN144" s="44">
        <v>3.9999999999999998E-6</v>
      </c>
      <c r="AO144"/>
      <c r="AP144" s="44">
        <v>3.9999999999999998E-6</v>
      </c>
      <c r="AQ144" s="44">
        <v>3.9999999999999998E-6</v>
      </c>
      <c r="AR144" s="44">
        <v>3.9999999999999998E-6</v>
      </c>
      <c r="AS144" s="44">
        <v>3.9999999999999998E-6</v>
      </c>
      <c r="AT144"/>
      <c r="AU144" s="44">
        <v>3.9999999999999998E-6</v>
      </c>
      <c r="AV144"/>
      <c r="AW144"/>
      <c r="AX144" s="44">
        <v>3.9999999999999998E-6</v>
      </c>
    </row>
    <row r="145" spans="1:50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>
        <v>3.7699999999999999E-10</v>
      </c>
      <c r="O145" s="44">
        <v>3.7699999999999999E-10</v>
      </c>
      <c r="P145" s="44"/>
      <c r="Q145" s="44">
        <v>3.7699999999999999E-10</v>
      </c>
      <c r="R145" s="44">
        <v>3.7699999999999999E-10</v>
      </c>
      <c r="S145" s="44">
        <v>3.7699999999999999E-10</v>
      </c>
      <c r="V145" s="44">
        <v>3.7699999999999999E-10</v>
      </c>
      <c r="W145" s="44">
        <v>3.7699999999999999E-10</v>
      </c>
      <c r="X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/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 s="44">
        <v>3.7699999999999999E-10</v>
      </c>
      <c r="AM145" s="44">
        <v>3.7699999999999999E-10</v>
      </c>
      <c r="AN145" s="44">
        <v>3.7699999999999999E-10</v>
      </c>
      <c r="AO145"/>
      <c r="AP145" s="44">
        <v>3.7699999999999999E-10</v>
      </c>
      <c r="AQ145" s="44">
        <v>3.7699999999999999E-10</v>
      </c>
      <c r="AR145" s="44">
        <v>3.7699999999999999E-10</v>
      </c>
      <c r="AS145" s="44">
        <v>3.7699999999999999E-10</v>
      </c>
      <c r="AT145"/>
      <c r="AU145" s="44">
        <v>3.7699999999999999E-10</v>
      </c>
      <c r="AV145"/>
      <c r="AW145"/>
      <c r="AX145" s="44">
        <v>3.7699999999999999E-10</v>
      </c>
    </row>
    <row r="146" spans="1:50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>
        <v>20</v>
      </c>
      <c r="O146" s="44">
        <v>20</v>
      </c>
      <c r="P146" s="44"/>
      <c r="Q146" s="44">
        <v>20</v>
      </c>
      <c r="R146" s="44">
        <v>20</v>
      </c>
      <c r="S146" s="44">
        <v>20</v>
      </c>
      <c r="V146" s="44">
        <v>20</v>
      </c>
      <c r="W146" s="44">
        <v>20</v>
      </c>
      <c r="X146" s="44">
        <v>20</v>
      </c>
      <c r="Y146" s="44">
        <v>20</v>
      </c>
      <c r="Z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/>
      <c r="AH146" s="44">
        <v>20</v>
      </c>
      <c r="AI146" s="44">
        <v>20</v>
      </c>
      <c r="AJ146" s="44">
        <v>20</v>
      </c>
      <c r="AK146" s="44">
        <v>20</v>
      </c>
      <c r="AL146" s="44">
        <v>20</v>
      </c>
      <c r="AM146" s="44">
        <v>20</v>
      </c>
      <c r="AN146" s="44">
        <v>20</v>
      </c>
      <c r="AO146"/>
      <c r="AP146" s="44">
        <v>20</v>
      </c>
      <c r="AQ146" s="44">
        <v>20</v>
      </c>
      <c r="AR146" s="44">
        <v>20</v>
      </c>
      <c r="AS146" s="44">
        <v>20</v>
      </c>
      <c r="AT146"/>
      <c r="AU146" s="44">
        <v>20</v>
      </c>
      <c r="AV146"/>
      <c r="AW146"/>
      <c r="AX146" s="44">
        <v>20</v>
      </c>
    </row>
    <row r="147" spans="1:50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>
        <v>-0.06</v>
      </c>
      <c r="O147" s="44">
        <v>-0.06</v>
      </c>
      <c r="P147" s="44"/>
      <c r="Q147" s="44">
        <v>-0.06</v>
      </c>
      <c r="R147" s="44">
        <v>-0.06</v>
      </c>
      <c r="S147" s="44">
        <v>-0.06</v>
      </c>
      <c r="V147" s="44">
        <v>-0.06</v>
      </c>
      <c r="W147" s="44">
        <v>-0.06</v>
      </c>
      <c r="X147" s="44">
        <v>-0.06</v>
      </c>
      <c r="Y147" s="44">
        <v>-0.06</v>
      </c>
      <c r="Z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/>
      <c r="AH147" s="44">
        <v>-0.06</v>
      </c>
      <c r="AI147" s="44">
        <v>-0.06</v>
      </c>
      <c r="AJ147" s="44">
        <v>-0.06</v>
      </c>
      <c r="AK147" s="44">
        <v>-0.06</v>
      </c>
      <c r="AL147" s="44">
        <v>-0.06</v>
      </c>
      <c r="AM147" s="44">
        <v>-0.06</v>
      </c>
      <c r="AN147" s="44">
        <v>-0.06</v>
      </c>
      <c r="AO147"/>
      <c r="AP147" s="44">
        <v>-0.06</v>
      </c>
      <c r="AQ147" s="44">
        <v>-0.06</v>
      </c>
      <c r="AR147" s="44">
        <v>-0.06</v>
      </c>
      <c r="AS147" s="44">
        <v>-0.06</v>
      </c>
      <c r="AT147"/>
      <c r="AU147" s="44">
        <v>-0.06</v>
      </c>
      <c r="AV147"/>
      <c r="AW147"/>
      <c r="AX147" s="44">
        <v>-0.06</v>
      </c>
    </row>
    <row r="148" spans="1:50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>
        <v>0.89100000000000001</v>
      </c>
      <c r="O148" s="44">
        <v>0.89100000000000001</v>
      </c>
      <c r="P148" s="44"/>
      <c r="Q148" s="44">
        <v>0.89100000000000001</v>
      </c>
      <c r="R148" s="44">
        <v>0.89100000000000001</v>
      </c>
      <c r="S148" s="44">
        <v>0.89100000000000001</v>
      </c>
      <c r="V148" s="44">
        <v>0.89100000000000001</v>
      </c>
      <c r="W148" s="44">
        <v>0.89100000000000001</v>
      </c>
      <c r="X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/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 s="44">
        <v>0.89100000000000001</v>
      </c>
      <c r="AM148" s="44">
        <v>0.89100000000000001</v>
      </c>
      <c r="AN148" s="44">
        <v>0.89100000000000001</v>
      </c>
      <c r="AO148"/>
      <c r="AP148" s="44">
        <v>0.89100000000000001</v>
      </c>
      <c r="AQ148" s="44">
        <v>0.89100000000000001</v>
      </c>
      <c r="AR148" s="44">
        <v>0.89100000000000001</v>
      </c>
      <c r="AS148" s="44">
        <v>0.89100000000000001</v>
      </c>
      <c r="AT148"/>
      <c r="AU148" s="44">
        <v>0.89100000000000001</v>
      </c>
      <c r="AV148"/>
      <c r="AW148"/>
      <c r="AX148" s="44">
        <v>0.89100000000000001</v>
      </c>
    </row>
    <row r="149" spans="1:50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>
        <v>1</v>
      </c>
      <c r="O149" s="44">
        <v>1</v>
      </c>
      <c r="P149" s="44"/>
      <c r="Q149" s="44">
        <v>1</v>
      </c>
      <c r="R149" s="44">
        <v>1</v>
      </c>
      <c r="S149" s="44">
        <v>1</v>
      </c>
      <c r="V149" s="44">
        <v>1</v>
      </c>
      <c r="W149" s="44">
        <v>1</v>
      </c>
      <c r="X149" s="44">
        <v>1</v>
      </c>
      <c r="Y149" s="44">
        <v>1</v>
      </c>
      <c r="Z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/>
      <c r="AH149" s="44">
        <v>1</v>
      </c>
      <c r="AI149" s="44">
        <v>1</v>
      </c>
      <c r="AJ149" s="44">
        <v>1</v>
      </c>
      <c r="AK149" s="44">
        <v>1</v>
      </c>
      <c r="AL149" s="44">
        <v>1</v>
      </c>
      <c r="AM149" s="44">
        <v>1</v>
      </c>
      <c r="AN149" s="44">
        <v>1</v>
      </c>
      <c r="AO149"/>
      <c r="AP149" s="44">
        <v>1</v>
      </c>
      <c r="AQ149" s="44">
        <v>1</v>
      </c>
      <c r="AR149" s="44">
        <v>1</v>
      </c>
      <c r="AS149" s="44">
        <v>1</v>
      </c>
      <c r="AT149"/>
      <c r="AU149" s="44">
        <v>1</v>
      </c>
      <c r="AV149"/>
      <c r="AW149"/>
      <c r="AX149" s="44">
        <v>1</v>
      </c>
    </row>
    <row r="150" spans="1:50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>
        <v>4.0000000000000003E-5</v>
      </c>
      <c r="O150" s="44">
        <v>4.0000000000000003E-5</v>
      </c>
      <c r="P150" s="44"/>
      <c r="Q150" s="44">
        <v>4.0000000000000003E-5</v>
      </c>
      <c r="R150" s="44">
        <v>4.0000000000000003E-5</v>
      </c>
      <c r="S150" s="44">
        <v>4.0000000000000003E-5</v>
      </c>
      <c r="V150" s="44">
        <v>4.0000000000000003E-5</v>
      </c>
      <c r="W150" s="44">
        <v>4.0000000000000003E-5</v>
      </c>
      <c r="X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/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 s="44">
        <v>4.0000000000000003E-5</v>
      </c>
      <c r="AM150" s="44">
        <v>4.0000000000000003E-5</v>
      </c>
      <c r="AN150" s="44">
        <v>4.0000000000000003E-5</v>
      </c>
      <c r="AO150"/>
      <c r="AP150" s="44">
        <v>4.0000000000000003E-5</v>
      </c>
      <c r="AQ150" s="44">
        <v>4.0000000000000003E-5</v>
      </c>
      <c r="AR150" s="44">
        <v>4.0000000000000003E-5</v>
      </c>
      <c r="AS150" s="44">
        <v>4.0000000000000003E-5</v>
      </c>
      <c r="AT150"/>
      <c r="AU150" s="44">
        <v>4.0000000000000003E-5</v>
      </c>
      <c r="AV150"/>
      <c r="AW150"/>
      <c r="AX150" s="44">
        <v>4.0000000000000003E-5</v>
      </c>
    </row>
    <row r="151" spans="1:50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>
        <v>5.8333333333333335E-9</v>
      </c>
      <c r="O151" s="44">
        <v>5.8333333333333335E-9</v>
      </c>
      <c r="P151" s="44"/>
      <c r="Q151" s="44">
        <v>5.8333333333333335E-9</v>
      </c>
      <c r="R151" s="44">
        <v>5.8333333333333335E-9</v>
      </c>
      <c r="S151" s="44">
        <v>5.8333333333333335E-9</v>
      </c>
      <c r="V151" s="44">
        <v>5.8333333333333335E-9</v>
      </c>
      <c r="W151" s="44">
        <v>5.8333333333333335E-9</v>
      </c>
      <c r="X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/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 s="44">
        <v>5.8333333333333335E-9</v>
      </c>
      <c r="AM151" s="44">
        <v>5.8333333333333335E-9</v>
      </c>
      <c r="AN151" s="44">
        <v>5.8333333333333335E-9</v>
      </c>
      <c r="AO151"/>
      <c r="AP151" s="44">
        <v>5.8333333333333335E-9</v>
      </c>
      <c r="AQ151" s="44">
        <v>5.8333333333333335E-9</v>
      </c>
      <c r="AR151" s="44">
        <v>5.8333333333333335E-9</v>
      </c>
      <c r="AS151" s="44">
        <v>5.8333333333333335E-9</v>
      </c>
      <c r="AT151"/>
      <c r="AU151" s="44">
        <v>5.8333333333333335E-9</v>
      </c>
      <c r="AV151"/>
      <c r="AW151"/>
      <c r="AX151" s="44">
        <v>5.8333333333333335E-9</v>
      </c>
    </row>
    <row r="152" spans="1:50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>
        <v>20</v>
      </c>
      <c r="O152" s="44">
        <v>20</v>
      </c>
      <c r="P152" s="44"/>
      <c r="Q152" s="44">
        <v>20</v>
      </c>
      <c r="R152" s="44">
        <v>20</v>
      </c>
      <c r="S152" s="44">
        <v>20</v>
      </c>
      <c r="V152" s="44">
        <v>20</v>
      </c>
      <c r="W152" s="44">
        <v>20</v>
      </c>
      <c r="X152" s="44">
        <v>20</v>
      </c>
      <c r="Y152" s="44">
        <v>20</v>
      </c>
      <c r="Z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/>
      <c r="AH152" s="44">
        <v>20</v>
      </c>
      <c r="AI152" s="44">
        <v>20</v>
      </c>
      <c r="AJ152" s="44">
        <v>20</v>
      </c>
      <c r="AK152" s="44">
        <v>20</v>
      </c>
      <c r="AL152" s="44">
        <v>20</v>
      </c>
      <c r="AM152" s="44">
        <v>20</v>
      </c>
      <c r="AN152" s="44">
        <v>20</v>
      </c>
      <c r="AO152"/>
      <c r="AP152" s="44">
        <v>20</v>
      </c>
      <c r="AQ152" s="44">
        <v>20</v>
      </c>
      <c r="AR152" s="44">
        <v>20</v>
      </c>
      <c r="AS152" s="44">
        <v>20</v>
      </c>
      <c r="AT152"/>
      <c r="AU152" s="44">
        <v>20</v>
      </c>
      <c r="AV152"/>
      <c r="AW152"/>
      <c r="AX152" s="44">
        <v>20</v>
      </c>
    </row>
    <row r="153" spans="1:50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>
        <v>-0.06</v>
      </c>
      <c r="O153" s="44">
        <v>-0.06</v>
      </c>
      <c r="P153" s="44"/>
      <c r="Q153" s="44">
        <v>-0.06</v>
      </c>
      <c r="R153" s="44">
        <v>-0.06</v>
      </c>
      <c r="S153" s="44">
        <v>-0.06</v>
      </c>
      <c r="V153" s="44">
        <v>-0.06</v>
      </c>
      <c r="W153" s="44">
        <v>-0.06</v>
      </c>
      <c r="X153" s="44">
        <v>-0.06</v>
      </c>
      <c r="Y153" s="44">
        <v>-0.06</v>
      </c>
      <c r="Z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/>
      <c r="AH153" s="44">
        <v>-0.06</v>
      </c>
      <c r="AI153" s="44">
        <v>-0.06</v>
      </c>
      <c r="AJ153" s="44">
        <v>-0.06</v>
      </c>
      <c r="AK153" s="44">
        <v>-0.06</v>
      </c>
      <c r="AL153" s="44">
        <v>-0.06</v>
      </c>
      <c r="AM153" s="44">
        <v>-0.06</v>
      </c>
      <c r="AN153" s="44">
        <v>-0.06</v>
      </c>
      <c r="AO153"/>
      <c r="AP153" s="44">
        <v>-0.06</v>
      </c>
      <c r="AQ153" s="44">
        <v>-0.06</v>
      </c>
      <c r="AR153" s="44">
        <v>-0.06</v>
      </c>
      <c r="AS153" s="44">
        <v>-0.06</v>
      </c>
      <c r="AT153"/>
      <c r="AU153" s="44">
        <v>-0.06</v>
      </c>
      <c r="AV153"/>
      <c r="AW153"/>
      <c r="AX153" s="44">
        <v>-0.06</v>
      </c>
    </row>
    <row r="154" spans="1:50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>
        <v>0.89100000000000001</v>
      </c>
      <c r="O154" s="44">
        <v>0.89100000000000001</v>
      </c>
      <c r="P154" s="44"/>
      <c r="Q154" s="44">
        <v>0.89100000000000001</v>
      </c>
      <c r="R154" s="44">
        <v>0.89100000000000001</v>
      </c>
      <c r="S154" s="44">
        <v>0.89100000000000001</v>
      </c>
      <c r="V154" s="44">
        <v>0.89100000000000001</v>
      </c>
      <c r="W154" s="44">
        <v>0.89100000000000001</v>
      </c>
      <c r="X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/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 s="44">
        <v>0.89100000000000001</v>
      </c>
      <c r="AM154" s="44">
        <v>0.89100000000000001</v>
      </c>
      <c r="AN154" s="44">
        <v>0.89100000000000001</v>
      </c>
      <c r="AO154"/>
      <c r="AP154" s="44">
        <v>0.89100000000000001</v>
      </c>
      <c r="AQ154" s="44">
        <v>0.89100000000000001</v>
      </c>
      <c r="AR154" s="44">
        <v>0.89100000000000001</v>
      </c>
      <c r="AS154" s="44">
        <v>0.89100000000000001</v>
      </c>
      <c r="AT154"/>
      <c r="AU154" s="44">
        <v>0.89100000000000001</v>
      </c>
      <c r="AV154"/>
      <c r="AW154"/>
      <c r="AX154" s="44">
        <v>0.89100000000000001</v>
      </c>
    </row>
    <row r="155" spans="1:50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>
        <v>1</v>
      </c>
      <c r="O155" s="44">
        <v>1</v>
      </c>
      <c r="P155" s="44"/>
      <c r="Q155" s="44">
        <v>1</v>
      </c>
      <c r="R155" s="44">
        <v>1</v>
      </c>
      <c r="S155" s="44">
        <v>1</v>
      </c>
      <c r="V155" s="44">
        <v>1</v>
      </c>
      <c r="W155" s="44">
        <v>1</v>
      </c>
      <c r="X155" s="44">
        <v>1</v>
      </c>
      <c r="Y155" s="44">
        <v>1</v>
      </c>
      <c r="Z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/>
      <c r="AH155" s="44">
        <v>1</v>
      </c>
      <c r="AI155" s="44">
        <v>1</v>
      </c>
      <c r="AJ155" s="44">
        <v>1</v>
      </c>
      <c r="AK155" s="44">
        <v>1</v>
      </c>
      <c r="AL155" s="44">
        <v>1</v>
      </c>
      <c r="AM155" s="44">
        <v>1</v>
      </c>
      <c r="AN155" s="44">
        <v>1</v>
      </c>
      <c r="AO155"/>
      <c r="AP155" s="44">
        <v>1</v>
      </c>
      <c r="AQ155" s="44">
        <v>1</v>
      </c>
      <c r="AR155" s="44">
        <v>1</v>
      </c>
      <c r="AS155" s="44">
        <v>1</v>
      </c>
      <c r="AT155"/>
      <c r="AU155" s="44">
        <v>1</v>
      </c>
      <c r="AV155"/>
      <c r="AW155"/>
      <c r="AX155" s="44">
        <v>1</v>
      </c>
    </row>
    <row r="156" spans="1:50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>
        <v>4.0000000000000003E-5</v>
      </c>
      <c r="O156" s="44">
        <v>4.0000000000000003E-5</v>
      </c>
      <c r="P156" s="44"/>
      <c r="Q156" s="44">
        <v>4.0000000000000003E-5</v>
      </c>
      <c r="R156" s="44">
        <v>4.0000000000000003E-5</v>
      </c>
      <c r="S156" s="44">
        <v>4.0000000000000003E-5</v>
      </c>
      <c r="V156" s="44">
        <v>4.0000000000000003E-5</v>
      </c>
      <c r="W156" s="44">
        <v>4.0000000000000003E-5</v>
      </c>
      <c r="X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/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 s="44">
        <v>4.0000000000000003E-5</v>
      </c>
      <c r="AM156" s="44">
        <v>4.0000000000000003E-5</v>
      </c>
      <c r="AN156" s="44">
        <v>4.0000000000000003E-5</v>
      </c>
      <c r="AO156"/>
      <c r="AP156" s="44">
        <v>4.0000000000000003E-5</v>
      </c>
      <c r="AQ156" s="44">
        <v>4.0000000000000003E-5</v>
      </c>
      <c r="AR156" s="44">
        <v>4.0000000000000003E-5</v>
      </c>
      <c r="AS156" s="44">
        <v>4.0000000000000003E-5</v>
      </c>
      <c r="AT156"/>
      <c r="AU156" s="44">
        <v>4.0000000000000003E-5</v>
      </c>
      <c r="AV156"/>
      <c r="AW156"/>
      <c r="AX156" s="44">
        <v>4.0000000000000003E-5</v>
      </c>
    </row>
    <row r="157" spans="1:50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>
        <v>4.0000000000000001E-8</v>
      </c>
      <c r="O157" s="44">
        <v>4.0000000000000001E-8</v>
      </c>
      <c r="P157" s="44"/>
      <c r="Q157" s="44">
        <v>4.0000000000000001E-8</v>
      </c>
      <c r="R157" s="44">
        <v>4.0000000000000001E-8</v>
      </c>
      <c r="S157" s="44">
        <v>4.0000000000000001E-8</v>
      </c>
      <c r="V157" s="44">
        <v>4.0000000000000001E-8</v>
      </c>
      <c r="W157" s="44">
        <v>4.0000000000000001E-8</v>
      </c>
      <c r="X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/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 s="44">
        <v>4.0000000000000001E-8</v>
      </c>
      <c r="AM157" s="44">
        <v>4.0000000000000001E-8</v>
      </c>
      <c r="AN157" s="44">
        <v>4.0000000000000001E-8</v>
      </c>
      <c r="AO157"/>
      <c r="AP157" s="44">
        <v>4.0000000000000001E-8</v>
      </c>
      <c r="AQ157" s="44">
        <v>4.0000000000000001E-8</v>
      </c>
      <c r="AR157" s="44">
        <v>4.0000000000000001E-8</v>
      </c>
      <c r="AS157" s="44">
        <v>4.0000000000000001E-8</v>
      </c>
      <c r="AT157"/>
      <c r="AU157" s="44">
        <v>4.0000000000000001E-8</v>
      </c>
      <c r="AV157"/>
      <c r="AW157"/>
      <c r="AX157" s="44">
        <v>4.0000000000000001E-8</v>
      </c>
    </row>
    <row r="158" spans="1:50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>
        <v>20</v>
      </c>
      <c r="O158" s="44">
        <v>20</v>
      </c>
      <c r="P158" s="44"/>
      <c r="Q158" s="44">
        <v>20</v>
      </c>
      <c r="R158" s="44">
        <v>20</v>
      </c>
      <c r="S158" s="44">
        <v>20</v>
      </c>
      <c r="V158" s="44">
        <v>20</v>
      </c>
      <c r="W158" s="44">
        <v>20</v>
      </c>
      <c r="X158" s="44">
        <v>20</v>
      </c>
      <c r="Y158" s="44">
        <v>20</v>
      </c>
      <c r="Z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/>
      <c r="AH158" s="44">
        <v>20</v>
      </c>
      <c r="AI158" s="44">
        <v>20</v>
      </c>
      <c r="AJ158" s="44">
        <v>20</v>
      </c>
      <c r="AK158" s="44">
        <v>20</v>
      </c>
      <c r="AL158" s="44">
        <v>20</v>
      </c>
      <c r="AM158" s="44">
        <v>20</v>
      </c>
      <c r="AN158" s="44">
        <v>20</v>
      </c>
      <c r="AO158"/>
      <c r="AP158" s="44">
        <v>20</v>
      </c>
      <c r="AQ158" s="44">
        <v>20</v>
      </c>
      <c r="AR158" s="44">
        <v>20</v>
      </c>
      <c r="AS158" s="44">
        <v>20</v>
      </c>
      <c r="AT158"/>
      <c r="AU158" s="44">
        <v>20</v>
      </c>
      <c r="AV158"/>
      <c r="AW158"/>
      <c r="AX158" s="44">
        <v>20</v>
      </c>
    </row>
    <row r="159" spans="1:50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>
        <v>-4.4200000000000003E-2</v>
      </c>
      <c r="O159" s="44">
        <v>-4.4200000000000003E-2</v>
      </c>
      <c r="P159" s="44"/>
      <c r="Q159" s="44">
        <v>-4.4200000000000003E-2</v>
      </c>
      <c r="R159" s="44">
        <v>-4.4200000000000003E-2</v>
      </c>
      <c r="S159" s="44">
        <v>-4.4200000000000003E-2</v>
      </c>
      <c r="V159" s="44">
        <v>-4.4200000000000003E-2</v>
      </c>
      <c r="W159" s="44">
        <v>-4.4200000000000003E-2</v>
      </c>
      <c r="X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/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 s="44">
        <v>-4.4200000000000003E-2</v>
      </c>
      <c r="AM159" s="44">
        <v>-4.4200000000000003E-2</v>
      </c>
      <c r="AN159" s="44">
        <v>-4.4200000000000003E-2</v>
      </c>
      <c r="AO159"/>
      <c r="AP159" s="44">
        <v>-4.4200000000000003E-2</v>
      </c>
      <c r="AQ159" s="44">
        <v>-4.4200000000000003E-2</v>
      </c>
      <c r="AR159" s="44">
        <v>-4.4200000000000003E-2</v>
      </c>
      <c r="AS159" s="44">
        <v>-4.4200000000000003E-2</v>
      </c>
      <c r="AT159"/>
      <c r="AU159" s="44">
        <v>-4.4200000000000003E-2</v>
      </c>
      <c r="AV159"/>
      <c r="AW159"/>
      <c r="AX159" s="44">
        <v>-4.4200000000000003E-2</v>
      </c>
    </row>
    <row r="160" spans="1:50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>
        <v>1.55</v>
      </c>
      <c r="O160" s="44">
        <v>1.55</v>
      </c>
      <c r="P160" s="44"/>
      <c r="Q160" s="44">
        <v>1.55</v>
      </c>
      <c r="R160" s="44">
        <v>1.55</v>
      </c>
      <c r="S160" s="44">
        <v>1.55</v>
      </c>
      <c r="V160" s="44">
        <v>1.55</v>
      </c>
      <c r="W160" s="44">
        <v>1.55</v>
      </c>
      <c r="X160" s="44">
        <v>1.55</v>
      </c>
      <c r="Y160" s="44">
        <v>1.55</v>
      </c>
      <c r="Z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/>
      <c r="AH160" s="44">
        <v>1.55</v>
      </c>
      <c r="AI160" s="44">
        <v>1.55</v>
      </c>
      <c r="AJ160" s="44">
        <v>1.55</v>
      </c>
      <c r="AK160" s="44">
        <v>1.55</v>
      </c>
      <c r="AL160" s="44">
        <v>1.55</v>
      </c>
      <c r="AM160" s="44">
        <v>1.55</v>
      </c>
      <c r="AN160" s="44">
        <v>1.55</v>
      </c>
      <c r="AO160"/>
      <c r="AP160" s="44">
        <v>1.55</v>
      </c>
      <c r="AQ160" s="44">
        <v>1.55</v>
      </c>
      <c r="AR160" s="44">
        <v>1.55</v>
      </c>
      <c r="AS160" s="44">
        <v>1.55</v>
      </c>
      <c r="AT160"/>
      <c r="AU160" s="44">
        <v>1.55</v>
      </c>
      <c r="AV160"/>
      <c r="AW160"/>
      <c r="AX160" s="44">
        <v>1.55</v>
      </c>
    </row>
    <row r="161" spans="1:50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>
        <v>1</v>
      </c>
      <c r="O161" s="44">
        <v>1</v>
      </c>
      <c r="P161" s="44"/>
      <c r="Q161" s="44">
        <v>1</v>
      </c>
      <c r="R161" s="44">
        <v>1</v>
      </c>
      <c r="S161" s="44">
        <v>1</v>
      </c>
      <c r="V161" s="44">
        <v>1</v>
      </c>
      <c r="W161" s="44">
        <v>1</v>
      </c>
      <c r="X161" s="44">
        <v>1</v>
      </c>
      <c r="Y161" s="44">
        <v>1</v>
      </c>
      <c r="Z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/>
      <c r="AH161" s="44">
        <v>1</v>
      </c>
      <c r="AI161" s="44">
        <v>1</v>
      </c>
      <c r="AJ161" s="44">
        <v>1</v>
      </c>
      <c r="AK161" s="44">
        <v>1</v>
      </c>
      <c r="AL161" s="44">
        <v>1</v>
      </c>
      <c r="AM161" s="44">
        <v>1</v>
      </c>
      <c r="AN161" s="44">
        <v>1</v>
      </c>
      <c r="AO161"/>
      <c r="AP161" s="44">
        <v>1</v>
      </c>
      <c r="AQ161" s="44">
        <v>1</v>
      </c>
      <c r="AR161" s="44">
        <v>1</v>
      </c>
      <c r="AS161" s="44">
        <v>1</v>
      </c>
      <c r="AT161"/>
      <c r="AU161" s="44">
        <v>1</v>
      </c>
      <c r="AV161"/>
      <c r="AW161"/>
      <c r="AX161" s="44">
        <v>1</v>
      </c>
    </row>
    <row r="162" spans="1:50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>
        <v>2.7799999999999998E-4</v>
      </c>
      <c r="O162" s="44">
        <v>2.7799999999999998E-4</v>
      </c>
      <c r="P162" s="44"/>
      <c r="Q162" s="44">
        <v>2.7799999999999998E-4</v>
      </c>
      <c r="R162" s="44">
        <v>2.7799999999999998E-4</v>
      </c>
      <c r="S162" s="44">
        <v>2.7799999999999998E-4</v>
      </c>
      <c r="V162" s="44">
        <v>2.7799999999999998E-4</v>
      </c>
      <c r="W162" s="44">
        <v>2.7799999999999998E-4</v>
      </c>
      <c r="X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/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 s="44">
        <v>2.7799999999999998E-4</v>
      </c>
      <c r="AM162" s="44">
        <v>2.7799999999999998E-4</v>
      </c>
      <c r="AN162" s="44">
        <v>2.7799999999999998E-4</v>
      </c>
      <c r="AO162"/>
      <c r="AP162" s="44">
        <v>2.7799999999999998E-4</v>
      </c>
      <c r="AQ162" s="44">
        <v>2.7799999999999998E-4</v>
      </c>
      <c r="AR162" s="44">
        <v>2.7799999999999998E-4</v>
      </c>
      <c r="AS162" s="44">
        <v>2.7799999999999998E-4</v>
      </c>
      <c r="AT162"/>
      <c r="AU162" s="44">
        <v>2.7799999999999998E-4</v>
      </c>
      <c r="AV162"/>
      <c r="AW162"/>
      <c r="AX162" s="44">
        <v>2.7799999999999998E-4</v>
      </c>
    </row>
    <row r="163" spans="1:50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>
        <v>2.4999999999999998E-12</v>
      </c>
      <c r="O163" s="44">
        <v>2.4999999999999998E-12</v>
      </c>
      <c r="P163" s="44"/>
      <c r="Q163" s="44">
        <v>2.4999999999999998E-12</v>
      </c>
      <c r="R163" s="44">
        <v>2.4999999999999998E-12</v>
      </c>
      <c r="S163" s="44">
        <v>2.4999999999999998E-12</v>
      </c>
      <c r="V163" s="44">
        <v>2.4999999999999998E-12</v>
      </c>
      <c r="W163" s="44">
        <v>2.4999999999999998E-12</v>
      </c>
      <c r="X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/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 s="44">
        <v>2.4999999999999998E-12</v>
      </c>
      <c r="AM163" s="44">
        <v>2.4999999999999998E-12</v>
      </c>
      <c r="AN163" s="44">
        <v>2.4999999999999998E-12</v>
      </c>
      <c r="AO163"/>
      <c r="AP163" s="44">
        <v>2.4999999999999998E-12</v>
      </c>
      <c r="AQ163" s="44">
        <v>2.4999999999999998E-12</v>
      </c>
      <c r="AR163" s="44">
        <v>2.4999999999999998E-12</v>
      </c>
      <c r="AS163" s="44">
        <v>2.4999999999999998E-12</v>
      </c>
      <c r="AT163"/>
      <c r="AU163" s="44">
        <v>2.4999999999999998E-12</v>
      </c>
      <c r="AV163"/>
      <c r="AW163"/>
      <c r="AX163" s="44">
        <v>2.4999999999999998E-12</v>
      </c>
    </row>
    <row r="164" spans="1:50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>
        <v>20</v>
      </c>
      <c r="O164" s="44">
        <v>20</v>
      </c>
      <c r="P164" s="44"/>
      <c r="Q164" s="44">
        <v>20</v>
      </c>
      <c r="R164" s="44">
        <v>20</v>
      </c>
      <c r="S164" s="44">
        <v>20</v>
      </c>
      <c r="V164" s="44">
        <v>20</v>
      </c>
      <c r="W164" s="44">
        <v>20</v>
      </c>
      <c r="X164" s="44">
        <v>20</v>
      </c>
      <c r="Y164" s="44">
        <v>20</v>
      </c>
      <c r="Z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/>
      <c r="AH164" s="44">
        <v>20</v>
      </c>
      <c r="AI164" s="44">
        <v>20</v>
      </c>
      <c r="AJ164" s="44">
        <v>20</v>
      </c>
      <c r="AK164" s="44">
        <v>20</v>
      </c>
      <c r="AL164" s="44">
        <v>20</v>
      </c>
      <c r="AM164" s="44">
        <v>20</v>
      </c>
      <c r="AN164" s="44">
        <v>20</v>
      </c>
      <c r="AO164"/>
      <c r="AP164" s="44">
        <v>20</v>
      </c>
      <c r="AQ164" s="44">
        <v>20</v>
      </c>
      <c r="AR164" s="44">
        <v>20</v>
      </c>
      <c r="AS164" s="44">
        <v>20</v>
      </c>
      <c r="AT164"/>
      <c r="AU164" s="44">
        <v>20</v>
      </c>
      <c r="AV164"/>
      <c r="AW164"/>
      <c r="AX164" s="44">
        <v>20</v>
      </c>
    </row>
    <row r="165" spans="1:50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>
        <v>0</v>
      </c>
      <c r="O165" s="44">
        <v>0</v>
      </c>
      <c r="P165" s="44"/>
      <c r="Q165" s="44">
        <v>0</v>
      </c>
      <c r="R165" s="44">
        <v>0</v>
      </c>
      <c r="S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/>
      <c r="AH165" s="44">
        <v>0</v>
      </c>
      <c r="AI165" s="44">
        <v>0</v>
      </c>
      <c r="AJ165" s="44">
        <v>0</v>
      </c>
      <c r="AK165" s="44">
        <v>0</v>
      </c>
      <c r="AL165" s="44">
        <v>0</v>
      </c>
      <c r="AM165" s="44">
        <v>0</v>
      </c>
      <c r="AN165" s="44">
        <v>0</v>
      </c>
      <c r="AO165"/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/>
      <c r="AW165"/>
      <c r="AX165" s="44">
        <v>0</v>
      </c>
    </row>
    <row r="166" spans="1:50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>
        <v>1</v>
      </c>
      <c r="O166" s="44">
        <v>1</v>
      </c>
      <c r="P166" s="44"/>
      <c r="Q166" s="44">
        <v>1</v>
      </c>
      <c r="R166" s="44">
        <v>1</v>
      </c>
      <c r="S166" s="44">
        <v>1</v>
      </c>
      <c r="V166" s="44">
        <v>1</v>
      </c>
      <c r="W166" s="44">
        <v>1</v>
      </c>
      <c r="X166" s="44">
        <v>1</v>
      </c>
      <c r="Y166" s="44">
        <v>1</v>
      </c>
      <c r="Z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/>
      <c r="AH166" s="44">
        <v>1</v>
      </c>
      <c r="AI166" s="44">
        <v>1</v>
      </c>
      <c r="AJ166" s="44">
        <v>1</v>
      </c>
      <c r="AK166" s="44">
        <v>1</v>
      </c>
      <c r="AL166" s="44">
        <v>1</v>
      </c>
      <c r="AM166" s="44">
        <v>1</v>
      </c>
      <c r="AN166" s="44">
        <v>1</v>
      </c>
      <c r="AO166"/>
      <c r="AP166" s="44">
        <v>1</v>
      </c>
      <c r="AQ166" s="44">
        <v>1</v>
      </c>
      <c r="AR166" s="44">
        <v>1</v>
      </c>
      <c r="AS166" s="44">
        <v>1</v>
      </c>
      <c r="AT166"/>
      <c r="AU166" s="44">
        <v>1</v>
      </c>
      <c r="AV166"/>
      <c r="AW166"/>
      <c r="AX166" s="44">
        <v>1</v>
      </c>
    </row>
    <row r="167" spans="1:50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>
        <v>0</v>
      </c>
      <c r="O167" s="44">
        <v>0</v>
      </c>
      <c r="P167" s="44"/>
      <c r="Q167" s="44">
        <v>0</v>
      </c>
      <c r="R167" s="44">
        <v>0</v>
      </c>
      <c r="S167" s="44">
        <v>0</v>
      </c>
      <c r="V167" s="44">
        <v>0</v>
      </c>
      <c r="W167" s="44">
        <v>0</v>
      </c>
      <c r="X167" s="44">
        <v>0</v>
      </c>
      <c r="Y167" s="44">
        <v>0</v>
      </c>
      <c r="Z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/>
      <c r="AH167" s="44">
        <v>0</v>
      </c>
      <c r="AI167" s="44">
        <v>0</v>
      </c>
      <c r="AJ167" s="44">
        <v>0</v>
      </c>
      <c r="AK167" s="44">
        <v>0</v>
      </c>
      <c r="AL167" s="44">
        <v>0</v>
      </c>
      <c r="AM167" s="44">
        <v>0</v>
      </c>
      <c r="AN167" s="44">
        <v>0</v>
      </c>
      <c r="AO167"/>
      <c r="AP167" s="44">
        <v>0</v>
      </c>
      <c r="AQ167" s="44">
        <v>0</v>
      </c>
      <c r="AR167" s="44">
        <v>0</v>
      </c>
      <c r="AS167" s="44">
        <v>0</v>
      </c>
      <c r="AT167"/>
      <c r="AU167" s="44">
        <v>0</v>
      </c>
      <c r="AV167"/>
      <c r="AW167"/>
      <c r="AX167" s="44">
        <v>0</v>
      </c>
    </row>
    <row r="168" spans="1:50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>
        <v>0.4</v>
      </c>
      <c r="O168" s="44">
        <v>0.4</v>
      </c>
      <c r="P168" s="44"/>
      <c r="Q168" s="44">
        <v>0.4</v>
      </c>
      <c r="R168" s="44">
        <v>0.4</v>
      </c>
      <c r="S168" s="44">
        <v>0.4</v>
      </c>
      <c r="V168" s="44">
        <v>0.4</v>
      </c>
      <c r="W168" s="44">
        <v>0.4</v>
      </c>
      <c r="X168" s="44">
        <v>0.4</v>
      </c>
      <c r="Y168" s="44">
        <v>0.4</v>
      </c>
      <c r="Z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/>
      <c r="AH168" s="44">
        <v>0.4</v>
      </c>
      <c r="AI168" s="44">
        <v>0.4</v>
      </c>
      <c r="AJ168" s="44">
        <v>0.4</v>
      </c>
      <c r="AK168" s="44">
        <v>0.4</v>
      </c>
      <c r="AL168" s="44">
        <v>0.4</v>
      </c>
      <c r="AM168" s="44">
        <v>0.4</v>
      </c>
      <c r="AN168" s="44">
        <v>0.4</v>
      </c>
      <c r="AO168"/>
      <c r="AP168" s="44">
        <v>0.4</v>
      </c>
      <c r="AQ168" s="44">
        <v>0.4</v>
      </c>
      <c r="AR168" s="44">
        <v>0.4</v>
      </c>
      <c r="AS168" s="44">
        <v>0.4</v>
      </c>
      <c r="AT168"/>
      <c r="AU168" s="44">
        <v>0.4</v>
      </c>
      <c r="AV168"/>
      <c r="AW168"/>
      <c r="AX168" s="44">
        <v>0.4</v>
      </c>
    </row>
    <row r="169" spans="1:50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>
        <v>2.0000000000000001E-9</v>
      </c>
      <c r="O169" s="44">
        <v>2.0000000000000001E-9</v>
      </c>
      <c r="P169" s="44"/>
      <c r="Q169" s="44">
        <v>2.0000000000000001E-9</v>
      </c>
      <c r="R169" s="44">
        <v>2.0000000000000001E-9</v>
      </c>
      <c r="S169" s="44">
        <v>2.0000000000000001E-9</v>
      </c>
      <c r="V169" s="44">
        <v>2.0000000000000001E-9</v>
      </c>
      <c r="W169" s="44">
        <v>2.0000000000000001E-9</v>
      </c>
      <c r="X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/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 s="44">
        <v>2.0000000000000001E-9</v>
      </c>
      <c r="AM169" s="44">
        <v>2.0000000000000001E-9</v>
      </c>
      <c r="AN169" s="44">
        <v>2.0000000000000001E-9</v>
      </c>
      <c r="AO169"/>
      <c r="AP169" s="44">
        <v>2.0000000000000001E-9</v>
      </c>
      <c r="AQ169" s="44">
        <v>2.0000000000000001E-9</v>
      </c>
      <c r="AR169" s="44">
        <v>2.0000000000000001E-9</v>
      </c>
      <c r="AS169" s="44">
        <v>2.0000000000000001E-9</v>
      </c>
      <c r="AT169"/>
      <c r="AU169" s="44">
        <v>2.0000000000000001E-9</v>
      </c>
      <c r="AV169"/>
      <c r="AW169"/>
      <c r="AX169" s="44">
        <v>2.0000000000000001E-9</v>
      </c>
    </row>
    <row r="170" spans="1:50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>
        <v>25</v>
      </c>
      <c r="O170" s="44">
        <v>25</v>
      </c>
      <c r="P170" s="44"/>
      <c r="Q170" s="44">
        <v>25</v>
      </c>
      <c r="R170" s="44">
        <v>25</v>
      </c>
      <c r="S170" s="44">
        <v>25</v>
      </c>
      <c r="V170" s="44">
        <v>25</v>
      </c>
      <c r="W170" s="44">
        <v>25</v>
      </c>
      <c r="X170" s="44">
        <v>25</v>
      </c>
      <c r="Y170" s="44">
        <v>25</v>
      </c>
      <c r="Z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/>
      <c r="AH170" s="44">
        <v>25</v>
      </c>
      <c r="AI170" s="44">
        <v>25</v>
      </c>
      <c r="AJ170" s="44">
        <v>25</v>
      </c>
      <c r="AK170" s="44">
        <v>25</v>
      </c>
      <c r="AL170" s="44">
        <v>25</v>
      </c>
      <c r="AM170" s="44">
        <v>25</v>
      </c>
      <c r="AN170" s="44">
        <v>25</v>
      </c>
      <c r="AO170"/>
      <c r="AP170" s="44">
        <v>25</v>
      </c>
      <c r="AQ170" s="44">
        <v>25</v>
      </c>
      <c r="AR170" s="44">
        <v>25</v>
      </c>
      <c r="AS170" s="44">
        <v>25</v>
      </c>
      <c r="AT170"/>
      <c r="AU170" s="44">
        <v>25</v>
      </c>
      <c r="AV170"/>
      <c r="AW170"/>
      <c r="AX170" s="44">
        <v>25</v>
      </c>
    </row>
    <row r="171" spans="1:50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>
        <v>0</v>
      </c>
      <c r="O171" s="44">
        <v>0</v>
      </c>
      <c r="P171" s="44"/>
      <c r="Q171" s="44">
        <v>0</v>
      </c>
      <c r="R171" s="44">
        <v>0</v>
      </c>
      <c r="S171" s="44">
        <v>0</v>
      </c>
      <c r="V171" s="44">
        <v>0</v>
      </c>
      <c r="W171" s="44">
        <v>0</v>
      </c>
      <c r="X171" s="44">
        <v>0</v>
      </c>
      <c r="Y171" s="44">
        <v>0</v>
      </c>
      <c r="Z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/>
      <c r="AH171" s="44">
        <v>0</v>
      </c>
      <c r="AI171" s="44">
        <v>0</v>
      </c>
      <c r="AJ171" s="44">
        <v>0</v>
      </c>
      <c r="AK171" s="44">
        <v>0</v>
      </c>
      <c r="AL171" s="44">
        <v>0</v>
      </c>
      <c r="AM171" s="44">
        <v>0</v>
      </c>
      <c r="AN171" s="44">
        <v>0</v>
      </c>
      <c r="AO171"/>
      <c r="AP171" s="44">
        <v>0</v>
      </c>
      <c r="AQ171" s="44">
        <v>0</v>
      </c>
      <c r="AR171" s="44">
        <v>0</v>
      </c>
      <c r="AS171" s="44">
        <v>0</v>
      </c>
      <c r="AT171"/>
      <c r="AU171" s="44">
        <v>0</v>
      </c>
      <c r="AV171"/>
      <c r="AW171"/>
      <c r="AX171" s="44">
        <v>0</v>
      </c>
    </row>
    <row r="172" spans="1:50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>
        <v>3.98</v>
      </c>
      <c r="O172" s="44">
        <v>3.98</v>
      </c>
      <c r="P172" s="44"/>
      <c r="Q172" s="44">
        <v>3.98</v>
      </c>
      <c r="R172" s="44">
        <v>3.98</v>
      </c>
      <c r="S172" s="44">
        <v>3.98</v>
      </c>
      <c r="V172" s="44">
        <v>3.98</v>
      </c>
      <c r="W172" s="44">
        <v>3.98</v>
      </c>
      <c r="X172" s="44">
        <v>3.98</v>
      </c>
      <c r="Y172" s="44">
        <v>3.98</v>
      </c>
      <c r="Z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/>
      <c r="AH172" s="44">
        <v>3.98</v>
      </c>
      <c r="AI172" s="44">
        <v>3.98</v>
      </c>
      <c r="AJ172" s="44">
        <v>3.98</v>
      </c>
      <c r="AK172" s="44">
        <v>3.98</v>
      </c>
      <c r="AL172" s="44">
        <v>3.98</v>
      </c>
      <c r="AM172" s="44">
        <v>3.98</v>
      </c>
      <c r="AN172" s="44">
        <v>3.98</v>
      </c>
      <c r="AO172"/>
      <c r="AP172" s="44">
        <v>3.98</v>
      </c>
      <c r="AQ172" s="44">
        <v>3.98</v>
      </c>
      <c r="AR172" s="44">
        <v>3.98</v>
      </c>
      <c r="AS172" s="44">
        <v>3.98</v>
      </c>
      <c r="AT172"/>
      <c r="AU172" s="44">
        <v>3.98</v>
      </c>
      <c r="AV172"/>
      <c r="AW172"/>
      <c r="AX172" s="44">
        <v>3.98</v>
      </c>
    </row>
    <row r="173" spans="1:50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>
        <v>1</v>
      </c>
      <c r="O173" s="44">
        <v>1</v>
      </c>
      <c r="P173" s="44"/>
      <c r="Q173" s="44">
        <v>1</v>
      </c>
      <c r="R173" s="44">
        <v>1</v>
      </c>
      <c r="S173" s="44">
        <v>1</v>
      </c>
      <c r="V173" s="44">
        <v>1</v>
      </c>
      <c r="W173" s="44">
        <v>1</v>
      </c>
      <c r="X173" s="44">
        <v>1</v>
      </c>
      <c r="Y173" s="44">
        <v>1</v>
      </c>
      <c r="Z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/>
      <c r="AH173" s="44">
        <v>1</v>
      </c>
      <c r="AI173" s="44">
        <v>1</v>
      </c>
      <c r="AJ173" s="44">
        <v>1</v>
      </c>
      <c r="AK173" s="44">
        <v>1</v>
      </c>
      <c r="AL173" s="44">
        <v>1</v>
      </c>
      <c r="AM173" s="44">
        <v>1</v>
      </c>
      <c r="AN173" s="44">
        <v>1</v>
      </c>
      <c r="AO173"/>
      <c r="AP173" s="44">
        <v>1</v>
      </c>
      <c r="AQ173" s="44">
        <v>1</v>
      </c>
      <c r="AR173" s="44">
        <v>1</v>
      </c>
      <c r="AS173" s="44">
        <v>1</v>
      </c>
      <c r="AT173"/>
      <c r="AU173" s="44">
        <v>1</v>
      </c>
      <c r="AV173"/>
      <c r="AW173"/>
      <c r="AX173" s="44">
        <v>1</v>
      </c>
    </row>
    <row r="174" spans="1:50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>
        <v>1.6666666666666666E-4</v>
      </c>
      <c r="O174" s="44">
        <v>1.6666666666666666E-4</v>
      </c>
      <c r="P174" s="44"/>
      <c r="Q174" s="44">
        <v>1.6666666666666666E-4</v>
      </c>
      <c r="R174" s="44">
        <v>1.6666666666666666E-4</v>
      </c>
      <c r="S174" s="44">
        <v>1.6666666666666666E-4</v>
      </c>
      <c r="V174" s="44">
        <v>1.6666666666666666E-4</v>
      </c>
      <c r="W174" s="44">
        <v>1.6666666666666666E-4</v>
      </c>
      <c r="X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/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 s="44">
        <v>1.6666666666666666E-4</v>
      </c>
      <c r="AM174" s="44">
        <v>1.6666666666666666E-4</v>
      </c>
      <c r="AN174" s="44">
        <v>1.6666666666666666E-4</v>
      </c>
      <c r="AO174"/>
      <c r="AP174" s="44">
        <v>1.6666666666666666E-4</v>
      </c>
      <c r="AQ174" s="44">
        <v>1.6666666666666666E-4</v>
      </c>
      <c r="AR174" s="44">
        <v>1.6666666666666666E-4</v>
      </c>
      <c r="AS174" s="44">
        <v>1.6666666666666666E-4</v>
      </c>
      <c r="AT174"/>
      <c r="AU174" s="44">
        <v>1.6666666666666666E-4</v>
      </c>
      <c r="AV174"/>
      <c r="AW174"/>
      <c r="AX174" s="44">
        <v>1.6666666666666666E-4</v>
      </c>
    </row>
    <row r="175" spans="1:50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>
        <v>1E-8</v>
      </c>
      <c r="O175" s="44">
        <v>1E-8</v>
      </c>
      <c r="P175" s="44"/>
      <c r="Q175" s="44">
        <v>1E-8</v>
      </c>
      <c r="R175" s="44">
        <v>1E-8</v>
      </c>
      <c r="S175" s="44">
        <v>1E-8</v>
      </c>
      <c r="V175" s="44">
        <v>1E-8</v>
      </c>
      <c r="W175" s="44">
        <v>1E-8</v>
      </c>
      <c r="X175" s="44">
        <v>1E-8</v>
      </c>
      <c r="Y175" s="44">
        <v>1E-8</v>
      </c>
      <c r="Z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/>
      <c r="AH175" s="44">
        <v>1E-8</v>
      </c>
      <c r="AI175" s="44">
        <v>1E-8</v>
      </c>
      <c r="AJ175" s="44">
        <v>1E-8</v>
      </c>
      <c r="AK175" s="44">
        <v>1E-8</v>
      </c>
      <c r="AL175" s="44">
        <v>1E-8</v>
      </c>
      <c r="AM175" s="44">
        <v>1E-8</v>
      </c>
      <c r="AN175" s="44">
        <v>1E-8</v>
      </c>
      <c r="AO175"/>
      <c r="AP175" s="44">
        <v>1E-8</v>
      </c>
      <c r="AQ175" s="44">
        <v>1E-8</v>
      </c>
      <c r="AR175" s="44">
        <v>1E-8</v>
      </c>
      <c r="AS175" s="44">
        <v>1E-8</v>
      </c>
      <c r="AT175"/>
      <c r="AU175" s="44">
        <v>1E-8</v>
      </c>
      <c r="AV175"/>
      <c r="AW175"/>
      <c r="AX175" s="44">
        <v>1E-8</v>
      </c>
    </row>
    <row r="176" spans="1:50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>
        <v>20</v>
      </c>
      <c r="O176" s="44">
        <v>20</v>
      </c>
      <c r="P176" s="44"/>
      <c r="Q176" s="44">
        <v>20</v>
      </c>
      <c r="R176" s="44">
        <v>20</v>
      </c>
      <c r="S176" s="44">
        <v>20</v>
      </c>
      <c r="V176" s="44">
        <v>20</v>
      </c>
      <c r="W176" s="44">
        <v>20</v>
      </c>
      <c r="X176" s="44">
        <v>20</v>
      </c>
      <c r="Y176" s="44">
        <v>20</v>
      </c>
      <c r="Z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/>
      <c r="AH176" s="44">
        <v>20</v>
      </c>
      <c r="AI176" s="44">
        <v>20</v>
      </c>
      <c r="AJ176" s="44">
        <v>20</v>
      </c>
      <c r="AK176" s="44">
        <v>20</v>
      </c>
      <c r="AL176" s="44">
        <v>20</v>
      </c>
      <c r="AM176" s="44">
        <v>20</v>
      </c>
      <c r="AN176" s="44">
        <v>20</v>
      </c>
      <c r="AO176"/>
      <c r="AP176" s="44">
        <v>20</v>
      </c>
      <c r="AQ176" s="44">
        <v>20</v>
      </c>
      <c r="AR176" s="44">
        <v>20</v>
      </c>
      <c r="AS176" s="44">
        <v>20</v>
      </c>
      <c r="AT176"/>
      <c r="AU176" s="44">
        <v>20</v>
      </c>
      <c r="AV176"/>
      <c r="AW176"/>
      <c r="AX176" s="44">
        <v>20</v>
      </c>
    </row>
    <row r="177" spans="1:50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>
        <v>0</v>
      </c>
      <c r="O177" s="44">
        <v>0</v>
      </c>
      <c r="P177" s="44"/>
      <c r="Q177" s="44">
        <v>0</v>
      </c>
      <c r="R177" s="44">
        <v>0</v>
      </c>
      <c r="S177" s="44">
        <v>0</v>
      </c>
      <c r="V177" s="44">
        <v>0</v>
      </c>
      <c r="W177" s="44">
        <v>0</v>
      </c>
      <c r="X177" s="44">
        <v>0</v>
      </c>
      <c r="Y177" s="44">
        <v>0</v>
      </c>
      <c r="Z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/>
      <c r="AH177" s="44">
        <v>0</v>
      </c>
      <c r="AI177" s="44">
        <v>0</v>
      </c>
      <c r="AJ177" s="44">
        <v>0</v>
      </c>
      <c r="AK177" s="44">
        <v>0</v>
      </c>
      <c r="AL177" s="44">
        <v>0</v>
      </c>
      <c r="AM177" s="44">
        <v>0</v>
      </c>
      <c r="AN177" s="44">
        <v>0</v>
      </c>
      <c r="AO177"/>
      <c r="AP177" s="44">
        <v>0</v>
      </c>
      <c r="AQ177" s="44">
        <v>0</v>
      </c>
      <c r="AR177" s="44">
        <v>0</v>
      </c>
      <c r="AS177" s="44">
        <v>0</v>
      </c>
      <c r="AT177"/>
      <c r="AU177" s="44">
        <v>0</v>
      </c>
      <c r="AV177"/>
      <c r="AW177"/>
      <c r="AX177" s="44">
        <v>0</v>
      </c>
    </row>
    <row r="178" spans="1:50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>
        <v>2</v>
      </c>
      <c r="O178" s="44">
        <v>2</v>
      </c>
      <c r="P178" s="44"/>
      <c r="Q178" s="44">
        <v>2</v>
      </c>
      <c r="R178" s="44">
        <v>2</v>
      </c>
      <c r="S178" s="44">
        <v>2</v>
      </c>
      <c r="V178" s="44">
        <v>2</v>
      </c>
      <c r="W178" s="44">
        <v>2</v>
      </c>
      <c r="X178" s="44">
        <v>2</v>
      </c>
      <c r="Y178" s="44">
        <v>2</v>
      </c>
      <c r="Z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/>
      <c r="AH178" s="44">
        <v>2</v>
      </c>
      <c r="AI178" s="44">
        <v>2</v>
      </c>
      <c r="AJ178" s="44">
        <v>2</v>
      </c>
      <c r="AK178" s="44">
        <v>2</v>
      </c>
      <c r="AL178" s="44">
        <v>2</v>
      </c>
      <c r="AM178" s="44">
        <v>2</v>
      </c>
      <c r="AN178" s="44">
        <v>2</v>
      </c>
      <c r="AO178"/>
      <c r="AP178" s="44">
        <v>2</v>
      </c>
      <c r="AQ178" s="44">
        <v>2</v>
      </c>
      <c r="AR178" s="44">
        <v>2</v>
      </c>
      <c r="AS178" s="44">
        <v>2</v>
      </c>
      <c r="AT178"/>
      <c r="AU178" s="44">
        <v>2</v>
      </c>
      <c r="AV178"/>
      <c r="AW178"/>
      <c r="AX178" s="44">
        <v>2</v>
      </c>
    </row>
    <row r="179" spans="1:50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>
        <v>1</v>
      </c>
      <c r="O179" s="44">
        <v>1</v>
      </c>
      <c r="P179" s="44"/>
      <c r="Q179" s="44">
        <v>1</v>
      </c>
      <c r="R179" s="44">
        <v>1</v>
      </c>
      <c r="S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/>
      <c r="AH179" s="44">
        <v>1</v>
      </c>
      <c r="AI179" s="44">
        <v>1</v>
      </c>
      <c r="AJ179" s="44">
        <v>1</v>
      </c>
      <c r="AK179" s="44">
        <v>1</v>
      </c>
      <c r="AL179" s="44">
        <v>1</v>
      </c>
      <c r="AM179" s="44">
        <v>1</v>
      </c>
      <c r="AN179" s="44">
        <v>1</v>
      </c>
      <c r="AO179"/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/>
      <c r="AW179"/>
      <c r="AX179" s="44">
        <v>1</v>
      </c>
    </row>
    <row r="180" spans="1:50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>
        <v>8.3333333333333331E-5</v>
      </c>
      <c r="O180" s="44">
        <v>8.3333333333333331E-5</v>
      </c>
      <c r="P180" s="44"/>
      <c r="Q180" s="44">
        <v>8.3333333333333331E-5</v>
      </c>
      <c r="R180" s="44">
        <v>8.3333333333333331E-5</v>
      </c>
      <c r="S180" s="44">
        <v>8.3333333333333331E-5</v>
      </c>
      <c r="V180" s="44">
        <v>8.3333333333333331E-5</v>
      </c>
      <c r="W180" s="44">
        <v>8.3333333333333331E-5</v>
      </c>
      <c r="X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/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 s="44">
        <v>8.3333333333333331E-5</v>
      </c>
      <c r="AM180" s="44">
        <v>8.3333333333333331E-5</v>
      </c>
      <c r="AN180" s="44">
        <v>8.3333333333333331E-5</v>
      </c>
      <c r="AO180"/>
      <c r="AP180" s="44">
        <v>8.3333333333333331E-5</v>
      </c>
      <c r="AQ180" s="44">
        <v>8.3333333333333331E-5</v>
      </c>
      <c r="AR180" s="44">
        <v>8.3333333333333331E-5</v>
      </c>
      <c r="AS180" s="44">
        <v>8.3333333333333331E-5</v>
      </c>
      <c r="AT180"/>
      <c r="AU180" s="44">
        <v>8.3333333333333331E-5</v>
      </c>
      <c r="AV180"/>
      <c r="AW180"/>
      <c r="AX180" s="44">
        <v>8.3333333333333331E-5</v>
      </c>
    </row>
    <row r="181" spans="1:50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>
        <v>1</v>
      </c>
      <c r="O181" s="44">
        <v>1</v>
      </c>
      <c r="P181" s="44"/>
      <c r="Q181" s="44">
        <v>1</v>
      </c>
      <c r="R181" s="44">
        <v>1</v>
      </c>
      <c r="S181" s="44">
        <v>1</v>
      </c>
      <c r="V181" s="44">
        <v>1</v>
      </c>
      <c r="W181" s="44">
        <v>1</v>
      </c>
      <c r="X181" s="44">
        <v>1</v>
      </c>
      <c r="Y181" s="44">
        <v>1</v>
      </c>
      <c r="Z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/>
      <c r="AH181" s="44">
        <v>1</v>
      </c>
      <c r="AI181" s="44">
        <v>1</v>
      </c>
      <c r="AJ181" s="44">
        <v>1</v>
      </c>
      <c r="AK181" s="44">
        <v>1</v>
      </c>
      <c r="AL181" s="44">
        <v>1</v>
      </c>
      <c r="AM181" s="44">
        <v>1</v>
      </c>
      <c r="AN181" s="44">
        <v>1</v>
      </c>
      <c r="AO181"/>
      <c r="AP181" s="44">
        <v>1</v>
      </c>
      <c r="AQ181" s="44">
        <v>1</v>
      </c>
      <c r="AR181" s="44">
        <v>1</v>
      </c>
      <c r="AS181" s="44">
        <v>1</v>
      </c>
      <c r="AT181"/>
      <c r="AU181" s="44">
        <v>1</v>
      </c>
      <c r="AV181"/>
      <c r="AW181"/>
      <c r="AX181" s="44">
        <v>1</v>
      </c>
    </row>
    <row r="182" spans="1:50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>
        <v>2.3533050791148899E-8</v>
      </c>
      <c r="O182" s="44">
        <v>2.3533050791148899E-8</v>
      </c>
      <c r="P182" s="44"/>
      <c r="Q182" s="44">
        <v>2.3533050791148899E-8</v>
      </c>
      <c r="R182" s="44">
        <v>2.3533050791148899E-8</v>
      </c>
      <c r="S182" s="44">
        <v>2.3533050791148899E-8</v>
      </c>
      <c r="V182" s="44">
        <v>2.3533050791148899E-8</v>
      </c>
      <c r="W182" s="44">
        <v>2.3533050791148899E-8</v>
      </c>
      <c r="X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/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 s="44">
        <v>2.3533050791148899E-8</v>
      </c>
      <c r="AM182" s="44">
        <v>2.3533050791148899E-8</v>
      </c>
      <c r="AN182" s="44">
        <v>2.3533050791148899E-8</v>
      </c>
      <c r="AO182"/>
      <c r="AP182" s="44">
        <v>2.3533050791148899E-8</v>
      </c>
      <c r="AQ182" s="44">
        <v>2.3533050791148899E-8</v>
      </c>
      <c r="AR182" s="44">
        <v>2.3533050791148899E-8</v>
      </c>
      <c r="AS182" s="44">
        <v>2.3533050791148899E-8</v>
      </c>
      <c r="AT182"/>
      <c r="AU182" s="44">
        <v>2.3533050791148899E-8</v>
      </c>
      <c r="AV182"/>
      <c r="AW182"/>
      <c r="AX182" s="44">
        <v>2.3533050791148899E-8</v>
      </c>
    </row>
    <row r="183" spans="1:50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>
        <v>20</v>
      </c>
      <c r="O183" s="44">
        <v>20</v>
      </c>
      <c r="P183" s="44"/>
      <c r="Q183" s="44">
        <v>20</v>
      </c>
      <c r="R183" s="44">
        <v>20</v>
      </c>
      <c r="S183" s="44">
        <v>20</v>
      </c>
      <c r="V183" s="44">
        <v>20</v>
      </c>
      <c r="W183" s="44">
        <v>20</v>
      </c>
      <c r="X183" s="44">
        <v>20</v>
      </c>
      <c r="Y183" s="44">
        <v>20</v>
      </c>
      <c r="Z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/>
      <c r="AH183" s="44">
        <v>20</v>
      </c>
      <c r="AI183" s="44">
        <v>20</v>
      </c>
      <c r="AJ183" s="44">
        <v>20</v>
      </c>
      <c r="AK183" s="44">
        <v>20</v>
      </c>
      <c r="AL183" s="44">
        <v>20</v>
      </c>
      <c r="AM183" s="44">
        <v>20</v>
      </c>
      <c r="AN183" s="44">
        <v>20</v>
      </c>
      <c r="AO183"/>
      <c r="AP183" s="44">
        <v>20</v>
      </c>
      <c r="AQ183" s="44">
        <v>20</v>
      </c>
      <c r="AR183" s="44">
        <v>20</v>
      </c>
      <c r="AS183" s="44">
        <v>20</v>
      </c>
      <c r="AT183"/>
      <c r="AU183" s="44">
        <v>20</v>
      </c>
      <c r="AV183"/>
      <c r="AW183"/>
      <c r="AX183" s="44">
        <v>20</v>
      </c>
    </row>
    <row r="184" spans="1:50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>
        <v>-0.187</v>
      </c>
      <c r="O184" s="44">
        <v>-0.187</v>
      </c>
      <c r="P184" s="44"/>
      <c r="Q184" s="44">
        <v>-0.187</v>
      </c>
      <c r="R184" s="44">
        <v>-0.187</v>
      </c>
      <c r="S184" s="44">
        <v>-0.187</v>
      </c>
      <c r="V184" s="44">
        <v>-0.187</v>
      </c>
      <c r="W184" s="44">
        <v>-0.187</v>
      </c>
      <c r="X184" s="44">
        <v>-0.187</v>
      </c>
      <c r="Y184" s="44">
        <v>-0.187</v>
      </c>
      <c r="Z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/>
      <c r="AH184" s="44">
        <v>-0.187</v>
      </c>
      <c r="AI184" s="44">
        <v>-0.187</v>
      </c>
      <c r="AJ184" s="44">
        <v>-0.187</v>
      </c>
      <c r="AK184" s="44">
        <v>-0.187</v>
      </c>
      <c r="AL184" s="44">
        <v>-0.187</v>
      </c>
      <c r="AM184" s="44">
        <v>-0.187</v>
      </c>
      <c r="AN184" s="44">
        <v>-0.187</v>
      </c>
      <c r="AO184"/>
      <c r="AP184" s="44">
        <v>-0.187</v>
      </c>
      <c r="AQ184" s="44">
        <v>-0.187</v>
      </c>
      <c r="AR184" s="44">
        <v>-0.187</v>
      </c>
      <c r="AS184" s="44">
        <v>-0.187</v>
      </c>
      <c r="AT184"/>
      <c r="AU184" s="44">
        <v>-0.187</v>
      </c>
      <c r="AV184"/>
      <c r="AW184"/>
      <c r="AX184" s="44">
        <v>-0.187</v>
      </c>
    </row>
    <row r="185" spans="1:50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>
        <v>2.48</v>
      </c>
      <c r="O185" s="44">
        <v>2.48</v>
      </c>
      <c r="P185" s="44"/>
      <c r="Q185" s="44">
        <v>2.48</v>
      </c>
      <c r="R185" s="44">
        <v>2.48</v>
      </c>
      <c r="S185" s="44">
        <v>2.48</v>
      </c>
      <c r="V185" s="44">
        <v>2.48</v>
      </c>
      <c r="W185" s="44">
        <v>2.48</v>
      </c>
      <c r="X185" s="44">
        <v>2.48</v>
      </c>
      <c r="Y185" s="44">
        <v>2.48</v>
      </c>
      <c r="Z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/>
      <c r="AH185" s="44">
        <v>2.48</v>
      </c>
      <c r="AI185" s="44">
        <v>2.48</v>
      </c>
      <c r="AJ185" s="44">
        <v>2.48</v>
      </c>
      <c r="AK185" s="44">
        <v>2.48</v>
      </c>
      <c r="AL185" s="44">
        <v>2.48</v>
      </c>
      <c r="AM185" s="44">
        <v>2.48</v>
      </c>
      <c r="AN185" s="44">
        <v>2.48</v>
      </c>
      <c r="AO185"/>
      <c r="AP185" s="44">
        <v>2.48</v>
      </c>
      <c r="AQ185" s="44">
        <v>2.48</v>
      </c>
      <c r="AR185" s="44">
        <v>2.48</v>
      </c>
      <c r="AS185" s="44">
        <v>2.48</v>
      </c>
      <c r="AT185"/>
      <c r="AU185" s="44">
        <v>2.48</v>
      </c>
      <c r="AV185"/>
      <c r="AW185"/>
      <c r="AX185" s="44">
        <v>2.48</v>
      </c>
    </row>
    <row r="186" spans="1:50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>
        <v>1</v>
      </c>
      <c r="O186" s="44">
        <v>1</v>
      </c>
      <c r="P186" s="44"/>
      <c r="Q186" s="44">
        <v>1</v>
      </c>
      <c r="R186" s="44">
        <v>1</v>
      </c>
      <c r="S186" s="44">
        <v>1</v>
      </c>
      <c r="V186" s="44">
        <v>1</v>
      </c>
      <c r="W186" s="44">
        <v>1</v>
      </c>
      <c r="X186" s="44">
        <v>1</v>
      </c>
      <c r="Y186" s="44">
        <v>1</v>
      </c>
      <c r="Z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/>
      <c r="AH186" s="44">
        <v>1</v>
      </c>
      <c r="AI186" s="44">
        <v>1</v>
      </c>
      <c r="AJ186" s="44">
        <v>1</v>
      </c>
      <c r="AK186" s="44">
        <v>1</v>
      </c>
      <c r="AL186" s="44">
        <v>1</v>
      </c>
      <c r="AM186" s="44">
        <v>1</v>
      </c>
      <c r="AN186" s="44">
        <v>1</v>
      </c>
      <c r="AO186"/>
      <c r="AP186" s="44">
        <v>1</v>
      </c>
      <c r="AQ186" s="44">
        <v>1</v>
      </c>
      <c r="AR186" s="44">
        <v>1</v>
      </c>
      <c r="AS186" s="44">
        <v>1</v>
      </c>
      <c r="AT186"/>
      <c r="AU186" s="44">
        <v>1</v>
      </c>
      <c r="AV186"/>
      <c r="AW186"/>
      <c r="AX186" s="44">
        <v>1</v>
      </c>
    </row>
    <row r="187" spans="1:50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>
        <v>6.1060227588121015E-4</v>
      </c>
      <c r="O187" s="44">
        <v>6.1060227588121015E-4</v>
      </c>
      <c r="P187" s="44"/>
      <c r="Q187" s="44">
        <v>6.1060227588121015E-4</v>
      </c>
      <c r="R187" s="44">
        <v>6.1060227588121015E-4</v>
      </c>
      <c r="S187" s="44">
        <v>6.1060227588121015E-4</v>
      </c>
      <c r="V187" s="44">
        <v>6.1060227588121015E-4</v>
      </c>
      <c r="W187" s="44">
        <v>6.1060227588121015E-4</v>
      </c>
      <c r="X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/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 s="44">
        <v>6.1060227588121015E-4</v>
      </c>
      <c r="AM187" s="44">
        <v>6.1060227588121015E-4</v>
      </c>
      <c r="AN187" s="44">
        <v>6.1060227588121015E-4</v>
      </c>
      <c r="AO187"/>
      <c r="AP187" s="44">
        <v>6.1060227588121015E-4</v>
      </c>
      <c r="AQ187" s="44">
        <v>6.1060227588121015E-4</v>
      </c>
      <c r="AR187" s="44">
        <v>6.1060227588121015E-4</v>
      </c>
      <c r="AS187" s="44">
        <v>6.1060227588121015E-4</v>
      </c>
      <c r="AT187"/>
      <c r="AU187" s="44">
        <v>6.1060227588121015E-4</v>
      </c>
      <c r="AV187"/>
      <c r="AW187"/>
      <c r="AX187" s="44">
        <v>6.1060227588121015E-4</v>
      </c>
    </row>
    <row r="188" spans="1:50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>
        <v>3.9999999999999998E-7</v>
      </c>
      <c r="O188" s="44">
        <v>3.9999999999999998E-7</v>
      </c>
      <c r="P188" s="44"/>
      <c r="Q188" s="44">
        <v>3.9999999999999998E-7</v>
      </c>
      <c r="R188" s="44">
        <v>3.9999999999999998E-7</v>
      </c>
      <c r="S188" s="44">
        <v>3.9999999999999998E-7</v>
      </c>
      <c r="V188" s="44">
        <v>3.9999999999999998E-7</v>
      </c>
      <c r="W188" s="44">
        <v>3.9999999999999998E-7</v>
      </c>
      <c r="X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/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 s="44">
        <v>3.9999999999999998E-7</v>
      </c>
      <c r="AM188" s="44">
        <v>3.9999999999999998E-7</v>
      </c>
      <c r="AN188" s="44">
        <v>3.9999999999999998E-7</v>
      </c>
      <c r="AO188"/>
      <c r="AP188" s="44">
        <v>3.9999999999999998E-7</v>
      </c>
      <c r="AQ188" s="44">
        <v>3.9999999999999998E-7</v>
      </c>
      <c r="AR188" s="44">
        <v>3.9999999999999998E-7</v>
      </c>
      <c r="AS188" s="44">
        <v>3.9999999999999998E-7</v>
      </c>
      <c r="AT188"/>
      <c r="AU188" s="44">
        <v>3.9999999999999998E-7</v>
      </c>
      <c r="AV188"/>
      <c r="AW188"/>
      <c r="AX188" s="44">
        <v>3.9999999999999998E-7</v>
      </c>
    </row>
    <row r="189" spans="1:50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>
        <v>25</v>
      </c>
      <c r="O189" s="44">
        <v>25</v>
      </c>
      <c r="P189" s="44"/>
      <c r="Q189" s="44">
        <v>25</v>
      </c>
      <c r="R189" s="44">
        <v>25</v>
      </c>
      <c r="S189" s="44">
        <v>25</v>
      </c>
      <c r="V189" s="44">
        <v>25</v>
      </c>
      <c r="W189" s="44">
        <v>25</v>
      </c>
      <c r="X189" s="44">
        <v>25</v>
      </c>
      <c r="Y189" s="44">
        <v>25</v>
      </c>
      <c r="Z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/>
      <c r="AH189" s="44">
        <v>25</v>
      </c>
      <c r="AI189" s="44">
        <v>25</v>
      </c>
      <c r="AJ189" s="44">
        <v>25</v>
      </c>
      <c r="AK189" s="44">
        <v>25</v>
      </c>
      <c r="AL189" s="44">
        <v>25</v>
      </c>
      <c r="AM189" s="44">
        <v>25</v>
      </c>
      <c r="AN189" s="44">
        <v>25</v>
      </c>
      <c r="AO189"/>
      <c r="AP189" s="44">
        <v>25</v>
      </c>
      <c r="AQ189" s="44">
        <v>25</v>
      </c>
      <c r="AR189" s="44">
        <v>25</v>
      </c>
      <c r="AS189" s="44">
        <v>25</v>
      </c>
      <c r="AT189"/>
      <c r="AU189" s="44">
        <v>25</v>
      </c>
      <c r="AV189"/>
      <c r="AW189"/>
      <c r="AX189" s="44">
        <v>25</v>
      </c>
    </row>
    <row r="190" spans="1:50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>
        <v>0</v>
      </c>
      <c r="O190" s="44">
        <v>0</v>
      </c>
      <c r="P190" s="44"/>
      <c r="Q190" s="44">
        <v>0</v>
      </c>
      <c r="R190" s="44">
        <v>0</v>
      </c>
      <c r="S190" s="44">
        <v>0</v>
      </c>
      <c r="V190" s="44">
        <v>0</v>
      </c>
      <c r="W190" s="44">
        <v>0</v>
      </c>
      <c r="X190" s="44">
        <v>0</v>
      </c>
      <c r="Y190" s="44">
        <v>0</v>
      </c>
      <c r="Z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/>
      <c r="AH190" s="44">
        <v>0</v>
      </c>
      <c r="AI190" s="44">
        <v>0</v>
      </c>
      <c r="AJ190" s="44">
        <v>0</v>
      </c>
      <c r="AK190" s="44">
        <v>0</v>
      </c>
      <c r="AL190" s="44">
        <v>0</v>
      </c>
      <c r="AM190" s="44">
        <v>0</v>
      </c>
      <c r="AN190" s="44">
        <v>0</v>
      </c>
      <c r="AO190"/>
      <c r="AP190" s="44">
        <v>0</v>
      </c>
      <c r="AQ190" s="44">
        <v>0</v>
      </c>
      <c r="AR190" s="44">
        <v>0</v>
      </c>
      <c r="AS190" s="44">
        <v>0</v>
      </c>
      <c r="AT190"/>
      <c r="AU190" s="44">
        <v>0</v>
      </c>
      <c r="AV190"/>
      <c r="AW190"/>
      <c r="AX190" s="44">
        <v>0</v>
      </c>
    </row>
    <row r="191" spans="1:50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>
        <v>3.98</v>
      </c>
      <c r="O191" s="44">
        <v>3.98</v>
      </c>
      <c r="P191" s="44"/>
      <c r="Q191" s="44">
        <v>3.98</v>
      </c>
      <c r="R191" s="44">
        <v>3.98</v>
      </c>
      <c r="S191" s="44">
        <v>3.98</v>
      </c>
      <c r="V191" s="44">
        <v>3.98</v>
      </c>
      <c r="W191" s="44">
        <v>3.98</v>
      </c>
      <c r="X191" s="44">
        <v>3.98</v>
      </c>
      <c r="Y191" s="44">
        <v>3.98</v>
      </c>
      <c r="Z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/>
      <c r="AH191" s="44">
        <v>3.98</v>
      </c>
      <c r="AI191" s="44">
        <v>3.98</v>
      </c>
      <c r="AJ191" s="44">
        <v>3.98</v>
      </c>
      <c r="AK191" s="44">
        <v>3.98</v>
      </c>
      <c r="AL191" s="44">
        <v>3.98</v>
      </c>
      <c r="AM191" s="44">
        <v>3.98</v>
      </c>
      <c r="AN191" s="44">
        <v>3.98</v>
      </c>
      <c r="AO191"/>
      <c r="AP191" s="44">
        <v>3.98</v>
      </c>
      <c r="AQ191" s="44">
        <v>3.98</v>
      </c>
      <c r="AR191" s="44">
        <v>3.98</v>
      </c>
      <c r="AS191" s="44">
        <v>3.98</v>
      </c>
      <c r="AT191"/>
      <c r="AU191" s="44">
        <v>3.98</v>
      </c>
      <c r="AV191"/>
      <c r="AW191"/>
      <c r="AX191" s="44">
        <v>3.98</v>
      </c>
    </row>
    <row r="192" spans="1:50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>
        <v>1</v>
      </c>
      <c r="O192" s="44">
        <v>1</v>
      </c>
      <c r="P192" s="44"/>
      <c r="Q192" s="44">
        <v>1</v>
      </c>
      <c r="R192" s="44">
        <v>1</v>
      </c>
      <c r="S192" s="44">
        <v>1</v>
      </c>
      <c r="V192" s="44">
        <v>1</v>
      </c>
      <c r="W192" s="44">
        <v>1</v>
      </c>
      <c r="X192" s="44">
        <v>1</v>
      </c>
      <c r="Y192" s="44">
        <v>1</v>
      </c>
      <c r="Z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/>
      <c r="AH192" s="44">
        <v>1</v>
      </c>
      <c r="AI192" s="44">
        <v>1</v>
      </c>
      <c r="AJ192" s="44">
        <v>1</v>
      </c>
      <c r="AK192" s="44">
        <v>1</v>
      </c>
      <c r="AL192" s="44">
        <v>1</v>
      </c>
      <c r="AM192" s="44">
        <v>1</v>
      </c>
      <c r="AN192" s="44">
        <v>1</v>
      </c>
      <c r="AO192"/>
      <c r="AP192" s="44">
        <v>1</v>
      </c>
      <c r="AQ192" s="44">
        <v>1</v>
      </c>
      <c r="AR192" s="44">
        <v>1</v>
      </c>
      <c r="AS192" s="44">
        <v>1</v>
      </c>
      <c r="AT192"/>
      <c r="AU192" s="44">
        <v>1</v>
      </c>
      <c r="AV192"/>
      <c r="AW192"/>
      <c r="AX192" s="44">
        <v>1</v>
      </c>
    </row>
    <row r="193" spans="1:58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>
        <v>8.3333333333333331E-5</v>
      </c>
      <c r="O193" s="44">
        <v>8.3333333333333331E-5</v>
      </c>
      <c r="P193" s="44"/>
      <c r="Q193" s="44">
        <v>8.3333333333333331E-5</v>
      </c>
      <c r="R193" s="44">
        <v>8.3333333333333331E-5</v>
      </c>
      <c r="S193" s="44">
        <v>8.3333333333333331E-5</v>
      </c>
      <c r="V193" s="44">
        <v>8.3333333333333331E-5</v>
      </c>
      <c r="W193" s="44">
        <v>8.3333333333333331E-5</v>
      </c>
      <c r="X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/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 s="44">
        <v>8.3333333333333331E-5</v>
      </c>
      <c r="AM193" s="44">
        <v>8.3333333333333331E-5</v>
      </c>
      <c r="AN193" s="44">
        <v>8.3333333333333331E-5</v>
      </c>
      <c r="AO193"/>
      <c r="AP193" s="44">
        <v>8.3333333333333331E-5</v>
      </c>
      <c r="AQ193" s="44">
        <v>8.3333333333333331E-5</v>
      </c>
      <c r="AR193" s="44">
        <v>8.3333333333333331E-5</v>
      </c>
      <c r="AS193" s="44">
        <v>8.3333333333333331E-5</v>
      </c>
      <c r="AT193"/>
      <c r="AU193" s="44">
        <v>8.3333333333333331E-5</v>
      </c>
      <c r="AV193"/>
      <c r="AW193"/>
      <c r="AX193" s="44">
        <v>8.3333333333333331E-5</v>
      </c>
    </row>
    <row r="194" spans="1:58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>
        <v>3.9999999999999998E-7</v>
      </c>
      <c r="O194" s="44">
        <v>3.9999999999999998E-7</v>
      </c>
      <c r="P194" s="44"/>
      <c r="Q194" s="44">
        <v>3.9999999999999998E-7</v>
      </c>
      <c r="R194" s="44">
        <v>3.9999999999999998E-7</v>
      </c>
      <c r="S194" s="44">
        <v>3.9999999999999998E-7</v>
      </c>
      <c r="V194" s="44">
        <v>3.9999999999999998E-7</v>
      </c>
      <c r="W194" s="44">
        <v>3.9999999999999998E-7</v>
      </c>
      <c r="X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/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 s="44">
        <v>3.9999999999999998E-7</v>
      </c>
      <c r="AM194" s="44">
        <v>3.9999999999999998E-7</v>
      </c>
      <c r="AN194" s="44">
        <v>3.9999999999999998E-7</v>
      </c>
      <c r="AO194"/>
      <c r="AP194" s="44">
        <v>3.9999999999999998E-7</v>
      </c>
      <c r="AQ194" s="44">
        <v>3.9999999999999998E-7</v>
      </c>
      <c r="AR194" s="44">
        <v>3.9999999999999998E-7</v>
      </c>
      <c r="AS194" s="44">
        <v>3.9999999999999998E-7</v>
      </c>
      <c r="AT194"/>
      <c r="AU194" s="44">
        <v>3.9999999999999998E-7</v>
      </c>
      <c r="AV194"/>
      <c r="AW194"/>
      <c r="AX194" s="44">
        <v>3.9999999999999998E-7</v>
      </c>
    </row>
    <row r="195" spans="1:58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>
        <v>25</v>
      </c>
      <c r="O195" s="44">
        <v>25</v>
      </c>
      <c r="P195" s="44"/>
      <c r="Q195" s="44">
        <v>25</v>
      </c>
      <c r="R195" s="44">
        <v>25</v>
      </c>
      <c r="S195" s="44">
        <v>25</v>
      </c>
      <c r="V195" s="44">
        <v>25</v>
      </c>
      <c r="W195" s="44">
        <v>25</v>
      </c>
      <c r="X195" s="44">
        <v>25</v>
      </c>
      <c r="Y195" s="44">
        <v>25</v>
      </c>
      <c r="Z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/>
      <c r="AH195" s="44">
        <v>25</v>
      </c>
      <c r="AI195" s="44">
        <v>25</v>
      </c>
      <c r="AJ195" s="44">
        <v>25</v>
      </c>
      <c r="AK195" s="44">
        <v>25</v>
      </c>
      <c r="AL195" s="44">
        <v>25</v>
      </c>
      <c r="AM195" s="44">
        <v>25</v>
      </c>
      <c r="AN195" s="44">
        <v>25</v>
      </c>
      <c r="AO195"/>
      <c r="AP195" s="44">
        <v>25</v>
      </c>
      <c r="AQ195" s="44">
        <v>25</v>
      </c>
      <c r="AR195" s="44">
        <v>25</v>
      </c>
      <c r="AS195" s="44">
        <v>25</v>
      </c>
      <c r="AT195"/>
      <c r="AU195" s="44">
        <v>25</v>
      </c>
      <c r="AV195"/>
      <c r="AW195"/>
      <c r="AX195" s="44">
        <v>25</v>
      </c>
    </row>
    <row r="196" spans="1:58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>
        <v>0</v>
      </c>
      <c r="O196" s="44">
        <v>0</v>
      </c>
      <c r="P196" s="44"/>
      <c r="Q196" s="44">
        <v>0</v>
      </c>
      <c r="R196" s="44">
        <v>0</v>
      </c>
      <c r="S196" s="44">
        <v>0</v>
      </c>
      <c r="V196" s="44">
        <v>0</v>
      </c>
      <c r="W196" s="44">
        <v>0</v>
      </c>
      <c r="X196" s="44">
        <v>0</v>
      </c>
      <c r="Y196" s="44">
        <v>0</v>
      </c>
      <c r="Z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/>
      <c r="AH196" s="44">
        <v>0</v>
      </c>
      <c r="AI196" s="44">
        <v>0</v>
      </c>
      <c r="AJ196" s="44">
        <v>0</v>
      </c>
      <c r="AK196" s="44">
        <v>0</v>
      </c>
      <c r="AL196" s="44">
        <v>0</v>
      </c>
      <c r="AM196" s="44">
        <v>0</v>
      </c>
      <c r="AN196" s="44">
        <v>0</v>
      </c>
      <c r="AO196"/>
      <c r="AP196" s="44">
        <v>0</v>
      </c>
      <c r="AQ196" s="44">
        <v>0</v>
      </c>
      <c r="AR196" s="44">
        <v>0</v>
      </c>
      <c r="AS196" s="44">
        <v>0</v>
      </c>
      <c r="AT196"/>
      <c r="AU196" s="44">
        <v>0</v>
      </c>
      <c r="AV196"/>
      <c r="AW196"/>
      <c r="AX196" s="44">
        <v>0</v>
      </c>
    </row>
    <row r="197" spans="1:58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>
        <v>3.98</v>
      </c>
      <c r="O197" s="44">
        <v>3.98</v>
      </c>
      <c r="P197" s="44"/>
      <c r="Q197" s="44">
        <v>3.98</v>
      </c>
      <c r="R197" s="44">
        <v>3.98</v>
      </c>
      <c r="S197" s="44">
        <v>3.98</v>
      </c>
      <c r="V197" s="44">
        <v>3.98</v>
      </c>
      <c r="W197" s="44">
        <v>3.98</v>
      </c>
      <c r="X197" s="44">
        <v>3.98</v>
      </c>
      <c r="Y197" s="44">
        <v>3.98</v>
      </c>
      <c r="Z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/>
      <c r="AH197" s="44">
        <v>3.98</v>
      </c>
      <c r="AI197" s="44">
        <v>3.98</v>
      </c>
      <c r="AJ197" s="44">
        <v>3.98</v>
      </c>
      <c r="AK197" s="44">
        <v>3.98</v>
      </c>
      <c r="AL197" s="44">
        <v>3.98</v>
      </c>
      <c r="AM197" s="44">
        <v>3.98</v>
      </c>
      <c r="AN197" s="44">
        <v>3.98</v>
      </c>
      <c r="AO197"/>
      <c r="AP197" s="44">
        <v>3.98</v>
      </c>
      <c r="AQ197" s="44">
        <v>3.98</v>
      </c>
      <c r="AR197" s="44">
        <v>3.98</v>
      </c>
      <c r="AS197" s="44">
        <v>3.98</v>
      </c>
      <c r="AT197"/>
      <c r="AU197" s="44">
        <v>3.98</v>
      </c>
      <c r="AV197"/>
      <c r="AW197"/>
      <c r="AX197" s="44">
        <v>3.98</v>
      </c>
    </row>
    <row r="198" spans="1:58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>
        <v>1</v>
      </c>
      <c r="O198" s="44">
        <v>1</v>
      </c>
      <c r="P198" s="44"/>
      <c r="Q198" s="44">
        <v>1</v>
      </c>
      <c r="R198" s="44">
        <v>1</v>
      </c>
      <c r="S198" s="44">
        <v>1</v>
      </c>
      <c r="V198" s="44">
        <v>1</v>
      </c>
      <c r="W198" s="44">
        <v>1</v>
      </c>
      <c r="X198" s="44">
        <v>1</v>
      </c>
      <c r="Y198" s="44">
        <v>1</v>
      </c>
      <c r="Z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/>
      <c r="AH198" s="44">
        <v>1</v>
      </c>
      <c r="AI198" s="44">
        <v>1</v>
      </c>
      <c r="AJ198" s="44">
        <v>1</v>
      </c>
      <c r="AK198" s="44">
        <v>1</v>
      </c>
      <c r="AL198" s="44">
        <v>1</v>
      </c>
      <c r="AM198" s="44">
        <v>1</v>
      </c>
      <c r="AN198" s="44">
        <v>1</v>
      </c>
      <c r="AO198"/>
      <c r="AP198" s="44">
        <v>1</v>
      </c>
      <c r="AQ198" s="44">
        <v>1</v>
      </c>
      <c r="AR198" s="44">
        <v>1</v>
      </c>
      <c r="AS198" s="44">
        <v>1</v>
      </c>
      <c r="AT198"/>
      <c r="AU198" s="44">
        <v>1</v>
      </c>
      <c r="AV198"/>
      <c r="AW198"/>
      <c r="AX198" s="44">
        <v>1</v>
      </c>
    </row>
    <row r="199" spans="1:58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>
        <v>8.3333333333333331E-5</v>
      </c>
      <c r="O199" s="44">
        <v>8.3333333333333331E-5</v>
      </c>
      <c r="P199" s="44"/>
      <c r="Q199" s="44">
        <v>8.3333333333333331E-5</v>
      </c>
      <c r="R199" s="44">
        <v>8.3333333333333331E-5</v>
      </c>
      <c r="S199" s="44">
        <v>8.3333333333333331E-5</v>
      </c>
      <c r="V199" s="44">
        <v>8.3333333333333331E-5</v>
      </c>
      <c r="W199" s="44">
        <v>8.3333333333333331E-5</v>
      </c>
      <c r="X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/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 s="44">
        <v>8.3333333333333331E-5</v>
      </c>
      <c r="AM199" s="44">
        <v>8.3333333333333331E-5</v>
      </c>
      <c r="AN199" s="44">
        <v>8.3333333333333331E-5</v>
      </c>
      <c r="AO199"/>
      <c r="AP199" s="44">
        <v>8.3333333333333331E-5</v>
      </c>
      <c r="AQ199" s="44">
        <v>8.3333333333333331E-5</v>
      </c>
      <c r="AR199" s="44">
        <v>8.3333333333333331E-5</v>
      </c>
      <c r="AS199" s="44">
        <v>8.3333333333333331E-5</v>
      </c>
      <c r="AT199"/>
      <c r="AU199" s="44">
        <v>8.3333333333333331E-5</v>
      </c>
      <c r="AV199"/>
      <c r="AW199"/>
      <c r="AX199" s="44">
        <v>8.3333333333333331E-5</v>
      </c>
    </row>
    <row r="200" spans="1:58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>
        <v>1.9999999999999999E-7</v>
      </c>
      <c r="O200" s="44">
        <v>1.9999999999999999E-7</v>
      </c>
      <c r="P200" s="44"/>
      <c r="Q200" s="44">
        <v>1.9999999999999999E-7</v>
      </c>
      <c r="R200" s="44">
        <v>1.9999999999999999E-7</v>
      </c>
      <c r="S200" s="44">
        <v>1.9999999999999999E-7</v>
      </c>
      <c r="V200" s="44">
        <v>1.9999999999999999E-7</v>
      </c>
      <c r="W200" s="44">
        <v>1.9999999999999999E-7</v>
      </c>
      <c r="X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/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 s="44">
        <v>1.9999999999999999E-7</v>
      </c>
      <c r="AM200" s="44">
        <v>1.9999999999999999E-7</v>
      </c>
      <c r="AN200" s="44">
        <v>1.9999999999999999E-7</v>
      </c>
      <c r="AO200"/>
      <c r="AP200" s="44">
        <v>1.9999999999999999E-7</v>
      </c>
      <c r="AQ200" s="44">
        <v>1.9999999999999999E-7</v>
      </c>
      <c r="AR200" s="44">
        <v>1.9999999999999999E-7</v>
      </c>
      <c r="AS200" s="44">
        <v>1.9999999999999999E-7</v>
      </c>
      <c r="AT200"/>
      <c r="AU200" s="44">
        <v>1.9999999999999999E-7</v>
      </c>
      <c r="AV200"/>
      <c r="AW200"/>
      <c r="AX200" s="44">
        <v>1.9999999999999999E-7</v>
      </c>
    </row>
    <row r="201" spans="1:58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>
        <v>25</v>
      </c>
      <c r="O201" s="44">
        <v>25</v>
      </c>
      <c r="P201" s="44"/>
      <c r="Q201" s="44">
        <v>25</v>
      </c>
      <c r="R201" s="44">
        <v>25</v>
      </c>
      <c r="S201" s="44">
        <v>25</v>
      </c>
      <c r="V201" s="44">
        <v>25</v>
      </c>
      <c r="W201" s="44">
        <v>25</v>
      </c>
      <c r="X201" s="44">
        <v>25</v>
      </c>
      <c r="Y201" s="44">
        <v>25</v>
      </c>
      <c r="Z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/>
      <c r="AH201" s="44">
        <v>25</v>
      </c>
      <c r="AI201" s="44">
        <v>25</v>
      </c>
      <c r="AJ201" s="44">
        <v>25</v>
      </c>
      <c r="AK201" s="44">
        <v>25</v>
      </c>
      <c r="AL201" s="44">
        <v>25</v>
      </c>
      <c r="AM201" s="44">
        <v>25</v>
      </c>
      <c r="AN201" s="44">
        <v>25</v>
      </c>
      <c r="AO201"/>
      <c r="AP201" s="44">
        <v>25</v>
      </c>
      <c r="AQ201" s="44">
        <v>25</v>
      </c>
      <c r="AR201" s="44">
        <v>25</v>
      </c>
      <c r="AS201" s="44">
        <v>25</v>
      </c>
      <c r="AT201"/>
      <c r="AU201" s="44">
        <v>25</v>
      </c>
      <c r="AV201"/>
      <c r="AW201"/>
      <c r="AX201" s="44">
        <v>25</v>
      </c>
    </row>
    <row r="202" spans="1:58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>
        <v>0</v>
      </c>
      <c r="O202" s="44">
        <v>0</v>
      </c>
      <c r="P202" s="44"/>
      <c r="Q202" s="44">
        <v>0</v>
      </c>
      <c r="R202" s="44">
        <v>0</v>
      </c>
      <c r="S202" s="44">
        <v>0</v>
      </c>
      <c r="V202" s="44">
        <v>0</v>
      </c>
      <c r="W202" s="44">
        <v>0</v>
      </c>
      <c r="X202" s="44">
        <v>0</v>
      </c>
      <c r="Y202" s="44">
        <v>0</v>
      </c>
      <c r="Z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/>
      <c r="AH202" s="44">
        <v>0</v>
      </c>
      <c r="AI202" s="44">
        <v>0</v>
      </c>
      <c r="AJ202" s="44">
        <v>0</v>
      </c>
      <c r="AK202" s="44">
        <v>0</v>
      </c>
      <c r="AL202" s="44">
        <v>0</v>
      </c>
      <c r="AM202" s="44">
        <v>0</v>
      </c>
      <c r="AN202" s="44">
        <v>0</v>
      </c>
      <c r="AO202"/>
      <c r="AP202" s="44">
        <v>0</v>
      </c>
      <c r="AQ202" s="44">
        <v>0</v>
      </c>
      <c r="AR202" s="44">
        <v>0</v>
      </c>
      <c r="AS202" s="44">
        <v>0</v>
      </c>
      <c r="AT202"/>
      <c r="AU202" s="44">
        <v>0</v>
      </c>
      <c r="AV202"/>
      <c r="AW202"/>
      <c r="AX202" s="44">
        <v>0</v>
      </c>
    </row>
    <row r="203" spans="1:58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>
        <v>3.98</v>
      </c>
      <c r="O203" s="44">
        <v>3.98</v>
      </c>
      <c r="P203" s="44"/>
      <c r="Q203" s="44">
        <v>3.98</v>
      </c>
      <c r="R203" s="44">
        <v>3.98</v>
      </c>
      <c r="S203" s="44">
        <v>3.98</v>
      </c>
      <c r="V203" s="44">
        <v>3.98</v>
      </c>
      <c r="W203" s="44">
        <v>3.98</v>
      </c>
      <c r="X203" s="44">
        <v>3.98</v>
      </c>
      <c r="Y203" s="44">
        <v>3.98</v>
      </c>
      <c r="Z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/>
      <c r="AH203" s="44">
        <v>3.98</v>
      </c>
      <c r="AI203" s="44">
        <v>3.98</v>
      </c>
      <c r="AJ203" s="44">
        <v>3.98</v>
      </c>
      <c r="AK203" s="44">
        <v>3.98</v>
      </c>
      <c r="AL203" s="44">
        <v>3.98</v>
      </c>
      <c r="AM203" s="44">
        <v>3.98</v>
      </c>
      <c r="AN203" s="44">
        <v>3.98</v>
      </c>
      <c r="AO203"/>
      <c r="AP203" s="44">
        <v>3.98</v>
      </c>
      <c r="AQ203" s="44">
        <v>3.98</v>
      </c>
      <c r="AR203" s="44">
        <v>3.98</v>
      </c>
      <c r="AS203" s="44">
        <v>3.98</v>
      </c>
      <c r="AT203"/>
      <c r="AU203" s="44">
        <v>3.98</v>
      </c>
      <c r="AV203"/>
      <c r="AW203"/>
      <c r="AX203" s="44">
        <v>3.98</v>
      </c>
    </row>
    <row r="204" spans="1:58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>
        <v>1</v>
      </c>
      <c r="O204" s="44">
        <v>1</v>
      </c>
      <c r="P204" s="44"/>
      <c r="Q204" s="44">
        <v>1</v>
      </c>
      <c r="R204" s="44">
        <v>1</v>
      </c>
      <c r="S204" s="44">
        <v>1</v>
      </c>
      <c r="V204" s="44">
        <v>1</v>
      </c>
      <c r="W204" s="44">
        <v>1</v>
      </c>
      <c r="X204" s="44">
        <v>1</v>
      </c>
      <c r="Y204" s="44">
        <v>1</v>
      </c>
      <c r="Z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/>
      <c r="AH204" s="44">
        <v>1</v>
      </c>
      <c r="AI204" s="44">
        <v>1</v>
      </c>
      <c r="AJ204" s="44">
        <v>1</v>
      </c>
      <c r="AK204" s="44">
        <v>1</v>
      </c>
      <c r="AL204" s="44">
        <v>1</v>
      </c>
      <c r="AM204" s="44">
        <v>1</v>
      </c>
      <c r="AN204" s="44">
        <v>1</v>
      </c>
      <c r="AO204"/>
      <c r="AP204" s="44">
        <v>1</v>
      </c>
      <c r="AQ204" s="44">
        <v>1</v>
      </c>
      <c r="AR204" s="44">
        <v>1</v>
      </c>
      <c r="AS204" s="44">
        <v>1</v>
      </c>
      <c r="AT204"/>
      <c r="AU204" s="44">
        <v>1</v>
      </c>
      <c r="AV204"/>
      <c r="AW204"/>
      <c r="AX204" s="44">
        <v>1</v>
      </c>
    </row>
    <row r="205" spans="1:58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>
        <v>8.3333333333333331E-5</v>
      </c>
      <c r="O205" s="44">
        <v>8.3333333333333331E-5</v>
      </c>
      <c r="P205" s="44"/>
      <c r="Q205" s="44">
        <v>8.3333333333333331E-5</v>
      </c>
      <c r="R205" s="44">
        <v>8.3333333333333331E-5</v>
      </c>
      <c r="S205" s="44">
        <v>8.3333333333333331E-5</v>
      </c>
      <c r="V205" s="44">
        <v>8.3333333333333331E-5</v>
      </c>
      <c r="W205" s="44">
        <v>8.3333333333333331E-5</v>
      </c>
      <c r="X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/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 s="44">
        <v>8.3333333333333331E-5</v>
      </c>
      <c r="AM205" s="44">
        <v>8.3333333333333331E-5</v>
      </c>
      <c r="AN205" s="44">
        <v>8.3333333333333331E-5</v>
      </c>
      <c r="AO205"/>
      <c r="AP205" s="44">
        <v>8.3333333333333331E-5</v>
      </c>
      <c r="AQ205" s="44">
        <v>8.3333333333333331E-5</v>
      </c>
      <c r="AR205" s="44">
        <v>8.3333333333333331E-5</v>
      </c>
      <c r="AS205" s="44">
        <v>8.3333333333333331E-5</v>
      </c>
      <c r="AT205"/>
      <c r="AU205" s="44">
        <v>8.3333333333333331E-5</v>
      </c>
      <c r="AV205"/>
      <c r="AW205"/>
      <c r="AX205" s="44">
        <v>8.3333333333333331E-5</v>
      </c>
    </row>
    <row r="206" spans="1:58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 t="s">
        <v>89</v>
      </c>
      <c r="O206" s="44" t="s">
        <v>89</v>
      </c>
      <c r="P206" s="44"/>
      <c r="Q206" s="44" t="s">
        <v>89</v>
      </c>
      <c r="R206" s="44" t="s">
        <v>89</v>
      </c>
      <c r="S206" s="44" t="s">
        <v>89</v>
      </c>
      <c r="V206" s="44" t="s">
        <v>89</v>
      </c>
      <c r="W206" s="44" t="s">
        <v>89</v>
      </c>
      <c r="X206" s="44" t="s">
        <v>89</v>
      </c>
      <c r="Y206" s="44" t="s">
        <v>89</v>
      </c>
      <c r="Z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/>
      <c r="AH206" s="44" t="s">
        <v>89</v>
      </c>
      <c r="AI206" s="44" t="s">
        <v>89</v>
      </c>
      <c r="AJ206" s="44" t="s">
        <v>89</v>
      </c>
      <c r="AK206" s="44" t="s">
        <v>89</v>
      </c>
      <c r="AL206" s="44" t="s">
        <v>89</v>
      </c>
      <c r="AM206" s="44" t="s">
        <v>89</v>
      </c>
      <c r="AN206" s="44" t="s">
        <v>89</v>
      </c>
      <c r="AO206"/>
      <c r="AP206" s="44" t="s">
        <v>89</v>
      </c>
      <c r="AQ206" s="44" t="s">
        <v>89</v>
      </c>
      <c r="AR206" s="44" t="s">
        <v>89</v>
      </c>
      <c r="AS206" s="44" t="s">
        <v>89</v>
      </c>
      <c r="AT206"/>
      <c r="AU206" s="44" t="s">
        <v>89</v>
      </c>
      <c r="AV206"/>
      <c r="AW206"/>
      <c r="AX206" s="44" t="s">
        <v>89</v>
      </c>
    </row>
    <row r="207" spans="1:58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>
        <f>0.0000005*0.4285*10/2.028*4</f>
        <v>4.2258382642998024E-6</v>
      </c>
      <c r="O207" s="44">
        <f>0.0000005*0.4285*10/2.028*4</f>
        <v>4.2258382642998024E-6</v>
      </c>
      <c r="P207" s="44"/>
      <c r="Q207" s="44">
        <f t="shared" ref="Q207:AX207" si="13">0.00002</f>
        <v>2.0000000000000002E-5</v>
      </c>
      <c r="R207" s="44">
        <f t="shared" si="13"/>
        <v>2.0000000000000002E-5</v>
      </c>
      <c r="S207" s="44">
        <f t="shared" si="13"/>
        <v>2.0000000000000002E-5</v>
      </c>
      <c r="V207" s="44">
        <f t="shared" si="13"/>
        <v>2.0000000000000002E-5</v>
      </c>
      <c r="W207" s="44">
        <f t="shared" si="13"/>
        <v>2.0000000000000002E-5</v>
      </c>
      <c r="X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/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 s="44">
        <f t="shared" si="13"/>
        <v>2.0000000000000002E-5</v>
      </c>
      <c r="AO207"/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/>
      <c r="AU207" s="44">
        <f t="shared" si="13"/>
        <v>2.0000000000000002E-5</v>
      </c>
      <c r="AV207"/>
      <c r="AW207"/>
      <c r="AX207" s="44">
        <f t="shared" si="13"/>
        <v>2.0000000000000002E-5</v>
      </c>
      <c r="AY207" s="1"/>
      <c r="AZ207" s="1"/>
      <c r="BA207" s="1"/>
      <c r="BB207" s="1"/>
      <c r="BC207" s="1"/>
      <c r="BD207" s="1"/>
      <c r="BE207" s="1"/>
      <c r="BF207" s="1"/>
    </row>
    <row r="208" spans="1:58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>
        <v>0.25</v>
      </c>
      <c r="O208" s="44">
        <v>0.25</v>
      </c>
      <c r="P208" s="44"/>
      <c r="Q208" s="44">
        <v>0.3</v>
      </c>
      <c r="R208" s="44">
        <v>0.3</v>
      </c>
      <c r="S208" s="44">
        <v>0.3</v>
      </c>
      <c r="V208" s="44">
        <v>0.3</v>
      </c>
      <c r="W208" s="44">
        <v>0.3</v>
      </c>
      <c r="X208" s="44">
        <v>0.3</v>
      </c>
      <c r="Y208" s="44">
        <v>0.3</v>
      </c>
      <c r="Z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/>
      <c r="AH208" s="44">
        <v>0.3</v>
      </c>
      <c r="AI208" s="44">
        <v>0.3</v>
      </c>
      <c r="AJ208" s="44">
        <v>0.3</v>
      </c>
      <c r="AK208" s="44">
        <v>0.3</v>
      </c>
      <c r="AL208" s="44">
        <v>0.15</v>
      </c>
      <c r="AM208" s="44">
        <v>0.15</v>
      </c>
      <c r="AN208" s="44">
        <v>0.15</v>
      </c>
      <c r="AO208"/>
      <c r="AP208" s="44">
        <v>0.15</v>
      </c>
      <c r="AQ208" s="44">
        <v>0.15</v>
      </c>
      <c r="AR208" s="44">
        <v>0.15</v>
      </c>
      <c r="AS208" s="44">
        <v>0.15</v>
      </c>
      <c r="AT208"/>
      <c r="AU208" s="44">
        <v>0.15</v>
      </c>
      <c r="AV208"/>
      <c r="AW208"/>
      <c r="AX208" s="44">
        <v>0.3</v>
      </c>
      <c r="AY208" s="51"/>
      <c r="AZ208" s="51"/>
      <c r="BA208" s="51"/>
      <c r="BB208" s="51"/>
      <c r="BC208" s="51"/>
      <c r="BD208" s="51"/>
      <c r="BE208" s="51"/>
      <c r="BF208" s="51"/>
    </row>
    <row r="209" spans="1:58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AX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>
        <f t="shared" si="14"/>
        <v>1.4285714285714286E-6</v>
      </c>
      <c r="O209" s="44">
        <f t="shared" si="14"/>
        <v>1.4285714285714286E-6</v>
      </c>
      <c r="P209" s="44"/>
      <c r="Q209" s="44">
        <f t="shared" si="14"/>
        <v>1.4285714285714286E-6</v>
      </c>
      <c r="R209" s="44">
        <v>2E-3</v>
      </c>
      <c r="S209" s="44">
        <f t="shared" si="14"/>
        <v>1.4285714285714286E-6</v>
      </c>
      <c r="V209" s="44">
        <f t="shared" si="14"/>
        <v>1.4285714285714286E-6</v>
      </c>
      <c r="W209" s="44">
        <f t="shared" si="14"/>
        <v>1.4285714285714286E-6</v>
      </c>
      <c r="X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/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 s="44">
        <f t="shared" si="14"/>
        <v>1.4285714285714286E-6</v>
      </c>
      <c r="AO209"/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/>
      <c r="AU209" s="44">
        <v>2E-3</v>
      </c>
      <c r="AV209"/>
      <c r="AW209"/>
      <c r="AX209" s="44">
        <f t="shared" si="14"/>
        <v>1.4285714285714286E-6</v>
      </c>
      <c r="AY209" s="37"/>
      <c r="AZ209" s="37"/>
      <c r="BA209" s="37"/>
      <c r="BB209" s="37"/>
      <c r="BC209" s="37"/>
      <c r="BD209" s="37"/>
      <c r="BE209" s="37"/>
      <c r="BF209" s="37"/>
    </row>
    <row r="210" spans="1:58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 t="s">
        <v>485</v>
      </c>
      <c r="O210" s="44" t="s">
        <v>485</v>
      </c>
      <c r="P210" s="44"/>
      <c r="Q210" s="44" t="s">
        <v>485</v>
      </c>
      <c r="R210" s="44">
        <v>0.1</v>
      </c>
      <c r="S210" s="44" t="s">
        <v>485</v>
      </c>
      <c r="V210" s="44" t="s">
        <v>485</v>
      </c>
      <c r="W210" s="44" t="s">
        <v>485</v>
      </c>
      <c r="X210" s="44" t="s">
        <v>485</v>
      </c>
      <c r="Y210" s="44" t="s">
        <v>485</v>
      </c>
      <c r="Z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/>
      <c r="AH210" s="44" t="s">
        <v>485</v>
      </c>
      <c r="AI210" s="44" t="s">
        <v>485</v>
      </c>
      <c r="AJ210" s="44" t="s">
        <v>485</v>
      </c>
      <c r="AK210" s="44" t="s">
        <v>485</v>
      </c>
      <c r="AL210" s="44" t="s">
        <v>485</v>
      </c>
      <c r="AM210" s="44" t="s">
        <v>485</v>
      </c>
      <c r="AN210" s="44" t="s">
        <v>485</v>
      </c>
      <c r="AO210"/>
      <c r="AP210" s="44" t="s">
        <v>485</v>
      </c>
      <c r="AQ210" s="44" t="s">
        <v>485</v>
      </c>
      <c r="AR210" s="44" t="s">
        <v>485</v>
      </c>
      <c r="AS210" s="44" t="s">
        <v>485</v>
      </c>
      <c r="AT210"/>
      <c r="AU210" s="44">
        <v>0.1</v>
      </c>
      <c r="AV210"/>
      <c r="AW210"/>
      <c r="AX210" s="44" t="s">
        <v>485</v>
      </c>
      <c r="AY210" s="37"/>
      <c r="AZ210" s="37"/>
      <c r="BA210" s="37"/>
      <c r="BB210" s="37"/>
      <c r="BC210" s="37"/>
      <c r="BD210" s="37"/>
      <c r="BE210" s="37"/>
      <c r="BF210" s="37"/>
    </row>
    <row r="211" spans="1:58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>
        <v>0</v>
      </c>
      <c r="O211" s="44">
        <v>0</v>
      </c>
      <c r="P211" s="44"/>
      <c r="Q211" s="44">
        <v>0</v>
      </c>
      <c r="R211" s="44">
        <v>0.04</v>
      </c>
      <c r="S211" s="44">
        <v>0</v>
      </c>
      <c r="V211" s="44">
        <v>0</v>
      </c>
      <c r="W211" s="44">
        <v>0</v>
      </c>
      <c r="X211" s="44">
        <v>0</v>
      </c>
      <c r="Y211" s="44">
        <v>0</v>
      </c>
      <c r="Z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/>
      <c r="AH211" s="44">
        <v>0</v>
      </c>
      <c r="AI211" s="44">
        <v>0</v>
      </c>
      <c r="AJ211" s="44">
        <v>0</v>
      </c>
      <c r="AK211" s="44">
        <v>0</v>
      </c>
      <c r="AL211" s="44">
        <v>0</v>
      </c>
      <c r="AM211" s="44">
        <v>0</v>
      </c>
      <c r="AN211" s="44">
        <v>0</v>
      </c>
      <c r="AO211"/>
      <c r="AP211" s="44">
        <v>0</v>
      </c>
      <c r="AQ211" s="44">
        <v>0</v>
      </c>
      <c r="AR211" s="44">
        <v>0</v>
      </c>
      <c r="AS211" s="44">
        <v>0</v>
      </c>
      <c r="AT211"/>
      <c r="AU211" s="44">
        <v>0.04</v>
      </c>
      <c r="AV211"/>
      <c r="AW211"/>
      <c r="AX211" s="44">
        <v>0</v>
      </c>
      <c r="AY211" s="37"/>
      <c r="AZ211" s="37"/>
      <c r="BA211" s="37"/>
      <c r="BB211" s="37"/>
      <c r="BC211" s="37"/>
      <c r="BD211" s="37"/>
      <c r="BE211" s="37"/>
      <c r="BF211" s="37"/>
    </row>
    <row r="212" spans="1:58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>
        <v>1E-3</v>
      </c>
      <c r="O212" s="44">
        <v>1E-3</v>
      </c>
      <c r="P212" s="44"/>
      <c r="Q212" s="44">
        <v>1E-3</v>
      </c>
      <c r="R212" s="44">
        <v>1E-3</v>
      </c>
      <c r="S212" s="44">
        <v>1E-3</v>
      </c>
      <c r="V212" s="44">
        <v>1E-3</v>
      </c>
      <c r="W212" s="44">
        <v>1E-3</v>
      </c>
      <c r="X212" s="44">
        <v>1E-3</v>
      </c>
      <c r="Y212" s="44">
        <v>1E-3</v>
      </c>
      <c r="Z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/>
      <c r="AH212" s="44">
        <v>1E-3</v>
      </c>
      <c r="AI212" s="44">
        <v>1E-3</v>
      </c>
      <c r="AJ212" s="44">
        <v>1E-3</v>
      </c>
      <c r="AK212" s="44">
        <v>1E-3</v>
      </c>
      <c r="AL212" s="44">
        <v>1E-3</v>
      </c>
      <c r="AM212" s="44">
        <v>1E-3</v>
      </c>
      <c r="AN212" s="44">
        <v>1E-3</v>
      </c>
      <c r="AO212"/>
      <c r="AP212" s="44">
        <v>1E-3</v>
      </c>
      <c r="AQ212" s="44">
        <v>1E-3</v>
      </c>
      <c r="AR212" s="44">
        <v>1E-3</v>
      </c>
      <c r="AS212" s="44">
        <v>1E-3</v>
      </c>
      <c r="AT212"/>
      <c r="AU212" s="44">
        <v>1E-3</v>
      </c>
      <c r="AV212"/>
      <c r="AW212"/>
      <c r="AX212" s="44">
        <v>1E-3</v>
      </c>
      <c r="AY212" s="37"/>
      <c r="AZ212" s="37"/>
      <c r="BA212" s="37"/>
      <c r="BB212" s="37"/>
      <c r="BC212" s="37"/>
      <c r="BD212" s="37"/>
      <c r="BE212" s="37"/>
      <c r="BF212" s="37"/>
    </row>
    <row r="213" spans="1:58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AX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>
        <f>1250*0.000001/5</f>
        <v>2.5000000000000001E-4</v>
      </c>
      <c r="O213" s="44">
        <f t="shared" si="15"/>
        <v>2.5000000000000001E-4</v>
      </c>
      <c r="P213" s="44"/>
      <c r="Q213" s="44">
        <f t="shared" si="15"/>
        <v>2.5000000000000001E-4</v>
      </c>
      <c r="R213" s="44">
        <f t="shared" si="15"/>
        <v>2.5000000000000001E-4</v>
      </c>
      <c r="S213" s="44">
        <f t="shared" si="15"/>
        <v>2.5000000000000001E-4</v>
      </c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/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 s="44">
        <f t="shared" si="15"/>
        <v>2.5000000000000001E-4</v>
      </c>
      <c r="AO213"/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/>
      <c r="AU213" s="44">
        <f t="shared" si="15"/>
        <v>2.5000000000000001E-4</v>
      </c>
      <c r="AV213"/>
      <c r="AW213"/>
      <c r="AX213" s="44">
        <f t="shared" si="15"/>
        <v>2.5000000000000001E-4</v>
      </c>
      <c r="AY213" s="51"/>
      <c r="AZ213" s="51"/>
      <c r="BA213" s="51"/>
      <c r="BB213" s="51"/>
      <c r="BC213" s="51"/>
      <c r="BD213" s="51"/>
      <c r="BE213" s="51"/>
      <c r="BF213" s="51"/>
    </row>
    <row r="214" spans="1:58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>
        <v>2.0000000000000001E-4</v>
      </c>
      <c r="O214" s="44">
        <v>2.0000000000000001E-4</v>
      </c>
      <c r="P214" s="44"/>
      <c r="Q214" s="44">
        <v>2.0000000000000001E-4</v>
      </c>
      <c r="R214" s="44">
        <v>2.0000000000000001E-4</v>
      </c>
      <c r="S214" s="44">
        <v>2.0000000000000001E-4</v>
      </c>
      <c r="T214" s="1">
        <f>44.4365413894298/21.9053373</f>
        <v>2.0285714290019081</v>
      </c>
      <c r="V214" s="44">
        <v>2.0000000000000001E-4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/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/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/>
      <c r="AU214" s="44">
        <v>2.0000000000000001E-4</v>
      </c>
      <c r="AV214"/>
      <c r="AW214"/>
      <c r="AX214" s="44">
        <v>2.0000000000000001E-4</v>
      </c>
      <c r="AY214" s="51"/>
      <c r="AZ214" s="51"/>
      <c r="BA214" s="51"/>
      <c r="BB214" s="51"/>
      <c r="BC214" s="51"/>
      <c r="BD214" s="51"/>
      <c r="BE214" s="51"/>
      <c r="BF214" s="51"/>
    </row>
    <row r="215" spans="1:58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0.0000000000025/50</f>
        <v>4.9999999999999995E-14</v>
      </c>
      <c r="K215" s="44">
        <f>0.0000000000025/50</f>
        <v>4.9999999999999995E-14</v>
      </c>
      <c r="L215" s="44">
        <f>0.0000000000025/50</f>
        <v>4.9999999999999995E-14</v>
      </c>
      <c r="M215" s="44">
        <f>0.0000000000025/50 * 10</f>
        <v>4.9999999999999999E-13</v>
      </c>
      <c r="N215" s="1" t="s">
        <v>606</v>
      </c>
      <c r="O215" s="44">
        <f>0.0000000000025/50</f>
        <v>4.9999999999999995E-14</v>
      </c>
      <c r="P215" s="44"/>
      <c r="Q215" s="44">
        <v>2.4999999999999999E-13</v>
      </c>
      <c r="R215" s="44">
        <v>2.4999999999999999E-13</v>
      </c>
      <c r="S215" s="44">
        <v>2.4999999999999999E-13</v>
      </c>
      <c r="V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/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/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/>
      <c r="AU215" s="44">
        <v>2.4999999999999999E-13</v>
      </c>
      <c r="AV215"/>
      <c r="AW215"/>
      <c r="AX215" s="44">
        <v>2.4999999999999999E-13</v>
      </c>
      <c r="AY215" s="51"/>
      <c r="AZ215" s="51"/>
      <c r="BA215" s="51"/>
      <c r="BB215" s="51"/>
      <c r="BC215" s="51"/>
      <c r="BD215" s="51"/>
      <c r="BE215" s="51"/>
      <c r="BF215" s="51"/>
    </row>
    <row r="216" spans="1:58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 / 10</f>
        <v>5.0000000000000005E-12</v>
      </c>
      <c r="K216" s="44">
        <f>0.00000000005/ 10</f>
        <v>5.0000000000000005E-12</v>
      </c>
      <c r="L216" s="44">
        <f>0.00000000005</f>
        <v>5.0000000000000002E-11</v>
      </c>
      <c r="M216" s="44">
        <f>0.00000000005/ 10*10</f>
        <v>5.0000000000000008E-11</v>
      </c>
      <c r="O216" s="44">
        <f>0.00000000005*2 / 10 / 2</f>
        <v>5.0000000000000005E-12</v>
      </c>
      <c r="P216" s="44"/>
      <c r="Q216" s="44">
        <f t="shared" ref="Q216:AU217" si="16">0.00000012*100</f>
        <v>1.1999999999999999E-5</v>
      </c>
      <c r="R216" s="44">
        <f t="shared" si="16"/>
        <v>1.1999999999999999E-5</v>
      </c>
      <c r="S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 s="44">
        <f t="shared" si="16"/>
        <v>1.1999999999999999E-5</v>
      </c>
      <c r="AG216"/>
      <c r="AH216" s="44">
        <f t="shared" si="16"/>
        <v>1.1999999999999999E-5</v>
      </c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 s="44">
        <f t="shared" si="16"/>
        <v>1.1999999999999999E-5</v>
      </c>
      <c r="AO216"/>
      <c r="AP216" s="44">
        <f t="shared" si="16"/>
        <v>1.1999999999999999E-5</v>
      </c>
      <c r="AQ216" s="44">
        <f t="shared" si="16"/>
        <v>1.1999999999999999E-5</v>
      </c>
      <c r="AR216" s="44">
        <f t="shared" si="16"/>
        <v>1.1999999999999999E-5</v>
      </c>
      <c r="AS216" s="44">
        <f t="shared" si="16"/>
        <v>1.1999999999999999E-5</v>
      </c>
      <c r="AT216"/>
      <c r="AU216" s="44">
        <f t="shared" si="16"/>
        <v>1.1999999999999999E-5</v>
      </c>
      <c r="AV216"/>
      <c r="AW216"/>
      <c r="AX216" s="44">
        <f>0.00000012*100</f>
        <v>1.1999999999999999E-5</v>
      </c>
      <c r="AY216" s="51"/>
      <c r="AZ216" s="51"/>
      <c r="BA216" s="51"/>
      <c r="BB216" s="51"/>
      <c r="BC216" s="51"/>
      <c r="BD216" s="51"/>
      <c r="BE216" s="51"/>
      <c r="BF216" s="51"/>
    </row>
    <row r="217" spans="1:58" x14ac:dyDescent="0.25">
      <c r="A217" s="2" t="s">
        <v>598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0.00000000005*2 / 10 / 2</f>
        <v>5.0000000000000005E-12</v>
      </c>
      <c r="K217" s="44">
        <f>K216</f>
        <v>5.0000000000000005E-12</v>
      </c>
      <c r="L217" s="44">
        <f>L216/3</f>
        <v>1.6666666666666667E-11</v>
      </c>
      <c r="M217" s="44">
        <f>M216*3</f>
        <v>1.5000000000000002E-10</v>
      </c>
      <c r="O217" s="44">
        <f>0.00000000005*2 / 10 / 2</f>
        <v>5.0000000000000005E-12</v>
      </c>
      <c r="P217" s="44"/>
      <c r="Q217" s="44">
        <f t="shared" si="16"/>
        <v>1.1999999999999999E-5</v>
      </c>
      <c r="R217" s="44">
        <f t="shared" si="16"/>
        <v>1.1999999999999999E-5</v>
      </c>
      <c r="S217" s="44">
        <f t="shared" si="16"/>
        <v>1.1999999999999999E-5</v>
      </c>
      <c r="V217" s="44">
        <f t="shared" si="16"/>
        <v>1.1999999999999999E-5</v>
      </c>
      <c r="W217" s="44">
        <f t="shared" si="16"/>
        <v>1.1999999999999999E-5</v>
      </c>
      <c r="X217" s="44">
        <f t="shared" si="16"/>
        <v>1.1999999999999999E-5</v>
      </c>
      <c r="Y217" s="44">
        <f t="shared" si="16"/>
        <v>1.1999999999999999E-5</v>
      </c>
      <c r="Z217" s="44">
        <f t="shared" si="16"/>
        <v>1.1999999999999999E-5</v>
      </c>
      <c r="AA217" s="44">
        <f t="shared" si="16"/>
        <v>1.1999999999999999E-5</v>
      </c>
      <c r="AB217" s="44">
        <f t="shared" si="16"/>
        <v>1.1999999999999999E-5</v>
      </c>
      <c r="AC217" s="44">
        <f t="shared" si="16"/>
        <v>1.1999999999999999E-5</v>
      </c>
      <c r="AD217" s="44">
        <f t="shared" si="16"/>
        <v>1.1999999999999999E-5</v>
      </c>
      <c r="AE217" s="44">
        <f t="shared" si="16"/>
        <v>1.1999999999999999E-5</v>
      </c>
      <c r="AF217" s="44">
        <f t="shared" si="16"/>
        <v>1.1999999999999999E-5</v>
      </c>
      <c r="AG217"/>
      <c r="AH217" s="44">
        <f t="shared" si="16"/>
        <v>1.1999999999999999E-5</v>
      </c>
      <c r="AI217" s="44">
        <f t="shared" si="16"/>
        <v>1.1999999999999999E-5</v>
      </c>
      <c r="AJ217" s="44">
        <f t="shared" si="16"/>
        <v>1.1999999999999999E-5</v>
      </c>
      <c r="AK217" s="44">
        <f t="shared" si="16"/>
        <v>1.1999999999999999E-5</v>
      </c>
      <c r="AL217" s="44">
        <f t="shared" si="16"/>
        <v>1.1999999999999999E-5</v>
      </c>
      <c r="AM217" s="44">
        <f t="shared" si="16"/>
        <v>1.1999999999999999E-5</v>
      </c>
      <c r="AN217" s="44">
        <f t="shared" si="16"/>
        <v>1.1999999999999999E-5</v>
      </c>
      <c r="AO217"/>
      <c r="AP217" s="44">
        <f t="shared" si="16"/>
        <v>1.1999999999999999E-5</v>
      </c>
      <c r="AQ217" s="44">
        <f t="shared" si="16"/>
        <v>1.1999999999999999E-5</v>
      </c>
      <c r="AR217" s="44">
        <f t="shared" si="16"/>
        <v>1.1999999999999999E-5</v>
      </c>
      <c r="AS217" s="44">
        <f t="shared" si="16"/>
        <v>1.1999999999999999E-5</v>
      </c>
      <c r="AT217"/>
      <c r="AU217" s="44">
        <f t="shared" si="16"/>
        <v>1.1999999999999999E-5</v>
      </c>
      <c r="AV217"/>
      <c r="AW217"/>
      <c r="AX217" s="44">
        <f>0.00000012*100</f>
        <v>1.1999999999999999E-5</v>
      </c>
      <c r="AY217" s="51"/>
      <c r="AZ217" s="51"/>
      <c r="BA217" s="51"/>
      <c r="BB217" s="51"/>
      <c r="BC217" s="51"/>
      <c r="BD217" s="51"/>
      <c r="BE217" s="51"/>
      <c r="BF217" s="51"/>
    </row>
    <row r="218" spans="1:58" x14ac:dyDescent="0.25">
      <c r="A218" s="2" t="s">
        <v>573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511</v>
      </c>
      <c r="G218" s="44"/>
      <c r="I218" s="58"/>
      <c r="J218" s="44">
        <f>0</f>
        <v>0</v>
      </c>
      <c r="K218" s="44">
        <f>0</f>
        <v>0</v>
      </c>
      <c r="L218" s="44">
        <f>0</f>
        <v>0</v>
      </c>
      <c r="M218" s="44">
        <f>0</f>
        <v>0</v>
      </c>
      <c r="O218" s="44">
        <f>0</f>
        <v>0</v>
      </c>
      <c r="P218" s="44"/>
      <c r="Q218" s="44"/>
      <c r="R218" s="44"/>
      <c r="S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/>
      <c r="AH218" s="44"/>
      <c r="AI218" s="44"/>
      <c r="AJ218" s="44"/>
      <c r="AK218" s="44"/>
      <c r="AL218" s="44"/>
      <c r="AM218" s="44"/>
      <c r="AN218" s="44"/>
      <c r="AO218"/>
      <c r="AP218" s="44"/>
      <c r="AQ218" s="44"/>
      <c r="AR218" s="44"/>
      <c r="AS218" s="44"/>
      <c r="AT218"/>
      <c r="AU218" s="44"/>
      <c r="AV218"/>
      <c r="AW218"/>
      <c r="AX218" s="44"/>
      <c r="AY218" s="51"/>
      <c r="AZ218" s="51"/>
      <c r="BA218" s="51"/>
      <c r="BB218" s="51"/>
      <c r="BC218" s="51"/>
      <c r="BD218" s="51"/>
      <c r="BE218" s="51"/>
      <c r="BF218" s="51"/>
    </row>
    <row r="219" spans="1:58" x14ac:dyDescent="0.25">
      <c r="A219" s="2" t="s">
        <v>574</v>
      </c>
      <c r="B219" s="3" t="s">
        <v>473</v>
      </c>
      <c r="C219" s="3" t="s">
        <v>483</v>
      </c>
      <c r="D219" s="3" t="s">
        <v>521</v>
      </c>
      <c r="E219" s="50" t="s">
        <v>577</v>
      </c>
      <c r="F219" s="50" t="s">
        <v>487</v>
      </c>
      <c r="G219" s="44"/>
      <c r="I219" s="58"/>
      <c r="J219" s="44">
        <f>100</f>
        <v>100</v>
      </c>
      <c r="K219" s="44">
        <f>100</f>
        <v>100</v>
      </c>
      <c r="L219" s="44">
        <f>100</f>
        <v>100</v>
      </c>
      <c r="M219" s="44">
        <f>100</f>
        <v>100</v>
      </c>
      <c r="O219" s="44">
        <f>100</f>
        <v>100</v>
      </c>
      <c r="P219" s="44"/>
      <c r="Q219" s="44"/>
      <c r="R219" s="44"/>
      <c r="S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/>
      <c r="AH219" s="44"/>
      <c r="AI219" s="44"/>
      <c r="AJ219" s="44"/>
      <c r="AK219" s="44"/>
      <c r="AL219" s="44"/>
      <c r="AM219" s="44"/>
      <c r="AN219" s="44"/>
      <c r="AO219"/>
      <c r="AP219" s="44"/>
      <c r="AQ219" s="44"/>
      <c r="AR219" s="44"/>
      <c r="AS219" s="44"/>
      <c r="AT219"/>
      <c r="AU219" s="44"/>
      <c r="AV219"/>
      <c r="AW219"/>
      <c r="AX219" s="44"/>
      <c r="AY219" s="51"/>
      <c r="AZ219" s="51"/>
      <c r="BA219" s="51"/>
      <c r="BB219" s="51"/>
      <c r="BC219" s="51"/>
      <c r="BD219" s="51"/>
      <c r="BE219" s="51"/>
      <c r="BF219" s="51"/>
    </row>
    <row r="220" spans="1:58" x14ac:dyDescent="0.25">
      <c r="A220" s="2" t="s">
        <v>591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*2 * 3</f>
        <v>6E-10</v>
      </c>
      <c r="K220" s="44">
        <f>0.000001 / 10000 *2 * 3/100/10/100</f>
        <v>6.0000000000000005E-15</v>
      </c>
      <c r="L220" s="44">
        <f>0.000001 / 10000 *2 * 3/10</f>
        <v>6E-11</v>
      </c>
      <c r="M220" s="44">
        <f>0.000001 / 10000 *2 * 3/10 * 2*2</f>
        <v>2.4E-10</v>
      </c>
      <c r="N220" s="1" t="s">
        <v>607</v>
      </c>
      <c r="O220" s="44">
        <f>0.000001 / 10000 *2 * 3</f>
        <v>6E-10</v>
      </c>
      <c r="P220" s="44"/>
      <c r="Q220" s="44">
        <v>9.9999999999999995E-7</v>
      </c>
      <c r="R220" s="44">
        <v>9.9999999999999995E-7</v>
      </c>
      <c r="S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 s="44">
        <v>9.9999999999999995E-7</v>
      </c>
      <c r="AG220"/>
      <c r="AH220" s="44">
        <v>9.9999999999999995E-7</v>
      </c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 s="44">
        <v>9.9999999999999995E-7</v>
      </c>
      <c r="AN220" s="44">
        <v>9.9999999999999995E-7</v>
      </c>
      <c r="AO220"/>
      <c r="AP220" s="44">
        <v>9.9999999999999995E-7</v>
      </c>
      <c r="AQ220" s="44">
        <v>9.9999999999999995E-7</v>
      </c>
      <c r="AR220" s="44">
        <v>9.9999999999999995E-7</v>
      </c>
      <c r="AS220" s="44">
        <v>9.9999999999999995E-7</v>
      </c>
      <c r="AT220"/>
      <c r="AU220" s="44">
        <v>9.9999999999999995E-7</v>
      </c>
      <c r="AV220"/>
      <c r="AW220"/>
      <c r="AX220" s="44">
        <v>9.9999999999999995E-7</v>
      </c>
      <c r="AY220" s="51"/>
      <c r="AZ220" s="51"/>
      <c r="BA220" s="51"/>
      <c r="BB220" s="51"/>
      <c r="BC220" s="51"/>
      <c r="BD220" s="51"/>
      <c r="BE220" s="51"/>
      <c r="BF220" s="51"/>
    </row>
    <row r="221" spans="1:58" x14ac:dyDescent="0.25">
      <c r="A221" s="2" t="s">
        <v>592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/ 4 / 10</f>
        <v>2.4999999999999998E-12</v>
      </c>
      <c r="K221" s="44">
        <f>0.000001 / 10000 / 4 / 10/10/1000</f>
        <v>2.5000000000000002E-16</v>
      </c>
      <c r="L221" s="44">
        <f>0.000001 / 10000 / 4 /100</f>
        <v>2.4999999999999999E-13</v>
      </c>
      <c r="M221" s="44">
        <f>0.000001 / 10000 / 4 /10</f>
        <v>2.4999999999999998E-12</v>
      </c>
      <c r="N221" s="1" t="s">
        <v>605</v>
      </c>
      <c r="O221" s="44">
        <f>0.000001 / 10000 / 4 / 10</f>
        <v>2.4999999999999998E-12</v>
      </c>
      <c r="P221" s="44"/>
      <c r="Q221" s="44">
        <v>9.9999999999999995E-7</v>
      </c>
      <c r="R221" s="44">
        <v>9.9999999999999995E-7</v>
      </c>
      <c r="S221" s="44">
        <v>9.9999999999999995E-7</v>
      </c>
      <c r="V221" s="44">
        <v>9.9999999999999995E-7</v>
      </c>
      <c r="W221" s="44">
        <v>9.9999999999999995E-7</v>
      </c>
      <c r="X221" s="44">
        <v>9.9999999999999995E-7</v>
      </c>
      <c r="Y221" s="44">
        <v>9.9999999999999995E-7</v>
      </c>
      <c r="Z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/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 s="44">
        <v>9.9999999999999995E-7</v>
      </c>
      <c r="AM221" s="44">
        <v>9.9999999999999995E-7</v>
      </c>
      <c r="AN221" s="44">
        <v>9.9999999999999995E-7</v>
      </c>
      <c r="AO221"/>
      <c r="AP221" s="44">
        <v>9.9999999999999995E-7</v>
      </c>
      <c r="AQ221" s="44">
        <v>9.9999999999999995E-7</v>
      </c>
      <c r="AR221" s="44">
        <v>9.9999999999999995E-7</v>
      </c>
      <c r="AS221" s="44">
        <v>9.9999999999999995E-7</v>
      </c>
      <c r="AT221"/>
      <c r="AU221" s="44">
        <v>9.9999999999999995E-7</v>
      </c>
      <c r="AV221"/>
      <c r="AW221"/>
      <c r="AX221" s="44">
        <v>9.9999999999999995E-7</v>
      </c>
      <c r="AY221" s="51"/>
      <c r="AZ221" s="51"/>
      <c r="BA221" s="51"/>
      <c r="BB221" s="51"/>
      <c r="BC221" s="51"/>
      <c r="BD221" s="51"/>
      <c r="BE221" s="51"/>
      <c r="BF221" s="51"/>
    </row>
    <row r="222" spans="1:58" x14ac:dyDescent="0.25">
      <c r="A222" s="2" t="s">
        <v>509</v>
      </c>
      <c r="B222" s="3" t="s">
        <v>473</v>
      </c>
      <c r="C222" s="3" t="s">
        <v>483</v>
      </c>
      <c r="D222" s="3" t="s">
        <v>521</v>
      </c>
      <c r="E222" s="50" t="s">
        <v>510</v>
      </c>
      <c r="F222" s="50" t="s">
        <v>511</v>
      </c>
      <c r="G222" s="44">
        <f>2*0.00001</f>
        <v>2.0000000000000002E-5</v>
      </c>
      <c r="I222" s="44">
        <f>0.00001</f>
        <v>1.0000000000000001E-5</v>
      </c>
      <c r="J222" s="44">
        <f>0.00001 / 10/2/4</f>
        <v>1.2500000000000002E-7</v>
      </c>
      <c r="K222" s="44">
        <v>0</v>
      </c>
      <c r="L222" s="44">
        <v>0</v>
      </c>
      <c r="M222" s="44">
        <v>0</v>
      </c>
      <c r="O222" s="44">
        <f>0.00001 / 10/2/4</f>
        <v>1.2500000000000002E-7</v>
      </c>
      <c r="P222" s="44"/>
      <c r="Q222" s="44">
        <v>2E-8</v>
      </c>
      <c r="R222" s="44">
        <v>2E-8</v>
      </c>
      <c r="S222" s="44">
        <v>2E-8</v>
      </c>
      <c r="V222" s="44">
        <v>5.0000000000000002E-5</v>
      </c>
      <c r="W222" s="44">
        <v>5.0000000000000002E-5</v>
      </c>
      <c r="X222" s="44">
        <v>5.0000000000000002E-5</v>
      </c>
      <c r="Y222" s="44">
        <v>5.0000000000000002E-5</v>
      </c>
      <c r="Z222" s="44">
        <v>2.0000000000000002E-5</v>
      </c>
      <c r="AA222" s="44">
        <v>1.0000000000000001E-5</v>
      </c>
      <c r="AB222" s="44">
        <v>5.0000000000000004E-6</v>
      </c>
      <c r="AC222" s="44">
        <v>1.9999999999999999E-6</v>
      </c>
      <c r="AD222" s="44">
        <v>9.9999999999999995E-7</v>
      </c>
      <c r="AE222" s="44">
        <v>4.9999999999999998E-7</v>
      </c>
      <c r="AF222" s="44">
        <v>1.9999999999999999E-7</v>
      </c>
      <c r="AG222"/>
      <c r="AH222" s="44">
        <v>2.0000000000000002E-5</v>
      </c>
      <c r="AI222" s="44">
        <v>1.0000000000000001E-5</v>
      </c>
      <c r="AJ222" s="44">
        <v>5.0000000000000004E-6</v>
      </c>
      <c r="AK222" s="44">
        <v>1.9999999999999999E-6</v>
      </c>
      <c r="AL222" s="44">
        <v>9.9999999999999995E-7</v>
      </c>
      <c r="AM222" s="44">
        <v>4.9999999999999998E-7</v>
      </c>
      <c r="AN222" s="44">
        <v>1.9999999999999999E-7</v>
      </c>
      <c r="AO222"/>
      <c r="AP222" s="44">
        <v>2E-8</v>
      </c>
      <c r="AQ222" s="44">
        <v>2E-8</v>
      </c>
      <c r="AR222" s="44">
        <v>2.0000000000000001E-9</v>
      </c>
      <c r="AS222" s="44">
        <v>2.0000000000000001E-9</v>
      </c>
      <c r="AT222"/>
      <c r="AU222" s="44">
        <v>9.9999999999999995E-7</v>
      </c>
      <c r="AV222"/>
      <c r="AW222"/>
      <c r="AX222" s="44">
        <v>5.0000000000000002E-5</v>
      </c>
      <c r="AY222" s="51"/>
      <c r="AZ222" s="51"/>
      <c r="BA222" s="51"/>
      <c r="BB222" s="51"/>
      <c r="BC222" s="51"/>
      <c r="BD222" s="51"/>
      <c r="BE222" s="51"/>
      <c r="BF222" s="51"/>
    </row>
    <row r="223" spans="1:58" x14ac:dyDescent="0.25">
      <c r="A223" s="2" t="s">
        <v>571</v>
      </c>
      <c r="B223" s="3" t="s">
        <v>473</v>
      </c>
      <c r="C223" s="3" t="s">
        <v>483</v>
      </c>
      <c r="D223" s="3" t="s">
        <v>521</v>
      </c>
      <c r="E223" s="50" t="s">
        <v>572</v>
      </c>
      <c r="F223" s="50" t="s">
        <v>511</v>
      </c>
      <c r="G223" s="44"/>
      <c r="I223" s="44">
        <f xml:space="preserve"> 0.001 * 10</f>
        <v>0.01</v>
      </c>
      <c r="J223" s="44">
        <f xml:space="preserve"> 0.001 / 10</f>
        <v>1E-4</v>
      </c>
      <c r="K223" s="44">
        <f xml:space="preserve"> 0.001 / 10</f>
        <v>1E-4</v>
      </c>
      <c r="L223" s="44">
        <f xml:space="preserve"> 0.001 / 10</f>
        <v>1E-4</v>
      </c>
      <c r="M223" s="44">
        <f xml:space="preserve"> 0.001 / 10</f>
        <v>1E-4</v>
      </c>
      <c r="O223" s="44">
        <f xml:space="preserve"> 0.001 / 10</f>
        <v>1E-4</v>
      </c>
      <c r="P223" s="44"/>
      <c r="Q223" s="44"/>
      <c r="R223" s="44"/>
      <c r="S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/>
      <c r="AH223" s="44"/>
      <c r="AI223" s="44"/>
      <c r="AJ223" s="44"/>
      <c r="AK223" s="44"/>
      <c r="AL223" s="44"/>
      <c r="AM223" s="44"/>
      <c r="AN223" s="44"/>
      <c r="AO223"/>
      <c r="AP223" s="44"/>
      <c r="AQ223" s="44"/>
      <c r="AR223" s="44"/>
      <c r="AS223" s="44"/>
      <c r="AT223"/>
      <c r="AU223" s="44"/>
      <c r="AV223"/>
      <c r="AW223"/>
      <c r="AX223" s="44"/>
      <c r="AY223" s="51"/>
      <c r="AZ223" s="51"/>
      <c r="BA223" s="51"/>
      <c r="BB223" s="51"/>
      <c r="BC223" s="51"/>
      <c r="BD223" s="51"/>
      <c r="BE223" s="51"/>
      <c r="BF223" s="51"/>
    </row>
    <row r="224" spans="1:58" x14ac:dyDescent="0.25">
      <c r="A224" s="2" t="s">
        <v>575</v>
      </c>
      <c r="B224" s="3" t="s">
        <v>473</v>
      </c>
      <c r="C224" s="3" t="s">
        <v>483</v>
      </c>
      <c r="D224" s="3" t="s">
        <v>521</v>
      </c>
      <c r="E224" s="50" t="s">
        <v>576</v>
      </c>
      <c r="F224" s="50" t="s">
        <v>511</v>
      </c>
      <c r="G224" s="56">
        <v>1.0000000000000001E-5</v>
      </c>
      <c r="I224" s="44">
        <f>0.00001 /10/4/2</f>
        <v>1.2500000000000002E-7</v>
      </c>
      <c r="J224" s="44">
        <f>0.00001 /5 /2/4</f>
        <v>2.5000000000000004E-7</v>
      </c>
      <c r="K224" s="44">
        <v>0</v>
      </c>
      <c r="L224" s="44">
        <v>0</v>
      </c>
      <c r="M224" s="44">
        <v>0</v>
      </c>
      <c r="O224" s="44">
        <f>0.00001 /5 /2/4</f>
        <v>2.5000000000000004E-7</v>
      </c>
      <c r="P224" s="44"/>
      <c r="Q224" s="44"/>
      <c r="R224" s="44"/>
      <c r="S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/>
      <c r="AH224" s="44"/>
      <c r="AI224" s="44"/>
      <c r="AJ224" s="44"/>
      <c r="AK224" s="44"/>
      <c r="AL224" s="44"/>
      <c r="AM224" s="44"/>
      <c r="AN224" s="44"/>
      <c r="AO224"/>
      <c r="AP224" s="44"/>
      <c r="AQ224" s="44"/>
      <c r="AR224" s="44"/>
      <c r="AS224" s="44"/>
      <c r="AT224"/>
      <c r="AU224" s="44"/>
      <c r="AV224"/>
      <c r="AW224"/>
      <c r="AX224" s="44"/>
      <c r="AY224" s="51"/>
      <c r="AZ224" s="51"/>
      <c r="BA224" s="51"/>
      <c r="BB224" s="51"/>
      <c r="BC224" s="51"/>
      <c r="BD224" s="51"/>
      <c r="BE224" s="51"/>
      <c r="BF224" s="51"/>
    </row>
    <row r="225" spans="1:73" ht="14.25" customHeight="1" x14ac:dyDescent="0.25">
      <c r="A225" s="53" t="s">
        <v>517</v>
      </c>
      <c r="B225" s="3" t="s">
        <v>473</v>
      </c>
      <c r="C225" s="3" t="s">
        <v>518</v>
      </c>
      <c r="D225" s="3" t="s">
        <v>521</v>
      </c>
      <c r="E225" s="50" t="s">
        <v>519</v>
      </c>
      <c r="F225" s="50" t="s">
        <v>520</v>
      </c>
      <c r="G225" s="44">
        <v>9.9999999999999995E-8</v>
      </c>
      <c r="I225" s="58"/>
      <c r="J225" s="44">
        <f>0.0000001</f>
        <v>9.9999999999999995E-8</v>
      </c>
      <c r="K225" s="44">
        <f>0.0000001</f>
        <v>9.9999999999999995E-8</v>
      </c>
      <c r="L225" s="44">
        <f>0.0000001</f>
        <v>9.9999999999999995E-8</v>
      </c>
      <c r="M225" s="44">
        <f>0.0000001</f>
        <v>9.9999999999999995E-8</v>
      </c>
      <c r="O225" s="44">
        <f>0.0000001</f>
        <v>9.9999999999999995E-8</v>
      </c>
      <c r="P225" s="44"/>
      <c r="Q225" s="44">
        <v>5.0000000000000003E-10</v>
      </c>
      <c r="R225" s="44">
        <v>5.0000000000000003E-10</v>
      </c>
      <c r="S225" s="44">
        <v>9.9999999999999995E-8</v>
      </c>
      <c r="V225" s="44">
        <v>4.9999999999999998E-8</v>
      </c>
      <c r="W225" s="44">
        <v>2E-8</v>
      </c>
      <c r="X225" s="44">
        <v>1E-8</v>
      </c>
      <c r="Y225" s="44">
        <v>1.0000000000000001E-9</v>
      </c>
      <c r="Z225" s="44">
        <v>1E-8</v>
      </c>
      <c r="AA225" s="44">
        <v>1E-8</v>
      </c>
      <c r="AB225" s="44">
        <v>1E-8</v>
      </c>
      <c r="AC225" s="44">
        <v>1E-8</v>
      </c>
      <c r="AD225" s="44">
        <v>1E-8</v>
      </c>
      <c r="AE225" s="44">
        <v>1E-8</v>
      </c>
      <c r="AF225" s="44">
        <v>1E-8</v>
      </c>
      <c r="AG225"/>
      <c r="AH225" s="44">
        <v>1.0000000000000001E-9</v>
      </c>
      <c r="AI225" s="44">
        <v>1.0000000000000001E-9</v>
      </c>
      <c r="AJ225" s="44">
        <v>1.0000000000000001E-9</v>
      </c>
      <c r="AK225" s="44">
        <v>1.0000000000000001E-9</v>
      </c>
      <c r="AL225" s="44">
        <v>1.0000000000000001E-9</v>
      </c>
      <c r="AM225" s="44">
        <v>1.0000000000000001E-9</v>
      </c>
      <c r="AN225" s="44">
        <v>1.0000000000000001E-9</v>
      </c>
      <c r="AO225"/>
      <c r="AP225" s="44">
        <v>1E-8</v>
      </c>
      <c r="AQ225" s="44">
        <v>1.0000000000000001E-9</v>
      </c>
      <c r="AR225" s="44">
        <v>1E-8</v>
      </c>
      <c r="AS225" s="44">
        <v>1.0000000000000001E-9</v>
      </c>
      <c r="AT225"/>
      <c r="AU225" s="44">
        <v>1.0000000000000001E-9</v>
      </c>
      <c r="AV225"/>
      <c r="AW225"/>
      <c r="AX225" s="44">
        <v>9.9999999999999995E-8</v>
      </c>
    </row>
    <row r="226" spans="1:73" x14ac:dyDescent="0.25">
      <c r="A226" s="2" t="s">
        <v>523</v>
      </c>
      <c r="B226" s="3" t="s">
        <v>473</v>
      </c>
      <c r="C226" s="3" t="s">
        <v>483</v>
      </c>
      <c r="D226" s="3" t="s">
        <v>521</v>
      </c>
      <c r="E226" s="50" t="s">
        <v>524</v>
      </c>
      <c r="F226" s="50" t="s">
        <v>487</v>
      </c>
      <c r="G226" s="44">
        <v>0.2</v>
      </c>
      <c r="I226" s="58"/>
      <c r="J226" s="44">
        <v>0.2</v>
      </c>
      <c r="K226" s="44">
        <v>0.2</v>
      </c>
      <c r="L226" s="44">
        <v>0.2</v>
      </c>
      <c r="M226" s="44">
        <v>0.2</v>
      </c>
      <c r="N226" s="1" t="s">
        <v>600</v>
      </c>
      <c r="O226" s="44">
        <v>0.2</v>
      </c>
      <c r="P226" s="44"/>
      <c r="Q226" s="44">
        <v>0.2</v>
      </c>
      <c r="R226" s="44">
        <v>0.2</v>
      </c>
      <c r="S226" s="44">
        <v>0.2</v>
      </c>
      <c r="V226" s="44">
        <v>0.2</v>
      </c>
      <c r="W226" s="44">
        <v>0.2</v>
      </c>
      <c r="X226" s="44">
        <v>0.2</v>
      </c>
      <c r="Y226" s="44">
        <v>0.2</v>
      </c>
      <c r="Z226" s="44">
        <v>0.2</v>
      </c>
      <c r="AA226" s="44">
        <v>0.2</v>
      </c>
      <c r="AB226" s="44">
        <v>0.2</v>
      </c>
      <c r="AC226" s="44">
        <v>0.2</v>
      </c>
      <c r="AD226" s="44">
        <v>0.2</v>
      </c>
      <c r="AE226" s="44">
        <v>0.2</v>
      </c>
      <c r="AF226" s="44">
        <v>0.2</v>
      </c>
      <c r="AG226"/>
      <c r="AH226" s="44">
        <v>0.2</v>
      </c>
      <c r="AI226" s="44">
        <v>0.2</v>
      </c>
      <c r="AJ226" s="44">
        <v>0.2</v>
      </c>
      <c r="AK226" s="44">
        <v>0.2</v>
      </c>
      <c r="AL226" s="44">
        <v>0.2</v>
      </c>
      <c r="AM226" s="44">
        <v>0.2</v>
      </c>
      <c r="AN226" s="44">
        <v>0.2</v>
      </c>
      <c r="AO226"/>
      <c r="AP226" s="44">
        <v>0.2</v>
      </c>
      <c r="AQ226" s="44">
        <v>0.2</v>
      </c>
      <c r="AR226" s="44">
        <v>0.2</v>
      </c>
      <c r="AS226" s="44">
        <v>0.2</v>
      </c>
      <c r="AT226"/>
      <c r="AU226" s="44">
        <v>0.2</v>
      </c>
      <c r="AV226"/>
      <c r="AW226"/>
      <c r="AX226" s="44">
        <v>0.2</v>
      </c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</row>
    <row r="227" spans="1:73" x14ac:dyDescent="0.25">
      <c r="A227" s="2" t="s">
        <v>525</v>
      </c>
      <c r="B227" s="3" t="s">
        <v>473</v>
      </c>
      <c r="C227" s="3" t="s">
        <v>580</v>
      </c>
      <c r="D227" s="3" t="s">
        <v>581</v>
      </c>
      <c r="E227" s="50" t="s">
        <v>526</v>
      </c>
      <c r="F227" s="50" t="s">
        <v>491</v>
      </c>
      <c r="G227" s="44" t="s">
        <v>485</v>
      </c>
      <c r="I227" s="58"/>
      <c r="J227" s="44" t="s">
        <v>485</v>
      </c>
      <c r="K227" s="44" t="s">
        <v>485</v>
      </c>
      <c r="L227" s="44" t="s">
        <v>485</v>
      </c>
      <c r="M227" s="44" t="s">
        <v>485</v>
      </c>
      <c r="O227" s="44" t="s">
        <v>485</v>
      </c>
      <c r="P227" s="44"/>
      <c r="Q227" s="44" t="s">
        <v>485</v>
      </c>
      <c r="R227" s="44" t="s">
        <v>485</v>
      </c>
      <c r="S227" s="44" t="s">
        <v>485</v>
      </c>
      <c r="V227" s="44" t="s">
        <v>485</v>
      </c>
      <c r="W227" s="44" t="s">
        <v>485</v>
      </c>
      <c r="X227" s="44" t="s">
        <v>485</v>
      </c>
      <c r="Y227" s="44" t="s">
        <v>485</v>
      </c>
      <c r="Z227" s="44" t="s">
        <v>485</v>
      </c>
      <c r="AA227" s="44" t="s">
        <v>485</v>
      </c>
      <c r="AB227" s="44" t="s">
        <v>485</v>
      </c>
      <c r="AC227" s="44" t="s">
        <v>485</v>
      </c>
      <c r="AD227" s="44" t="s">
        <v>485</v>
      </c>
      <c r="AE227" s="44" t="s">
        <v>485</v>
      </c>
      <c r="AF227" s="44" t="s">
        <v>485</v>
      </c>
      <c r="AG227"/>
      <c r="AH227" s="44" t="s">
        <v>485</v>
      </c>
      <c r="AI227" s="44" t="s">
        <v>485</v>
      </c>
      <c r="AJ227" s="44" t="s">
        <v>485</v>
      </c>
      <c r="AK227" s="44" t="s">
        <v>485</v>
      </c>
      <c r="AL227" s="44" t="s">
        <v>485</v>
      </c>
      <c r="AM227" s="44" t="s">
        <v>485</v>
      </c>
      <c r="AN227" s="44" t="s">
        <v>485</v>
      </c>
      <c r="AO227"/>
      <c r="AP227" s="44" t="s">
        <v>485</v>
      </c>
      <c r="AQ227" s="44" t="s">
        <v>485</v>
      </c>
      <c r="AR227" s="44" t="s">
        <v>485</v>
      </c>
      <c r="AS227" s="44" t="s">
        <v>485</v>
      </c>
      <c r="AT227"/>
      <c r="AU227" s="44" t="s">
        <v>485</v>
      </c>
      <c r="AV227"/>
      <c r="AW227"/>
      <c r="AX227" s="44" t="s">
        <v>485</v>
      </c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</row>
    <row r="228" spans="1:73" x14ac:dyDescent="0.25">
      <c r="A228" s="2" t="s">
        <v>527</v>
      </c>
      <c r="B228" s="3" t="s">
        <v>473</v>
      </c>
      <c r="C228" s="3" t="s">
        <v>580</v>
      </c>
      <c r="D228" s="3" t="s">
        <v>581</v>
      </c>
      <c r="E228" s="50" t="s">
        <v>528</v>
      </c>
      <c r="F228" s="50" t="s">
        <v>491</v>
      </c>
      <c r="G228" s="44">
        <f t="shared" ref="G228:AX228" si="17">2*0.1</f>
        <v>0.2</v>
      </c>
      <c r="I228" s="58"/>
      <c r="J228" s="44">
        <f t="shared" si="17"/>
        <v>0.2</v>
      </c>
      <c r="K228" s="44">
        <f t="shared" si="17"/>
        <v>0.2</v>
      </c>
      <c r="L228" s="44">
        <f t="shared" si="17"/>
        <v>0.2</v>
      </c>
      <c r="M228" s="44">
        <f t="shared" si="17"/>
        <v>0.2</v>
      </c>
      <c r="O228" s="44">
        <f t="shared" si="17"/>
        <v>0.2</v>
      </c>
      <c r="P228" s="44"/>
      <c r="Q228" s="44">
        <f t="shared" si="17"/>
        <v>0.2</v>
      </c>
      <c r="R228" s="44">
        <f t="shared" si="17"/>
        <v>0.2</v>
      </c>
      <c r="S228" s="44">
        <f t="shared" si="17"/>
        <v>0.2</v>
      </c>
      <c r="V228" s="44">
        <f t="shared" si="17"/>
        <v>0.2</v>
      </c>
      <c r="W228" s="44">
        <f t="shared" si="17"/>
        <v>0.2</v>
      </c>
      <c r="X228" s="44">
        <f t="shared" si="17"/>
        <v>0.2</v>
      </c>
      <c r="Y228" s="44">
        <f t="shared" si="17"/>
        <v>0.2</v>
      </c>
      <c r="Z228" s="44">
        <f t="shared" si="17"/>
        <v>0.2</v>
      </c>
      <c r="AA228" s="44">
        <f t="shared" si="17"/>
        <v>0.2</v>
      </c>
      <c r="AB228" s="44">
        <f t="shared" si="17"/>
        <v>0.2</v>
      </c>
      <c r="AC228" s="44">
        <f t="shared" si="17"/>
        <v>0.2</v>
      </c>
      <c r="AD228" s="44">
        <f t="shared" si="17"/>
        <v>0.2</v>
      </c>
      <c r="AE228" s="44">
        <f t="shared" si="17"/>
        <v>0.2</v>
      </c>
      <c r="AF228" s="44">
        <f t="shared" si="17"/>
        <v>0.2</v>
      </c>
      <c r="AG228"/>
      <c r="AH228" s="44">
        <f t="shared" si="17"/>
        <v>0.2</v>
      </c>
      <c r="AI228" s="44">
        <f t="shared" si="17"/>
        <v>0.2</v>
      </c>
      <c r="AJ228" s="44">
        <f t="shared" si="17"/>
        <v>0.2</v>
      </c>
      <c r="AK228" s="44">
        <f t="shared" si="17"/>
        <v>0.2</v>
      </c>
      <c r="AL228" s="44">
        <f t="shared" si="17"/>
        <v>0.2</v>
      </c>
      <c r="AM228" s="44">
        <f t="shared" si="17"/>
        <v>0.2</v>
      </c>
      <c r="AN228" s="44">
        <f t="shared" si="17"/>
        <v>0.2</v>
      </c>
      <c r="AO228"/>
      <c r="AP228" s="44">
        <f t="shared" si="17"/>
        <v>0.2</v>
      </c>
      <c r="AQ228" s="44">
        <f t="shared" si="17"/>
        <v>0.2</v>
      </c>
      <c r="AR228" s="44">
        <f t="shared" si="17"/>
        <v>0.2</v>
      </c>
      <c r="AS228" s="44">
        <f t="shared" si="17"/>
        <v>0.2</v>
      </c>
      <c r="AT228"/>
      <c r="AU228" s="44">
        <f t="shared" si="17"/>
        <v>0.2</v>
      </c>
      <c r="AV228"/>
      <c r="AW228"/>
      <c r="AX228" s="44">
        <f t="shared" si="17"/>
        <v>0.2</v>
      </c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</row>
    <row r="229" spans="1:73" x14ac:dyDescent="0.25">
      <c r="A229" s="2" t="s">
        <v>529</v>
      </c>
      <c r="B229" s="3" t="s">
        <v>473</v>
      </c>
      <c r="C229" s="3" t="s">
        <v>580</v>
      </c>
      <c r="D229" s="3" t="s">
        <v>581</v>
      </c>
      <c r="E229" s="50" t="s">
        <v>530</v>
      </c>
      <c r="F229" s="50" t="s">
        <v>491</v>
      </c>
      <c r="G229" s="44">
        <v>1E-3</v>
      </c>
      <c r="I229" s="58"/>
      <c r="J229" s="44">
        <v>1E-3</v>
      </c>
      <c r="K229" s="44">
        <v>1E-3</v>
      </c>
      <c r="L229" s="44">
        <v>1E-3</v>
      </c>
      <c r="M229" s="44">
        <v>1E-3</v>
      </c>
      <c r="O229" s="44">
        <v>1E-3</v>
      </c>
      <c r="P229" s="44"/>
      <c r="Q229" s="44">
        <v>1E-3</v>
      </c>
      <c r="R229" s="44">
        <v>1E-3</v>
      </c>
      <c r="S229" s="44">
        <v>1E-3</v>
      </c>
      <c r="V229" s="44">
        <v>1E-3</v>
      </c>
      <c r="W229" s="44">
        <v>1E-3</v>
      </c>
      <c r="X229" s="44">
        <v>1E-3</v>
      </c>
      <c r="Y229" s="44">
        <v>1E-3</v>
      </c>
      <c r="Z229" s="44">
        <v>1E-3</v>
      </c>
      <c r="AA229" s="44">
        <v>1E-3</v>
      </c>
      <c r="AB229" s="44">
        <v>1E-3</v>
      </c>
      <c r="AC229" s="44">
        <v>1E-3</v>
      </c>
      <c r="AD229" s="44">
        <v>1E-3</v>
      </c>
      <c r="AE229" s="44">
        <v>1E-3</v>
      </c>
      <c r="AF229" s="44">
        <v>1E-3</v>
      </c>
      <c r="AG229"/>
      <c r="AH229" s="44">
        <v>1E-3</v>
      </c>
      <c r="AI229" s="44">
        <v>1E-3</v>
      </c>
      <c r="AJ229" s="44">
        <v>1E-3</v>
      </c>
      <c r="AK229" s="44">
        <v>1E-3</v>
      </c>
      <c r="AL229" s="44">
        <v>1E-3</v>
      </c>
      <c r="AM229" s="44">
        <v>1E-3</v>
      </c>
      <c r="AN229" s="44">
        <v>1E-3</v>
      </c>
      <c r="AO229"/>
      <c r="AP229" s="44">
        <v>1E-3</v>
      </c>
      <c r="AQ229" s="44">
        <v>1E-3</v>
      </c>
      <c r="AR229" s="44">
        <v>1E-3</v>
      </c>
      <c r="AS229" s="44">
        <v>1E-3</v>
      </c>
      <c r="AT229"/>
      <c r="AU229" s="44">
        <v>1E-3</v>
      </c>
      <c r="AV229"/>
      <c r="AW229"/>
      <c r="AX229" s="44">
        <v>1E-3</v>
      </c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</row>
    <row r="230" spans="1:73" x14ac:dyDescent="0.25">
      <c r="A230" s="2" t="s">
        <v>531</v>
      </c>
      <c r="B230" s="3" t="s">
        <v>473</v>
      </c>
      <c r="C230" s="3" t="s">
        <v>483</v>
      </c>
      <c r="D230" s="3" t="s">
        <v>521</v>
      </c>
      <c r="E230" s="50" t="s">
        <v>532</v>
      </c>
      <c r="F230" s="50" t="s">
        <v>561</v>
      </c>
      <c r="G230" s="44">
        <v>1.0000000000000001E-5</v>
      </c>
      <c r="I230" s="58"/>
      <c r="J230" s="44">
        <f>0.00001 / 2</f>
        <v>5.0000000000000004E-6</v>
      </c>
      <c r="K230" s="44">
        <f>0.00001 / 2</f>
        <v>5.0000000000000004E-6</v>
      </c>
      <c r="L230" s="44">
        <f>0.00001 / 2 * 10</f>
        <v>5.0000000000000002E-5</v>
      </c>
      <c r="M230" s="44">
        <f>0.00001 / 2 * 10</f>
        <v>5.0000000000000002E-5</v>
      </c>
      <c r="O230" s="44">
        <f>0.00001 / 2</f>
        <v>5.0000000000000004E-6</v>
      </c>
      <c r="P230" s="44"/>
      <c r="Q230" s="44">
        <v>1.0000000000000001E-5</v>
      </c>
      <c r="R230" s="44">
        <v>1.0000000000000001E-5</v>
      </c>
      <c r="S230" s="44">
        <v>1.0000000000000001E-5</v>
      </c>
      <c r="V230" s="44">
        <v>1.0000000000000001E-5</v>
      </c>
      <c r="W230" s="44">
        <v>1.0000000000000001E-5</v>
      </c>
      <c r="X230" s="44">
        <v>1.0000000000000001E-5</v>
      </c>
      <c r="Y230" s="44">
        <v>1.0000000000000001E-5</v>
      </c>
      <c r="Z230" s="44">
        <v>1.0000000000000001E-5</v>
      </c>
      <c r="AA230" s="44">
        <v>1.0000000000000001E-5</v>
      </c>
      <c r="AB230" s="44">
        <v>1.0000000000000001E-5</v>
      </c>
      <c r="AC230" s="44">
        <v>1.0000000000000001E-5</v>
      </c>
      <c r="AD230" s="44">
        <v>1.0000000000000001E-5</v>
      </c>
      <c r="AE230" s="44">
        <v>1.0000000000000001E-5</v>
      </c>
      <c r="AF230" s="44">
        <v>1.0000000000000001E-5</v>
      </c>
      <c r="AG230"/>
      <c r="AH230" s="44">
        <v>1.0000000000000001E-5</v>
      </c>
      <c r="AI230" s="44">
        <v>1.0000000000000001E-5</v>
      </c>
      <c r="AJ230" s="44">
        <v>1.0000000000000001E-5</v>
      </c>
      <c r="AK230" s="44">
        <v>1.0000000000000001E-5</v>
      </c>
      <c r="AL230" s="44">
        <v>1.0000000000000001E-5</v>
      </c>
      <c r="AM230" s="44">
        <v>1.0000000000000001E-5</v>
      </c>
      <c r="AN230" s="44">
        <v>1.0000000000000001E-5</v>
      </c>
      <c r="AO230"/>
      <c r="AP230" s="44">
        <v>1.0000000000000001E-5</v>
      </c>
      <c r="AQ230" s="44">
        <v>1.0000000000000001E-5</v>
      </c>
      <c r="AR230" s="44">
        <v>1.0000000000000001E-5</v>
      </c>
      <c r="AS230" s="44">
        <v>1.0000000000000001E-5</v>
      </c>
      <c r="AT230"/>
      <c r="AU230" s="44">
        <v>1.0000000000000001E-5</v>
      </c>
      <c r="AV230"/>
      <c r="AW230"/>
      <c r="AX230" s="44">
        <v>1.0000000000000001E-5</v>
      </c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1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</row>
    <row r="231" spans="1:73" x14ac:dyDescent="0.25">
      <c r="A231" s="2" t="s">
        <v>578</v>
      </c>
      <c r="B231" s="3" t="s">
        <v>473</v>
      </c>
      <c r="C231" s="3" t="s">
        <v>483</v>
      </c>
      <c r="D231" s="3" t="s">
        <v>521</v>
      </c>
      <c r="E231" s="50" t="s">
        <v>579</v>
      </c>
      <c r="F231" s="50" t="s">
        <v>491</v>
      </c>
      <c r="G231" s="57">
        <v>1.0000000000000001E-5</v>
      </c>
      <c r="I231" s="58"/>
      <c r="J231" s="44">
        <f t="shared" ref="J231:O231" si="18">0.000000005 / 5</f>
        <v>1.0000000000000001E-9</v>
      </c>
      <c r="K231" s="44">
        <f t="shared" si="18"/>
        <v>1.0000000000000001E-9</v>
      </c>
      <c r="L231" s="44">
        <f>0.000000005 / 5 *10</f>
        <v>1E-8</v>
      </c>
      <c r="M231" s="44">
        <f>0.000000005 / 5*2</f>
        <v>2.0000000000000001E-9</v>
      </c>
      <c r="O231" s="44">
        <f t="shared" si="18"/>
        <v>1.0000000000000001E-9</v>
      </c>
      <c r="P231" s="44"/>
      <c r="Q231" s="44"/>
      <c r="R231" s="44"/>
      <c r="S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/>
      <c r="AH231" s="44"/>
      <c r="AI231" s="44"/>
      <c r="AJ231" s="44"/>
      <c r="AK231" s="44"/>
      <c r="AL231" s="44"/>
      <c r="AM231" s="44"/>
      <c r="AN231" s="44"/>
      <c r="AO231"/>
      <c r="AP231" s="44"/>
      <c r="AQ231" s="44"/>
      <c r="AR231" s="44"/>
      <c r="AS231" s="44"/>
      <c r="AT231"/>
      <c r="AU231" s="44"/>
      <c r="AV231"/>
      <c r="AW231"/>
      <c r="AX231" s="44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1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</row>
    <row r="232" spans="1:73" x14ac:dyDescent="0.25">
      <c r="A232" s="2" t="s">
        <v>540</v>
      </c>
      <c r="B232" s="3" t="s">
        <v>473</v>
      </c>
      <c r="C232" s="3" t="s">
        <v>483</v>
      </c>
      <c r="D232" s="3" t="s">
        <v>521</v>
      </c>
      <c r="E232" s="30" t="s">
        <v>537</v>
      </c>
      <c r="F232" s="30" t="s">
        <v>536</v>
      </c>
      <c r="G232" s="44">
        <f t="shared" ref="G232:AX233" si="19">0.00002 / 14 / 5</f>
        <v>2.8571428571428575E-7</v>
      </c>
      <c r="I232" s="58"/>
      <c r="J232" s="44">
        <v>0</v>
      </c>
      <c r="K232" s="44">
        <v>0</v>
      </c>
      <c r="L232" s="44">
        <v>0</v>
      </c>
      <c r="M232" s="44">
        <v>0</v>
      </c>
      <c r="O232" s="44">
        <v>0</v>
      </c>
      <c r="P232" s="44"/>
      <c r="Q232" s="44">
        <f t="shared" si="19"/>
        <v>2.8571428571428575E-7</v>
      </c>
      <c r="R232" s="44">
        <f t="shared" si="19"/>
        <v>2.8571428571428575E-7</v>
      </c>
      <c r="S232" s="44">
        <f t="shared" si="19"/>
        <v>2.8571428571428575E-7</v>
      </c>
      <c r="V232" s="44">
        <f t="shared" si="19"/>
        <v>2.8571428571428575E-7</v>
      </c>
      <c r="W232" s="44">
        <f t="shared" si="19"/>
        <v>2.8571428571428575E-7</v>
      </c>
      <c r="X232" s="44">
        <f t="shared" si="19"/>
        <v>2.8571428571428575E-7</v>
      </c>
      <c r="Y232" s="44">
        <f t="shared" si="19"/>
        <v>2.8571428571428575E-7</v>
      </c>
      <c r="Z232" s="44">
        <f t="shared" si="19"/>
        <v>2.8571428571428575E-7</v>
      </c>
      <c r="AA232" s="44">
        <f t="shared" si="19"/>
        <v>2.8571428571428575E-7</v>
      </c>
      <c r="AB232" s="44">
        <f t="shared" si="19"/>
        <v>2.8571428571428575E-7</v>
      </c>
      <c r="AC232" s="44">
        <f t="shared" si="19"/>
        <v>2.8571428571428575E-7</v>
      </c>
      <c r="AD232" s="44">
        <f t="shared" si="19"/>
        <v>2.8571428571428575E-7</v>
      </c>
      <c r="AE232" s="44">
        <f t="shared" si="19"/>
        <v>2.8571428571428575E-7</v>
      </c>
      <c r="AF232" s="44">
        <f t="shared" si="19"/>
        <v>2.8571428571428575E-7</v>
      </c>
      <c r="AG232"/>
      <c r="AH232" s="44">
        <f t="shared" si="19"/>
        <v>2.8571428571428575E-7</v>
      </c>
      <c r="AI232" s="44">
        <f t="shared" si="19"/>
        <v>2.8571428571428575E-7</v>
      </c>
      <c r="AJ232" s="44">
        <f t="shared" si="19"/>
        <v>2.8571428571428575E-7</v>
      </c>
      <c r="AK232" s="44">
        <f t="shared" si="19"/>
        <v>2.8571428571428575E-7</v>
      </c>
      <c r="AL232" s="44">
        <f t="shared" si="19"/>
        <v>2.8571428571428575E-7</v>
      </c>
      <c r="AM232" s="44">
        <f t="shared" si="19"/>
        <v>2.8571428571428575E-7</v>
      </c>
      <c r="AN232" s="44">
        <f t="shared" si="19"/>
        <v>2.8571428571428575E-7</v>
      </c>
      <c r="AO232"/>
      <c r="AP232" s="44">
        <f t="shared" si="19"/>
        <v>2.8571428571428575E-7</v>
      </c>
      <c r="AQ232" s="44">
        <f t="shared" si="19"/>
        <v>2.8571428571428575E-7</v>
      </c>
      <c r="AR232" s="44">
        <f t="shared" si="19"/>
        <v>2.8571428571428575E-7</v>
      </c>
      <c r="AS232" s="44">
        <f t="shared" si="19"/>
        <v>2.8571428571428575E-7</v>
      </c>
      <c r="AT232"/>
      <c r="AU232" s="44">
        <f t="shared" si="19"/>
        <v>2.8571428571428575E-7</v>
      </c>
      <c r="AV232"/>
      <c r="AW232"/>
      <c r="AX232" s="44">
        <f t="shared" si="19"/>
        <v>2.8571428571428575E-7</v>
      </c>
      <c r="AY232" s="1"/>
      <c r="AZ232" s="1"/>
      <c r="BA232" s="1"/>
      <c r="BB232" s="1"/>
      <c r="BC232" s="1"/>
      <c r="BD232" s="1"/>
      <c r="BE232" s="1"/>
      <c r="BF232" s="1"/>
    </row>
    <row r="233" spans="1:73" x14ac:dyDescent="0.25">
      <c r="A233" s="2" t="s">
        <v>541</v>
      </c>
      <c r="B233" s="3" t="s">
        <v>473</v>
      </c>
      <c r="C233" s="3" t="s">
        <v>483</v>
      </c>
      <c r="D233" s="3" t="s">
        <v>521</v>
      </c>
      <c r="E233" s="30" t="s">
        <v>537</v>
      </c>
      <c r="F233" s="30" t="s">
        <v>536</v>
      </c>
      <c r="G233" s="44">
        <f t="shared" ref="G233:AU233" si="20">0.00002 / 14 / 5 /10</f>
        <v>2.8571428571428575E-8</v>
      </c>
      <c r="I233" s="58"/>
      <c r="J233" s="44">
        <v>0</v>
      </c>
      <c r="K233" s="44">
        <v>0</v>
      </c>
      <c r="L233" s="44">
        <v>0</v>
      </c>
      <c r="M233" s="44">
        <v>0</v>
      </c>
      <c r="O233" s="44">
        <v>0</v>
      </c>
      <c r="P233" s="44"/>
      <c r="Q233" s="44">
        <f t="shared" si="20"/>
        <v>2.8571428571428575E-8</v>
      </c>
      <c r="R233" s="44">
        <f t="shared" si="20"/>
        <v>2.8571428571428575E-8</v>
      </c>
      <c r="S233" s="44">
        <f t="shared" si="20"/>
        <v>2.8571428571428575E-8</v>
      </c>
      <c r="V233" s="44">
        <f t="shared" si="20"/>
        <v>2.8571428571428575E-8</v>
      </c>
      <c r="W233" s="44">
        <f t="shared" si="20"/>
        <v>2.8571428571428575E-8</v>
      </c>
      <c r="X233" s="44">
        <f t="shared" si="20"/>
        <v>2.8571428571428575E-8</v>
      </c>
      <c r="Y233" s="44">
        <f t="shared" si="20"/>
        <v>2.8571428571428575E-8</v>
      </c>
      <c r="Z233" s="44">
        <f t="shared" si="20"/>
        <v>2.8571428571428575E-8</v>
      </c>
      <c r="AA233" s="44">
        <f t="shared" si="20"/>
        <v>2.8571428571428575E-8</v>
      </c>
      <c r="AB233" s="44">
        <f t="shared" si="20"/>
        <v>2.8571428571428575E-8</v>
      </c>
      <c r="AC233" s="44">
        <f t="shared" si="20"/>
        <v>2.8571428571428575E-8</v>
      </c>
      <c r="AD233" s="44">
        <f t="shared" si="20"/>
        <v>2.8571428571428575E-8</v>
      </c>
      <c r="AE233" s="44">
        <f t="shared" si="20"/>
        <v>2.8571428571428575E-8</v>
      </c>
      <c r="AF233" s="44">
        <f t="shared" si="20"/>
        <v>2.8571428571428575E-8</v>
      </c>
      <c r="AG233"/>
      <c r="AH233" s="44">
        <f t="shared" si="20"/>
        <v>2.8571428571428575E-8</v>
      </c>
      <c r="AI233" s="44">
        <f t="shared" si="20"/>
        <v>2.8571428571428575E-8</v>
      </c>
      <c r="AJ233" s="44">
        <f t="shared" si="20"/>
        <v>2.8571428571428575E-8</v>
      </c>
      <c r="AK233" s="44">
        <f t="shared" si="20"/>
        <v>2.8571428571428575E-8</v>
      </c>
      <c r="AL233" s="44">
        <f t="shared" si="20"/>
        <v>2.8571428571428575E-8</v>
      </c>
      <c r="AM233" s="44">
        <f t="shared" si="20"/>
        <v>2.8571428571428575E-8</v>
      </c>
      <c r="AN233" s="44">
        <f t="shared" si="20"/>
        <v>2.8571428571428575E-8</v>
      </c>
      <c r="AO233"/>
      <c r="AP233" s="44">
        <f t="shared" si="20"/>
        <v>2.8571428571428575E-8</v>
      </c>
      <c r="AQ233" s="44">
        <f t="shared" si="20"/>
        <v>2.8571428571428575E-8</v>
      </c>
      <c r="AR233" s="44">
        <f t="shared" si="20"/>
        <v>2.8571428571428575E-8</v>
      </c>
      <c r="AS233" s="44">
        <f t="shared" si="20"/>
        <v>2.8571428571428575E-8</v>
      </c>
      <c r="AT233"/>
      <c r="AU233" s="44">
        <f t="shared" si="20"/>
        <v>2.8571428571428575E-8</v>
      </c>
      <c r="AV233"/>
      <c r="AW233"/>
      <c r="AX233" s="44">
        <f t="shared" si="19"/>
        <v>2.8571428571428575E-7</v>
      </c>
      <c r="AY233" s="1"/>
      <c r="AZ233" s="1"/>
      <c r="BA233" s="1"/>
      <c r="BB233" s="1"/>
      <c r="BC233" s="1"/>
      <c r="BD233" s="1"/>
      <c r="BE233" s="1"/>
      <c r="BF233" s="1"/>
    </row>
    <row r="234" spans="1:73" x14ac:dyDescent="0.25">
      <c r="A234" s="1" t="s">
        <v>583</v>
      </c>
      <c r="B234" s="3" t="s">
        <v>473</v>
      </c>
      <c r="C234" s="3" t="s">
        <v>483</v>
      </c>
      <c r="D234" s="3" t="s">
        <v>521</v>
      </c>
      <c r="E234" s="30" t="s">
        <v>584</v>
      </c>
      <c r="F234" s="30" t="s">
        <v>486</v>
      </c>
      <c r="G234" s="44">
        <v>-1</v>
      </c>
      <c r="I234" s="58"/>
      <c r="J234" s="44" t="s">
        <v>86</v>
      </c>
      <c r="K234" s="44" t="s">
        <v>86</v>
      </c>
      <c r="L234" s="44" t="s">
        <v>86</v>
      </c>
      <c r="M234" s="44" t="s">
        <v>86</v>
      </c>
      <c r="O234" s="44" t="s">
        <v>86</v>
      </c>
      <c r="P234" s="44"/>
      <c r="Q234" s="44">
        <v>-1</v>
      </c>
      <c r="R234" s="44">
        <v>-1</v>
      </c>
      <c r="S234" s="44">
        <v>-1</v>
      </c>
      <c r="V234" s="44">
        <v>-1</v>
      </c>
      <c r="W234" s="44">
        <v>-1</v>
      </c>
      <c r="X234" s="44">
        <v>-1</v>
      </c>
      <c r="Y234" s="44">
        <v>-1</v>
      </c>
      <c r="Z234" s="44">
        <v>-1</v>
      </c>
      <c r="AA234" s="44">
        <v>-1</v>
      </c>
      <c r="AB234" s="44">
        <v>-1</v>
      </c>
      <c r="AC234" s="44">
        <v>-1</v>
      </c>
      <c r="AD234" s="44">
        <v>-1</v>
      </c>
      <c r="AE234" s="44">
        <v>-1</v>
      </c>
      <c r="AF234" s="44">
        <v>-1</v>
      </c>
      <c r="AG234" s="44">
        <v>-1</v>
      </c>
      <c r="AH234" s="44">
        <v>-1</v>
      </c>
      <c r="AI234" s="44">
        <v>-1</v>
      </c>
      <c r="AJ234" s="44">
        <v>-1</v>
      </c>
      <c r="AK234" s="44">
        <v>-1</v>
      </c>
      <c r="AL234" s="44">
        <v>-1</v>
      </c>
      <c r="AM234" s="44">
        <v>-1</v>
      </c>
      <c r="AN234" s="44">
        <v>-1</v>
      </c>
      <c r="AO234" s="44">
        <v>-1</v>
      </c>
      <c r="AP234" s="44">
        <v>-1</v>
      </c>
      <c r="AQ234" s="44">
        <v>-1</v>
      </c>
      <c r="AR234" s="44">
        <v>-1</v>
      </c>
      <c r="AS234" s="44">
        <v>-1</v>
      </c>
      <c r="AT234" s="44">
        <v>-1</v>
      </c>
      <c r="AU234" s="44">
        <v>-1</v>
      </c>
      <c r="AV234" s="44">
        <v>-1</v>
      </c>
      <c r="AW234" s="44">
        <v>-1</v>
      </c>
      <c r="AX234" s="44">
        <v>-1</v>
      </c>
      <c r="AY234" s="1"/>
      <c r="AZ234" s="1"/>
      <c r="BA234" s="1"/>
      <c r="BB234" s="1"/>
      <c r="BC234" s="1"/>
      <c r="BD234" s="1"/>
      <c r="BE234" s="1"/>
      <c r="BF234" s="1"/>
    </row>
    <row r="235" spans="1:73" x14ac:dyDescent="0.25">
      <c r="A235" s="21" t="s">
        <v>588</v>
      </c>
      <c r="B235" s="3" t="s">
        <v>473</v>
      </c>
      <c r="C235" s="3" t="s">
        <v>483</v>
      </c>
      <c r="D235" s="3" t="s">
        <v>521</v>
      </c>
      <c r="E235" s="22" t="s">
        <v>589</v>
      </c>
      <c r="F235" s="22" t="s">
        <v>590</v>
      </c>
      <c r="G235" s="44">
        <v>1.0000000000000001E-9</v>
      </c>
      <c r="I235" s="58"/>
      <c r="J235" s="44">
        <f>J129* (6 * 12 / 0.44) * 0.015 / 14 / 1.4 /2/2/2</f>
        <v>5.8702458256029672E-17</v>
      </c>
      <c r="K235" s="44">
        <f>K129* (6 * 12 / 0.44) * 0.015 / 14 / 1.4</f>
        <v>4.6961966604823737E-16</v>
      </c>
      <c r="L235" s="44">
        <f>L128* (6 * 12 / 0.44) * 0.015 / 14 / 1.4</f>
        <v>6.2615955473098323E-16</v>
      </c>
      <c r="M235" s="44">
        <f>M128* (6 * 12 / 0.44) * 0.015 / 14 / 1.4</f>
        <v>6.261595547309833E-14</v>
      </c>
      <c r="N235" s="1" t="s">
        <v>599</v>
      </c>
      <c r="O235" s="44">
        <f>O129* 6 * 12 / 0.44 * 0.015 / 14 / 1.4 /2/2/2</f>
        <v>5.8702458256029672E-17</v>
      </c>
      <c r="P235" s="44"/>
      <c r="Q235" s="44">
        <v>4.9999999999999999E-13</v>
      </c>
      <c r="R235" s="44">
        <v>4.9999999999999999E-13</v>
      </c>
      <c r="S235" s="44">
        <v>4.9999999999999999E-13</v>
      </c>
      <c r="V235" s="44">
        <v>4.9999999999999999E-13</v>
      </c>
      <c r="W235" s="44">
        <v>4.9999999999999999E-13</v>
      </c>
      <c r="X235" s="44">
        <v>4.9999999999999999E-13</v>
      </c>
      <c r="Y235" s="44">
        <v>4.9999999999999999E-13</v>
      </c>
      <c r="Z235" s="44">
        <v>4.9999999999999999E-13</v>
      </c>
      <c r="AA235" s="44">
        <v>4.9999999999999999E-13</v>
      </c>
      <c r="AB235" s="44">
        <v>4.9999999999999999E-13</v>
      </c>
      <c r="AC235" s="44">
        <v>4.9999999999999999E-13</v>
      </c>
      <c r="AD235" s="44">
        <v>4.9999999999999999E-13</v>
      </c>
      <c r="AE235" s="44">
        <v>4.9999999999999999E-13</v>
      </c>
      <c r="AF235" s="44">
        <v>4.9999999999999999E-13</v>
      </c>
      <c r="AG235"/>
      <c r="AH235" s="44">
        <v>4.9999999999999999E-13</v>
      </c>
      <c r="AI235" s="44">
        <v>4.9999999999999999E-13</v>
      </c>
      <c r="AJ235" s="44">
        <v>4.9999999999999999E-13</v>
      </c>
      <c r="AK235" s="44">
        <v>4.9999999999999999E-13</v>
      </c>
      <c r="AL235" s="44">
        <v>4.9999999999999999E-13</v>
      </c>
      <c r="AM235" s="44">
        <v>4.9999999999999999E-13</v>
      </c>
      <c r="AN235" s="44">
        <v>4.9999999999999999E-13</v>
      </c>
      <c r="AO235"/>
      <c r="AP235" s="44">
        <v>4.9999999999999999E-13</v>
      </c>
      <c r="AQ235" s="44">
        <v>4.9999999999999999E-13</v>
      </c>
      <c r="AR235" s="44">
        <v>4.9999999999999999E-13</v>
      </c>
      <c r="AS235" s="44">
        <v>4.9999999999999999E-13</v>
      </c>
      <c r="AT235"/>
      <c r="AU235" s="44">
        <v>4.9999999999999999E-13</v>
      </c>
      <c r="AV235"/>
      <c r="AW235"/>
      <c r="AX235" s="44">
        <v>4.9999999999999999E-13</v>
      </c>
    </row>
    <row r="236" spans="1:73" x14ac:dyDescent="0.25">
      <c r="A236" s="21" t="s">
        <v>602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J130* (6 * 12 / 0.44) * 0.015 / 14 / 1.4 /2/2/2</f>
        <v>0.15653988868274582</v>
      </c>
      <c r="K236" s="44">
        <f>K130* (6 * 12 / 0.44) * 0.015 / 14 / 1.4</f>
        <v>1.2523191094619666</v>
      </c>
      <c r="L236" s="44">
        <f>0.000001/3600</f>
        <v>2.7777777777777777E-10</v>
      </c>
      <c r="M236" s="44">
        <f>0.000001/3600/10</f>
        <v>2.7777777777777777E-11</v>
      </c>
      <c r="O236" s="44">
        <f>O130* 6 * 12 / 0.44 * 0.015 / 14 / 1.4 /2/2/2</f>
        <v>0.15653988868274582</v>
      </c>
      <c r="P236" s="44"/>
      <c r="Q236" s="44">
        <v>4.9999999999999999E-13</v>
      </c>
      <c r="R236" s="44">
        <v>4.9999999999999999E-13</v>
      </c>
      <c r="S236" s="44">
        <v>4.9999999999999999E-13</v>
      </c>
      <c r="V236" s="44">
        <v>4.9999999999999999E-13</v>
      </c>
      <c r="W236" s="44">
        <v>4.9999999999999999E-13</v>
      </c>
      <c r="X236" s="44">
        <v>4.9999999999999999E-13</v>
      </c>
      <c r="Y236" s="44">
        <v>4.9999999999999999E-13</v>
      </c>
      <c r="Z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/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 s="44">
        <v>4.9999999999999999E-13</v>
      </c>
      <c r="AM236" s="44">
        <v>4.9999999999999999E-13</v>
      </c>
      <c r="AN236" s="44">
        <v>4.9999999999999999E-13</v>
      </c>
      <c r="AO236"/>
      <c r="AP236" s="44">
        <v>4.9999999999999999E-13</v>
      </c>
      <c r="AQ236" s="44">
        <v>4.9999999999999999E-13</v>
      </c>
      <c r="AR236" s="44">
        <v>4.9999999999999999E-13</v>
      </c>
      <c r="AS236" s="44">
        <v>4.9999999999999999E-13</v>
      </c>
      <c r="AT236"/>
      <c r="AU236" s="44">
        <v>4.9999999999999999E-13</v>
      </c>
      <c r="AV236"/>
      <c r="AW236"/>
      <c r="AX236" s="44">
        <v>4.9999999999999999E-13</v>
      </c>
    </row>
  </sheetData>
  <phoneticPr fontId="19" type="noConversion"/>
  <conditionalFormatting sqref="G225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M127"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M135"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M207"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M208"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M215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M217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M21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M221"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M222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M223"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M224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M230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M231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4:M234"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P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:P2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27:P12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5:P13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7:P20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:P20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3:P2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5:P21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6:P21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8:P21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0:P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2:P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3:P22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4:P22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6:P22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0:P23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1:P23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2:P23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4:P2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5:S225 AX225 I225:M225">
    <cfRule type="colorScale" priority="3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Y2 AX2 G2 O2:S2 I2:M2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Y4 AX3:AX4 G3:G4 Q3:S4 I3:M4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Y5 AX5 G5 O5:S5 I5:M5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Y6 AX6 G6 O6:S6 I6:M6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Y7 AX7 G7 O7:S7 I7:M7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Y8 AX8 G8 O8:S8 I8:M8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Y9 AX9 G9 O9:S9 I9:M9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Y10 AX10 G10 O10:S10 I10:M10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Y11 AX11 G11 O11:S11 I11:M11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Y12 AX12 G12 O12:S12 I12:M12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Y13 AX13 G13 O13:S13 I13:M13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Y14 AX14 G14 O14:S14 I14:M14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Y15 AX15 G15 O15:S15 I15:M15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Y16 AX16 G16 O16:S16 I16:M16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Y17 AX17 G17 O17:S17 I17:M17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Y18 AX18 G18 O18:S18 I18:M18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Y19 AX19 G19 O19:S19 I19:M19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Y20 AX20 G20 O20:S20 I20:M20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Y21 AX21 G21 O21:S21 I21:M21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Y22 AX22 G22 O22:S22 I22:M22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Y25 AX25 G25 O25:S25 I25:M2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Y26 AX26 G26 O26:S26 I26:M2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Y27 AX27 G27 O27:S27 I27:M27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Y28 AX28 G28 O28:S28 I28:M28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Y29 AX29 G29 O29:S29 I29:M29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Y30 AX30 G30 O30:S30 I30:M30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Y31 AX31 G31 O31:S31 I31:M3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Y32 AX32 G32 O32:S32 I32:M3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Y33 AX33 G33 O33:S33 I33:M3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Y34 AX34 G34 O34:S34 I34:M3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Y35 AX35 G35 O35:S35 I35:M35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Y36 AX36 G36 O36:S36 I36:M36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Y37 AX37 G37 O37:S37 I37:M3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Y38 AX38 G38 O38:S38 I38:M38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Y39 AX39 G39 O39:S39 I39:M39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Y40 AX40 G40 O40:S40 I40:M40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Y41 AX41 G41 O41:S41 I41:M41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Y42 AX42 G42 O42:S42 I42:M4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Y43 AX43 G43 O43:S43 I43:M43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Y44 AX44 G44 O44:S44 I44:M4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Y45 AX45 G45 O45:S45 I45:M4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Y46 AX46 G46 O46:S46 I46:M4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Y47 AX47 G47 O47:S47 I47:M47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Y48 AX48 G48 O48:S48 I48:M48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Y49 AX49 G49 O49:S49 I49:M49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Y50 AX50 G50 O50:S50 I50:M50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Y51 AX51 G51 O51:S51 I51:M51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Y52 AX52 G52 O52:S52 I52:M52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Y53 AX53 G53 O53:S53 I53:M5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Y54 AX54 G54 O54:S54 I54:M5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Y55 AX55 G55 O55:S55 I55:M55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Y56 AX56 G56 O56:S56 I56:M56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Y57 AX57 G57 O57:S57 I57:M57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Y58 AX58 G58 O58:S58 I58:M58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Y59 AX59 G59 O59:S59 I59:M59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Y60 AX60 G60 O60:S60 I60:M60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Y61 AX61 G61 O61:S61 I61:M61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Y62 AX62 G62 O62:S62 I62:M62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Y63 AX63 G63 O63:S63 I63:M63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Y64 AX64 G64 O64:S64 I64:M64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Y65 AX65 G65 O65:S65 I65:M65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Y66 AX66 G66 O66:S66 I66:M66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Y67 AX67 G67 O67:S67 I67:M6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Y68 AX68 G68 O68:S68 I68:M68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Y69 AX69 G69 O69:S69 I69:M69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Y70 AX70 G70 O70:S70 I70:M70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Y71 AX71 G71 O71:S71 I71:M7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Y72 AX72 G72 O72:S72 I72:M7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Y73 AX73 G73 O73:S73 I73:M7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Y74 AX74 G74 O74:S74 I74:M7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Y75 AX75 G75 O75:S75 I75:M7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Y76 AX76 G76 O76:S76 I76:M7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Y77 AX77 G77 O77:S77 I77:M7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Y78 AX78 G78 O78:S78 I78:M78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Y79 AX79 G79 O79:S79 I79:M79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Y80 AX80 G80 O80:S80 I80:M80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Y81 AX81 G81 O81:S81 I81:M81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Y82 AX82 G82 O82:S82 I82:M82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Y83 AX83 G83 O83:S83 I83:M83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Y84 AX84 G84 O84:S84 I84:M84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Y85 AX85 G85 O85:S85 I85:M85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Y86 AX86 G86 O86:S86 I86:M86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Y87 AX87 G87 O87:S87 I87:M8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Y88 AX88 G88 O88:S88 I88:M8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Y89 AX89 G89 O89:S89 I89:M8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Y90 AX90 G90 O90:S90 I90:M90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Y91 AX91 G91 O91:S91 I91:M9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Y92 AX92 G92 O92:S92 I92:M92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Y93 AX93 G93 O93:S93 I93:M9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Y94 AX94 G94 O94:S94 I94:M94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Y95 AX95 G95 O95:S95 I95:M95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Y96 AX96 G96 O96:S96 I96:M9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Y97 AX97 G97 O97:S97 I97:M97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Y98 AX98 G98 O98:S98 I98:M98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Y99 AX99 G99 O99:S99 I99:M99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Y100 AX100 G100 O100:S100 I100:M100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Y101 AX101 G101 O101:S101 I101:M101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Y102 AX102 G102 O102:S102 I102:M102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Y103 AX103 G103 O103:S103 I103:M103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Y104 AX104 G104 O104:S104 I104:M10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Y105 AX105 G105 O105:S105 I105:M105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Y106 AX106 G106 O106:S106 I106:M106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Y107 AX107 G107 O107:S107 I107:M107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Y108 AX108 G108 O108:S108 I108:M108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Y109 AX109 G109 O109:S109 I109:M10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Y110 AX110 G110 O110:S110 I110:M110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Y111 AX111 G111 O111:S111 I111:M111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Y112 AX112 G112 O112:S112 I112:M112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Y113 AX113 G113 O113:S113 I113:M113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Y114 AX114 G114 O114:S114 I114:M114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Y115 AX115 G115 O115:S115 I115:M11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Y116 AX116 G116 O116:S116 I116:M116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Y117 AX117 G117 O117:S117 I117:M117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Y118 AX118 G118 O118:S118 I118:M11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Y119 AX119 G119 O119:S119 I119:M11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Y120 AX120 G120 O120:S120 I120:M12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Y121 AX121 G121 O121:S121 I121:M121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Y122 AX122 G122 O122:S122 I122:M122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Y123 AX123 G123 O123:S123 I123:M123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Y124 AX124 G124 O124:S124 I124:M124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Y125 AX125 G125 O125:S125 I125:M12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Y126 AX126 G126 O126:S126 I126:M12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Y127 AX127 G127 Q127:S12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Y129 AX128:AX129 G128:G129 O128:S129 I128:M129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Y130 AX130 G130 O130:S130 I130:M130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Y131 AX131 G131 O131:S131 I131:M131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Y132 AX132 G132 O132:S132 I132:M132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Y133 AX133 G133 O133:S133 I133:M13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Y134 AX134 G134 O134:S134 I134:M134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Y135 AX135 G135 Q135:S135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Y136 AX136 G136 O136:S136 I136:M136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Y137 AX137 G137 O137:S137 I137:M137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Y138 AX138 G138 O138:S138 I138:M138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Y139 AX139 G139 O139:S139 I139:M139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Y140 AX140 G140 O140:S140 I140:M140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Y141 AX141 G141 O141:S141 I141:M141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Y142 AX142 G142 O142:S142 I142:M142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Y143 AX143 G143 O143:S143 I143:M143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Y144 AX144 G144 O144:S144 I144:M144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Y145 AX145 G145 O145:S145 I145:M145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Y146 AX146 G146 O146:S146 I146:M146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Y147 AX147 G147 O147:S147 I147:M147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Y148 AX148 G148 O148:S148 I148:M148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Y149 AX149 G149 O149:S149 I149:M149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Y150 AX150 G150 O150:S150 I150:M150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Y151 AX151 G151 O151:S151 I151:M151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Y152 AX152 G152 O152:S152 I152:M152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Y153 AX153 G153 O153:S153 I153:M153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Y154 AX154 G154 O154:S154 I154:M154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Y155 AX155 G155 O155:S155 I155:M155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Y156 AX156 G156 O156:S156 I156:M156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Y157 AX157 G157 O157:S157 I157:M157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Y158 AX158 G158 O158:S158 I158:M158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Y159 AX159 G159 O159:S159 I159:M159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Y160 AX160 G160 O160:S160 I160:M160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Y161 AX161 G161 O161:S161 I161:M161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Y162 AX162 G162 O162:S162 I162:M162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Y163 AX163 G163 O163:S163 I163:M163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Y164 AX164 G164 O164:S164 I164:M164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Y165 AX165 G165 O165:S165 I165:M165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Y166 AX166 G166 O166:S166 I166:M166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Y167 AX167 G167 O167:S167 I167:M167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Y168 AX168 G168 O168:S168 I168:M168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Y169 AX169 G169 O169:S169 I169:M169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Y170 AX170 G170 O170:S170 I170:M170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Y171 AX171 G171 O171:S171 I171:M171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Y172 AX172 G172 O172:S172 I172:M172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Y173 AX173 G173 O173:S173 I173:M173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Y174 AX174 G174 O174:S174 I174:M174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Y175 AX175 G175 O175:S175 I175:M175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Y176 AX176 G176 O176:S176 I176:M176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Y177 AX177 G177 O177:S177 I177:M177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Y178 AX178 G178 O178:S178 I178:M178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Y179 AX179 G179 O179:S179 I179:M179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Y180 AX180 G180 O180:S180 I180:M180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Y181 AX181 G181 O181:S181 I181:M181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Y182 AX182 G182 O182:S182 I182:M182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Y183 AX183 G183 O183:S183 I183:M183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Y184 AX184 G184 O184:S184 I184:M184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Y185 AX185 G185 O185:S185 I185:M185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Y186 AX186 G186 O186:S186 I186:M186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Y187 AX187 G187 O187:S187 I187:M187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Y188 AX188 G188 O188:S188 I188:M188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Y189 AX189 G189 O189:S189 I189:M189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Y190 AX190 G190 O190:S190 I190:M190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Y191 AX191 G191 O191:S191 I191:M191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Y192 AX192 G192 O192:S192 I192:M192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Y193 AX193 G193 O193:S193 I193:M193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Y194 AX194 G194 O194:S194 I194:M194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Y195 AX195 G195 O195:S195 I195:M195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Y196 AX196 G196 O196:S196 I196:M196"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Y197 AX197 G197 O197:S197 I197:M197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Y198 AX198 G198 O198:S198 I198:M198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Y199 AX199 G199 O199:S199 I199:M199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Y200 AX200 G200 O200:S200 I200:M200"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Y201 AX201 G201 O201:S201 I201:M201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Y202 AX202 G202 O202:S202 I202:M202"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Y203 AX203 G203 O203:S203 I203:M203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Y204 AX204 G204 O204:S204 I204:M204"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Y205 AX205 G205 O205:S205 I205:M205"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Y206 AX206 G206 O206:S206 I206:M206"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Y207 AX207 G207 Q207:S207">
    <cfRule type="colorScale" priority="3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Y208 AX208 G208 Q208:S208"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Y209 AX209 G209 O209:Q209 I209:M209"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Y210 AX210 G210 O210:Q210 I210:M210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Y211 AX211 G211 O211:Q211 I211:M211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Y212 AX212 G212 O212:Q212 I212:M212"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Y213"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Y214 AX214 G214 Q214:S214"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Y215 AX215 G215 Q215:S215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6:Y219 AX216:AX219 G216:G219 Q216:S219"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0:Y221 AX220:AX221 G220:G221 Q220:S221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Y224 AX222:AX224 G222:G223 Q222:S224">
    <cfRule type="colorScale" priority="3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5:Y225"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5:Y236 AX235:AX236 G235:G236 O235:S236 I235:M23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6:Z231"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2:Z233"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F2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:AF4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:AF5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AF6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:AF7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:AF8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AF9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:AF10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:AF11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AF12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:AF13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:AF14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:AF15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:AF16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:AF17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:AF18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:AF19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:AF20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:AF21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:AF22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5:AF25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6:AF26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7:AF2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8:AF28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9:AF29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0:AF30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1:AF31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2:AF32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3:AF33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4:AF34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5:AF35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6:AF3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7:AF37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8:AF38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9:AF39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0:AF40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1:AF4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2:AF42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3:AF43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AF44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:AF45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AF46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:AF47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:AF48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:AF49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:AF50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:AF5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:AF52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:AF53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:AF54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:AF5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:AF56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:AF57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8:AF58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9:AF59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0:AF60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1:AF61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2:AF6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3:AF6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4:AF6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5:AF65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6:AF6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7:AF67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8:AF68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9:AF69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0:AF70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1:AF71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2:AF72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3:AF7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4:AF74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5:AF75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6:AF76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7:AF77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8:AF78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9:AF7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0:AF80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1:AF81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2:AF8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3:AF83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4:AF84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5:AF85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6:AF86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7:AF87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8:AF88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9:AF89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0:AF90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1:AF91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2:AF92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3:AF93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4:AF94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5:AF95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6:AF96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7:AF97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8:AF98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9:AF99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0:AF100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1:AF101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2:AF102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3:AF103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4:AF104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5:AF105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6:AF106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7:AF107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8:AF108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9:AF109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0:AF110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1:AF111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2:AF112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3:AF113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4:AF114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5:AF115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6:AF116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7:AF11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8:AF118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9:AF119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0:AF120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1:AF121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2:AF122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3:AF123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4:AF124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5:AF12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6:AF12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7:AF127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8:AF1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9:AF129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0:AF130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1:AF131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2:AF132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3:AF133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4:AF134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5:AF135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6:AF136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7:AF13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8:AF138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9:AF13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0:AF14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1:AF14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2:AF142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3:AF143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4:AF144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5:AF14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6:AF146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7:AF14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8:AF148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9:AF149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0:AF150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1:AF151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2:AF152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3:AF153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4:AF15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5:AF155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6:AF156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7:AF157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8:AF158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9:AF159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0:AF160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1:AF161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2:AF162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3:AF163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4:AF164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5:AF165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6:AF166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7:AF16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8:AF16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9:AF169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0:AF17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1:AF171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2:AF172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3:AF173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4:AF174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5:AF175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6:AF17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7:AF177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8:AF178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9:AF179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0:AF180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1:AF181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2:AF182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3:AF183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4:AF184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5:AF185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6:AF186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7:AF187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8:AF188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9:AF189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0:AF190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1:AF191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2:AF192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3:AF193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4:AF194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5:AF195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6:AF196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7:AF197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8:AF198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9:AF199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0:AF200"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1:AF201"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2:AF202"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3:AF203"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4:AF204"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5:AF205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6:AF206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7:AF207">
    <cfRule type="colorScale" priority="1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8:AF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9:AF209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0:AF210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1:AF211"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2:AF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3:AF213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4:AF21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5:AF215"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6:AF219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0:AF221"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2:AF224"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5:AF225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5:AF23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A231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2:AA233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6:AB231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2:AB233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6:AC231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2:AC233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6:AD231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D23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E231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2:AE233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6:AF231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2:AF233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6:AH231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2:AH233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N2 AP2:AS2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:AN4 AP3:AS4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:AN5 AP5:AS5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:AN6 AP6:AS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N7 AP7:AS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:AN8 AP8:AS8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:AN9 AP9:AS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:AN10 AP10:AS10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:AN11 AP11:AS11"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:AN12 AP12:AS12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:AN13 AP13:AS13"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:AN14 AP14:AS14"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:AN15 AP15:AS15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N16 AP16:AS16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N17 AP17:AS17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:AN18 AP18:AS18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:AN19 AP19:AS19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:AN20 AP20:AS20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:AN21 AP21:AS21"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N22 AP22:AS22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5:AN25 AP25:AS25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6:AN26 AP26:AS26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7:AN27 AP27:AS27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8:AN28 AP28:AS28"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9:AN29 AP29:AS29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0:AN30 AP30:AS30"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1:AN31 AP31:AS31"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2:AN32 AP32:AS32"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3:AN33 AP33:AS33"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4:AN34 AP34:AS34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5:AN35 AP35:AS35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6:AN36 AP36:AS36"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7:AN37 AP37:AS37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8:AN38 AP38:AS38"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9:AN39 AP39:AS39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0:AN40 AP40:AS40"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1:AN41 AP41:AS41"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2:AN42 AP42:AS42"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3:AN43 AP43:AS43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4:AN44 AP44:AS44"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5:AN45 AP45:AS45"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6:AN46 AP46:AS46"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7:AN47 AP47:AS47"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8:AN48 AP48:AS48"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9:AN49 AP49:AS49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0:AN50 AP50:AS5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1:AN51 AP51:AS51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2:AN52 AP52:AS52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3:AN53 AP53:AS53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4:AN54 AP54:AS54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5:AN55 AP55:AS55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6:AN56 AP56:AS56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7:AN57 AP57:AS57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8:AN58 AP58:AS58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9:AN59 AP59:AS59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0:AN60 AP60:AS6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1:AN61 AP61:AS61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2:AN62 AP62:AS6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3:AN63 AP63:AS6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4:AN64 AP64:AS64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5:AN65 AP65:AS65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6:AN66 AP66:AS66"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7:AN67 AP67:AS6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8:AN68 AP68:AS68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9:AN69 AP69:AS69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0:AN70 AP70:AS70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1:AN71 AP71:AS71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2:AN72 AP72:AS72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3:AN73 AP73:AS7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4:AN74 AP74:AS7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5:AN75 AP75:AS7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6:AN76 AP76:AS7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7:AN77 AP77:AS7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8:AN78 AP78:AS7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9:AN79 AP79:AS79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0:AN80 AP80:AS80"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1:AN81 AP81:AS81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2:AN82 AP82:AS82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3:AN83 AP83:AS83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4:AN84 AP84:AS84"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5:AN85 AP85:AS85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6:AN86 AP86:AS86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7:AN87 AP87:AS87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8:AN88 AP88:AS88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9:AN89 AP89:AS89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0:AN90 AP90:AS90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1:AN91 AP91:AS91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2:AN92 AP92:AS92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3:AN93 AP93:AS93"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4:AN94 AP94:AS94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5:AN95 AP95:AS95"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6:AN96 AP96:AS96"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7:AN97 AP97:AS97"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8:AN98 AP98:AS98"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9:AN99 AP99:AS99"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0:AN100 AP100:AS100"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1:AN101 AP101:AS101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2:AN102 AP102:AS102"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3:AN103 AP103:AS103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4:AN104 AP104:AS104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5:AN105 AP105:AS105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6:AN106 AP106:AS106"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7:AN107 AP107:AS10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8:AN108 AP108:AS10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9:AN109 AP109:AS109"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0:AN110 AP110:AS11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1:AN111 AP111:AS11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2:AN112 AP112:AS112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3:AN113 AP113:AS11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4:AN114 AP114:AS114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5:AN115 AP115:AS115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6:AN116 AP116:AS116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7:AN117 AP117:AS117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8:AN118 AP118:AS118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9:AN119 AP119:AS119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0:AN120 AP120:AS120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1:AN121 AP121:AS121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2:AN122 AP122:AS122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3:AN123 AP123:AS123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4:AN124 AP124:AS124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5:AN125 AP125:AS12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6:AN126 AP126:AS126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7:AN127 AP127:AS127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8:AN128 AP128:AS1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9:AN129 AP129:AS129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0:AN130 AP130:AS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1:AN131 AP131:AS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2:AN132 AP132:AS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3:AN133 AP133:AS133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4:AN134 AP134:AS134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5:AN135 AP135:AS135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6:AN136 AP136:AS136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7:AN137 AP137:AS137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8:AN138 AP138:AS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9:AN139 AP139:AS139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0:AN140 AP140:AS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1:AN141 AP141:AS141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2:AN142 AP142:AS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3:AN143 AP143:AS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4:AN144 AP144:AS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5:AN145 AP145:AS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6:AN146 AP146:AS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7:AN147 AP147:AS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8:AN148 AP148:AS148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9:AN149 AP149:AS149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0:AN150 AP150:AS150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1:AN151 AP151:AS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2:AN152 AP152:AS152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3:AN153 AP153:AS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4:AN154 AP154:AS154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5:AN155 AP155:AS155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6:AN156 AP156:AS156"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7:AN157 AP157:AS157"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8:AN158 AP158:AS158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9:AN159 AP159:AS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0:AN160 AP160:AS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1:AN161 AP161:AS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2:AN162 AP162:AS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3:AN163 AP163:AS163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4:AN164 AP164:AS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5:AN165 AP165:AS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6:AN166 AP166:AS166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7:AN167 AP167:AS167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8:AN168 AP168:AS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9:AN169 AP169:AS169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0:AN170 AP170:AS170"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1:AN171 AP171:AS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2:AN172 AP172:AS172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3:AN173 AP173:AS173"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4:AN174 AP174:AS174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5:AN175 AP175:AS175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6:AN176 AP176:AS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7:AN177 AP177:AS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8:AN178 AP178:AS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9:AN179 AP179:AS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0:AN180 AP180:AS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1:AN181 AP181:AS181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2:AN182 AP182:AS182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3:AN183 AP183:AS183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4:AN184 AP184:AS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5:AN185 AP185:AS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6:AN186 AP186:AS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7:AN187 AP187:AS187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8:AN188 AP188:AS188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9:AN189 AP189:AS189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0:AN190 AP190:AS190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1:AN191 AP191:AS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2:AN192 AP192:AS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3:AN193 AP193:AS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4:AN194 AP194:AS194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5:AN195 AP195:AS195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6:AN196 AP196:AS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7:AN197 AP197:AS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8:AN198 AP198:AS198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9:AN199 AP199:AS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0:AN200 AP200:AS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1:AN201 AP201:AS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2:AN202 AP202:AS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3:AN203 AP203:AS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4:AN204 AP204:AS204"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5:AN205 AP205:AS205"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6:AN206 AP206:AS206"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7:AN207 AP207:AS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8:AN208 AP208:AS208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9:AN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0:AN210 AP210:AS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1:AN211 AP211:AS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2:AN212 AP212:AS212"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3:AN213"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4:AN214 AP214:AS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5:AN215 AP215:AS215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6:AN219 AP216:AS219"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0:AN221 AP220:AS221"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N224 AP222:AS224"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:AN225"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5:AN236 AP235:AS23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"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6:AI231"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2:AI233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6:AJ231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2:AJ233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6:AK231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2:AK23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6:AL231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2:AL233"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5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M231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2:AM233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:AN231"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2:AN233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S2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9:AS209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3:AS213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5:AS225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:AS231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2:AS233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:AU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U2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6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7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8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0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1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2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3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4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5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8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2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5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6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0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2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8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0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1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2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3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4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5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6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7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8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0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5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6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9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0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1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6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7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9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0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1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3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4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5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6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0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1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4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5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6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7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8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9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0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1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2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4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5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6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7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8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9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0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2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5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8:AU12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0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6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7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3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5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6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7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8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9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1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2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3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4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5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7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9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0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1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2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3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4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5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6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7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9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0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1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2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3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5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6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9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0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1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2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3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4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5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8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9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0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1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3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4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5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6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7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8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9"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0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1"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2"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3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4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5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6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9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0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"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3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4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5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6:AU219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0:AU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U224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5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6:AU23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2:AU233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5:AU23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:AX24 V23:Y24 G23:G24 Q23:S24 I23:M24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3 G213 Q213:S213 I213:M214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6:AX231 V226:Y231 G226:G230 Q226:S231 I226:M229"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2:AX233 V232:Y233 G232:G234 Q232:S234 V234:AX234 I234 I232:M233">
    <cfRule type="colorScale" priority="3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2025-10-18T00:43:49Z</dcterms:modified>
</cp:coreProperties>
</file>