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35363\home\torisuten\package\Wheat-BRIDGES\simulations\scene\inputs\"/>
    </mc:Choice>
  </mc:AlternateContent>
  <xr:revisionPtr revIDLastSave="0" documentId="13_ncr:1_{63D1DCF4-8DE0-42ED-BA1D-6479048511A0}" xr6:coauthVersionLast="47" xr6:coauthVersionMax="47" xr10:uidLastSave="{00000000-0000-0000-0000-000000000000}"/>
  <bookViews>
    <workbookView xWindow="4524" yWindow="-46188" windowWidth="26136" windowHeight="46296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0" i="2" l="1"/>
  <c r="M231" i="2"/>
  <c r="M215" i="2"/>
  <c r="M220" i="2"/>
  <c r="M221" i="2"/>
  <c r="M236" i="2"/>
  <c r="M235" i="2"/>
  <c r="M228" i="2"/>
  <c r="M225" i="2"/>
  <c r="M223" i="2"/>
  <c r="M219" i="2"/>
  <c r="M218" i="2"/>
  <c r="M217" i="2"/>
  <c r="M216" i="2"/>
  <c r="M213" i="2"/>
  <c r="M209" i="2"/>
  <c r="M207" i="2"/>
  <c r="M129" i="2"/>
  <c r="M128" i="2"/>
  <c r="M125" i="2"/>
  <c r="M119" i="2"/>
  <c r="M115" i="2"/>
  <c r="M112" i="2"/>
  <c r="M109" i="2"/>
  <c r="M108" i="2"/>
  <c r="M107" i="2"/>
  <c r="M106" i="2"/>
  <c r="M105" i="2"/>
  <c r="M104" i="2"/>
  <c r="M103" i="2"/>
  <c r="M102" i="2"/>
  <c r="L231" i="2" l="1"/>
  <c r="L221" i="2"/>
  <c r="L230" i="2"/>
  <c r="L119" i="2"/>
  <c r="L213" i="2"/>
  <c r="L129" i="2"/>
  <c r="L236" i="2"/>
  <c r="L216" i="2"/>
  <c r="L217" i="2"/>
  <c r="L235" i="2"/>
  <c r="O128" i="2"/>
  <c r="L128" i="2"/>
  <c r="K128" i="2"/>
  <c r="J128" i="2"/>
  <c r="O236" i="2"/>
  <c r="K236" i="2"/>
  <c r="J236" i="2"/>
  <c r="L220" i="2" l="1"/>
  <c r="L215" i="2"/>
  <c r="K231" i="2"/>
  <c r="K230" i="2"/>
  <c r="K228" i="2"/>
  <c r="K225" i="2"/>
  <c r="K223" i="2"/>
  <c r="K221" i="2"/>
  <c r="K220" i="2"/>
  <c r="K219" i="2"/>
  <c r="K218" i="2"/>
  <c r="K216" i="2"/>
  <c r="K217" i="2" s="1"/>
  <c r="K215" i="2"/>
  <c r="K213" i="2"/>
  <c r="K209" i="2"/>
  <c r="K207" i="2"/>
  <c r="K129" i="2"/>
  <c r="K235" i="2" s="1"/>
  <c r="K125" i="2"/>
  <c r="K119" i="2"/>
  <c r="K115" i="2"/>
  <c r="K112" i="2"/>
  <c r="K109" i="2"/>
  <c r="K108" i="2"/>
  <c r="K107" i="2"/>
  <c r="K106" i="2"/>
  <c r="K105" i="2"/>
  <c r="K104" i="2"/>
  <c r="K103" i="2"/>
  <c r="K102" i="2"/>
  <c r="L225" i="2"/>
  <c r="J216" i="2"/>
  <c r="AX217" i="2"/>
  <c r="AU217" i="2"/>
  <c r="AS217" i="2"/>
  <c r="AR217" i="2"/>
  <c r="AQ217" i="2"/>
  <c r="AP217" i="2"/>
  <c r="AN217" i="2"/>
  <c r="AM217" i="2"/>
  <c r="AL217" i="2"/>
  <c r="AK217" i="2"/>
  <c r="AJ217" i="2"/>
  <c r="AI217" i="2"/>
  <c r="AH217" i="2"/>
  <c r="AF217" i="2"/>
  <c r="AE217" i="2"/>
  <c r="AD217" i="2"/>
  <c r="AC217" i="2"/>
  <c r="AB217" i="2"/>
  <c r="AA217" i="2"/>
  <c r="Z217" i="2"/>
  <c r="Y217" i="2"/>
  <c r="X217" i="2"/>
  <c r="W217" i="2"/>
  <c r="V217" i="2"/>
  <c r="S217" i="2"/>
  <c r="R217" i="2"/>
  <c r="Q217" i="2"/>
  <c r="O217" i="2"/>
  <c r="J217" i="2"/>
  <c r="L228" i="2"/>
  <c r="L223" i="2"/>
  <c r="L219" i="2"/>
  <c r="L218" i="2"/>
  <c r="L209" i="2"/>
  <c r="L207" i="2"/>
  <c r="L125" i="2"/>
  <c r="L115" i="2"/>
  <c r="L112" i="2"/>
  <c r="L109" i="2"/>
  <c r="L108" i="2"/>
  <c r="L107" i="2"/>
  <c r="L106" i="2"/>
  <c r="L105" i="2"/>
  <c r="L104" i="2"/>
  <c r="L103" i="2"/>
  <c r="L102" i="2"/>
  <c r="O231" i="2"/>
  <c r="O230" i="2"/>
  <c r="O228" i="2"/>
  <c r="O225" i="2"/>
  <c r="O224" i="2"/>
  <c r="O223" i="2"/>
  <c r="O222" i="2"/>
  <c r="O221" i="2"/>
  <c r="O220" i="2"/>
  <c r="O219" i="2"/>
  <c r="O218" i="2"/>
  <c r="O216" i="2"/>
  <c r="O215" i="2"/>
  <c r="O213" i="2"/>
  <c r="O209" i="2"/>
  <c r="O207" i="2"/>
  <c r="O129" i="2"/>
  <c r="O235" i="2" s="1"/>
  <c r="O125" i="2"/>
  <c r="O119" i="2"/>
  <c r="O115" i="2"/>
  <c r="O112" i="2"/>
  <c r="O109" i="2"/>
  <c r="O108" i="2"/>
  <c r="O107" i="2"/>
  <c r="O106" i="2"/>
  <c r="O105" i="2"/>
  <c r="O104" i="2"/>
  <c r="O103" i="2"/>
  <c r="O102" i="2"/>
  <c r="J215" i="2"/>
  <c r="J129" i="2"/>
  <c r="J235" i="2" s="1"/>
  <c r="J119" i="2"/>
  <c r="I119" i="2"/>
  <c r="J224" i="2"/>
  <c r="J222" i="2"/>
  <c r="J220" i="2"/>
  <c r="J207" i="2" l="1"/>
  <c r="J223" i="2" l="1"/>
  <c r="J221" i="2"/>
  <c r="I223" i="2"/>
  <c r="I215" i="2" l="1"/>
  <c r="I221" i="2" l="1"/>
  <c r="I220" i="2" l="1"/>
  <c r="T214" i="2" l="1"/>
  <c r="J231" i="2"/>
  <c r="J230" i="2"/>
  <c r="J228" i="2"/>
  <c r="J225" i="2"/>
  <c r="J219" i="2"/>
  <c r="J218" i="2"/>
  <c r="J213" i="2"/>
  <c r="J209" i="2"/>
  <c r="J125" i="2"/>
  <c r="J115" i="2"/>
  <c r="J112" i="2"/>
  <c r="J109" i="2"/>
  <c r="J108" i="2"/>
  <c r="J107" i="2"/>
  <c r="J106" i="2"/>
  <c r="J105" i="2"/>
  <c r="J104" i="2"/>
  <c r="J103" i="2"/>
  <c r="J102" i="2"/>
  <c r="I224" i="2"/>
  <c r="I222" i="2"/>
  <c r="Q233" i="2" l="1"/>
  <c r="Q232" i="2"/>
  <c r="Q228" i="2"/>
  <c r="Q216" i="2"/>
  <c r="Q213" i="2"/>
  <c r="Q209" i="2"/>
  <c r="Q207" i="2"/>
  <c r="Q125" i="2"/>
  <c r="Q115" i="2"/>
  <c r="Q112" i="2"/>
  <c r="Q109" i="2"/>
  <c r="Q108" i="2"/>
  <c r="Q107" i="2"/>
  <c r="Q106" i="2"/>
  <c r="Q105" i="2"/>
  <c r="Q104" i="2"/>
  <c r="Q103" i="2"/>
  <c r="Q102" i="2"/>
  <c r="S233" i="2"/>
  <c r="S232" i="2"/>
  <c r="S228" i="2"/>
  <c r="S216" i="2"/>
  <c r="S213" i="2"/>
  <c r="S209" i="2"/>
  <c r="S207" i="2"/>
  <c r="S125" i="2"/>
  <c r="S115" i="2"/>
  <c r="S112" i="2"/>
  <c r="S109" i="2"/>
  <c r="S108" i="2"/>
  <c r="S107" i="2"/>
  <c r="S106" i="2"/>
  <c r="S105" i="2"/>
  <c r="S104" i="2"/>
  <c r="S103" i="2"/>
  <c r="S102" i="2"/>
  <c r="R233" i="2"/>
  <c r="R232" i="2"/>
  <c r="R228" i="2"/>
  <c r="R216" i="2"/>
  <c r="R213" i="2"/>
  <c r="R207" i="2"/>
  <c r="R125" i="2"/>
  <c r="R115" i="2"/>
  <c r="R112" i="2"/>
  <c r="R109" i="2"/>
  <c r="R108" i="2"/>
  <c r="R107" i="2"/>
  <c r="R106" i="2"/>
  <c r="R105" i="2"/>
  <c r="R104" i="2"/>
  <c r="R103" i="2"/>
  <c r="R102" i="2"/>
  <c r="AS233" i="2"/>
  <c r="AR233" i="2"/>
  <c r="AS232" i="2"/>
  <c r="AR232" i="2"/>
  <c r="AS228" i="2"/>
  <c r="AR228" i="2"/>
  <c r="AS216" i="2"/>
  <c r="AR216" i="2"/>
  <c r="AS213" i="2"/>
  <c r="AR213" i="2"/>
  <c r="AS209" i="2"/>
  <c r="AR209" i="2"/>
  <c r="AS207" i="2"/>
  <c r="AR207" i="2"/>
  <c r="AS125" i="2"/>
  <c r="AR125" i="2"/>
  <c r="AS115" i="2"/>
  <c r="AR115" i="2"/>
  <c r="AS112" i="2"/>
  <c r="AR112" i="2"/>
  <c r="AS109" i="2"/>
  <c r="AR109" i="2"/>
  <c r="AS108" i="2"/>
  <c r="AR108" i="2"/>
  <c r="AS107" i="2"/>
  <c r="AR107" i="2"/>
  <c r="AS106" i="2"/>
  <c r="AR106" i="2"/>
  <c r="AS105" i="2"/>
  <c r="AR105" i="2"/>
  <c r="AS104" i="2"/>
  <c r="AR104" i="2"/>
  <c r="AS103" i="2"/>
  <c r="AR103" i="2"/>
  <c r="AS102" i="2"/>
  <c r="AR102" i="2"/>
  <c r="AQ233" i="2"/>
  <c r="AQ232" i="2"/>
  <c r="AQ228" i="2"/>
  <c r="AQ216" i="2"/>
  <c r="AQ213" i="2"/>
  <c r="AQ209" i="2"/>
  <c r="AQ207" i="2"/>
  <c r="AQ125" i="2"/>
  <c r="AQ115" i="2"/>
  <c r="AQ112" i="2"/>
  <c r="AQ109" i="2"/>
  <c r="AQ108" i="2"/>
  <c r="AQ107" i="2"/>
  <c r="AQ106" i="2"/>
  <c r="AQ105" i="2"/>
  <c r="AQ104" i="2"/>
  <c r="AQ103" i="2"/>
  <c r="AQ102" i="2"/>
  <c r="AP233" i="2"/>
  <c r="AP232" i="2"/>
  <c r="AP228" i="2"/>
  <c r="AP216" i="2"/>
  <c r="AP213" i="2"/>
  <c r="AP209" i="2"/>
  <c r="AP207" i="2"/>
  <c r="AP125" i="2"/>
  <c r="AP115" i="2"/>
  <c r="AP112" i="2"/>
  <c r="AP109" i="2"/>
  <c r="AP108" i="2"/>
  <c r="AP107" i="2"/>
  <c r="AP106" i="2"/>
  <c r="AP105" i="2"/>
  <c r="AP104" i="2"/>
  <c r="AP103" i="2"/>
  <c r="AP102" i="2"/>
  <c r="AU233" i="2"/>
  <c r="AU232" i="2"/>
  <c r="AU228" i="2"/>
  <c r="AU216" i="2"/>
  <c r="AU213" i="2"/>
  <c r="AU207" i="2"/>
  <c r="AU125" i="2"/>
  <c r="AU115" i="2"/>
  <c r="AU112" i="2"/>
  <c r="AU109" i="2"/>
  <c r="AU108" i="2"/>
  <c r="AU107" i="2"/>
  <c r="AU106" i="2"/>
  <c r="AU105" i="2"/>
  <c r="AU104" i="2"/>
  <c r="AU103" i="2"/>
  <c r="AU102" i="2"/>
  <c r="AN233" i="2"/>
  <c r="AM233" i="2"/>
  <c r="AL233" i="2"/>
  <c r="AK233" i="2"/>
  <c r="AJ233" i="2"/>
  <c r="AI233" i="2"/>
  <c r="AH233" i="2"/>
  <c r="AN232" i="2"/>
  <c r="AM232" i="2"/>
  <c r="AL232" i="2"/>
  <c r="AK232" i="2"/>
  <c r="AJ232" i="2"/>
  <c r="AI232" i="2"/>
  <c r="AH232" i="2"/>
  <c r="AN228" i="2"/>
  <c r="AM228" i="2"/>
  <c r="AL228" i="2"/>
  <c r="AK228" i="2"/>
  <c r="AJ228" i="2"/>
  <c r="AI228" i="2"/>
  <c r="AH228" i="2"/>
  <c r="AN216" i="2"/>
  <c r="AM216" i="2"/>
  <c r="AL216" i="2"/>
  <c r="AK216" i="2"/>
  <c r="AJ216" i="2"/>
  <c r="AI216" i="2"/>
  <c r="AH216" i="2"/>
  <c r="AN213" i="2"/>
  <c r="AM213" i="2"/>
  <c r="AL213" i="2"/>
  <c r="AK213" i="2"/>
  <c r="AJ213" i="2"/>
  <c r="AI213" i="2"/>
  <c r="AH213" i="2"/>
  <c r="AN209" i="2"/>
  <c r="AM209" i="2"/>
  <c r="AL209" i="2"/>
  <c r="AK209" i="2"/>
  <c r="AJ209" i="2"/>
  <c r="AI209" i="2"/>
  <c r="AH209" i="2"/>
  <c r="AN207" i="2"/>
  <c r="AM207" i="2"/>
  <c r="AL207" i="2"/>
  <c r="AK207" i="2"/>
  <c r="AJ207" i="2"/>
  <c r="AI207" i="2"/>
  <c r="AH207" i="2"/>
  <c r="AN125" i="2"/>
  <c r="AM125" i="2"/>
  <c r="AL125" i="2"/>
  <c r="AK125" i="2"/>
  <c r="AJ125" i="2"/>
  <c r="AI125" i="2"/>
  <c r="AH125" i="2"/>
  <c r="AN115" i="2"/>
  <c r="AM115" i="2"/>
  <c r="AL115" i="2"/>
  <c r="AK115" i="2"/>
  <c r="AJ115" i="2"/>
  <c r="AI115" i="2"/>
  <c r="AH115" i="2"/>
  <c r="AN112" i="2"/>
  <c r="AM112" i="2"/>
  <c r="AL112" i="2"/>
  <c r="AK112" i="2"/>
  <c r="AJ112" i="2"/>
  <c r="AI112" i="2"/>
  <c r="AH112" i="2"/>
  <c r="AN109" i="2"/>
  <c r="AM109" i="2"/>
  <c r="AL109" i="2"/>
  <c r="AK109" i="2"/>
  <c r="AJ109" i="2"/>
  <c r="AI109" i="2"/>
  <c r="AH109" i="2"/>
  <c r="AN108" i="2"/>
  <c r="AM108" i="2"/>
  <c r="AL108" i="2"/>
  <c r="AK108" i="2"/>
  <c r="AJ108" i="2"/>
  <c r="AI108" i="2"/>
  <c r="AH108" i="2"/>
  <c r="AN107" i="2"/>
  <c r="AM107" i="2"/>
  <c r="AL107" i="2"/>
  <c r="AK107" i="2"/>
  <c r="AJ107" i="2"/>
  <c r="AI107" i="2"/>
  <c r="AH107" i="2"/>
  <c r="AN106" i="2"/>
  <c r="AM106" i="2"/>
  <c r="AL106" i="2"/>
  <c r="AK106" i="2"/>
  <c r="AJ106" i="2"/>
  <c r="AI106" i="2"/>
  <c r="AH106" i="2"/>
  <c r="AN105" i="2"/>
  <c r="AM105" i="2"/>
  <c r="AL105" i="2"/>
  <c r="AK105" i="2"/>
  <c r="AJ105" i="2"/>
  <c r="AI105" i="2"/>
  <c r="AH105" i="2"/>
  <c r="AN104" i="2"/>
  <c r="AM104" i="2"/>
  <c r="AL104" i="2"/>
  <c r="AK104" i="2"/>
  <c r="AJ104" i="2"/>
  <c r="AI104" i="2"/>
  <c r="AH104" i="2"/>
  <c r="AN103" i="2"/>
  <c r="AM103" i="2"/>
  <c r="AL103" i="2"/>
  <c r="AK103" i="2"/>
  <c r="AJ103" i="2"/>
  <c r="AI103" i="2"/>
  <c r="AH103" i="2"/>
  <c r="AN102" i="2"/>
  <c r="AM102" i="2"/>
  <c r="AL102" i="2"/>
  <c r="AK102" i="2"/>
  <c r="AJ102" i="2"/>
  <c r="AI102" i="2"/>
  <c r="AH102" i="2"/>
  <c r="AF233" i="2"/>
  <c r="AF232" i="2"/>
  <c r="AF228" i="2"/>
  <c r="AF216" i="2"/>
  <c r="AF213" i="2"/>
  <c r="AF209" i="2"/>
  <c r="AF207" i="2"/>
  <c r="AF125" i="2"/>
  <c r="AF115" i="2"/>
  <c r="AF112" i="2"/>
  <c r="AF109" i="2"/>
  <c r="AF108" i="2"/>
  <c r="AF107" i="2"/>
  <c r="AF106" i="2"/>
  <c r="AF105" i="2"/>
  <c r="AF104" i="2"/>
  <c r="AF103" i="2"/>
  <c r="AF102" i="2"/>
  <c r="AE233" i="2"/>
  <c r="AE232" i="2"/>
  <c r="AE228" i="2"/>
  <c r="AE216" i="2"/>
  <c r="AE213" i="2"/>
  <c r="AE209" i="2"/>
  <c r="AE207" i="2"/>
  <c r="AE125" i="2"/>
  <c r="AE115" i="2"/>
  <c r="AE112" i="2"/>
  <c r="AE109" i="2"/>
  <c r="AE108" i="2"/>
  <c r="AE107" i="2"/>
  <c r="AE106" i="2"/>
  <c r="AE105" i="2"/>
  <c r="AE104" i="2"/>
  <c r="AE103" i="2"/>
  <c r="AE102" i="2"/>
  <c r="AD233" i="2"/>
  <c r="AD232" i="2"/>
  <c r="AD228" i="2"/>
  <c r="AD216" i="2"/>
  <c r="AD213" i="2"/>
  <c r="AD209" i="2"/>
  <c r="AD207" i="2"/>
  <c r="AD125" i="2"/>
  <c r="AD115" i="2"/>
  <c r="AD112" i="2"/>
  <c r="AD109" i="2"/>
  <c r="AD108" i="2"/>
  <c r="AD107" i="2"/>
  <c r="AD106" i="2"/>
  <c r="AD105" i="2"/>
  <c r="AD104" i="2"/>
  <c r="AD103" i="2"/>
  <c r="AD102" i="2"/>
  <c r="AC233" i="2"/>
  <c r="AC232" i="2"/>
  <c r="AC228" i="2"/>
  <c r="AC216" i="2"/>
  <c r="AC213" i="2"/>
  <c r="AC209" i="2"/>
  <c r="AC207" i="2"/>
  <c r="AC125" i="2"/>
  <c r="AC115" i="2"/>
  <c r="AC112" i="2"/>
  <c r="AC109" i="2"/>
  <c r="AC108" i="2"/>
  <c r="AC107" i="2"/>
  <c r="AC106" i="2"/>
  <c r="AC105" i="2"/>
  <c r="AC104" i="2"/>
  <c r="AC103" i="2"/>
  <c r="AC102" i="2"/>
  <c r="AB233" i="2"/>
  <c r="AB232" i="2"/>
  <c r="AB228" i="2"/>
  <c r="AB216" i="2"/>
  <c r="AB213" i="2"/>
  <c r="AB209" i="2"/>
  <c r="AB207" i="2"/>
  <c r="AB125" i="2"/>
  <c r="AB115" i="2"/>
  <c r="AB112" i="2"/>
  <c r="AB109" i="2"/>
  <c r="AB108" i="2"/>
  <c r="AB107" i="2"/>
  <c r="AB106" i="2"/>
  <c r="AB105" i="2"/>
  <c r="AB104" i="2"/>
  <c r="AB103" i="2"/>
  <c r="AB102" i="2"/>
  <c r="AA233" i="2"/>
  <c r="AA232" i="2"/>
  <c r="AA228" i="2"/>
  <c r="AA216" i="2"/>
  <c r="AA213" i="2"/>
  <c r="AA209" i="2"/>
  <c r="AA207" i="2"/>
  <c r="AA125" i="2"/>
  <c r="AA115" i="2"/>
  <c r="AA112" i="2"/>
  <c r="AA109" i="2"/>
  <c r="AA108" i="2"/>
  <c r="AA107" i="2"/>
  <c r="AA106" i="2"/>
  <c r="AA105" i="2"/>
  <c r="AA104" i="2"/>
  <c r="AA103" i="2"/>
  <c r="AA102" i="2"/>
  <c r="Z233" i="2"/>
  <c r="Z232" i="2"/>
  <c r="Z228" i="2"/>
  <c r="Z216" i="2"/>
  <c r="Z213" i="2"/>
  <c r="Z209" i="2"/>
  <c r="Z207" i="2"/>
  <c r="Z125" i="2"/>
  <c r="Z115" i="2"/>
  <c r="Z112" i="2"/>
  <c r="Z109" i="2"/>
  <c r="Z108" i="2"/>
  <c r="Z107" i="2"/>
  <c r="Z106" i="2"/>
  <c r="Z105" i="2"/>
  <c r="Z104" i="2"/>
  <c r="Z103" i="2"/>
  <c r="Z102" i="2"/>
  <c r="Y233" i="2"/>
  <c r="X233" i="2"/>
  <c r="W233" i="2"/>
  <c r="V233" i="2"/>
  <c r="G233" i="2"/>
  <c r="Y232" i="2" l="1"/>
  <c r="Y228" i="2"/>
  <c r="Y216" i="2"/>
  <c r="Y213" i="2"/>
  <c r="Y209" i="2"/>
  <c r="Y207" i="2"/>
  <c r="Y125" i="2"/>
  <c r="Y115" i="2"/>
  <c r="Y112" i="2"/>
  <c r="Y109" i="2"/>
  <c r="Y108" i="2"/>
  <c r="Y107" i="2"/>
  <c r="Y106" i="2"/>
  <c r="Y105" i="2"/>
  <c r="Y104" i="2"/>
  <c r="Y103" i="2"/>
  <c r="Y102" i="2"/>
  <c r="X232" i="2"/>
  <c r="X228" i="2"/>
  <c r="X216" i="2"/>
  <c r="X213" i="2"/>
  <c r="X209" i="2"/>
  <c r="X207" i="2"/>
  <c r="X125" i="2"/>
  <c r="X115" i="2"/>
  <c r="X112" i="2"/>
  <c r="X109" i="2"/>
  <c r="X108" i="2"/>
  <c r="X107" i="2"/>
  <c r="X106" i="2"/>
  <c r="X105" i="2"/>
  <c r="X104" i="2"/>
  <c r="X103" i="2"/>
  <c r="X102" i="2"/>
  <c r="W232" i="2"/>
  <c r="W228" i="2"/>
  <c r="W216" i="2"/>
  <c r="W213" i="2"/>
  <c r="W209" i="2"/>
  <c r="W207" i="2"/>
  <c r="W125" i="2"/>
  <c r="W115" i="2"/>
  <c r="W112" i="2"/>
  <c r="W109" i="2"/>
  <c r="W108" i="2"/>
  <c r="W107" i="2"/>
  <c r="W106" i="2"/>
  <c r="W105" i="2"/>
  <c r="W104" i="2"/>
  <c r="W103" i="2"/>
  <c r="W102" i="2"/>
  <c r="V232" i="2"/>
  <c r="V228" i="2"/>
  <c r="V216" i="2"/>
  <c r="V213" i="2"/>
  <c r="V209" i="2"/>
  <c r="V207" i="2"/>
  <c r="V125" i="2"/>
  <c r="V115" i="2"/>
  <c r="V112" i="2"/>
  <c r="V109" i="2"/>
  <c r="V108" i="2"/>
  <c r="V107" i="2"/>
  <c r="V106" i="2"/>
  <c r="V105" i="2"/>
  <c r="V104" i="2"/>
  <c r="V103" i="2"/>
  <c r="V102" i="2"/>
  <c r="AX233" i="2"/>
  <c r="AX232" i="2"/>
  <c r="AX228" i="2"/>
  <c r="AX216" i="2"/>
  <c r="AX213" i="2"/>
  <c r="AX209" i="2"/>
  <c r="AX207" i="2"/>
  <c r="AX125" i="2"/>
  <c r="AX115" i="2"/>
  <c r="AX112" i="2"/>
  <c r="AX109" i="2"/>
  <c r="AX108" i="2"/>
  <c r="AX107" i="2"/>
  <c r="AX106" i="2"/>
  <c r="AX105" i="2"/>
  <c r="AX104" i="2"/>
  <c r="AX103" i="2"/>
  <c r="AX102" i="2"/>
  <c r="G207" i="2" l="1"/>
  <c r="G232" i="2"/>
  <c r="G209" i="2" l="1"/>
  <c r="G228" i="2"/>
  <c r="G125" i="2" l="1"/>
  <c r="G105" i="2" l="1"/>
  <c r="G104" i="2"/>
  <c r="G103" i="2"/>
  <c r="G102" i="2"/>
  <c r="G222" i="2"/>
  <c r="G213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<sst xmlns="http://schemas.openxmlformats.org/spreadsheetml/2006/main" count="2911" uniqueCount="610">
  <si>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</si>
  <si>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</si>
  <si>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</si>
  <si>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</si>
  <si>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</si>
  <si>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</si>
  <si>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</si>
  <si>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</si>
  <si>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</si>
  <si>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</si>
  <si>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</si>
  <si>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</si>
  <si>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</si>
  <si>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</si>
  <si>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</si>
  <si>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</si>
  <si>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</si>
  <si>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</si>
  <si>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</si>
  <si>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</si>
  <si>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</si>
  <si>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</si>
  <si>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</si>
  <si>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</si>
  <si>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</si>
  <si>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</si>
  <si>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</si>
  <si>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</si>
  <si>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</si>
  <si>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</si>
  <si>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</si>
  <si>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</si>
  <si>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</si>
  <si>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</si>
  <si>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</si>
  <si>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</si>
  <si>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</si>
  <si>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</si>
  <si>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</si>
  <si>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</si>
  <si>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</si>
  <si>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</si>
  <si>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</si>
  <si>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</si>
  <si>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</si>
  <si>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</si>
  <si>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</si>
  <si>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</si>
  <si>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</si>
  <si>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</si>
  <si>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</si>
  <si>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</si>
  <si>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</si>
  <si>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</si>
  <si>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</si>
  <si>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</si>
  <si>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</si>
  <si>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</si>
  <si>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</si>
  <si>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</si>
  <si>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</si>
  <si>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</si>
  <si>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</si>
  <si>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</si>
  <si>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</si>
  <si>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</si>
  <si>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</si>
  <si>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</si>
  <si>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</si>
  <si>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</si>
  <si>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</si>
  <si>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</si>
  <si>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</si>
  <si>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</si>
  <si>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</si>
  <si>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</si>
  <si>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</si>
  <si>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</si>
  <si>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</si>
  <si>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</si>
  <si>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</si>
  <si>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</si>
  <si>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</si>
  <si>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</si>
  <si>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</si>
  <si>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</si>
  <si>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</si>
  <si>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</si>
  <si>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</si>
  <si>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</si>
  <si>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</si>
  <si>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</si>
  <si>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</si>
  <si>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</si>
  <si>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</si>
  <si>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</si>
  <si>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</si>
  <si>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</si>
  <si>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</si>
  <si>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</si>
  <si>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</si>
  <si>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</si>
  <si>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</si>
  <si>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</si>
  <si>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</si>
  <si>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</si>
  <si>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</si>
  <si>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</si>
  <si>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</si>
  <si>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</si>
  <si>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</si>
  <si>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</si>
  <si>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</si>
  <si>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</si>
  <si>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</si>
  <si>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</si>
  <si>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</si>
  <si>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</si>
  <si>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</si>
  <si>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</si>
  <si>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</si>
  <si>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</si>
  <si>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</si>
  <si>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</si>
  <si>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</si>
  <si>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</si>
  <si>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</si>
  <si>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</si>
  <si>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</si>
  <si>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</si>
  <si>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</si>
  <si>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</si>
  <si>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</si>
  <si>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</si>
  <si>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</si>
  <si>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</si>
  <si>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</si>
  <si>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</si>
  <si>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</si>
  <si>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</si>
  <si>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</si>
  <si>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</si>
  <si>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</si>
  <si>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</si>
  <si>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</si>
  <si>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</si>
  <si>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</si>
  <si>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</si>
  <si>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</si>
  <si>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</si>
  <si>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</si>
  <si>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</si>
  <si>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</si>
  <si>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</si>
  <si>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</si>
  <si>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</si>
  <si>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</si>
  <si>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</si>
  <si>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</si>
  <si>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</si>
  <si>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</si>
  <si>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</si>
  <si>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</si>
  <si>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</si>
  <si>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</si>
  <si>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</si>
  <si>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</si>
  <si>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</si>
  <si>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</si>
  <si>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</si>
  <si>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</si>
  <si>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</si>
  <si>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</si>
  <si>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</si>
  <si>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</si>
  <si>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</si>
  <si>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</si>
  <si>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</si>
  <si>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</si>
  <si>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</si>
  <si>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</si>
  <si>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</si>
  <si>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</si>
  <si>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</si>
  <si>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</si>
  <si>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</si>
  <si>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</si>
  <si>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</si>
  <si>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</si>
  <si>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</si>
  <si>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</si>
  <si>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</si>
  <si>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</si>
  <si>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</si>
  <si>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</si>
  <si>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</si>
  <si>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</si>
  <si>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</si>
  <si>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</si>
  <si>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</si>
  <si>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</si>
  <si>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</si>
  <si>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</si>
  <si>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</si>
  <si>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</si>
  <si>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</si>
  <si>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</si>
  <si>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</si>
  <si>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</si>
  <si>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</si>
  <si>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</si>
  <si>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</si>
  <si>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</si>
  <si>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</si>
  <si>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</si>
  <si>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</si>
  <si>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</si>
  <si>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</si>
  <si>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</si>
  <si>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</si>
  <si>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</si>
  <si>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</si>
  <si>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</si>
  <si>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</si>
  <si>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</si>
  <si>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</si>
  <si>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</si>
  <si>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</si>
  <si>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</si>
  <si>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</si>
  <si>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</si>
  <si>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</si>
  <si>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</si>
  <si>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</si>
  <si>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</si>
  <si>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</si>
  <si>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</si>
  <si>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</si>
  <si>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</si>
  <si>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</si>
  <si>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</si>
  <si>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</si>
  <si>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</si>
  <si>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</si>
  <si>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</si>
  <si>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</si>
  <si>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</si>
  <si>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</si>
  <si>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</si>
  <si>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</si>
  <si>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</si>
  <si>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</si>
  <si>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</si>
  <si>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</si>
  <si>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</si>
  <si>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</si>
  <si>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</si>
  <si>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</si>
  <si>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</si>
  <si>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</si>
  <si>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</si>
  <si>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</si>
  <si>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</si>
  <si>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</si>
  <si>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</si>
  <si>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</si>
  <si>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</si>
  <si>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</si>
  <si>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</si>
  <si>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</si>
  <si>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</si>
  <si>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</si>
  <si>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</si>
  <si>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</si>
  <si>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</si>
  <si>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</si>
  <si>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</si>
  <si>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</si>
  <si>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</si>
  <si>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</si>
  <si>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</si>
  <si>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</si>
  <si>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</si>
  <si>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</si>
  <si>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</si>
  <si>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</si>
  <si>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</si>
  <si>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</si>
  <si>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</si>
  <si>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</si>
  <si>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</si>
  <si>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</si>
  <si>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</si>
  <si>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</si>
  <si>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</si>
  <si>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</si>
  <si>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</si>
  <si>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</si>
  <si>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</si>
  <si>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</si>
  <si>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</si>
  <si>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</si>
  <si>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</si>
  <si>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</si>
  <si>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</si>
  <si>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</si>
  <si>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</si>
  <si>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</si>
  <si>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</si>
  <si>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</si>
  <si>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</si>
  <si>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</si>
  <si>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</si>
  <si>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</si>
  <si>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</si>
  <si>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</si>
  <si>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</si>
  <si>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</si>
  <si>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</si>
  <si>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</si>
  <si>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</si>
  <si>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</si>
  <si>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</si>
  <si>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</si>
  <si>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</si>
  <si>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</si>
  <si>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</si>
  <si>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</si>
  <si>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</si>
  <si>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</si>
  <si>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</si>
  <si>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</si>
  <si>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</si>
  <si>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</si>
  <si>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</si>
  <si>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</si>
  <si>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</si>
  <si>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</si>
  <si>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</si>
  <si>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</si>
  <si>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</si>
  <si>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</si>
  <si>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</si>
  <si>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</si>
  <si>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</si>
  <si>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</si>
  <si>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</si>
  <si>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</si>
  <si>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</si>
  <si>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</si>
  <si>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</si>
  <si>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</si>
  <si>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</si>
  <si>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</si>
  <si>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</si>
  <si>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</si>
  <si>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</si>
  <si>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</si>
  <si>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</si>
  <si>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</si>
  <si>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</si>
  <si>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</si>
  <si>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</si>
  <si>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</si>
  <si>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</si>
  <si>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</si>
  <si>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</si>
  <si>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</si>
  <si>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</si>
  <si>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</si>
  <si>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</si>
  <si>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</si>
  <si>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</si>
  <si>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</si>
  <si>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</si>
  <si>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</si>
  <si>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</si>
  <si>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</si>
  <si>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</si>
  <si>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</si>
  <si>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</si>
  <si>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</si>
  <si>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</si>
  <si>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</si>
  <si>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</si>
  <si>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</si>
  <si>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</si>
  <si>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</si>
  <si>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</si>
  <si>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</si>
  <si>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</si>
  <si>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</si>
  <si>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</si>
  <si>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</si>
  <si>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</si>
  <si>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</si>
  <si>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</si>
  <si>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</si>
  <si>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</si>
  <si>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</si>
  <si>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</si>
  <si>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</si>
  <si>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</si>
  <si>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</si>
  <si>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</si>
  <si>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</si>
  <si>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</si>
  <si>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</si>
  <si>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</si>
  <si>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</si>
  <si>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</si>
  <si>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</si>
  <si>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</si>
  <si>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</si>
  <si>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</si>
  <si>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</si>
  <si>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</si>
  <si>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</si>
  <si>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</si>
  <si>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</si>
  <si>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</si>
  <si>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</si>
  <si>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</si>
  <si>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</si>
  <si>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</si>
  <si>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</si>
  <si>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</si>
  <si>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</si>
  <si>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</si>
  <si>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</si>
  <si>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</si>
  <si>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</si>
  <si>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</si>
  <si>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</si>
  <si>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</si>
  <si>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</si>
  <si>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</si>
  <si>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</si>
  <si>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</si>
  <si>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</si>
  <si>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</si>
  <si>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</si>
  <si>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</si>
  <si>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</si>
  <si>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</si>
  <si>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</si>
  <si>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</si>
  <si>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</si>
  <si>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</si>
  <si>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</si>
  <si>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</si>
  <si>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</si>
  <si>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</si>
  <si>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</si>
  <si>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</si>
  <si>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</si>
  <si>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</si>
  <si>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</si>
  <si>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</si>
  <si>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</si>
  <si>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</si>
  <si>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</si>
  <si>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</si>
  <si>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</si>
  <si>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</si>
  <si>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</si>
  <si>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</si>
  <si>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</si>
  <si>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</si>
  <si>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</si>
  <si>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</si>
  <si>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</si>
  <si>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</si>
  <si>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</si>
  <si>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</si>
  <si>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</si>
  <si>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</si>
  <si>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</si>
  <si>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</si>
  <si>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</si>
  <si>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</si>
  <si>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</si>
  <si>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</si>
  <si>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</si>
  <si>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</si>
  <si>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</si>
  <si>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</si>
  <si>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</si>
  <si>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</si>
  <si>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</si>
  <si>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</si>
  <si>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</si>
  <si>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</si>
  <si>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</si>
  <si>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</si>
  <si>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</si>
  <si>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</si>
  <si>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</si>
  <si>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</si>
  <si>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</si>
  <si>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</si>
  <si>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</si>
  <si>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</si>
  <si>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</si>
  <si>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</si>
  <si>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</si>
  <si>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</si>
  <si>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</si>
  <si>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</si>
  <si>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</si>
  <si>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</si>
  <si>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</si>
  <si>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</si>
  <si>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</si>
  <si>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</si>
  <si>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</si>
  <si>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</si>
  <si>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</si>
  <si>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</si>
  <si>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</si>
  <si>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</si>
  <si>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</si>
  <si>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</si>
  <si>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</si>
  <si>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</si>
  <si>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</si>
  <si>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</si>
  <si>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</si>
  <si>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</si>
  <si>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</si>
  <si>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</si>
  <si>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</si>
  <si>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</si>
  <si>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</si>
  <si>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</si>
  <si>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</si>
  <si>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</si>
  <si>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</si>
  <si>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</si>
  <si>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</si>
  <si>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</si>
  <si>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</si>
  <si>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</si>
  <si>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</si>
  <si>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</si>
  <si>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</si>
  <si>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</si>
  <si>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</si>
  <si>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</si>
  <si>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</si>
  <si>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</si>
  <si>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</si>
  <si>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</si>
  <si>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</si>
  <si>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</si>
  <si>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</si>
  <si>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</si>
  <si>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</si>
  <si>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</si>
  <si>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</si>
  <si>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</si>
  <si>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</si>
  <si>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</si>
  <si>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</si>
  <si>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</si>
  <si>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</si>
  <si>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</si>
  <si>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Old simulations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</si>
  <si>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</si>
  <si>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</si>
  <si>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</si>
  <si>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</si>
  <si>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</si>
  <si>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</si>
  <si>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</si>
  <si>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</si>
  <si>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</si>
  <si>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</si>
  <si>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cmax_AA</t>
  </si>
  <si>
    <t>Maximal rate of amino acid catabolism in the root segment</t>
  </si>
  <si>
    <t>soil_model</t>
  </si>
  <si>
    <t>soil</t>
  </si>
  <si>
    <t>Before</t>
  </si>
  <si>
    <t>synchronize_adventitious_emergence</t>
  </si>
  <si>
    <t>Tells wether root system should listen to shoot for synchronization of nodal roots emergence</t>
  </si>
  <si>
    <t>mineral_N_fertilization_rate</t>
  </si>
  <si>
    <t>Input file containing fertilization rate evolution over time for the soil model</t>
  </si>
  <si>
    <t>gN.s-1</t>
  </si>
  <si>
    <t>reference_rate_of_AA_consumption_by_growth</t>
  </si>
  <si>
    <t>Reference rate of amino acids for growth (used to proportionnally increase the permeability of phloem according to the actual rate of amino_acid consumption)</t>
  </si>
  <si>
    <t>Real number / mol of amino acids per second</t>
  </si>
  <si>
    <t>diffusion_xylem_Nm_P</t>
  </si>
  <si>
    <t>diffusion_xylem_AA_P</t>
  </si>
  <si>
    <t>meteo_Ljutovac2002_soil.csv</t>
  </si>
  <si>
    <t>WB_ref</t>
  </si>
  <si>
    <t>/2</t>
  </si>
  <si>
    <t>WB_ref2</t>
  </si>
  <si>
    <t>WB_debug</t>
  </si>
  <si>
    <t>permeability_phloem_AA</t>
  </si>
  <si>
    <t>hex * conv</t>
  </si>
  <si>
    <t xml:space="preserve"> </t>
  </si>
  <si>
    <t>WB_debug_backup</t>
  </si>
  <si>
    <t>/100</t>
  </si>
  <si>
    <t>massic_reference_rate_of_AA_consumption_by_growth</t>
  </si>
  <si>
    <t>massic_reference_rate_of_hexose_consumption_by_growth</t>
  </si>
  <si>
    <t>molar so higher gradient than sucrose</t>
  </si>
  <si>
    <t>WB_debug2</t>
  </si>
  <si>
    <t>/10</t>
  </si>
  <si>
    <t>x2</t>
  </si>
  <si>
    <t>Pmax/50 x10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</si>
</sst>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16" fillId="51" borderId="0" xfId="0" applyNumberFormat="1" applyFont="1" applyFill="1" applyAlignment="1">
      <alignment horizontal="left" vertical="center"/>
    </xf>
    <xf numFmtId="11" fontId="16" fillId="50" borderId="0" xfId="0" applyNumberFormat="1" applyFont="1" applyFill="1" applyAlignment="1">
      <alignment horizontal="left" vertical="center"/>
    </xf>
    <xf numFmtId="11" fontId="16" fillId="0" borderId="0" xfId="0" applyNumberFormat="1" applyFont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U236"/>
  <sheetViews>
    <sheetView tabSelected="1" zoomScale="79" zoomScaleNormal="100" workbookViewId="0">
      <pane xSplit="6" ySplit="1" topLeftCell="G140" activePane="bottomRight" state="frozen"/>
      <selection pane="topRight" activeCell="G1" sqref="G1"/>
      <selection pane="bottomLeft" activeCell="A2" sqref="A2"/>
      <selection pane="bottomRight" activeCell="M230" sqref="M230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50" width="21.5703125" style="1" customWidth="1"/>
  </cols>
  <sheetData>
    <row r="1" spans="1:50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I1" s="54" t="s">
        <v>582</v>
      </c>
      <c r="J1" s="54" t="s">
        <v>594</v>
      </c>
      <c r="K1" s="54" t="s">
        <v>601</v>
      </c>
      <c r="L1" s="54" t="s">
        <v>597</v>
      </c>
      <c r="M1" s="54" t="s">
        <v>606</v>
      </c>
      <c r="O1" s="54" t="s">
        <v>596</v>
      </c>
      <c r="P1" s="54"/>
      <c r="Q1" s="54" t="s">
        <v>570</v>
      </c>
      <c r="R1" s="54" t="s">
        <v>568</v>
      </c>
      <c r="S1" s="54" t="s">
        <v>569</v>
      </c>
      <c r="U1" s="1" t="s">
        <v>567</v>
      </c>
      <c r="V1" s="36" t="s">
        <v>543</v>
      </c>
      <c r="W1" s="36" t="s">
        <v>544</v>
      </c>
      <c r="X1" s="36" t="s">
        <v>545</v>
      </c>
      <c r="Y1" s="36" t="s">
        <v>546</v>
      </c>
      <c r="Z1" s="36" t="s">
        <v>547</v>
      </c>
      <c r="AA1" s="36" t="s">
        <v>548</v>
      </c>
      <c r="AB1" s="36" t="s">
        <v>549</v>
      </c>
      <c r="AC1" s="36" t="s">
        <v>550</v>
      </c>
      <c r="AD1" s="36" t="s">
        <v>551</v>
      </c>
      <c r="AE1" s="36" t="s">
        <v>552</v>
      </c>
      <c r="AF1" s="36" t="s">
        <v>553</v>
      </c>
      <c r="AG1"/>
      <c r="AH1" s="36" t="s">
        <v>554</v>
      </c>
      <c r="AI1" s="36" t="s">
        <v>555</v>
      </c>
      <c r="AJ1" s="36" t="s">
        <v>556</v>
      </c>
      <c r="AK1" s="36" t="s">
        <v>557</v>
      </c>
      <c r="AL1" s="36" t="s">
        <v>558</v>
      </c>
      <c r="AM1" s="36" t="s">
        <v>559</v>
      </c>
      <c r="AN1" s="36" t="s">
        <v>560</v>
      </c>
      <c r="AO1"/>
      <c r="AP1" s="36" t="s">
        <v>563</v>
      </c>
      <c r="AQ1" s="36" t="s">
        <v>564</v>
      </c>
      <c r="AR1" s="36" t="s">
        <v>565</v>
      </c>
      <c r="AS1" s="36" t="s">
        <v>566</v>
      </c>
      <c r="AT1"/>
      <c r="AU1" s="36" t="s">
        <v>562</v>
      </c>
      <c r="AV1"/>
      <c r="AW1"/>
      <c r="AX1" s="36" t="s">
        <v>542</v>
      </c>
    </row>
    <row r="2" spans="1:50" s="1" customFormat="1" x14ac:dyDescent="0.25">
      <c r="A2" s="42" t="s">
        <v>481</v>
      </c>
      <c r="B2" s="3" t="s">
        <v>475</v>
      </c>
      <c r="C2" s="3" t="s">
        <v>483</v>
      </c>
      <c r="D2" s="3" t="s">
        <v>521</v>
      </c>
      <c r="E2" s="43" t="s">
        <v>447</v>
      </c>
      <c r="F2" s="43" t="s">
        <v>91</v>
      </c>
      <c r="G2" s="44" t="s">
        <v>478</v>
      </c>
      <c r="I2" s="58"/>
      <c r="J2" s="44" t="s">
        <v>478</v>
      </c>
      <c r="K2" s="44" t="s">
        <v>478</v>
      </c>
      <c r="L2" s="44" t="s">
        <v>478</v>
      </c>
      <c r="M2" s="44" t="s">
        <v>478</v>
      </c>
      <c r="O2" s="44" t="s">
        <v>478</v>
      </c>
      <c r="P2" s="44"/>
      <c r="Q2" s="44" t="s">
        <v>478</v>
      </c>
      <c r="R2" s="44" t="s">
        <v>478</v>
      </c>
      <c r="S2" s="44" t="s">
        <v>478</v>
      </c>
      <c r="V2" s="44" t="s">
        <v>478</v>
      </c>
      <c r="W2" s="44" t="s">
        <v>478</v>
      </c>
      <c r="X2" s="44" t="s">
        <v>478</v>
      </c>
      <c r="Y2" s="44" t="s">
        <v>478</v>
      </c>
      <c r="Z2" s="44" t="s">
        <v>478</v>
      </c>
      <c r="AA2" s="44" t="s">
        <v>478</v>
      </c>
      <c r="AB2" s="44" t="s">
        <v>478</v>
      </c>
      <c r="AC2" s="44" t="s">
        <v>478</v>
      </c>
      <c r="AD2" s="44" t="s">
        <v>478</v>
      </c>
      <c r="AE2" s="44" t="s">
        <v>478</v>
      </c>
      <c r="AF2" s="44" t="s">
        <v>478</v>
      </c>
      <c r="AG2"/>
      <c r="AH2" s="44" t="s">
        <v>478</v>
      </c>
      <c r="AI2" s="44" t="s">
        <v>478</v>
      </c>
      <c r="AJ2" s="44" t="s">
        <v>478</v>
      </c>
      <c r="AK2" s="44" t="s">
        <v>478</v>
      </c>
      <c r="AL2" s="44" t="s">
        <v>478</v>
      </c>
      <c r="AM2" s="44" t="s">
        <v>478</v>
      </c>
      <c r="AN2" s="44" t="s">
        <v>478</v>
      </c>
      <c r="AO2"/>
      <c r="AP2" s="44" t="s">
        <v>478</v>
      </c>
      <c r="AQ2" s="44" t="s">
        <v>478</v>
      </c>
      <c r="AR2" s="44" t="s">
        <v>478</v>
      </c>
      <c r="AS2" s="44" t="s">
        <v>478</v>
      </c>
      <c r="AT2"/>
      <c r="AU2" s="44" t="s">
        <v>478</v>
      </c>
      <c r="AV2"/>
      <c r="AW2"/>
      <c r="AX2" s="44" t="s">
        <v>478</v>
      </c>
    </row>
    <row r="3" spans="1:50" s="1" customFormat="1" x14ac:dyDescent="0.25">
      <c r="A3" s="42" t="s">
        <v>479</v>
      </c>
      <c r="B3" s="3" t="s">
        <v>474</v>
      </c>
      <c r="C3" s="3" t="s">
        <v>483</v>
      </c>
      <c r="D3" s="3" t="s">
        <v>521</v>
      </c>
      <c r="E3" s="46" t="s">
        <v>477</v>
      </c>
      <c r="F3" s="46" t="s">
        <v>480</v>
      </c>
      <c r="G3" s="44" t="s">
        <v>476</v>
      </c>
      <c r="I3" s="58"/>
      <c r="J3" s="44" t="s">
        <v>593</v>
      </c>
      <c r="K3" s="44" t="s">
        <v>593</v>
      </c>
      <c r="L3" s="44" t="s">
        <v>593</v>
      </c>
      <c r="M3" s="44" t="s">
        <v>593</v>
      </c>
      <c r="O3" s="44" t="s">
        <v>476</v>
      </c>
      <c r="P3" s="44"/>
      <c r="Q3" s="44" t="s">
        <v>476</v>
      </c>
      <c r="R3" s="44" t="s">
        <v>476</v>
      </c>
      <c r="S3" s="44" t="s">
        <v>476</v>
      </c>
      <c r="V3" s="44" t="s">
        <v>476</v>
      </c>
      <c r="W3" s="44" t="s">
        <v>476</v>
      </c>
      <c r="X3" s="44" t="s">
        <v>476</v>
      </c>
      <c r="Y3" s="44" t="s">
        <v>476</v>
      </c>
      <c r="Z3" s="44" t="s">
        <v>476</v>
      </c>
      <c r="AA3" s="44" t="s">
        <v>476</v>
      </c>
      <c r="AB3" s="44" t="s">
        <v>476</v>
      </c>
      <c r="AC3" s="44" t="s">
        <v>476</v>
      </c>
      <c r="AD3" s="44" t="s">
        <v>476</v>
      </c>
      <c r="AE3" s="44" t="s">
        <v>476</v>
      </c>
      <c r="AF3" s="44" t="s">
        <v>476</v>
      </c>
      <c r="AG3"/>
      <c r="AH3" s="44" t="s">
        <v>476</v>
      </c>
      <c r="AI3" s="44" t="s">
        <v>476</v>
      </c>
      <c r="AJ3" s="44" t="s">
        <v>476</v>
      </c>
      <c r="AK3" s="44" t="s">
        <v>476</v>
      </c>
      <c r="AL3" s="44" t="s">
        <v>476</v>
      </c>
      <c r="AM3" s="44" t="s">
        <v>476</v>
      </c>
      <c r="AN3" s="44" t="s">
        <v>476</v>
      </c>
      <c r="AO3"/>
      <c r="AP3" s="44" t="s">
        <v>476</v>
      </c>
      <c r="AQ3" s="44" t="s">
        <v>476</v>
      </c>
      <c r="AR3" s="44" t="s">
        <v>476</v>
      </c>
      <c r="AS3" s="44" t="s">
        <v>476</v>
      </c>
      <c r="AT3"/>
      <c r="AU3" s="44" t="s">
        <v>476</v>
      </c>
      <c r="AV3"/>
      <c r="AW3"/>
      <c r="AX3" s="44" t="s">
        <v>476</v>
      </c>
    </row>
    <row r="4" spans="1:50" s="1" customFormat="1" x14ac:dyDescent="0.25">
      <c r="A4" s="42" t="s">
        <v>585</v>
      </c>
      <c r="B4" s="3" t="s">
        <v>474</v>
      </c>
      <c r="C4" s="3" t="s">
        <v>483</v>
      </c>
      <c r="D4" s="3" t="s">
        <v>521</v>
      </c>
      <c r="E4" s="46" t="s">
        <v>586</v>
      </c>
      <c r="F4" s="46" t="s">
        <v>587</v>
      </c>
      <c r="G4" s="44" t="s">
        <v>476</v>
      </c>
      <c r="I4" s="58"/>
      <c r="J4" s="44" t="s">
        <v>476</v>
      </c>
      <c r="K4" s="44" t="s">
        <v>476</v>
      </c>
      <c r="L4" s="44" t="s">
        <v>476</v>
      </c>
      <c r="M4" s="44" t="s">
        <v>476</v>
      </c>
      <c r="O4" s="44" t="s">
        <v>476</v>
      </c>
      <c r="P4" s="44"/>
      <c r="Q4" s="44" t="s">
        <v>476</v>
      </c>
      <c r="R4" s="44" t="s">
        <v>476</v>
      </c>
      <c r="S4" s="44" t="s">
        <v>476</v>
      </c>
      <c r="V4" s="44" t="s">
        <v>476</v>
      </c>
      <c r="W4" s="44" t="s">
        <v>476</v>
      </c>
      <c r="X4" s="44" t="s">
        <v>476</v>
      </c>
      <c r="Y4" s="44" t="s">
        <v>476</v>
      </c>
      <c r="Z4" s="44" t="s">
        <v>476</v>
      </c>
      <c r="AA4" s="44" t="s">
        <v>476</v>
      </c>
      <c r="AB4" s="44" t="s">
        <v>476</v>
      </c>
      <c r="AC4" s="44" t="s">
        <v>476</v>
      </c>
      <c r="AD4" s="44" t="s">
        <v>476</v>
      </c>
      <c r="AE4" s="44" t="s">
        <v>476</v>
      </c>
      <c r="AF4" s="44" t="s">
        <v>476</v>
      </c>
      <c r="AG4"/>
      <c r="AH4" s="44" t="s">
        <v>476</v>
      </c>
      <c r="AI4" s="44" t="s">
        <v>476</v>
      </c>
      <c r="AJ4" s="44" t="s">
        <v>476</v>
      </c>
      <c r="AK4" s="44" t="s">
        <v>476</v>
      </c>
      <c r="AL4" s="44" t="s">
        <v>476</v>
      </c>
      <c r="AM4" s="44" t="s">
        <v>476</v>
      </c>
      <c r="AN4" s="44" t="s">
        <v>476</v>
      </c>
      <c r="AO4"/>
      <c r="AP4" s="44" t="s">
        <v>476</v>
      </c>
      <c r="AQ4" s="44" t="s">
        <v>476</v>
      </c>
      <c r="AR4" s="44" t="s">
        <v>476</v>
      </c>
      <c r="AS4" s="44" t="s">
        <v>476</v>
      </c>
      <c r="AT4"/>
      <c r="AU4" s="44" t="s">
        <v>476</v>
      </c>
      <c r="AV4"/>
      <c r="AW4"/>
      <c r="AX4" s="44" t="s">
        <v>476</v>
      </c>
    </row>
    <row r="5" spans="1:50" x14ac:dyDescent="0.25">
      <c r="A5" s="3" t="s">
        <v>2</v>
      </c>
      <c r="B5" s="3" t="s">
        <v>473</v>
      </c>
      <c r="C5" s="3" t="s">
        <v>483</v>
      </c>
      <c r="D5" s="3" t="s">
        <v>521</v>
      </c>
      <c r="E5" s="4" t="s">
        <v>129</v>
      </c>
      <c r="F5" s="4" t="s">
        <v>94</v>
      </c>
      <c r="G5" s="44" t="s">
        <v>86</v>
      </c>
      <c r="I5" s="58"/>
      <c r="J5" s="44" t="s">
        <v>86</v>
      </c>
      <c r="K5" s="44" t="s">
        <v>86</v>
      </c>
      <c r="L5" s="44" t="s">
        <v>86</v>
      </c>
      <c r="M5" s="44" t="s">
        <v>86</v>
      </c>
      <c r="O5" s="44" t="s">
        <v>86</v>
      </c>
      <c r="P5" s="44"/>
      <c r="Q5" s="44" t="s">
        <v>86</v>
      </c>
      <c r="R5" s="44" t="s">
        <v>86</v>
      </c>
      <c r="S5" s="44" t="s">
        <v>86</v>
      </c>
      <c r="V5" s="44" t="s">
        <v>86</v>
      </c>
      <c r="W5" s="44" t="s">
        <v>86</v>
      </c>
      <c r="X5" s="44" t="s">
        <v>86</v>
      </c>
      <c r="Y5" s="44" t="s">
        <v>86</v>
      </c>
      <c r="Z5" s="44" t="s">
        <v>86</v>
      </c>
      <c r="AA5" s="44" t="s">
        <v>86</v>
      </c>
      <c r="AB5" s="44" t="s">
        <v>86</v>
      </c>
      <c r="AC5" s="44" t="s">
        <v>86</v>
      </c>
      <c r="AD5" s="44" t="s">
        <v>86</v>
      </c>
      <c r="AE5" s="44" t="s">
        <v>86</v>
      </c>
      <c r="AF5" s="44" t="s">
        <v>86</v>
      </c>
      <c r="AG5"/>
      <c r="AH5" s="44" t="s">
        <v>86</v>
      </c>
      <c r="AI5" s="44" t="s">
        <v>86</v>
      </c>
      <c r="AJ5" s="44" t="s">
        <v>86</v>
      </c>
      <c r="AK5" s="44" t="s">
        <v>86</v>
      </c>
      <c r="AL5" s="44" t="s">
        <v>86</v>
      </c>
      <c r="AM5" s="44" t="s">
        <v>86</v>
      </c>
      <c r="AN5" s="44" t="s">
        <v>86</v>
      </c>
      <c r="AO5"/>
      <c r="AP5" s="44" t="s">
        <v>86</v>
      </c>
      <c r="AQ5" s="44" t="s">
        <v>86</v>
      </c>
      <c r="AR5" s="44" t="s">
        <v>86</v>
      </c>
      <c r="AS5" s="44" t="s">
        <v>86</v>
      </c>
      <c r="AT5"/>
      <c r="AU5" s="44" t="s">
        <v>86</v>
      </c>
      <c r="AV5"/>
      <c r="AW5"/>
      <c r="AX5" s="44" t="s">
        <v>86</v>
      </c>
    </row>
    <row r="6" spans="1:50" x14ac:dyDescent="0.25">
      <c r="A6" s="3" t="s">
        <v>3</v>
      </c>
      <c r="B6" s="3" t="s">
        <v>473</v>
      </c>
      <c r="C6" s="3" t="s">
        <v>483</v>
      </c>
      <c r="D6" s="3" t="s">
        <v>521</v>
      </c>
      <c r="E6" s="4" t="s">
        <v>130</v>
      </c>
      <c r="F6" s="4" t="s">
        <v>95</v>
      </c>
      <c r="G6" s="44">
        <v>1</v>
      </c>
      <c r="I6" s="58"/>
      <c r="J6" s="44">
        <v>1</v>
      </c>
      <c r="K6" s="44">
        <v>1</v>
      </c>
      <c r="L6" s="44">
        <v>1</v>
      </c>
      <c r="M6" s="44">
        <v>1</v>
      </c>
      <c r="O6" s="44">
        <v>1</v>
      </c>
      <c r="P6" s="44"/>
      <c r="Q6" s="44">
        <v>1</v>
      </c>
      <c r="R6" s="44">
        <v>1</v>
      </c>
      <c r="S6" s="44">
        <v>1</v>
      </c>
      <c r="V6" s="44">
        <v>1</v>
      </c>
      <c r="W6" s="44">
        <v>1</v>
      </c>
      <c r="X6" s="44">
        <v>1</v>
      </c>
      <c r="Y6" s="44">
        <v>1</v>
      </c>
      <c r="Z6" s="44">
        <v>1</v>
      </c>
      <c r="AA6" s="44">
        <v>1</v>
      </c>
      <c r="AB6" s="44">
        <v>1</v>
      </c>
      <c r="AC6" s="44">
        <v>1</v>
      </c>
      <c r="AD6" s="44">
        <v>1</v>
      </c>
      <c r="AE6" s="44">
        <v>1</v>
      </c>
      <c r="AF6" s="44">
        <v>1</v>
      </c>
      <c r="AG6"/>
      <c r="AH6" s="44">
        <v>1</v>
      </c>
      <c r="AI6" s="44">
        <v>1</v>
      </c>
      <c r="AJ6" s="44">
        <v>1</v>
      </c>
      <c r="AK6" s="44">
        <v>1</v>
      </c>
      <c r="AL6" s="44">
        <v>1</v>
      </c>
      <c r="AM6" s="44">
        <v>1</v>
      </c>
      <c r="AN6" s="44">
        <v>1</v>
      </c>
      <c r="AO6"/>
      <c r="AP6" s="44">
        <v>1</v>
      </c>
      <c r="AQ6" s="44">
        <v>1</v>
      </c>
      <c r="AR6" s="44">
        <v>1</v>
      </c>
      <c r="AS6" s="44">
        <v>1</v>
      </c>
      <c r="AT6"/>
      <c r="AU6" s="44">
        <v>1</v>
      </c>
      <c r="AV6"/>
      <c r="AW6"/>
      <c r="AX6" s="44">
        <v>1</v>
      </c>
    </row>
    <row r="7" spans="1:50" x14ac:dyDescent="0.25">
      <c r="A7" s="5" t="s">
        <v>4</v>
      </c>
      <c r="B7" s="3" t="s">
        <v>473</v>
      </c>
      <c r="C7" s="3" t="s">
        <v>483</v>
      </c>
      <c r="D7" s="3" t="s">
        <v>521</v>
      </c>
      <c r="E7" s="6" t="s">
        <v>114</v>
      </c>
      <c r="F7" s="6" t="s">
        <v>93</v>
      </c>
      <c r="G7" s="44">
        <v>60</v>
      </c>
      <c r="I7" s="58"/>
      <c r="J7" s="44">
        <v>180</v>
      </c>
      <c r="K7" s="44">
        <v>180</v>
      </c>
      <c r="L7" s="44">
        <v>180</v>
      </c>
      <c r="M7" s="44">
        <v>180</v>
      </c>
      <c r="O7" s="44">
        <v>180</v>
      </c>
      <c r="P7" s="44"/>
      <c r="Q7" s="44">
        <v>180</v>
      </c>
      <c r="R7" s="44">
        <v>180</v>
      </c>
      <c r="S7" s="44">
        <v>180</v>
      </c>
      <c r="V7" s="44">
        <v>180</v>
      </c>
      <c r="W7" s="44">
        <v>180</v>
      </c>
      <c r="X7" s="44">
        <v>180</v>
      </c>
      <c r="Y7" s="44">
        <v>180</v>
      </c>
      <c r="Z7" s="44">
        <v>180</v>
      </c>
      <c r="AA7" s="44">
        <v>180</v>
      </c>
      <c r="AB7" s="44">
        <v>180</v>
      </c>
      <c r="AC7" s="44">
        <v>180</v>
      </c>
      <c r="AD7" s="44">
        <v>180</v>
      </c>
      <c r="AE7" s="44">
        <v>180</v>
      </c>
      <c r="AF7" s="44">
        <v>180</v>
      </c>
      <c r="AG7"/>
      <c r="AH7" s="44">
        <v>180</v>
      </c>
      <c r="AI7" s="44">
        <v>180</v>
      </c>
      <c r="AJ7" s="44">
        <v>180</v>
      </c>
      <c r="AK7" s="44">
        <v>180</v>
      </c>
      <c r="AL7" s="44">
        <v>180</v>
      </c>
      <c r="AM7" s="44">
        <v>180</v>
      </c>
      <c r="AN7" s="44">
        <v>180</v>
      </c>
      <c r="AO7"/>
      <c r="AP7" s="44">
        <v>180</v>
      </c>
      <c r="AQ7" s="44">
        <v>180</v>
      </c>
      <c r="AR7" s="44">
        <v>180</v>
      </c>
      <c r="AS7" s="44">
        <v>180</v>
      </c>
      <c r="AT7"/>
      <c r="AU7" s="44">
        <v>180</v>
      </c>
      <c r="AV7"/>
      <c r="AW7"/>
      <c r="AX7" s="44">
        <v>180</v>
      </c>
    </row>
    <row r="8" spans="1:50" x14ac:dyDescent="0.25">
      <c r="A8" s="5" t="s">
        <v>5</v>
      </c>
      <c r="B8" s="3" t="s">
        <v>473</v>
      </c>
      <c r="C8" s="3" t="s">
        <v>483</v>
      </c>
      <c r="D8" s="3" t="s">
        <v>521</v>
      </c>
      <c r="E8" s="6" t="s">
        <v>115</v>
      </c>
      <c r="F8" s="6" t="s">
        <v>93</v>
      </c>
      <c r="G8" s="44">
        <v>4.1666666999999998E-2</v>
      </c>
      <c r="I8" s="58"/>
      <c r="J8" s="44">
        <v>4.1666666999999998E-2</v>
      </c>
      <c r="K8" s="44">
        <v>4.1666666999999998E-2</v>
      </c>
      <c r="L8" s="44">
        <v>4.1666666999999998E-2</v>
      </c>
      <c r="M8" s="44">
        <v>4.1666666999999998E-2</v>
      </c>
      <c r="O8" s="44">
        <v>4.1666666999999998E-2</v>
      </c>
      <c r="P8" s="44"/>
      <c r="Q8" s="44">
        <v>4.1666666999999998E-2</v>
      </c>
      <c r="R8" s="44">
        <v>4.1666666999999998E-2</v>
      </c>
      <c r="S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Y8" s="44">
        <v>4.1666666999999998E-2</v>
      </c>
      <c r="Z8" s="44">
        <v>4.1666666999999998E-2</v>
      </c>
      <c r="AA8" s="44">
        <v>4.1666666999999998E-2</v>
      </c>
      <c r="AB8" s="44">
        <v>4.1666666999999998E-2</v>
      </c>
      <c r="AC8" s="44">
        <v>4.1666666999999998E-2</v>
      </c>
      <c r="AD8" s="44">
        <v>4.1666666999999998E-2</v>
      </c>
      <c r="AE8" s="44">
        <v>4.1666666999999998E-2</v>
      </c>
      <c r="AF8" s="44">
        <v>4.1666666999999998E-2</v>
      </c>
      <c r="AG8"/>
      <c r="AH8" s="44">
        <v>4.1666666999999998E-2</v>
      </c>
      <c r="AI8" s="44">
        <v>4.1666666999999998E-2</v>
      </c>
      <c r="AJ8" s="44">
        <v>4.1666666999999998E-2</v>
      </c>
      <c r="AK8" s="44">
        <v>4.1666666999999998E-2</v>
      </c>
      <c r="AL8" s="44">
        <v>4.1666666999999998E-2</v>
      </c>
      <c r="AM8" s="44">
        <v>4.1666666999999998E-2</v>
      </c>
      <c r="AN8" s="44">
        <v>4.1666666999999998E-2</v>
      </c>
      <c r="AO8"/>
      <c r="AP8" s="44">
        <v>4.1666666999999998E-2</v>
      </c>
      <c r="AQ8" s="44">
        <v>4.1666666999999998E-2</v>
      </c>
      <c r="AR8" s="44">
        <v>4.1666666999999998E-2</v>
      </c>
      <c r="AS8" s="44">
        <v>4.1666666999999998E-2</v>
      </c>
      <c r="AT8"/>
      <c r="AU8" s="44">
        <v>4.1666666999999998E-2</v>
      </c>
      <c r="AV8"/>
      <c r="AW8"/>
      <c r="AX8" s="44">
        <v>4.1666666999999998E-2</v>
      </c>
    </row>
    <row r="9" spans="1:50" x14ac:dyDescent="0.25">
      <c r="A9" s="5" t="s">
        <v>20</v>
      </c>
      <c r="B9" s="3" t="s">
        <v>473</v>
      </c>
      <c r="C9" s="3" t="s">
        <v>483</v>
      </c>
      <c r="D9" s="3" t="s">
        <v>521</v>
      </c>
      <c r="E9" s="6" t="s">
        <v>123</v>
      </c>
      <c r="F9" s="6" t="s">
        <v>93</v>
      </c>
      <c r="G9" s="44">
        <v>5</v>
      </c>
      <c r="I9" s="58"/>
      <c r="J9" s="44">
        <v>4.1666666999999998E-2</v>
      </c>
      <c r="K9" s="44">
        <v>4.1666666999999998E-2</v>
      </c>
      <c r="L9" s="44">
        <v>4.1666666999999998E-2</v>
      </c>
      <c r="M9" s="44">
        <v>4.1666666999999998E-2</v>
      </c>
      <c r="O9" s="44">
        <v>4.1666666999999998E-2</v>
      </c>
      <c r="P9" s="44"/>
      <c r="Q9" s="44">
        <v>4.1666666999999998E-2</v>
      </c>
      <c r="R9" s="44">
        <v>4.1666666999999998E-2</v>
      </c>
      <c r="S9" s="44">
        <v>4.1666666999999998E-2</v>
      </c>
      <c r="V9" s="44">
        <v>4.1666666999999998E-2</v>
      </c>
      <c r="W9" s="44">
        <v>4.1666666999999998E-2</v>
      </c>
      <c r="X9" s="44">
        <v>4.1666666999999998E-2</v>
      </c>
      <c r="Y9" s="44">
        <v>4.1666666999999998E-2</v>
      </c>
      <c r="Z9" s="44">
        <v>4.1666666999999998E-2</v>
      </c>
      <c r="AA9" s="44">
        <v>4.1666666999999998E-2</v>
      </c>
      <c r="AB9" s="44">
        <v>4.1666666999999998E-2</v>
      </c>
      <c r="AC9" s="44">
        <v>4.1666666999999998E-2</v>
      </c>
      <c r="AD9" s="44">
        <v>4.1666666999999998E-2</v>
      </c>
      <c r="AE9" s="44">
        <v>4.1666666999999998E-2</v>
      </c>
      <c r="AF9" s="44">
        <v>4.1666666999999998E-2</v>
      </c>
      <c r="AG9"/>
      <c r="AH9" s="44">
        <v>4.1666666999999998E-2</v>
      </c>
      <c r="AI9" s="44">
        <v>4.1666666999999998E-2</v>
      </c>
      <c r="AJ9" s="44">
        <v>4.1666666999999998E-2</v>
      </c>
      <c r="AK9" s="44">
        <v>4.1666666999999998E-2</v>
      </c>
      <c r="AL9" s="44">
        <v>4.1666666999999998E-2</v>
      </c>
      <c r="AM9" s="44">
        <v>4.1666666999999998E-2</v>
      </c>
      <c r="AN9" s="44">
        <v>4.1666666999999998E-2</v>
      </c>
      <c r="AO9"/>
      <c r="AP9" s="44">
        <v>4.1666666999999998E-2</v>
      </c>
      <c r="AQ9" s="44">
        <v>4.1666666999999998E-2</v>
      </c>
      <c r="AR9" s="44">
        <v>4.1666666999999998E-2</v>
      </c>
      <c r="AS9" s="44">
        <v>4.1666666999999998E-2</v>
      </c>
      <c r="AT9"/>
      <c r="AU9" s="44">
        <v>4.1666666999999998E-2</v>
      </c>
      <c r="AV9"/>
      <c r="AW9"/>
      <c r="AX9" s="44">
        <v>4.1666666999999998E-2</v>
      </c>
    </row>
    <row r="10" spans="1:50" x14ac:dyDescent="0.25">
      <c r="A10" s="7" t="s">
        <v>1</v>
      </c>
      <c r="B10" s="3" t="s">
        <v>473</v>
      </c>
      <c r="C10" s="3" t="s">
        <v>483</v>
      </c>
      <c r="D10" s="3" t="s">
        <v>521</v>
      </c>
      <c r="E10" s="8" t="s">
        <v>113</v>
      </c>
      <c r="F10" s="8" t="s">
        <v>93</v>
      </c>
      <c r="G10" s="44">
        <v>1</v>
      </c>
      <c r="I10" s="58"/>
      <c r="J10" s="44">
        <v>1</v>
      </c>
      <c r="K10" s="44">
        <v>1</v>
      </c>
      <c r="L10" s="44">
        <v>1</v>
      </c>
      <c r="M10" s="44">
        <v>1</v>
      </c>
      <c r="O10" s="44">
        <v>1</v>
      </c>
      <c r="P10" s="44"/>
      <c r="Q10" s="44">
        <v>1</v>
      </c>
      <c r="R10" s="44">
        <v>1</v>
      </c>
      <c r="S10" s="44">
        <v>1</v>
      </c>
      <c r="V10" s="44">
        <v>1</v>
      </c>
      <c r="W10" s="44">
        <v>1</v>
      </c>
      <c r="X10" s="44">
        <v>1</v>
      </c>
      <c r="Y10" s="44">
        <v>1</v>
      </c>
      <c r="Z10" s="44">
        <v>1</v>
      </c>
      <c r="AA10" s="44">
        <v>1</v>
      </c>
      <c r="AB10" s="44">
        <v>1</v>
      </c>
      <c r="AC10" s="44">
        <v>1</v>
      </c>
      <c r="AD10" s="44">
        <v>1</v>
      </c>
      <c r="AE10" s="44">
        <v>1</v>
      </c>
      <c r="AF10" s="44">
        <v>1</v>
      </c>
      <c r="AG10"/>
      <c r="AH10" s="44">
        <v>1</v>
      </c>
      <c r="AI10" s="44">
        <v>1</v>
      </c>
      <c r="AJ10" s="44">
        <v>1</v>
      </c>
      <c r="AK10" s="44">
        <v>1</v>
      </c>
      <c r="AL10" s="44">
        <v>1</v>
      </c>
      <c r="AM10" s="44">
        <v>1</v>
      </c>
      <c r="AN10" s="44">
        <v>1</v>
      </c>
      <c r="AO10"/>
      <c r="AP10" s="44">
        <v>1</v>
      </c>
      <c r="AQ10" s="44">
        <v>1</v>
      </c>
      <c r="AR10" s="44">
        <v>1</v>
      </c>
      <c r="AS10" s="44">
        <v>1</v>
      </c>
      <c r="AT10"/>
      <c r="AU10" s="44">
        <v>1</v>
      </c>
      <c r="AV10"/>
      <c r="AW10"/>
      <c r="AX10" s="44">
        <v>1</v>
      </c>
    </row>
    <row r="11" spans="1:50" x14ac:dyDescent="0.25">
      <c r="A11" s="7" t="s">
        <v>450</v>
      </c>
      <c r="B11" s="3" t="s">
        <v>473</v>
      </c>
      <c r="C11" s="3" t="s">
        <v>483</v>
      </c>
      <c r="D11" s="3" t="s">
        <v>521</v>
      </c>
      <c r="E11" s="8" t="s">
        <v>451</v>
      </c>
      <c r="F11" s="8" t="s">
        <v>93</v>
      </c>
      <c r="G11" s="44">
        <v>0</v>
      </c>
      <c r="I11" s="58"/>
      <c r="J11" s="44">
        <v>0</v>
      </c>
      <c r="K11" s="44">
        <v>0</v>
      </c>
      <c r="L11" s="44">
        <v>0</v>
      </c>
      <c r="M11" s="44">
        <v>0</v>
      </c>
      <c r="O11" s="44">
        <v>0</v>
      </c>
      <c r="P11" s="44"/>
      <c r="Q11" s="44">
        <v>0</v>
      </c>
      <c r="R11" s="44">
        <v>0</v>
      </c>
      <c r="S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  <c r="AA11" s="44">
        <v>0</v>
      </c>
      <c r="AB11" s="44">
        <v>0</v>
      </c>
      <c r="AC11" s="44">
        <v>0</v>
      </c>
      <c r="AD11" s="44">
        <v>0</v>
      </c>
      <c r="AE11" s="44">
        <v>0</v>
      </c>
      <c r="AF11" s="44">
        <v>0</v>
      </c>
      <c r="AG11"/>
      <c r="AH11" s="44">
        <v>0</v>
      </c>
      <c r="AI11" s="44">
        <v>0</v>
      </c>
      <c r="AJ11" s="44">
        <v>0</v>
      </c>
      <c r="AK11" s="44">
        <v>0</v>
      </c>
      <c r="AL11" s="44">
        <v>0</v>
      </c>
      <c r="AM11" s="44">
        <v>0</v>
      </c>
      <c r="AN11" s="44">
        <v>0</v>
      </c>
      <c r="AO11"/>
      <c r="AP11" s="44">
        <v>0</v>
      </c>
      <c r="AQ11" s="44">
        <v>0</v>
      </c>
      <c r="AR11" s="44">
        <v>0</v>
      </c>
      <c r="AS11" s="44">
        <v>0</v>
      </c>
      <c r="AT11"/>
      <c r="AU11" s="44">
        <v>0</v>
      </c>
      <c r="AV11"/>
      <c r="AW11"/>
      <c r="AX11" s="44">
        <v>0</v>
      </c>
    </row>
    <row r="12" spans="1:50" x14ac:dyDescent="0.25">
      <c r="A12" s="7" t="s">
        <v>6</v>
      </c>
      <c r="B12" s="3" t="s">
        <v>473</v>
      </c>
      <c r="C12" s="3" t="s">
        <v>483</v>
      </c>
      <c r="D12" s="3" t="s">
        <v>521</v>
      </c>
      <c r="E12" s="8" t="s">
        <v>131</v>
      </c>
      <c r="F12" s="8" t="s">
        <v>94</v>
      </c>
      <c r="G12" s="44" t="s">
        <v>87</v>
      </c>
      <c r="I12" s="58"/>
      <c r="J12" s="44" t="s">
        <v>87</v>
      </c>
      <c r="K12" s="44" t="s">
        <v>87</v>
      </c>
      <c r="L12" s="44" t="s">
        <v>87</v>
      </c>
      <c r="M12" s="44" t="s">
        <v>87</v>
      </c>
      <c r="O12" s="44" t="s">
        <v>87</v>
      </c>
      <c r="P12" s="44"/>
      <c r="Q12" s="44" t="s">
        <v>87</v>
      </c>
      <c r="R12" s="44" t="s">
        <v>87</v>
      </c>
      <c r="S12" s="44" t="s">
        <v>87</v>
      </c>
      <c r="V12" s="44" t="s">
        <v>87</v>
      </c>
      <c r="W12" s="44" t="s">
        <v>87</v>
      </c>
      <c r="X12" s="44" t="s">
        <v>87</v>
      </c>
      <c r="Y12" s="44" t="s">
        <v>87</v>
      </c>
      <c r="Z12" s="44" t="s">
        <v>87</v>
      </c>
      <c r="AA12" s="44" t="s">
        <v>87</v>
      </c>
      <c r="AB12" s="44" t="s">
        <v>87</v>
      </c>
      <c r="AC12" s="44" t="s">
        <v>87</v>
      </c>
      <c r="AD12" s="44" t="s">
        <v>87</v>
      </c>
      <c r="AE12" s="44" t="s">
        <v>87</v>
      </c>
      <c r="AF12" s="44" t="s">
        <v>87</v>
      </c>
      <c r="AG12"/>
      <c r="AH12" s="44" t="s">
        <v>87</v>
      </c>
      <c r="AI12" s="44" t="s">
        <v>87</v>
      </c>
      <c r="AJ12" s="44" t="s">
        <v>87</v>
      </c>
      <c r="AK12" s="44" t="s">
        <v>87</v>
      </c>
      <c r="AL12" s="44" t="s">
        <v>87</v>
      </c>
      <c r="AM12" s="44" t="s">
        <v>87</v>
      </c>
      <c r="AN12" s="44" t="s">
        <v>87</v>
      </c>
      <c r="AO12"/>
      <c r="AP12" s="44" t="s">
        <v>87</v>
      </c>
      <c r="AQ12" s="44" t="s">
        <v>87</v>
      </c>
      <c r="AR12" s="44" t="s">
        <v>87</v>
      </c>
      <c r="AS12" s="44" t="s">
        <v>87</v>
      </c>
      <c r="AT12"/>
      <c r="AU12" s="44" t="s">
        <v>87</v>
      </c>
      <c r="AV12"/>
      <c r="AW12"/>
      <c r="AX12" s="44" t="s">
        <v>87</v>
      </c>
    </row>
    <row r="13" spans="1:50" x14ac:dyDescent="0.25">
      <c r="A13" s="7" t="s">
        <v>7</v>
      </c>
      <c r="B13" s="3" t="s">
        <v>473</v>
      </c>
      <c r="C13" s="3" t="s">
        <v>483</v>
      </c>
      <c r="D13" s="3" t="s">
        <v>521</v>
      </c>
      <c r="E13" s="8" t="s">
        <v>116</v>
      </c>
      <c r="F13" s="8" t="s">
        <v>96</v>
      </c>
      <c r="G13" s="44">
        <v>5.0000000000000001E-9</v>
      </c>
      <c r="I13" s="58"/>
      <c r="J13" s="44">
        <v>5.0000000000000001E-9</v>
      </c>
      <c r="K13" s="44">
        <v>5.0000000000000001E-9</v>
      </c>
      <c r="L13" s="44">
        <v>5.0000000000000001E-9</v>
      </c>
      <c r="M13" s="44">
        <v>5.0000000000000001E-9</v>
      </c>
      <c r="O13" s="44">
        <v>5.0000000000000001E-9</v>
      </c>
      <c r="P13" s="44"/>
      <c r="Q13" s="44">
        <v>5.0000000000000001E-9</v>
      </c>
      <c r="R13" s="44">
        <v>5.0000000000000001E-9</v>
      </c>
      <c r="S13" s="44">
        <v>5.0000000000000001E-9</v>
      </c>
      <c r="V13" s="44">
        <v>5.0000000000000001E-9</v>
      </c>
      <c r="W13" s="44">
        <v>5.0000000000000001E-9</v>
      </c>
      <c r="X13" s="44">
        <v>5.0000000000000001E-9</v>
      </c>
      <c r="Y13" s="44">
        <v>5.0000000000000001E-9</v>
      </c>
      <c r="Z13" s="44">
        <v>5.0000000000000001E-9</v>
      </c>
      <c r="AA13" s="44">
        <v>5.0000000000000001E-9</v>
      </c>
      <c r="AB13" s="44">
        <v>5.0000000000000001E-9</v>
      </c>
      <c r="AC13" s="44">
        <v>5.0000000000000001E-9</v>
      </c>
      <c r="AD13" s="44">
        <v>5.0000000000000001E-9</v>
      </c>
      <c r="AE13" s="44">
        <v>5.0000000000000001E-9</v>
      </c>
      <c r="AF13" s="44">
        <v>5.0000000000000001E-9</v>
      </c>
      <c r="AG13"/>
      <c r="AH13" s="44">
        <v>5.0000000000000001E-9</v>
      </c>
      <c r="AI13" s="44">
        <v>5.0000000000000001E-9</v>
      </c>
      <c r="AJ13" s="44">
        <v>5.0000000000000001E-9</v>
      </c>
      <c r="AK13" s="44">
        <v>5.0000000000000001E-9</v>
      </c>
      <c r="AL13" s="44">
        <v>5.0000000000000001E-9</v>
      </c>
      <c r="AM13" s="44">
        <v>5.0000000000000001E-9</v>
      </c>
      <c r="AN13" s="44">
        <v>5.0000000000000001E-9</v>
      </c>
      <c r="AO13"/>
      <c r="AP13" s="44">
        <v>5.0000000000000001E-9</v>
      </c>
      <c r="AQ13" s="44">
        <v>5.0000000000000001E-9</v>
      </c>
      <c r="AR13" s="44">
        <v>5.0000000000000001E-9</v>
      </c>
      <c r="AS13" s="44">
        <v>5.0000000000000001E-9</v>
      </c>
      <c r="AT13"/>
      <c r="AU13" s="44">
        <v>5.0000000000000001E-9</v>
      </c>
      <c r="AV13"/>
      <c r="AW13"/>
      <c r="AX13" s="44">
        <v>5.0000000000000001E-9</v>
      </c>
    </row>
    <row r="14" spans="1:50" x14ac:dyDescent="0.25">
      <c r="A14" s="7" t="s">
        <v>8</v>
      </c>
      <c r="B14" s="3" t="s">
        <v>473</v>
      </c>
      <c r="C14" s="3" t="s">
        <v>483</v>
      </c>
      <c r="D14" s="3" t="s">
        <v>521</v>
      </c>
      <c r="E14" s="8" t="s">
        <v>117</v>
      </c>
      <c r="F14" s="8" t="s">
        <v>466</v>
      </c>
      <c r="G14" s="44">
        <v>10</v>
      </c>
      <c r="I14" s="58"/>
      <c r="J14" s="44">
        <v>10</v>
      </c>
      <c r="K14" s="44">
        <v>10</v>
      </c>
      <c r="L14" s="44">
        <v>10</v>
      </c>
      <c r="M14" s="44">
        <v>10</v>
      </c>
      <c r="O14" s="44">
        <v>10</v>
      </c>
      <c r="P14" s="44"/>
      <c r="Q14" s="44">
        <v>10</v>
      </c>
      <c r="R14" s="44">
        <v>10</v>
      </c>
      <c r="S14" s="44">
        <v>10</v>
      </c>
      <c r="V14" s="44">
        <v>10</v>
      </c>
      <c r="W14" s="44">
        <v>10</v>
      </c>
      <c r="X14" s="44">
        <v>10</v>
      </c>
      <c r="Y14" s="44">
        <v>10</v>
      </c>
      <c r="Z14" s="44">
        <v>10</v>
      </c>
      <c r="AA14" s="44">
        <v>10</v>
      </c>
      <c r="AB14" s="44">
        <v>10</v>
      </c>
      <c r="AC14" s="44">
        <v>10</v>
      </c>
      <c r="AD14" s="44">
        <v>10</v>
      </c>
      <c r="AE14" s="44">
        <v>10</v>
      </c>
      <c r="AF14" s="44">
        <v>10</v>
      </c>
      <c r="AG14"/>
      <c r="AH14" s="44">
        <v>10</v>
      </c>
      <c r="AI14" s="44">
        <v>10</v>
      </c>
      <c r="AJ14" s="44">
        <v>10</v>
      </c>
      <c r="AK14" s="44">
        <v>10</v>
      </c>
      <c r="AL14" s="44">
        <v>10</v>
      </c>
      <c r="AM14" s="44">
        <v>10</v>
      </c>
      <c r="AN14" s="44">
        <v>10</v>
      </c>
      <c r="AO14"/>
      <c r="AP14" s="44">
        <v>10</v>
      </c>
      <c r="AQ14" s="44">
        <v>10</v>
      </c>
      <c r="AR14" s="44">
        <v>10</v>
      </c>
      <c r="AS14" s="44">
        <v>10</v>
      </c>
      <c r="AT14"/>
      <c r="AU14" s="44">
        <v>10</v>
      </c>
      <c r="AV14"/>
      <c r="AW14"/>
      <c r="AX14" s="44">
        <v>10</v>
      </c>
    </row>
    <row r="15" spans="1:50" x14ac:dyDescent="0.25">
      <c r="A15" s="7" t="s">
        <v>463</v>
      </c>
      <c r="B15" s="3" t="s">
        <v>473</v>
      </c>
      <c r="C15" s="3" t="s">
        <v>483</v>
      </c>
      <c r="D15" s="3" t="s">
        <v>521</v>
      </c>
      <c r="E15" s="8" t="s">
        <v>458</v>
      </c>
      <c r="F15" s="8" t="s">
        <v>94</v>
      </c>
      <c r="G15" s="44" t="s">
        <v>87</v>
      </c>
      <c r="I15" s="58"/>
      <c r="J15" s="44" t="s">
        <v>87</v>
      </c>
      <c r="K15" s="44" t="s">
        <v>87</v>
      </c>
      <c r="L15" s="44" t="s">
        <v>87</v>
      </c>
      <c r="M15" s="44" t="s">
        <v>87</v>
      </c>
      <c r="O15" s="44" t="s">
        <v>87</v>
      </c>
      <c r="P15" s="44"/>
      <c r="Q15" s="44" t="s">
        <v>87</v>
      </c>
      <c r="R15" s="44" t="s">
        <v>87</v>
      </c>
      <c r="S15" s="44" t="s">
        <v>87</v>
      </c>
      <c r="V15" s="44" t="s">
        <v>87</v>
      </c>
      <c r="W15" s="44" t="s">
        <v>87</v>
      </c>
      <c r="X15" s="44" t="s">
        <v>87</v>
      </c>
      <c r="Y15" s="44" t="s">
        <v>87</v>
      </c>
      <c r="Z15" s="44" t="s">
        <v>87</v>
      </c>
      <c r="AA15" s="44" t="s">
        <v>87</v>
      </c>
      <c r="AB15" s="44" t="s">
        <v>87</v>
      </c>
      <c r="AC15" s="44" t="s">
        <v>87</v>
      </c>
      <c r="AD15" s="44" t="s">
        <v>87</v>
      </c>
      <c r="AE15" s="44" t="s">
        <v>87</v>
      </c>
      <c r="AF15" s="44" t="s">
        <v>87</v>
      </c>
      <c r="AG15"/>
      <c r="AH15" s="44" t="s">
        <v>87</v>
      </c>
      <c r="AI15" s="44" t="s">
        <v>87</v>
      </c>
      <c r="AJ15" s="44" t="s">
        <v>87</v>
      </c>
      <c r="AK15" s="44" t="s">
        <v>87</v>
      </c>
      <c r="AL15" s="44" t="s">
        <v>87</v>
      </c>
      <c r="AM15" s="44" t="s">
        <v>87</v>
      </c>
      <c r="AN15" s="44" t="s">
        <v>87</v>
      </c>
      <c r="AO15"/>
      <c r="AP15" s="44" t="s">
        <v>87</v>
      </c>
      <c r="AQ15" s="44" t="s">
        <v>87</v>
      </c>
      <c r="AR15" s="44" t="s">
        <v>87</v>
      </c>
      <c r="AS15" s="44" t="s">
        <v>87</v>
      </c>
      <c r="AT15"/>
      <c r="AU15" s="44" t="s">
        <v>87</v>
      </c>
      <c r="AV15"/>
      <c r="AW15"/>
      <c r="AX15" s="44" t="s">
        <v>87</v>
      </c>
    </row>
    <row r="16" spans="1:50" x14ac:dyDescent="0.25">
      <c r="A16" s="7" t="s">
        <v>464</v>
      </c>
      <c r="B16" s="3" t="s">
        <v>473</v>
      </c>
      <c r="C16" s="3" t="s">
        <v>483</v>
      </c>
      <c r="D16" s="3" t="s">
        <v>521</v>
      </c>
      <c r="E16" s="8" t="s">
        <v>465</v>
      </c>
      <c r="F16" s="8" t="s">
        <v>94</v>
      </c>
      <c r="G16" s="44" t="s">
        <v>87</v>
      </c>
      <c r="I16" s="58"/>
      <c r="J16" s="44" t="s">
        <v>87</v>
      </c>
      <c r="K16" s="44" t="s">
        <v>87</v>
      </c>
      <c r="L16" s="44" t="s">
        <v>87</v>
      </c>
      <c r="M16" s="44" t="s">
        <v>87</v>
      </c>
      <c r="O16" s="44" t="s">
        <v>87</v>
      </c>
      <c r="P16" s="44"/>
      <c r="Q16" s="44" t="s">
        <v>87</v>
      </c>
      <c r="R16" s="44" t="s">
        <v>87</v>
      </c>
      <c r="S16" s="44" t="s">
        <v>87</v>
      </c>
      <c r="V16" s="44" t="s">
        <v>87</v>
      </c>
      <c r="W16" s="44" t="s">
        <v>87</v>
      </c>
      <c r="X16" s="44" t="s">
        <v>87</v>
      </c>
      <c r="Y16" s="44" t="s">
        <v>87</v>
      </c>
      <c r="Z16" s="44" t="s">
        <v>87</v>
      </c>
      <c r="AA16" s="44" t="s">
        <v>87</v>
      </c>
      <c r="AB16" s="44" t="s">
        <v>87</v>
      </c>
      <c r="AC16" s="44" t="s">
        <v>87</v>
      </c>
      <c r="AD16" s="44" t="s">
        <v>87</v>
      </c>
      <c r="AE16" s="44" t="s">
        <v>87</v>
      </c>
      <c r="AF16" s="44" t="s">
        <v>87</v>
      </c>
      <c r="AG16"/>
      <c r="AH16" s="44" t="s">
        <v>87</v>
      </c>
      <c r="AI16" s="44" t="s">
        <v>87</v>
      </c>
      <c r="AJ16" s="44" t="s">
        <v>87</v>
      </c>
      <c r="AK16" s="44" t="s">
        <v>87</v>
      </c>
      <c r="AL16" s="44" t="s">
        <v>87</v>
      </c>
      <c r="AM16" s="44" t="s">
        <v>87</v>
      </c>
      <c r="AN16" s="44" t="s">
        <v>87</v>
      </c>
      <c r="AO16"/>
      <c r="AP16" s="44" t="s">
        <v>87</v>
      </c>
      <c r="AQ16" s="44" t="s">
        <v>87</v>
      </c>
      <c r="AR16" s="44" t="s">
        <v>87</v>
      </c>
      <c r="AS16" s="44" t="s">
        <v>87</v>
      </c>
      <c r="AT16"/>
      <c r="AU16" s="44" t="s">
        <v>87</v>
      </c>
      <c r="AV16"/>
      <c r="AW16"/>
      <c r="AX16" s="44" t="s">
        <v>87</v>
      </c>
    </row>
    <row r="17" spans="1:50" x14ac:dyDescent="0.25">
      <c r="A17" s="7" t="s">
        <v>467</v>
      </c>
      <c r="B17" s="3" t="s">
        <v>473</v>
      </c>
      <c r="C17" s="3" t="s">
        <v>483</v>
      </c>
      <c r="D17" s="3" t="s">
        <v>521</v>
      </c>
      <c r="E17" s="8" t="s">
        <v>468</v>
      </c>
      <c r="F17" s="8" t="s">
        <v>94</v>
      </c>
      <c r="G17" s="44" t="s">
        <v>87</v>
      </c>
      <c r="I17" s="58"/>
      <c r="J17" s="44" t="s">
        <v>87</v>
      </c>
      <c r="K17" s="44" t="s">
        <v>87</v>
      </c>
      <c r="L17" s="44" t="s">
        <v>87</v>
      </c>
      <c r="M17" s="44" t="s">
        <v>87</v>
      </c>
      <c r="O17" s="44" t="s">
        <v>87</v>
      </c>
      <c r="P17" s="44"/>
      <c r="Q17" s="44" t="s">
        <v>87</v>
      </c>
      <c r="R17" s="44" t="s">
        <v>87</v>
      </c>
      <c r="S17" s="44" t="s">
        <v>87</v>
      </c>
      <c r="V17" s="44" t="s">
        <v>87</v>
      </c>
      <c r="W17" s="44" t="s">
        <v>87</v>
      </c>
      <c r="X17" s="44" t="s">
        <v>87</v>
      </c>
      <c r="Y17" s="44" t="s">
        <v>87</v>
      </c>
      <c r="Z17" s="44" t="s">
        <v>87</v>
      </c>
      <c r="AA17" s="44" t="s">
        <v>87</v>
      </c>
      <c r="AB17" s="44" t="s">
        <v>87</v>
      </c>
      <c r="AC17" s="44" t="s">
        <v>87</v>
      </c>
      <c r="AD17" s="44" t="s">
        <v>87</v>
      </c>
      <c r="AE17" s="44" t="s">
        <v>87</v>
      </c>
      <c r="AF17" s="44" t="s">
        <v>87</v>
      </c>
      <c r="AG17"/>
      <c r="AH17" s="44" t="s">
        <v>87</v>
      </c>
      <c r="AI17" s="44" t="s">
        <v>87</v>
      </c>
      <c r="AJ17" s="44" t="s">
        <v>87</v>
      </c>
      <c r="AK17" s="44" t="s">
        <v>87</v>
      </c>
      <c r="AL17" s="44" t="s">
        <v>87</v>
      </c>
      <c r="AM17" s="44" t="s">
        <v>87</v>
      </c>
      <c r="AN17" s="44" t="s">
        <v>87</v>
      </c>
      <c r="AO17"/>
      <c r="AP17" s="44" t="s">
        <v>87</v>
      </c>
      <c r="AQ17" s="44" t="s">
        <v>87</v>
      </c>
      <c r="AR17" s="44" t="s">
        <v>87</v>
      </c>
      <c r="AS17" s="44" t="s">
        <v>87</v>
      </c>
      <c r="AT17"/>
      <c r="AU17" s="44" t="s">
        <v>87</v>
      </c>
      <c r="AV17"/>
      <c r="AW17"/>
      <c r="AX17" s="44" t="s">
        <v>87</v>
      </c>
    </row>
    <row r="18" spans="1:50" x14ac:dyDescent="0.25">
      <c r="A18" s="7" t="s">
        <v>469</v>
      </c>
      <c r="B18" s="3" t="s">
        <v>473</v>
      </c>
      <c r="C18" s="3" t="s">
        <v>483</v>
      </c>
      <c r="D18" s="3" t="s">
        <v>521</v>
      </c>
      <c r="E18" s="8" t="s">
        <v>470</v>
      </c>
      <c r="F18" s="8" t="s">
        <v>296</v>
      </c>
      <c r="G18" s="44">
        <v>86400</v>
      </c>
      <c r="I18" s="58"/>
      <c r="J18" s="44">
        <v>86400</v>
      </c>
      <c r="K18" s="44">
        <v>86400</v>
      </c>
      <c r="L18" s="44">
        <v>86400</v>
      </c>
      <c r="M18" s="44">
        <v>86400</v>
      </c>
      <c r="O18" s="44">
        <v>86400</v>
      </c>
      <c r="P18" s="44"/>
      <c r="Q18" s="44">
        <v>86400</v>
      </c>
      <c r="R18" s="44">
        <v>86400</v>
      </c>
      <c r="S18" s="44">
        <v>86400</v>
      </c>
      <c r="V18" s="44">
        <v>86400</v>
      </c>
      <c r="W18" s="44">
        <v>86400</v>
      </c>
      <c r="X18" s="44">
        <v>86400</v>
      </c>
      <c r="Y18" s="44">
        <v>86400</v>
      </c>
      <c r="Z18" s="44">
        <v>86400</v>
      </c>
      <c r="AA18" s="44">
        <v>86400</v>
      </c>
      <c r="AB18" s="44">
        <v>86400</v>
      </c>
      <c r="AC18" s="44">
        <v>86400</v>
      </c>
      <c r="AD18" s="44">
        <v>86400</v>
      </c>
      <c r="AE18" s="44">
        <v>86400</v>
      </c>
      <c r="AF18" s="44">
        <v>86400</v>
      </c>
      <c r="AG18"/>
      <c r="AH18" s="44">
        <v>86400</v>
      </c>
      <c r="AI18" s="44">
        <v>86400</v>
      </c>
      <c r="AJ18" s="44">
        <v>86400</v>
      </c>
      <c r="AK18" s="44">
        <v>86400</v>
      </c>
      <c r="AL18" s="44">
        <v>86400</v>
      </c>
      <c r="AM18" s="44">
        <v>86400</v>
      </c>
      <c r="AN18" s="44">
        <v>86400</v>
      </c>
      <c r="AO18"/>
      <c r="AP18" s="44">
        <v>86400</v>
      </c>
      <c r="AQ18" s="44">
        <v>86400</v>
      </c>
      <c r="AR18" s="44">
        <v>86400</v>
      </c>
      <c r="AS18" s="44">
        <v>86400</v>
      </c>
      <c r="AT18"/>
      <c r="AU18" s="44">
        <v>86400</v>
      </c>
      <c r="AV18"/>
      <c r="AW18"/>
      <c r="AX18" s="44">
        <v>86400</v>
      </c>
    </row>
    <row r="19" spans="1:50" x14ac:dyDescent="0.25">
      <c r="A19" s="9" t="s">
        <v>10</v>
      </c>
      <c r="B19" s="3" t="s">
        <v>473</v>
      </c>
      <c r="C19" s="3" t="s">
        <v>483</v>
      </c>
      <c r="D19" s="3" t="s">
        <v>521</v>
      </c>
      <c r="E19" s="10" t="s">
        <v>133</v>
      </c>
      <c r="F19" s="10" t="s">
        <v>94</v>
      </c>
      <c r="G19" s="44" t="s">
        <v>87</v>
      </c>
      <c r="I19" s="58"/>
      <c r="J19" s="44" t="s">
        <v>86</v>
      </c>
      <c r="K19" s="44" t="s">
        <v>86</v>
      </c>
      <c r="L19" s="44" t="s">
        <v>86</v>
      </c>
      <c r="M19" s="44" t="s">
        <v>86</v>
      </c>
      <c r="O19" s="44" t="s">
        <v>86</v>
      </c>
      <c r="P19" s="44"/>
      <c r="Q19" s="44" t="s">
        <v>86</v>
      </c>
      <c r="R19" s="44" t="s">
        <v>86</v>
      </c>
      <c r="S19" s="44" t="s">
        <v>86</v>
      </c>
      <c r="V19" s="44" t="s">
        <v>86</v>
      </c>
      <c r="W19" s="44" t="s">
        <v>86</v>
      </c>
      <c r="X19" s="44" t="s">
        <v>86</v>
      </c>
      <c r="Y19" s="44" t="s">
        <v>86</v>
      </c>
      <c r="Z19" s="44" t="s">
        <v>86</v>
      </c>
      <c r="AA19" s="44" t="s">
        <v>86</v>
      </c>
      <c r="AB19" s="44" t="s">
        <v>86</v>
      </c>
      <c r="AC19" s="44" t="s">
        <v>86</v>
      </c>
      <c r="AD19" s="44" t="s">
        <v>86</v>
      </c>
      <c r="AE19" s="44" t="s">
        <v>86</v>
      </c>
      <c r="AF19" s="44" t="s">
        <v>86</v>
      </c>
      <c r="AG19"/>
      <c r="AH19" s="44" t="s">
        <v>86</v>
      </c>
      <c r="AI19" s="44" t="s">
        <v>86</v>
      </c>
      <c r="AJ19" s="44" t="s">
        <v>86</v>
      </c>
      <c r="AK19" s="44" t="s">
        <v>86</v>
      </c>
      <c r="AL19" s="44" t="s">
        <v>86</v>
      </c>
      <c r="AM19" s="44" t="s">
        <v>86</v>
      </c>
      <c r="AN19" s="44" t="s">
        <v>86</v>
      </c>
      <c r="AO19"/>
      <c r="AP19" s="44" t="s">
        <v>86</v>
      </c>
      <c r="AQ19" s="44" t="s">
        <v>86</v>
      </c>
      <c r="AR19" s="44" t="s">
        <v>86</v>
      </c>
      <c r="AS19" s="44" t="s">
        <v>86</v>
      </c>
      <c r="AT19"/>
      <c r="AU19" s="44" t="s">
        <v>86</v>
      </c>
      <c r="AV19"/>
      <c r="AW19"/>
      <c r="AX19" s="44" t="s">
        <v>86</v>
      </c>
    </row>
    <row r="20" spans="1:50" x14ac:dyDescent="0.25">
      <c r="A20" s="9" t="s">
        <v>11</v>
      </c>
      <c r="B20" s="3" t="s">
        <v>473</v>
      </c>
      <c r="C20" s="3" t="s">
        <v>483</v>
      </c>
      <c r="D20" s="3" t="s">
        <v>521</v>
      </c>
      <c r="E20" s="10" t="s">
        <v>118</v>
      </c>
      <c r="F20" s="10" t="s">
        <v>95</v>
      </c>
      <c r="G20" s="44">
        <v>3</v>
      </c>
      <c r="I20" s="58"/>
      <c r="J20" s="44">
        <v>3</v>
      </c>
      <c r="K20" s="44">
        <v>3</v>
      </c>
      <c r="L20" s="44">
        <v>3</v>
      </c>
      <c r="M20" s="44">
        <v>3</v>
      </c>
      <c r="O20" s="44">
        <v>3</v>
      </c>
      <c r="P20" s="44"/>
      <c r="Q20" s="44">
        <v>3</v>
      </c>
      <c r="R20" s="44">
        <v>3</v>
      </c>
      <c r="S20" s="44">
        <v>3</v>
      </c>
      <c r="V20" s="44">
        <v>3</v>
      </c>
      <c r="W20" s="44">
        <v>3</v>
      </c>
      <c r="X20" s="44">
        <v>3</v>
      </c>
      <c r="Y20" s="44">
        <v>3</v>
      </c>
      <c r="Z20" s="44">
        <v>3</v>
      </c>
      <c r="AA20" s="44">
        <v>3</v>
      </c>
      <c r="AB20" s="44">
        <v>3</v>
      </c>
      <c r="AC20" s="44">
        <v>3</v>
      </c>
      <c r="AD20" s="44">
        <v>3</v>
      </c>
      <c r="AE20" s="44">
        <v>3</v>
      </c>
      <c r="AF20" s="44">
        <v>3</v>
      </c>
      <c r="AG20"/>
      <c r="AH20" s="44">
        <v>3</v>
      </c>
      <c r="AI20" s="44">
        <v>3</v>
      </c>
      <c r="AJ20" s="44">
        <v>3</v>
      </c>
      <c r="AK20" s="44">
        <v>3</v>
      </c>
      <c r="AL20" s="44">
        <v>3</v>
      </c>
      <c r="AM20" s="44">
        <v>3</v>
      </c>
      <c r="AN20" s="44">
        <v>3</v>
      </c>
      <c r="AO20"/>
      <c r="AP20" s="44">
        <v>3</v>
      </c>
      <c r="AQ20" s="44">
        <v>3</v>
      </c>
      <c r="AR20" s="44">
        <v>3</v>
      </c>
      <c r="AS20" s="44">
        <v>3</v>
      </c>
      <c r="AT20"/>
      <c r="AU20" s="44">
        <v>3</v>
      </c>
      <c r="AV20"/>
      <c r="AW20"/>
      <c r="AX20" s="44">
        <v>3</v>
      </c>
    </row>
    <row r="21" spans="1:50" x14ac:dyDescent="0.25">
      <c r="A21" s="9" t="s">
        <v>362</v>
      </c>
      <c r="B21" s="3" t="s">
        <v>473</v>
      </c>
      <c r="C21" s="3" t="s">
        <v>483</v>
      </c>
      <c r="D21" s="3" t="s">
        <v>521</v>
      </c>
      <c r="E21" s="10" t="s">
        <v>363</v>
      </c>
      <c r="F21" s="10" t="s">
        <v>94</v>
      </c>
      <c r="G21" s="44" t="s">
        <v>87</v>
      </c>
      <c r="I21" s="58"/>
      <c r="J21" s="44" t="s">
        <v>87</v>
      </c>
      <c r="K21" s="44" t="s">
        <v>87</v>
      </c>
      <c r="L21" s="44" t="s">
        <v>87</v>
      </c>
      <c r="M21" s="44" t="s">
        <v>87</v>
      </c>
      <c r="O21" s="44" t="s">
        <v>87</v>
      </c>
      <c r="P21" s="44"/>
      <c r="Q21" s="44" t="s">
        <v>87</v>
      </c>
      <c r="R21" s="44" t="s">
        <v>87</v>
      </c>
      <c r="S21" s="44" t="s">
        <v>87</v>
      </c>
      <c r="V21" s="44" t="s">
        <v>87</v>
      </c>
      <c r="W21" s="44" t="s">
        <v>87</v>
      </c>
      <c r="X21" s="44" t="s">
        <v>87</v>
      </c>
      <c r="Y21" s="44" t="s">
        <v>87</v>
      </c>
      <c r="Z21" s="44" t="s">
        <v>87</v>
      </c>
      <c r="AA21" s="44" t="s">
        <v>87</v>
      </c>
      <c r="AB21" s="44" t="s">
        <v>87</v>
      </c>
      <c r="AC21" s="44" t="s">
        <v>87</v>
      </c>
      <c r="AD21" s="44" t="s">
        <v>87</v>
      </c>
      <c r="AE21" s="44" t="s">
        <v>87</v>
      </c>
      <c r="AF21" s="44" t="s">
        <v>87</v>
      </c>
      <c r="AG21"/>
      <c r="AH21" s="44" t="s">
        <v>87</v>
      </c>
      <c r="AI21" s="44" t="s">
        <v>87</v>
      </c>
      <c r="AJ21" s="44" t="s">
        <v>87</v>
      </c>
      <c r="AK21" s="44" t="s">
        <v>87</v>
      </c>
      <c r="AL21" s="44" t="s">
        <v>87</v>
      </c>
      <c r="AM21" s="44" t="s">
        <v>87</v>
      </c>
      <c r="AN21" s="44" t="s">
        <v>87</v>
      </c>
      <c r="AO21"/>
      <c r="AP21" s="44" t="s">
        <v>87</v>
      </c>
      <c r="AQ21" s="44" t="s">
        <v>87</v>
      </c>
      <c r="AR21" s="44" t="s">
        <v>87</v>
      </c>
      <c r="AS21" s="44" t="s">
        <v>87</v>
      </c>
      <c r="AT21"/>
      <c r="AU21" s="44" t="s">
        <v>87</v>
      </c>
      <c r="AV21"/>
      <c r="AW21"/>
      <c r="AX21" s="44" t="s">
        <v>87</v>
      </c>
    </row>
    <row r="22" spans="1:50" x14ac:dyDescent="0.25">
      <c r="A22" s="9" t="s">
        <v>364</v>
      </c>
      <c r="B22" s="3" t="s">
        <v>473</v>
      </c>
      <c r="C22" s="3" t="s">
        <v>483</v>
      </c>
      <c r="D22" s="3" t="s">
        <v>521</v>
      </c>
      <c r="E22" s="10" t="s">
        <v>365</v>
      </c>
      <c r="F22" s="10" t="s">
        <v>94</v>
      </c>
      <c r="G22" s="44" t="s">
        <v>87</v>
      </c>
      <c r="I22" s="58"/>
      <c r="J22" s="44" t="s">
        <v>87</v>
      </c>
      <c r="K22" s="44" t="s">
        <v>87</v>
      </c>
      <c r="L22" s="44" t="s">
        <v>87</v>
      </c>
      <c r="M22" s="44" t="s">
        <v>87</v>
      </c>
      <c r="O22" s="44" t="s">
        <v>87</v>
      </c>
      <c r="P22" s="44"/>
      <c r="Q22" s="44" t="s">
        <v>87</v>
      </c>
      <c r="R22" s="44" t="s">
        <v>87</v>
      </c>
      <c r="S22" s="44" t="s">
        <v>87</v>
      </c>
      <c r="V22" s="44" t="s">
        <v>87</v>
      </c>
      <c r="W22" s="44" t="s">
        <v>87</v>
      </c>
      <c r="X22" s="44" t="s">
        <v>87</v>
      </c>
      <c r="Y22" s="44" t="s">
        <v>87</v>
      </c>
      <c r="Z22" s="44" t="s">
        <v>87</v>
      </c>
      <c r="AA22" s="44" t="s">
        <v>87</v>
      </c>
      <c r="AB22" s="44" t="s">
        <v>87</v>
      </c>
      <c r="AC22" s="44" t="s">
        <v>87</v>
      </c>
      <c r="AD22" s="44" t="s">
        <v>87</v>
      </c>
      <c r="AE22" s="44" t="s">
        <v>87</v>
      </c>
      <c r="AF22" s="44" t="s">
        <v>87</v>
      </c>
      <c r="AG22"/>
      <c r="AH22" s="44" t="s">
        <v>87</v>
      </c>
      <c r="AI22" s="44" t="s">
        <v>87</v>
      </c>
      <c r="AJ22" s="44" t="s">
        <v>87</v>
      </c>
      <c r="AK22" s="44" t="s">
        <v>87</v>
      </c>
      <c r="AL22" s="44" t="s">
        <v>87</v>
      </c>
      <c r="AM22" s="44" t="s">
        <v>87</v>
      </c>
      <c r="AN22" s="44" t="s">
        <v>87</v>
      </c>
      <c r="AO22"/>
      <c r="AP22" s="44" t="s">
        <v>87</v>
      </c>
      <c r="AQ22" s="44" t="s">
        <v>87</v>
      </c>
      <c r="AR22" s="44" t="s">
        <v>87</v>
      </c>
      <c r="AS22" s="44" t="s">
        <v>87</v>
      </c>
      <c r="AT22"/>
      <c r="AU22" s="44" t="s">
        <v>87</v>
      </c>
      <c r="AV22"/>
      <c r="AW22"/>
      <c r="AX22" s="44" t="s">
        <v>87</v>
      </c>
    </row>
    <row r="23" spans="1:50" x14ac:dyDescent="0.25">
      <c r="A23" s="9" t="s">
        <v>376</v>
      </c>
      <c r="B23" s="3" t="s">
        <v>473</v>
      </c>
      <c r="C23" s="3" t="s">
        <v>483</v>
      </c>
      <c r="D23" s="3" t="s">
        <v>521</v>
      </c>
      <c r="E23" s="10" t="s">
        <v>377</v>
      </c>
      <c r="F23" s="10" t="s">
        <v>94</v>
      </c>
      <c r="G23" s="44" t="s">
        <v>87</v>
      </c>
      <c r="I23" s="58"/>
      <c r="J23" s="44" t="s">
        <v>87</v>
      </c>
      <c r="K23" s="44" t="s">
        <v>87</v>
      </c>
      <c r="L23" s="44" t="s">
        <v>87</v>
      </c>
      <c r="M23" s="44" t="s">
        <v>87</v>
      </c>
      <c r="O23" s="44" t="s">
        <v>87</v>
      </c>
      <c r="P23" s="44"/>
      <c r="Q23" s="44" t="s">
        <v>87</v>
      </c>
      <c r="R23" s="44" t="s">
        <v>87</v>
      </c>
      <c r="S23" s="44" t="s">
        <v>87</v>
      </c>
      <c r="V23" s="44" t="s">
        <v>87</v>
      </c>
      <c r="W23" s="44" t="s">
        <v>87</v>
      </c>
      <c r="X23" s="44" t="s">
        <v>87</v>
      </c>
      <c r="Y23" s="44" t="s">
        <v>87</v>
      </c>
      <c r="Z23" s="44" t="s">
        <v>87</v>
      </c>
      <c r="AA23" s="44" t="s">
        <v>87</v>
      </c>
      <c r="AB23" s="44" t="s">
        <v>87</v>
      </c>
      <c r="AC23" s="44" t="s">
        <v>87</v>
      </c>
      <c r="AD23" s="44" t="s">
        <v>87</v>
      </c>
      <c r="AE23" s="44" t="s">
        <v>87</v>
      </c>
      <c r="AF23" s="44" t="s">
        <v>87</v>
      </c>
      <c r="AG23"/>
      <c r="AH23" s="44" t="s">
        <v>87</v>
      </c>
      <c r="AI23" s="44" t="s">
        <v>87</v>
      </c>
      <c r="AJ23" s="44" t="s">
        <v>87</v>
      </c>
      <c r="AK23" s="44" t="s">
        <v>87</v>
      </c>
      <c r="AL23" s="44" t="s">
        <v>87</v>
      </c>
      <c r="AM23" s="44" t="s">
        <v>87</v>
      </c>
      <c r="AN23" s="44" t="s">
        <v>87</v>
      </c>
      <c r="AO23"/>
      <c r="AP23" s="44" t="s">
        <v>87</v>
      </c>
      <c r="AQ23" s="44" t="s">
        <v>87</v>
      </c>
      <c r="AR23" s="44" t="s">
        <v>87</v>
      </c>
      <c r="AS23" s="44" t="s">
        <v>87</v>
      </c>
      <c r="AT23"/>
      <c r="AU23" s="44" t="s">
        <v>87</v>
      </c>
      <c r="AV23"/>
      <c r="AW23"/>
      <c r="AX23" s="44" t="s">
        <v>87</v>
      </c>
    </row>
    <row r="24" spans="1:50" x14ac:dyDescent="0.25">
      <c r="A24" s="9" t="s">
        <v>375</v>
      </c>
      <c r="B24" s="3" t="s">
        <v>473</v>
      </c>
      <c r="C24" s="3" t="s">
        <v>483</v>
      </c>
      <c r="D24" s="3" t="s">
        <v>521</v>
      </c>
      <c r="E24" s="10" t="s">
        <v>373</v>
      </c>
      <c r="F24" s="10" t="s">
        <v>94</v>
      </c>
      <c r="G24" s="44" t="s">
        <v>87</v>
      </c>
      <c r="I24" s="58"/>
      <c r="J24" s="44" t="s">
        <v>87</v>
      </c>
      <c r="K24" s="44" t="s">
        <v>87</v>
      </c>
      <c r="L24" s="44" t="s">
        <v>87</v>
      </c>
      <c r="M24" s="44" t="s">
        <v>87</v>
      </c>
      <c r="O24" s="44" t="s">
        <v>87</v>
      </c>
      <c r="P24" s="44"/>
      <c r="Q24" s="44" t="s">
        <v>87</v>
      </c>
      <c r="R24" s="44" t="s">
        <v>87</v>
      </c>
      <c r="S24" s="44" t="s">
        <v>87</v>
      </c>
      <c r="V24" s="44" t="s">
        <v>87</v>
      </c>
      <c r="W24" s="44" t="s">
        <v>87</v>
      </c>
      <c r="X24" s="44" t="s">
        <v>87</v>
      </c>
      <c r="Y24" s="44" t="s">
        <v>87</v>
      </c>
      <c r="Z24" s="44" t="s">
        <v>87</v>
      </c>
      <c r="AA24" s="44" t="s">
        <v>87</v>
      </c>
      <c r="AB24" s="44" t="s">
        <v>87</v>
      </c>
      <c r="AC24" s="44" t="s">
        <v>87</v>
      </c>
      <c r="AD24" s="44" t="s">
        <v>87</v>
      </c>
      <c r="AE24" s="44" t="s">
        <v>87</v>
      </c>
      <c r="AF24" s="44" t="s">
        <v>87</v>
      </c>
      <c r="AG24"/>
      <c r="AH24" s="44" t="s">
        <v>87</v>
      </c>
      <c r="AI24" s="44" t="s">
        <v>87</v>
      </c>
      <c r="AJ24" s="44" t="s">
        <v>87</v>
      </c>
      <c r="AK24" s="44" t="s">
        <v>87</v>
      </c>
      <c r="AL24" s="44" t="s">
        <v>87</v>
      </c>
      <c r="AM24" s="44" t="s">
        <v>87</v>
      </c>
      <c r="AN24" s="44" t="s">
        <v>87</v>
      </c>
      <c r="AO24"/>
      <c r="AP24" s="44" t="s">
        <v>87</v>
      </c>
      <c r="AQ24" s="44" t="s">
        <v>87</v>
      </c>
      <c r="AR24" s="44" t="s">
        <v>87</v>
      </c>
      <c r="AS24" s="44" t="s">
        <v>87</v>
      </c>
      <c r="AT24"/>
      <c r="AU24" s="44" t="s">
        <v>87</v>
      </c>
      <c r="AV24"/>
      <c r="AW24"/>
      <c r="AX24" s="44" t="s">
        <v>87</v>
      </c>
    </row>
    <row r="25" spans="1:50" x14ac:dyDescent="0.25">
      <c r="A25" s="9" t="s">
        <v>374</v>
      </c>
      <c r="B25" s="3" t="s">
        <v>473</v>
      </c>
      <c r="C25" s="3" t="s">
        <v>483</v>
      </c>
      <c r="D25" s="3" t="s">
        <v>521</v>
      </c>
      <c r="E25" s="10" t="s">
        <v>372</v>
      </c>
      <c r="F25" s="10" t="s">
        <v>94</v>
      </c>
      <c r="G25" s="44" t="s">
        <v>87</v>
      </c>
      <c r="I25" s="58"/>
      <c r="J25" s="44" t="s">
        <v>87</v>
      </c>
      <c r="K25" s="44" t="s">
        <v>87</v>
      </c>
      <c r="L25" s="44" t="s">
        <v>87</v>
      </c>
      <c r="M25" s="44" t="s">
        <v>87</v>
      </c>
      <c r="O25" s="44" t="s">
        <v>87</v>
      </c>
      <c r="P25" s="44"/>
      <c r="Q25" s="44" t="s">
        <v>87</v>
      </c>
      <c r="R25" s="44" t="s">
        <v>87</v>
      </c>
      <c r="S25" s="44" t="s">
        <v>87</v>
      </c>
      <c r="V25" s="44" t="s">
        <v>87</v>
      </c>
      <c r="W25" s="44" t="s">
        <v>87</v>
      </c>
      <c r="X25" s="44" t="s">
        <v>87</v>
      </c>
      <c r="Y25" s="44" t="s">
        <v>87</v>
      </c>
      <c r="Z25" s="44" t="s">
        <v>87</v>
      </c>
      <c r="AA25" s="44" t="s">
        <v>87</v>
      </c>
      <c r="AB25" s="44" t="s">
        <v>87</v>
      </c>
      <c r="AC25" s="44" t="s">
        <v>87</v>
      </c>
      <c r="AD25" s="44" t="s">
        <v>87</v>
      </c>
      <c r="AE25" s="44" t="s">
        <v>87</v>
      </c>
      <c r="AF25" s="44" t="s">
        <v>87</v>
      </c>
      <c r="AG25"/>
      <c r="AH25" s="44" t="s">
        <v>87</v>
      </c>
      <c r="AI25" s="44" t="s">
        <v>87</v>
      </c>
      <c r="AJ25" s="44" t="s">
        <v>87</v>
      </c>
      <c r="AK25" s="44" t="s">
        <v>87</v>
      </c>
      <c r="AL25" s="44" t="s">
        <v>87</v>
      </c>
      <c r="AM25" s="44" t="s">
        <v>87</v>
      </c>
      <c r="AN25" s="44" t="s">
        <v>87</v>
      </c>
      <c r="AO25"/>
      <c r="AP25" s="44" t="s">
        <v>87</v>
      </c>
      <c r="AQ25" s="44" t="s">
        <v>87</v>
      </c>
      <c r="AR25" s="44" t="s">
        <v>87</v>
      </c>
      <c r="AS25" s="44" t="s">
        <v>87</v>
      </c>
      <c r="AT25"/>
      <c r="AU25" s="44" t="s">
        <v>87</v>
      </c>
      <c r="AV25"/>
      <c r="AW25"/>
      <c r="AX25" s="44" t="s">
        <v>87</v>
      </c>
    </row>
    <row r="26" spans="1:50" x14ac:dyDescent="0.25">
      <c r="A26" s="9" t="s">
        <v>12</v>
      </c>
      <c r="B26" s="3" t="s">
        <v>473</v>
      </c>
      <c r="C26" s="3" t="s">
        <v>483</v>
      </c>
      <c r="D26" s="3" t="s">
        <v>521</v>
      </c>
      <c r="E26" s="10" t="s">
        <v>139</v>
      </c>
      <c r="F26" s="10" t="s">
        <v>94</v>
      </c>
      <c r="G26" s="44" t="s">
        <v>87</v>
      </c>
      <c r="I26" s="58"/>
      <c r="J26" s="44" t="s">
        <v>87</v>
      </c>
      <c r="K26" s="44" t="s">
        <v>87</v>
      </c>
      <c r="L26" s="44" t="s">
        <v>87</v>
      </c>
      <c r="M26" s="44" t="s">
        <v>87</v>
      </c>
      <c r="O26" s="44" t="s">
        <v>87</v>
      </c>
      <c r="P26" s="44"/>
      <c r="Q26" s="44" t="s">
        <v>87</v>
      </c>
      <c r="R26" s="44" t="s">
        <v>87</v>
      </c>
      <c r="S26" s="44" t="s">
        <v>87</v>
      </c>
      <c r="V26" s="44" t="s">
        <v>87</v>
      </c>
      <c r="W26" s="44" t="s">
        <v>87</v>
      </c>
      <c r="X26" s="44" t="s">
        <v>87</v>
      </c>
      <c r="Y26" s="44" t="s">
        <v>87</v>
      </c>
      <c r="Z26" s="44" t="s">
        <v>87</v>
      </c>
      <c r="AA26" s="44" t="s">
        <v>87</v>
      </c>
      <c r="AB26" s="44" t="s">
        <v>87</v>
      </c>
      <c r="AC26" s="44" t="s">
        <v>87</v>
      </c>
      <c r="AD26" s="44" t="s">
        <v>87</v>
      </c>
      <c r="AE26" s="44" t="s">
        <v>87</v>
      </c>
      <c r="AF26" s="44" t="s">
        <v>87</v>
      </c>
      <c r="AG26"/>
      <c r="AH26" s="44" t="s">
        <v>87</v>
      </c>
      <c r="AI26" s="44" t="s">
        <v>87</v>
      </c>
      <c r="AJ26" s="44" t="s">
        <v>87</v>
      </c>
      <c r="AK26" s="44" t="s">
        <v>87</v>
      </c>
      <c r="AL26" s="44" t="s">
        <v>87</v>
      </c>
      <c r="AM26" s="44" t="s">
        <v>87</v>
      </c>
      <c r="AN26" s="44" t="s">
        <v>87</v>
      </c>
      <c r="AO26"/>
      <c r="AP26" s="44" t="s">
        <v>87</v>
      </c>
      <c r="AQ26" s="44" t="s">
        <v>87</v>
      </c>
      <c r="AR26" s="44" t="s">
        <v>87</v>
      </c>
      <c r="AS26" s="44" t="s">
        <v>87</v>
      </c>
      <c r="AT26"/>
      <c r="AU26" s="44" t="s">
        <v>87</v>
      </c>
      <c r="AV26"/>
      <c r="AW26"/>
      <c r="AX26" s="44" t="s">
        <v>87</v>
      </c>
    </row>
    <row r="27" spans="1:50" x14ac:dyDescent="0.25">
      <c r="A27" s="9" t="s">
        <v>13</v>
      </c>
      <c r="B27" s="3" t="s">
        <v>473</v>
      </c>
      <c r="C27" s="3" t="s">
        <v>483</v>
      </c>
      <c r="D27" s="3" t="s">
        <v>521</v>
      </c>
      <c r="E27" s="10" t="s">
        <v>119</v>
      </c>
      <c r="F27" s="10" t="s">
        <v>97</v>
      </c>
      <c r="G27" s="44">
        <v>0.33</v>
      </c>
      <c r="I27" s="58"/>
      <c r="J27" s="44">
        <v>0.33</v>
      </c>
      <c r="K27" s="44">
        <v>0.33</v>
      </c>
      <c r="L27" s="44">
        <v>0.33</v>
      </c>
      <c r="M27" s="44">
        <v>0.33</v>
      </c>
      <c r="O27" s="44">
        <v>0.33</v>
      </c>
      <c r="P27" s="44"/>
      <c r="Q27" s="44">
        <v>0.33</v>
      </c>
      <c r="R27" s="44">
        <v>0.33</v>
      </c>
      <c r="S27" s="44">
        <v>0.33</v>
      </c>
      <c r="V27" s="44">
        <v>0.33</v>
      </c>
      <c r="W27" s="44">
        <v>0.33</v>
      </c>
      <c r="X27" s="44">
        <v>0.33</v>
      </c>
      <c r="Y27" s="44">
        <v>0.33</v>
      </c>
      <c r="Z27" s="44">
        <v>0.33</v>
      </c>
      <c r="AA27" s="44">
        <v>0.33</v>
      </c>
      <c r="AB27" s="44">
        <v>0.33</v>
      </c>
      <c r="AC27" s="44">
        <v>0.33</v>
      </c>
      <c r="AD27" s="44">
        <v>0.33</v>
      </c>
      <c r="AE27" s="44">
        <v>0.33</v>
      </c>
      <c r="AF27" s="44">
        <v>0.33</v>
      </c>
      <c r="AG27"/>
      <c r="AH27" s="44">
        <v>0.33</v>
      </c>
      <c r="AI27" s="44">
        <v>0.33</v>
      </c>
      <c r="AJ27" s="44">
        <v>0.33</v>
      </c>
      <c r="AK27" s="44">
        <v>0.33</v>
      </c>
      <c r="AL27" s="44">
        <v>0.33</v>
      </c>
      <c r="AM27" s="44">
        <v>0.33</v>
      </c>
      <c r="AN27" s="44">
        <v>0.33</v>
      </c>
      <c r="AO27"/>
      <c r="AP27" s="44">
        <v>0.33</v>
      </c>
      <c r="AQ27" s="44">
        <v>0.33</v>
      </c>
      <c r="AR27" s="44">
        <v>0.33</v>
      </c>
      <c r="AS27" s="44">
        <v>0.33</v>
      </c>
      <c r="AT27"/>
      <c r="AU27" s="44">
        <v>0.33</v>
      </c>
      <c r="AV27"/>
      <c r="AW27"/>
      <c r="AX27" s="44">
        <v>0.33</v>
      </c>
    </row>
    <row r="28" spans="1:50" x14ac:dyDescent="0.25">
      <c r="A28" s="9" t="s">
        <v>14</v>
      </c>
      <c r="B28" s="3" t="s">
        <v>473</v>
      </c>
      <c r="C28" s="3" t="s">
        <v>483</v>
      </c>
      <c r="D28" s="3" t="s">
        <v>521</v>
      </c>
      <c r="E28" s="10" t="s">
        <v>134</v>
      </c>
      <c r="F28" s="10" t="s">
        <v>94</v>
      </c>
      <c r="G28" s="44" t="s">
        <v>87</v>
      </c>
      <c r="I28" s="58"/>
      <c r="J28" s="44" t="s">
        <v>87</v>
      </c>
      <c r="K28" s="44" t="s">
        <v>87</v>
      </c>
      <c r="L28" s="44" t="s">
        <v>87</v>
      </c>
      <c r="M28" s="44" t="s">
        <v>87</v>
      </c>
      <c r="O28" s="44" t="s">
        <v>87</v>
      </c>
      <c r="P28" s="44"/>
      <c r="Q28" s="44" t="s">
        <v>87</v>
      </c>
      <c r="R28" s="44" t="s">
        <v>87</v>
      </c>
      <c r="S28" s="44" t="s">
        <v>87</v>
      </c>
      <c r="V28" s="44" t="s">
        <v>87</v>
      </c>
      <c r="W28" s="44" t="s">
        <v>87</v>
      </c>
      <c r="X28" s="44" t="s">
        <v>87</v>
      </c>
      <c r="Y28" s="44" t="s">
        <v>87</v>
      </c>
      <c r="Z28" s="44" t="s">
        <v>87</v>
      </c>
      <c r="AA28" s="44" t="s">
        <v>87</v>
      </c>
      <c r="AB28" s="44" t="s">
        <v>87</v>
      </c>
      <c r="AC28" s="44" t="s">
        <v>87</v>
      </c>
      <c r="AD28" s="44" t="s">
        <v>87</v>
      </c>
      <c r="AE28" s="44" t="s">
        <v>87</v>
      </c>
      <c r="AF28" s="44" t="s">
        <v>87</v>
      </c>
      <c r="AG28"/>
      <c r="AH28" s="44" t="s">
        <v>87</v>
      </c>
      <c r="AI28" s="44" t="s">
        <v>87</v>
      </c>
      <c r="AJ28" s="44" t="s">
        <v>87</v>
      </c>
      <c r="AK28" s="44" t="s">
        <v>87</v>
      </c>
      <c r="AL28" s="44" t="s">
        <v>87</v>
      </c>
      <c r="AM28" s="44" t="s">
        <v>87</v>
      </c>
      <c r="AN28" s="44" t="s">
        <v>87</v>
      </c>
      <c r="AO28"/>
      <c r="AP28" s="44" t="s">
        <v>87</v>
      </c>
      <c r="AQ28" s="44" t="s">
        <v>87</v>
      </c>
      <c r="AR28" s="44" t="s">
        <v>87</v>
      </c>
      <c r="AS28" s="44" t="s">
        <v>87</v>
      </c>
      <c r="AT28"/>
      <c r="AU28" s="44" t="s">
        <v>87</v>
      </c>
      <c r="AV28"/>
      <c r="AW28"/>
      <c r="AX28" s="44" t="s">
        <v>87</v>
      </c>
    </row>
    <row r="29" spans="1:50" x14ac:dyDescent="0.25">
      <c r="A29" s="9" t="s">
        <v>9</v>
      </c>
      <c r="B29" s="3" t="s">
        <v>473</v>
      </c>
      <c r="C29" s="3" t="s">
        <v>483</v>
      </c>
      <c r="D29" s="3" t="s">
        <v>521</v>
      </c>
      <c r="E29" s="10" t="s">
        <v>132</v>
      </c>
      <c r="F29" s="10" t="s">
        <v>94</v>
      </c>
      <c r="G29" s="44" t="s">
        <v>87</v>
      </c>
      <c r="I29" s="58"/>
      <c r="J29" s="44" t="s">
        <v>87</v>
      </c>
      <c r="K29" s="44" t="s">
        <v>87</v>
      </c>
      <c r="L29" s="44" t="s">
        <v>87</v>
      </c>
      <c r="M29" s="44" t="s">
        <v>87</v>
      </c>
      <c r="O29" s="44" t="s">
        <v>87</v>
      </c>
      <c r="P29" s="44"/>
      <c r="Q29" s="44" t="s">
        <v>87</v>
      </c>
      <c r="R29" s="44" t="s">
        <v>87</v>
      </c>
      <c r="S29" s="44" t="s">
        <v>87</v>
      </c>
      <c r="V29" s="44" t="s">
        <v>87</v>
      </c>
      <c r="W29" s="44" t="s">
        <v>87</v>
      </c>
      <c r="X29" s="44" t="s">
        <v>87</v>
      </c>
      <c r="Y29" s="44" t="s">
        <v>87</v>
      </c>
      <c r="Z29" s="44" t="s">
        <v>87</v>
      </c>
      <c r="AA29" s="44" t="s">
        <v>87</v>
      </c>
      <c r="AB29" s="44" t="s">
        <v>87</v>
      </c>
      <c r="AC29" s="44" t="s">
        <v>87</v>
      </c>
      <c r="AD29" s="44" t="s">
        <v>87</v>
      </c>
      <c r="AE29" s="44" t="s">
        <v>87</v>
      </c>
      <c r="AF29" s="44" t="s">
        <v>87</v>
      </c>
      <c r="AG29"/>
      <c r="AH29" s="44" t="s">
        <v>87</v>
      </c>
      <c r="AI29" s="44" t="s">
        <v>87</v>
      </c>
      <c r="AJ29" s="44" t="s">
        <v>87</v>
      </c>
      <c r="AK29" s="44" t="s">
        <v>87</v>
      </c>
      <c r="AL29" s="44" t="s">
        <v>87</v>
      </c>
      <c r="AM29" s="44" t="s">
        <v>87</v>
      </c>
      <c r="AN29" s="44" t="s">
        <v>87</v>
      </c>
      <c r="AO29"/>
      <c r="AP29" s="44" t="s">
        <v>87</v>
      </c>
      <c r="AQ29" s="44" t="s">
        <v>87</v>
      </c>
      <c r="AR29" s="44" t="s">
        <v>87</v>
      </c>
      <c r="AS29" s="44" t="s">
        <v>87</v>
      </c>
      <c r="AT29"/>
      <c r="AU29" s="44" t="s">
        <v>87</v>
      </c>
      <c r="AV29"/>
      <c r="AW29"/>
      <c r="AX29" s="44" t="s">
        <v>87</v>
      </c>
    </row>
    <row r="30" spans="1:50" x14ac:dyDescent="0.25">
      <c r="A30" s="9" t="s">
        <v>456</v>
      </c>
      <c r="B30" s="3" t="s">
        <v>473</v>
      </c>
      <c r="C30" s="3" t="s">
        <v>483</v>
      </c>
      <c r="D30" s="3" t="s">
        <v>521</v>
      </c>
      <c r="E30" s="10" t="s">
        <v>457</v>
      </c>
      <c r="F30" s="10" t="s">
        <v>94</v>
      </c>
      <c r="G30" s="44" t="s">
        <v>87</v>
      </c>
      <c r="I30" s="58"/>
      <c r="J30" s="44" t="s">
        <v>87</v>
      </c>
      <c r="K30" s="44" t="s">
        <v>87</v>
      </c>
      <c r="L30" s="44" t="s">
        <v>87</v>
      </c>
      <c r="M30" s="44" t="s">
        <v>87</v>
      </c>
      <c r="O30" s="44" t="s">
        <v>87</v>
      </c>
      <c r="P30" s="44"/>
      <c r="Q30" s="44" t="s">
        <v>87</v>
      </c>
      <c r="R30" s="44" t="s">
        <v>87</v>
      </c>
      <c r="S30" s="44" t="s">
        <v>87</v>
      </c>
      <c r="V30" s="44" t="s">
        <v>87</v>
      </c>
      <c r="W30" s="44" t="s">
        <v>87</v>
      </c>
      <c r="X30" s="44" t="s">
        <v>87</v>
      </c>
      <c r="Y30" s="44" t="s">
        <v>87</v>
      </c>
      <c r="Z30" s="44" t="s">
        <v>87</v>
      </c>
      <c r="AA30" s="44" t="s">
        <v>87</v>
      </c>
      <c r="AB30" s="44" t="s">
        <v>87</v>
      </c>
      <c r="AC30" s="44" t="s">
        <v>87</v>
      </c>
      <c r="AD30" s="44" t="s">
        <v>87</v>
      </c>
      <c r="AE30" s="44" t="s">
        <v>87</v>
      </c>
      <c r="AF30" s="44" t="s">
        <v>87</v>
      </c>
      <c r="AG30"/>
      <c r="AH30" s="44" t="s">
        <v>87</v>
      </c>
      <c r="AI30" s="44" t="s">
        <v>87</v>
      </c>
      <c r="AJ30" s="44" t="s">
        <v>87</v>
      </c>
      <c r="AK30" s="44" t="s">
        <v>87</v>
      </c>
      <c r="AL30" s="44" t="s">
        <v>87</v>
      </c>
      <c r="AM30" s="44" t="s">
        <v>87</v>
      </c>
      <c r="AN30" s="44" t="s">
        <v>87</v>
      </c>
      <c r="AO30"/>
      <c r="AP30" s="44" t="s">
        <v>87</v>
      </c>
      <c r="AQ30" s="44" t="s">
        <v>87</v>
      </c>
      <c r="AR30" s="44" t="s">
        <v>87</v>
      </c>
      <c r="AS30" s="44" t="s">
        <v>87</v>
      </c>
      <c r="AT30"/>
      <c r="AU30" s="44" t="s">
        <v>87</v>
      </c>
      <c r="AV30"/>
      <c r="AW30"/>
      <c r="AX30" s="44" t="s">
        <v>87</v>
      </c>
    </row>
    <row r="31" spans="1:50" x14ac:dyDescent="0.25">
      <c r="A31" s="13" t="s">
        <v>21</v>
      </c>
      <c r="B31" s="3" t="s">
        <v>473</v>
      </c>
      <c r="C31" s="3" t="s">
        <v>483</v>
      </c>
      <c r="D31" s="3" t="s">
        <v>521</v>
      </c>
      <c r="E31" s="14" t="s">
        <v>137</v>
      </c>
      <c r="F31" s="14" t="s">
        <v>94</v>
      </c>
      <c r="G31" s="44" t="s">
        <v>86</v>
      </c>
      <c r="I31" s="58"/>
      <c r="J31" s="44" t="s">
        <v>86</v>
      </c>
      <c r="K31" s="44" t="s">
        <v>86</v>
      </c>
      <c r="L31" s="44" t="s">
        <v>86</v>
      </c>
      <c r="M31" s="44" t="s">
        <v>86</v>
      </c>
      <c r="O31" s="44" t="s">
        <v>86</v>
      </c>
      <c r="P31" s="44"/>
      <c r="Q31" s="44" t="s">
        <v>86</v>
      </c>
      <c r="R31" s="44" t="s">
        <v>86</v>
      </c>
      <c r="S31" s="44" t="s">
        <v>86</v>
      </c>
      <c r="V31" s="44" t="s">
        <v>86</v>
      </c>
      <c r="W31" s="44" t="s">
        <v>86</v>
      </c>
      <c r="X31" s="44" t="s">
        <v>86</v>
      </c>
      <c r="Y31" s="44" t="s">
        <v>86</v>
      </c>
      <c r="Z31" s="44" t="s">
        <v>86</v>
      </c>
      <c r="AA31" s="44" t="s">
        <v>86</v>
      </c>
      <c r="AB31" s="44" t="s">
        <v>86</v>
      </c>
      <c r="AC31" s="44" t="s">
        <v>86</v>
      </c>
      <c r="AD31" s="44" t="s">
        <v>86</v>
      </c>
      <c r="AE31" s="44" t="s">
        <v>86</v>
      </c>
      <c r="AF31" s="44" t="s">
        <v>86</v>
      </c>
      <c r="AG31"/>
      <c r="AH31" s="44" t="s">
        <v>86</v>
      </c>
      <c r="AI31" s="44" t="s">
        <v>86</v>
      </c>
      <c r="AJ31" s="44" t="s">
        <v>86</v>
      </c>
      <c r="AK31" s="44" t="s">
        <v>86</v>
      </c>
      <c r="AL31" s="44" t="s">
        <v>86</v>
      </c>
      <c r="AM31" s="44" t="s">
        <v>86</v>
      </c>
      <c r="AN31" s="44" t="s">
        <v>86</v>
      </c>
      <c r="AO31"/>
      <c r="AP31" s="44" t="s">
        <v>86</v>
      </c>
      <c r="AQ31" s="44" t="s">
        <v>86</v>
      </c>
      <c r="AR31" s="44" t="s">
        <v>86</v>
      </c>
      <c r="AS31" s="44" t="s">
        <v>86</v>
      </c>
      <c r="AT31"/>
      <c r="AU31" s="44" t="s">
        <v>86</v>
      </c>
      <c r="AV31"/>
      <c r="AW31"/>
      <c r="AX31" s="44" t="s">
        <v>86</v>
      </c>
    </row>
    <row r="32" spans="1:50" x14ac:dyDescent="0.25">
      <c r="A32" s="13" t="s">
        <v>22</v>
      </c>
      <c r="B32" s="3" t="s">
        <v>473</v>
      </c>
      <c r="C32" s="3" t="s">
        <v>483</v>
      </c>
      <c r="D32" s="3" t="s">
        <v>521</v>
      </c>
      <c r="E32" s="14" t="s">
        <v>124</v>
      </c>
      <c r="F32" s="14" t="s">
        <v>91</v>
      </c>
      <c r="G32" s="44" t="s">
        <v>382</v>
      </c>
      <c r="I32" s="59"/>
      <c r="J32" s="45" t="s">
        <v>436</v>
      </c>
      <c r="K32" s="45" t="s">
        <v>436</v>
      </c>
      <c r="L32" s="45" t="s">
        <v>436</v>
      </c>
      <c r="M32" s="45" t="s">
        <v>436</v>
      </c>
      <c r="O32" s="45" t="s">
        <v>436</v>
      </c>
      <c r="P32" s="45"/>
      <c r="Q32" s="45" t="s">
        <v>436</v>
      </c>
      <c r="R32" s="45" t="s">
        <v>436</v>
      </c>
      <c r="S32" s="45" t="s">
        <v>436</v>
      </c>
      <c r="V32" s="45" t="s">
        <v>436</v>
      </c>
      <c r="W32" s="45" t="s">
        <v>436</v>
      </c>
      <c r="X32" s="45" t="s">
        <v>436</v>
      </c>
      <c r="Y32" s="45" t="s">
        <v>436</v>
      </c>
      <c r="Z32" s="45" t="s">
        <v>436</v>
      </c>
      <c r="AA32" s="45" t="s">
        <v>436</v>
      </c>
      <c r="AB32" s="45" t="s">
        <v>436</v>
      </c>
      <c r="AC32" s="45" t="s">
        <v>436</v>
      </c>
      <c r="AD32" s="45" t="s">
        <v>436</v>
      </c>
      <c r="AE32" s="45" t="s">
        <v>436</v>
      </c>
      <c r="AF32" s="45" t="s">
        <v>436</v>
      </c>
      <c r="AG32"/>
      <c r="AH32" s="45" t="s">
        <v>436</v>
      </c>
      <c r="AI32" s="45" t="s">
        <v>436</v>
      </c>
      <c r="AJ32" s="45" t="s">
        <v>436</v>
      </c>
      <c r="AK32" s="45" t="s">
        <v>436</v>
      </c>
      <c r="AL32" s="45" t="s">
        <v>436</v>
      </c>
      <c r="AM32" s="45" t="s">
        <v>436</v>
      </c>
      <c r="AN32" s="45" t="s">
        <v>436</v>
      </c>
      <c r="AO32"/>
      <c r="AP32" s="45" t="s">
        <v>436</v>
      </c>
      <c r="AQ32" s="45" t="s">
        <v>436</v>
      </c>
      <c r="AR32" s="45" t="s">
        <v>436</v>
      </c>
      <c r="AS32" s="45" t="s">
        <v>436</v>
      </c>
      <c r="AT32"/>
      <c r="AU32" s="45" t="s">
        <v>436</v>
      </c>
      <c r="AV32"/>
      <c r="AW32"/>
      <c r="AX32" s="45" t="s">
        <v>436</v>
      </c>
    </row>
    <row r="33" spans="1:50" x14ac:dyDescent="0.25">
      <c r="A33" s="13" t="s">
        <v>23</v>
      </c>
      <c r="B33" s="3" t="s">
        <v>473</v>
      </c>
      <c r="C33" s="3" t="s">
        <v>483</v>
      </c>
      <c r="D33" s="3" t="s">
        <v>521</v>
      </c>
      <c r="E33" s="14" t="s">
        <v>125</v>
      </c>
      <c r="F33" s="14" t="s">
        <v>99</v>
      </c>
      <c r="G33" s="44">
        <v>9.9999999999999995E-7</v>
      </c>
      <c r="I33" s="58"/>
      <c r="J33" s="44">
        <v>9.9999999999999995E-7</v>
      </c>
      <c r="K33" s="44">
        <v>9.9999999999999995E-7</v>
      </c>
      <c r="L33" s="44">
        <v>9.9999999999999995E-7</v>
      </c>
      <c r="M33" s="44">
        <v>9.9999999999999995E-7</v>
      </c>
      <c r="O33" s="44">
        <v>9.9999999999999995E-7</v>
      </c>
      <c r="P33" s="44"/>
      <c r="Q33" s="44">
        <v>9.9999999999999995E-7</v>
      </c>
      <c r="R33" s="44">
        <v>9.9999999999999995E-7</v>
      </c>
      <c r="S33" s="44">
        <v>9.9999999999999995E-7</v>
      </c>
      <c r="V33" s="44">
        <v>9.9999999999999995E-7</v>
      </c>
      <c r="W33" s="44">
        <v>9.9999999999999995E-7</v>
      </c>
      <c r="X33" s="44">
        <v>9.9999999999999995E-7</v>
      </c>
      <c r="Y33" s="44">
        <v>9.9999999999999995E-7</v>
      </c>
      <c r="Z33" s="44">
        <v>9.9999999999999995E-7</v>
      </c>
      <c r="AA33" s="44">
        <v>9.9999999999999995E-7</v>
      </c>
      <c r="AB33" s="44">
        <v>9.9999999999999995E-7</v>
      </c>
      <c r="AC33" s="44">
        <v>9.9999999999999995E-7</v>
      </c>
      <c r="AD33" s="44">
        <v>9.9999999999999995E-7</v>
      </c>
      <c r="AE33" s="44">
        <v>9.9999999999999995E-7</v>
      </c>
      <c r="AF33" s="44">
        <v>9.9999999999999995E-7</v>
      </c>
      <c r="AG33"/>
      <c r="AH33" s="44">
        <v>9.9999999999999995E-7</v>
      </c>
      <c r="AI33" s="44">
        <v>9.9999999999999995E-7</v>
      </c>
      <c r="AJ33" s="44">
        <v>9.9999999999999995E-7</v>
      </c>
      <c r="AK33" s="44">
        <v>9.9999999999999995E-7</v>
      </c>
      <c r="AL33" s="44">
        <v>9.9999999999999995E-7</v>
      </c>
      <c r="AM33" s="44">
        <v>9.9999999999999995E-7</v>
      </c>
      <c r="AN33" s="44">
        <v>9.9999999999999995E-7</v>
      </c>
      <c r="AO33"/>
      <c r="AP33" s="44">
        <v>9.9999999999999995E-7</v>
      </c>
      <c r="AQ33" s="44">
        <v>9.9999999999999995E-7</v>
      </c>
      <c r="AR33" s="44">
        <v>9.9999999999999995E-7</v>
      </c>
      <c r="AS33" s="44">
        <v>9.9999999999999995E-7</v>
      </c>
      <c r="AT33"/>
      <c r="AU33" s="44">
        <v>9.9999999999999995E-7</v>
      </c>
      <c r="AV33"/>
      <c r="AW33"/>
      <c r="AX33" s="44">
        <v>9.9999999999999995E-7</v>
      </c>
    </row>
    <row r="34" spans="1:50" x14ac:dyDescent="0.25">
      <c r="A34" s="13" t="s">
        <v>24</v>
      </c>
      <c r="B34" s="3" t="s">
        <v>473</v>
      </c>
      <c r="C34" s="3" t="s">
        <v>483</v>
      </c>
      <c r="D34" s="3" t="s">
        <v>521</v>
      </c>
      <c r="E34" s="14" t="s">
        <v>126</v>
      </c>
      <c r="F34" s="14" t="s">
        <v>99</v>
      </c>
      <c r="G34" s="44">
        <v>2.0000000000000001E-4</v>
      </c>
      <c r="I34" s="58"/>
      <c r="J34" s="44">
        <v>1E-3</v>
      </c>
      <c r="K34" s="44">
        <v>1E-3</v>
      </c>
      <c r="L34" s="44">
        <v>1E-3</v>
      </c>
      <c r="M34" s="44">
        <v>1E-3</v>
      </c>
      <c r="O34" s="44">
        <v>1E-3</v>
      </c>
      <c r="P34" s="44"/>
      <c r="Q34" s="44">
        <v>1E-3</v>
      </c>
      <c r="R34" s="44">
        <v>1E-3</v>
      </c>
      <c r="S34" s="44">
        <v>1E-3</v>
      </c>
      <c r="V34" s="44">
        <v>1E-3</v>
      </c>
      <c r="W34" s="44">
        <v>1E-3</v>
      </c>
      <c r="X34" s="44">
        <v>1E-3</v>
      </c>
      <c r="Y34" s="44">
        <v>1E-3</v>
      </c>
      <c r="Z34" s="44">
        <v>1E-3</v>
      </c>
      <c r="AA34" s="44">
        <v>1E-3</v>
      </c>
      <c r="AB34" s="44">
        <v>1E-3</v>
      </c>
      <c r="AC34" s="44">
        <v>1E-3</v>
      </c>
      <c r="AD34" s="44">
        <v>1E-3</v>
      </c>
      <c r="AE34" s="44">
        <v>1E-3</v>
      </c>
      <c r="AF34" s="44">
        <v>1E-3</v>
      </c>
      <c r="AG34"/>
      <c r="AH34" s="44">
        <v>1E-3</v>
      </c>
      <c r="AI34" s="44">
        <v>1E-3</v>
      </c>
      <c r="AJ34" s="44">
        <v>1E-3</v>
      </c>
      <c r="AK34" s="44">
        <v>1E-3</v>
      </c>
      <c r="AL34" s="44">
        <v>1E-3</v>
      </c>
      <c r="AM34" s="44">
        <v>1E-3</v>
      </c>
      <c r="AN34" s="44">
        <v>1E-3</v>
      </c>
      <c r="AO34"/>
      <c r="AP34" s="44">
        <v>1E-3</v>
      </c>
      <c r="AQ34" s="44">
        <v>1E-3</v>
      </c>
      <c r="AR34" s="44">
        <v>1E-3</v>
      </c>
      <c r="AS34" s="44">
        <v>1E-3</v>
      </c>
      <c r="AT34"/>
      <c r="AU34" s="44">
        <v>1E-3</v>
      </c>
      <c r="AV34"/>
      <c r="AW34"/>
      <c r="AX34" s="44">
        <v>1E-3</v>
      </c>
    </row>
    <row r="35" spans="1:50" x14ac:dyDescent="0.25">
      <c r="A35" s="13" t="s">
        <v>25</v>
      </c>
      <c r="B35" s="3" t="s">
        <v>473</v>
      </c>
      <c r="C35" s="3" t="s">
        <v>483</v>
      </c>
      <c r="D35" s="3" t="s">
        <v>521</v>
      </c>
      <c r="E35" s="14" t="s">
        <v>138</v>
      </c>
      <c r="F35" s="14" t="s">
        <v>94</v>
      </c>
      <c r="G35" s="44" t="s">
        <v>86</v>
      </c>
      <c r="I35" s="58"/>
      <c r="J35" s="44" t="s">
        <v>86</v>
      </c>
      <c r="K35" s="44" t="s">
        <v>86</v>
      </c>
      <c r="L35" s="44" t="s">
        <v>86</v>
      </c>
      <c r="M35" s="44" t="s">
        <v>86</v>
      </c>
      <c r="O35" s="44" t="s">
        <v>86</v>
      </c>
      <c r="P35" s="44"/>
      <c r="Q35" s="44" t="s">
        <v>86</v>
      </c>
      <c r="R35" s="44" t="s">
        <v>86</v>
      </c>
      <c r="S35" s="44" t="s">
        <v>86</v>
      </c>
      <c r="V35" s="44" t="s">
        <v>86</v>
      </c>
      <c r="W35" s="44" t="s">
        <v>86</v>
      </c>
      <c r="X35" s="44" t="s">
        <v>86</v>
      </c>
      <c r="Y35" s="44" t="s">
        <v>86</v>
      </c>
      <c r="Z35" s="44" t="s">
        <v>86</v>
      </c>
      <c r="AA35" s="44" t="s">
        <v>86</v>
      </c>
      <c r="AB35" s="44" t="s">
        <v>86</v>
      </c>
      <c r="AC35" s="44" t="s">
        <v>86</v>
      </c>
      <c r="AD35" s="44" t="s">
        <v>86</v>
      </c>
      <c r="AE35" s="44" t="s">
        <v>86</v>
      </c>
      <c r="AF35" s="44" t="s">
        <v>86</v>
      </c>
      <c r="AG35"/>
      <c r="AH35" s="44" t="s">
        <v>86</v>
      </c>
      <c r="AI35" s="44" t="s">
        <v>86</v>
      </c>
      <c r="AJ35" s="44" t="s">
        <v>86</v>
      </c>
      <c r="AK35" s="44" t="s">
        <v>86</v>
      </c>
      <c r="AL35" s="44" t="s">
        <v>86</v>
      </c>
      <c r="AM35" s="44" t="s">
        <v>86</v>
      </c>
      <c r="AN35" s="44" t="s">
        <v>86</v>
      </c>
      <c r="AO35"/>
      <c r="AP35" s="44" t="s">
        <v>86</v>
      </c>
      <c r="AQ35" s="44" t="s">
        <v>86</v>
      </c>
      <c r="AR35" s="44" t="s">
        <v>86</v>
      </c>
      <c r="AS35" s="44" t="s">
        <v>86</v>
      </c>
      <c r="AT35"/>
      <c r="AU35" s="44" t="s">
        <v>86</v>
      </c>
      <c r="AV35"/>
      <c r="AW35"/>
      <c r="AX35" s="44" t="s">
        <v>86</v>
      </c>
    </row>
    <row r="36" spans="1:50" x14ac:dyDescent="0.25">
      <c r="A36" s="13" t="s">
        <v>26</v>
      </c>
      <c r="B36" s="3" t="s">
        <v>473</v>
      </c>
      <c r="C36" s="3" t="s">
        <v>483</v>
      </c>
      <c r="D36" s="3" t="s">
        <v>521</v>
      </c>
      <c r="E36" s="14" t="s">
        <v>127</v>
      </c>
      <c r="F36" s="14" t="s">
        <v>91</v>
      </c>
      <c r="G36" s="44" t="s">
        <v>88</v>
      </c>
      <c r="I36" s="58"/>
      <c r="J36" s="44" t="s">
        <v>88</v>
      </c>
      <c r="K36" s="44" t="s">
        <v>88</v>
      </c>
      <c r="L36" s="44" t="s">
        <v>88</v>
      </c>
      <c r="M36" s="44" t="s">
        <v>88</v>
      </c>
      <c r="O36" s="44" t="s">
        <v>88</v>
      </c>
      <c r="P36" s="44"/>
      <c r="Q36" s="44" t="s">
        <v>88</v>
      </c>
      <c r="R36" s="44" t="s">
        <v>88</v>
      </c>
      <c r="S36" s="44" t="s">
        <v>88</v>
      </c>
      <c r="V36" s="44" t="s">
        <v>88</v>
      </c>
      <c r="W36" s="44" t="s">
        <v>88</v>
      </c>
      <c r="X36" s="44" t="s">
        <v>88</v>
      </c>
      <c r="Y36" s="44" t="s">
        <v>88</v>
      </c>
      <c r="Z36" s="44" t="s">
        <v>88</v>
      </c>
      <c r="AA36" s="44" t="s">
        <v>88</v>
      </c>
      <c r="AB36" s="44" t="s">
        <v>88</v>
      </c>
      <c r="AC36" s="44" t="s">
        <v>88</v>
      </c>
      <c r="AD36" s="44" t="s">
        <v>88</v>
      </c>
      <c r="AE36" s="44" t="s">
        <v>88</v>
      </c>
      <c r="AF36" s="44" t="s">
        <v>88</v>
      </c>
      <c r="AG36"/>
      <c r="AH36" s="44" t="s">
        <v>88</v>
      </c>
      <c r="AI36" s="44" t="s">
        <v>88</v>
      </c>
      <c r="AJ36" s="44" t="s">
        <v>88</v>
      </c>
      <c r="AK36" s="44" t="s">
        <v>88</v>
      </c>
      <c r="AL36" s="44" t="s">
        <v>88</v>
      </c>
      <c r="AM36" s="44" t="s">
        <v>88</v>
      </c>
      <c r="AN36" s="44" t="s">
        <v>88</v>
      </c>
      <c r="AO36"/>
      <c r="AP36" s="44" t="s">
        <v>88</v>
      </c>
      <c r="AQ36" s="44" t="s">
        <v>88</v>
      </c>
      <c r="AR36" s="44" t="s">
        <v>88</v>
      </c>
      <c r="AS36" s="44" t="s">
        <v>88</v>
      </c>
      <c r="AT36"/>
      <c r="AU36" s="44" t="s">
        <v>88</v>
      </c>
      <c r="AV36"/>
      <c r="AW36"/>
      <c r="AX36" s="44" t="s">
        <v>88</v>
      </c>
    </row>
    <row r="37" spans="1:50" x14ac:dyDescent="0.25">
      <c r="A37" s="13" t="s">
        <v>27</v>
      </c>
      <c r="B37" s="3" t="s">
        <v>473</v>
      </c>
      <c r="C37" s="3" t="s">
        <v>483</v>
      </c>
      <c r="D37" s="3" t="s">
        <v>521</v>
      </c>
      <c r="E37" s="14" t="s">
        <v>128</v>
      </c>
      <c r="F37" s="14" t="s">
        <v>94</v>
      </c>
      <c r="G37" s="44" t="s">
        <v>86</v>
      </c>
      <c r="I37" s="58"/>
      <c r="J37" s="44" t="s">
        <v>86</v>
      </c>
      <c r="K37" s="44" t="s">
        <v>86</v>
      </c>
      <c r="L37" s="44" t="s">
        <v>86</v>
      </c>
      <c r="M37" s="44" t="s">
        <v>86</v>
      </c>
      <c r="O37" s="44" t="s">
        <v>86</v>
      </c>
      <c r="P37" s="44"/>
      <c r="Q37" s="44" t="s">
        <v>86</v>
      </c>
      <c r="R37" s="44" t="s">
        <v>86</v>
      </c>
      <c r="S37" s="44" t="s">
        <v>86</v>
      </c>
      <c r="V37" s="44" t="s">
        <v>86</v>
      </c>
      <c r="W37" s="44" t="s">
        <v>86</v>
      </c>
      <c r="X37" s="44" t="s">
        <v>86</v>
      </c>
      <c r="Y37" s="44" t="s">
        <v>86</v>
      </c>
      <c r="Z37" s="44" t="s">
        <v>86</v>
      </c>
      <c r="AA37" s="44" t="s">
        <v>86</v>
      </c>
      <c r="AB37" s="44" t="s">
        <v>86</v>
      </c>
      <c r="AC37" s="44" t="s">
        <v>86</v>
      </c>
      <c r="AD37" s="44" t="s">
        <v>86</v>
      </c>
      <c r="AE37" s="44" t="s">
        <v>86</v>
      </c>
      <c r="AF37" s="44" t="s">
        <v>86</v>
      </c>
      <c r="AG37"/>
      <c r="AH37" s="44" t="s">
        <v>86</v>
      </c>
      <c r="AI37" s="44" t="s">
        <v>86</v>
      </c>
      <c r="AJ37" s="44" t="s">
        <v>86</v>
      </c>
      <c r="AK37" s="44" t="s">
        <v>86</v>
      </c>
      <c r="AL37" s="44" t="s">
        <v>86</v>
      </c>
      <c r="AM37" s="44" t="s">
        <v>86</v>
      </c>
      <c r="AN37" s="44" t="s">
        <v>86</v>
      </c>
      <c r="AO37"/>
      <c r="AP37" s="44" t="s">
        <v>86</v>
      </c>
      <c r="AQ37" s="44" t="s">
        <v>86</v>
      </c>
      <c r="AR37" s="44" t="s">
        <v>86</v>
      </c>
      <c r="AS37" s="44" t="s">
        <v>86</v>
      </c>
      <c r="AT37"/>
      <c r="AU37" s="44" t="s">
        <v>86</v>
      </c>
      <c r="AV37"/>
      <c r="AW37"/>
      <c r="AX37" s="44" t="s">
        <v>86</v>
      </c>
    </row>
    <row r="38" spans="1:50" x14ac:dyDescent="0.25">
      <c r="A38" s="13" t="s">
        <v>28</v>
      </c>
      <c r="B38" s="3" t="s">
        <v>473</v>
      </c>
      <c r="C38" s="3" t="s">
        <v>483</v>
      </c>
      <c r="D38" s="3" t="s">
        <v>521</v>
      </c>
      <c r="E38" s="14" t="s">
        <v>140</v>
      </c>
      <c r="F38" s="14" t="s">
        <v>94</v>
      </c>
      <c r="G38" s="44" t="s">
        <v>87</v>
      </c>
      <c r="I38" s="58"/>
      <c r="J38" s="44" t="s">
        <v>87</v>
      </c>
      <c r="K38" s="44" t="s">
        <v>87</v>
      </c>
      <c r="L38" s="44" t="s">
        <v>87</v>
      </c>
      <c r="M38" s="44" t="s">
        <v>87</v>
      </c>
      <c r="O38" s="44" t="s">
        <v>87</v>
      </c>
      <c r="P38" s="44"/>
      <c r="Q38" s="44" t="s">
        <v>87</v>
      </c>
      <c r="R38" s="44" t="s">
        <v>87</v>
      </c>
      <c r="S38" s="44" t="s">
        <v>87</v>
      </c>
      <c r="V38" s="44" t="s">
        <v>87</v>
      </c>
      <c r="W38" s="44" t="s">
        <v>87</v>
      </c>
      <c r="X38" s="44" t="s">
        <v>87</v>
      </c>
      <c r="Y38" s="44" t="s">
        <v>87</v>
      </c>
      <c r="Z38" s="44" t="s">
        <v>87</v>
      </c>
      <c r="AA38" s="44" t="s">
        <v>87</v>
      </c>
      <c r="AB38" s="44" t="s">
        <v>87</v>
      </c>
      <c r="AC38" s="44" t="s">
        <v>87</v>
      </c>
      <c r="AD38" s="44" t="s">
        <v>87</v>
      </c>
      <c r="AE38" s="44" t="s">
        <v>87</v>
      </c>
      <c r="AF38" s="44" t="s">
        <v>87</v>
      </c>
      <c r="AG38"/>
      <c r="AH38" s="44" t="s">
        <v>87</v>
      </c>
      <c r="AI38" s="44" t="s">
        <v>87</v>
      </c>
      <c r="AJ38" s="44" t="s">
        <v>87</v>
      </c>
      <c r="AK38" s="44" t="s">
        <v>87</v>
      </c>
      <c r="AL38" s="44" t="s">
        <v>87</v>
      </c>
      <c r="AM38" s="44" t="s">
        <v>87</v>
      </c>
      <c r="AN38" s="44" t="s">
        <v>87</v>
      </c>
      <c r="AO38"/>
      <c r="AP38" s="44" t="s">
        <v>87</v>
      </c>
      <c r="AQ38" s="44" t="s">
        <v>87</v>
      </c>
      <c r="AR38" s="44" t="s">
        <v>87</v>
      </c>
      <c r="AS38" s="44" t="s">
        <v>87</v>
      </c>
      <c r="AT38"/>
      <c r="AU38" s="44" t="s">
        <v>87</v>
      </c>
      <c r="AV38"/>
      <c r="AW38"/>
      <c r="AX38" s="44" t="s">
        <v>87</v>
      </c>
    </row>
    <row r="39" spans="1:50" x14ac:dyDescent="0.25">
      <c r="A39" s="13" t="s">
        <v>29</v>
      </c>
      <c r="B39" s="3" t="s">
        <v>473</v>
      </c>
      <c r="C39" s="3" t="s">
        <v>483</v>
      </c>
      <c r="D39" s="3" t="s">
        <v>521</v>
      </c>
      <c r="E39" s="14" t="s">
        <v>141</v>
      </c>
      <c r="F39" s="14" t="s">
        <v>95</v>
      </c>
      <c r="G39" s="44">
        <v>120</v>
      </c>
      <c r="I39" s="58"/>
      <c r="J39" s="44">
        <v>120</v>
      </c>
      <c r="K39" s="44">
        <v>120</v>
      </c>
      <c r="L39" s="44">
        <v>120</v>
      </c>
      <c r="M39" s="44">
        <v>120</v>
      </c>
      <c r="O39" s="44">
        <v>120</v>
      </c>
      <c r="P39" s="44"/>
      <c r="Q39" s="44">
        <v>120</v>
      </c>
      <c r="R39" s="44">
        <v>120</v>
      </c>
      <c r="S39" s="44">
        <v>120</v>
      </c>
      <c r="V39" s="44">
        <v>120</v>
      </c>
      <c r="W39" s="44">
        <v>120</v>
      </c>
      <c r="X39" s="44">
        <v>120</v>
      </c>
      <c r="Y39" s="44">
        <v>120</v>
      </c>
      <c r="Z39" s="44">
        <v>120</v>
      </c>
      <c r="AA39" s="44">
        <v>120</v>
      </c>
      <c r="AB39" s="44">
        <v>120</v>
      </c>
      <c r="AC39" s="44">
        <v>120</v>
      </c>
      <c r="AD39" s="44">
        <v>120</v>
      </c>
      <c r="AE39" s="44">
        <v>120</v>
      </c>
      <c r="AF39" s="44">
        <v>120</v>
      </c>
      <c r="AG39"/>
      <c r="AH39" s="44">
        <v>120</v>
      </c>
      <c r="AI39" s="44">
        <v>120</v>
      </c>
      <c r="AJ39" s="44">
        <v>120</v>
      </c>
      <c r="AK39" s="44">
        <v>120</v>
      </c>
      <c r="AL39" s="44">
        <v>120</v>
      </c>
      <c r="AM39" s="44">
        <v>120</v>
      </c>
      <c r="AN39" s="44">
        <v>120</v>
      </c>
      <c r="AO39"/>
      <c r="AP39" s="44">
        <v>120</v>
      </c>
      <c r="AQ39" s="44">
        <v>120</v>
      </c>
      <c r="AR39" s="44">
        <v>120</v>
      </c>
      <c r="AS39" s="44">
        <v>120</v>
      </c>
      <c r="AT39"/>
      <c r="AU39" s="44">
        <v>120</v>
      </c>
      <c r="AV39"/>
      <c r="AW39"/>
      <c r="AX39" s="44">
        <v>120</v>
      </c>
    </row>
    <row r="40" spans="1:50" x14ac:dyDescent="0.25">
      <c r="A40" s="13" t="s">
        <v>30</v>
      </c>
      <c r="B40" s="3" t="s">
        <v>473</v>
      </c>
      <c r="C40" s="3" t="s">
        <v>483</v>
      </c>
      <c r="D40" s="3" t="s">
        <v>521</v>
      </c>
      <c r="E40" s="14" t="s">
        <v>142</v>
      </c>
      <c r="F40" s="14" t="s">
        <v>98</v>
      </c>
      <c r="G40" s="44">
        <v>0</v>
      </c>
      <c r="I40" s="58"/>
      <c r="J40" s="44">
        <v>0</v>
      </c>
      <c r="K40" s="44">
        <v>0</v>
      </c>
      <c r="L40" s="44">
        <v>0</v>
      </c>
      <c r="M40" s="44">
        <v>0</v>
      </c>
      <c r="O40" s="44">
        <v>0</v>
      </c>
      <c r="P40" s="44"/>
      <c r="Q40" s="44">
        <v>0</v>
      </c>
      <c r="R40" s="44">
        <v>0</v>
      </c>
      <c r="S40" s="44">
        <v>0</v>
      </c>
      <c r="V40" s="44">
        <v>0</v>
      </c>
      <c r="W40" s="44">
        <v>0</v>
      </c>
      <c r="X40" s="44">
        <v>0</v>
      </c>
      <c r="Y40" s="44">
        <v>0</v>
      </c>
      <c r="Z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/>
      <c r="AH40" s="44">
        <v>0</v>
      </c>
      <c r="AI40" s="44">
        <v>0</v>
      </c>
      <c r="AJ40" s="44">
        <v>0</v>
      </c>
      <c r="AK40" s="44">
        <v>0</v>
      </c>
      <c r="AL40" s="44">
        <v>0</v>
      </c>
      <c r="AM40" s="44">
        <v>0</v>
      </c>
      <c r="AN40" s="44">
        <v>0</v>
      </c>
      <c r="AO40"/>
      <c r="AP40" s="44">
        <v>0</v>
      </c>
      <c r="AQ40" s="44">
        <v>0</v>
      </c>
      <c r="AR40" s="44">
        <v>0</v>
      </c>
      <c r="AS40" s="44">
        <v>0</v>
      </c>
      <c r="AT40"/>
      <c r="AU40" s="44">
        <v>0</v>
      </c>
      <c r="AV40"/>
      <c r="AW40"/>
      <c r="AX40" s="44">
        <v>0</v>
      </c>
    </row>
    <row r="41" spans="1:50" x14ac:dyDescent="0.25">
      <c r="A41" s="13" t="s">
        <v>31</v>
      </c>
      <c r="B41" s="3" t="s">
        <v>473</v>
      </c>
      <c r="C41" s="3" t="s">
        <v>483</v>
      </c>
      <c r="D41" s="3" t="s">
        <v>521</v>
      </c>
      <c r="E41" s="14" t="s">
        <v>143</v>
      </c>
      <c r="F41" s="14" t="s">
        <v>98</v>
      </c>
      <c r="G41" s="44">
        <v>0</v>
      </c>
      <c r="I41" s="58"/>
      <c r="J41" s="44">
        <v>0</v>
      </c>
      <c r="K41" s="44">
        <v>0</v>
      </c>
      <c r="L41" s="44">
        <v>0</v>
      </c>
      <c r="M41" s="44">
        <v>0</v>
      </c>
      <c r="O41" s="44">
        <v>0</v>
      </c>
      <c r="P41" s="44"/>
      <c r="Q41" s="44">
        <v>0</v>
      </c>
      <c r="R41" s="44">
        <v>0</v>
      </c>
      <c r="S41" s="44">
        <v>0</v>
      </c>
      <c r="V41" s="44">
        <v>0</v>
      </c>
      <c r="W41" s="44">
        <v>0</v>
      </c>
      <c r="X41" s="44">
        <v>0</v>
      </c>
      <c r="Y41" s="44">
        <v>0</v>
      </c>
      <c r="Z41" s="44">
        <v>0</v>
      </c>
      <c r="AA41" s="44">
        <v>0</v>
      </c>
      <c r="AB41" s="44">
        <v>0</v>
      </c>
      <c r="AC41" s="44">
        <v>0</v>
      </c>
      <c r="AD41" s="44">
        <v>0</v>
      </c>
      <c r="AE41" s="44">
        <v>0</v>
      </c>
      <c r="AF41" s="44">
        <v>0</v>
      </c>
      <c r="AG41"/>
      <c r="AH41" s="44">
        <v>0</v>
      </c>
      <c r="AI41" s="44">
        <v>0</v>
      </c>
      <c r="AJ41" s="44">
        <v>0</v>
      </c>
      <c r="AK41" s="44">
        <v>0</v>
      </c>
      <c r="AL41" s="44">
        <v>0</v>
      </c>
      <c r="AM41" s="44">
        <v>0</v>
      </c>
      <c r="AN41" s="44">
        <v>0</v>
      </c>
      <c r="AO41"/>
      <c r="AP41" s="44">
        <v>0</v>
      </c>
      <c r="AQ41" s="44">
        <v>0</v>
      </c>
      <c r="AR41" s="44">
        <v>0</v>
      </c>
      <c r="AS41" s="44">
        <v>0</v>
      </c>
      <c r="AT41"/>
      <c r="AU41" s="44">
        <v>0</v>
      </c>
      <c r="AV41"/>
      <c r="AW41"/>
      <c r="AX41" s="44">
        <v>0</v>
      </c>
    </row>
    <row r="42" spans="1:50" x14ac:dyDescent="0.25">
      <c r="A42" s="13" t="s">
        <v>32</v>
      </c>
      <c r="B42" s="3" t="s">
        <v>473</v>
      </c>
      <c r="C42" s="3" t="s">
        <v>483</v>
      </c>
      <c r="D42" s="3" t="s">
        <v>521</v>
      </c>
      <c r="E42" s="14" t="s">
        <v>144</v>
      </c>
      <c r="F42" s="14" t="s">
        <v>98</v>
      </c>
      <c r="G42" s="44">
        <v>-0.1</v>
      </c>
      <c r="I42" s="58"/>
      <c r="J42" s="44">
        <v>-0.1</v>
      </c>
      <c r="K42" s="44">
        <v>-0.1</v>
      </c>
      <c r="L42" s="44">
        <v>-0.1</v>
      </c>
      <c r="M42" s="44">
        <v>-0.1</v>
      </c>
      <c r="O42" s="44">
        <v>-0.1</v>
      </c>
      <c r="P42" s="44"/>
      <c r="Q42" s="44">
        <v>-0.1</v>
      </c>
      <c r="R42" s="44">
        <v>-0.1</v>
      </c>
      <c r="S42" s="44">
        <v>-0.1</v>
      </c>
      <c r="V42" s="44">
        <v>-0.1</v>
      </c>
      <c r="W42" s="44">
        <v>-0.1</v>
      </c>
      <c r="X42" s="44">
        <v>-0.1</v>
      </c>
      <c r="Y42" s="44">
        <v>-0.1</v>
      </c>
      <c r="Z42" s="44">
        <v>-0.1</v>
      </c>
      <c r="AA42" s="44">
        <v>-0.1</v>
      </c>
      <c r="AB42" s="44">
        <v>-0.1</v>
      </c>
      <c r="AC42" s="44">
        <v>-0.1</v>
      </c>
      <c r="AD42" s="44">
        <v>-0.1</v>
      </c>
      <c r="AE42" s="44">
        <v>-0.1</v>
      </c>
      <c r="AF42" s="44">
        <v>-0.1</v>
      </c>
      <c r="AG42"/>
      <c r="AH42" s="44">
        <v>-0.1</v>
      </c>
      <c r="AI42" s="44">
        <v>-0.1</v>
      </c>
      <c r="AJ42" s="44">
        <v>-0.1</v>
      </c>
      <c r="AK42" s="44">
        <v>-0.1</v>
      </c>
      <c r="AL42" s="44">
        <v>-0.1</v>
      </c>
      <c r="AM42" s="44">
        <v>-0.1</v>
      </c>
      <c r="AN42" s="44">
        <v>-0.1</v>
      </c>
      <c r="AO42"/>
      <c r="AP42" s="44">
        <v>-0.1</v>
      </c>
      <c r="AQ42" s="44">
        <v>-0.1</v>
      </c>
      <c r="AR42" s="44">
        <v>-0.1</v>
      </c>
      <c r="AS42" s="44">
        <v>-0.1</v>
      </c>
      <c r="AT42"/>
      <c r="AU42" s="44">
        <v>-0.1</v>
      </c>
      <c r="AV42"/>
      <c r="AW42"/>
      <c r="AX42" s="44">
        <v>-0.1</v>
      </c>
    </row>
    <row r="43" spans="1:50" x14ac:dyDescent="0.25">
      <c r="A43" s="13" t="s">
        <v>33</v>
      </c>
      <c r="B43" s="3" t="s">
        <v>473</v>
      </c>
      <c r="C43" s="3" t="s">
        <v>483</v>
      </c>
      <c r="D43" s="3" t="s">
        <v>521</v>
      </c>
      <c r="E43" s="14" t="s">
        <v>145</v>
      </c>
      <c r="F43" s="14" t="s">
        <v>98</v>
      </c>
      <c r="G43" s="44">
        <v>-0.2</v>
      </c>
      <c r="I43" s="58"/>
      <c r="J43" s="44">
        <v>-0.2</v>
      </c>
      <c r="K43" s="44">
        <v>-0.2</v>
      </c>
      <c r="L43" s="44">
        <v>-0.2</v>
      </c>
      <c r="M43" s="44">
        <v>-0.2</v>
      </c>
      <c r="O43" s="44">
        <v>-0.2</v>
      </c>
      <c r="P43" s="44"/>
      <c r="Q43" s="44">
        <v>-0.2</v>
      </c>
      <c r="R43" s="44">
        <v>-0.2</v>
      </c>
      <c r="S43" s="44">
        <v>-0.2</v>
      </c>
      <c r="V43" s="44">
        <v>-0.2</v>
      </c>
      <c r="W43" s="44">
        <v>-0.2</v>
      </c>
      <c r="X43" s="44">
        <v>-0.2</v>
      </c>
      <c r="Y43" s="44">
        <v>-0.2</v>
      </c>
      <c r="Z43" s="44">
        <v>-0.2</v>
      </c>
      <c r="AA43" s="44">
        <v>-0.2</v>
      </c>
      <c r="AB43" s="44">
        <v>-0.2</v>
      </c>
      <c r="AC43" s="44">
        <v>-0.2</v>
      </c>
      <c r="AD43" s="44">
        <v>-0.2</v>
      </c>
      <c r="AE43" s="44">
        <v>-0.2</v>
      </c>
      <c r="AF43" s="44">
        <v>-0.2</v>
      </c>
      <c r="AG43"/>
      <c r="AH43" s="44">
        <v>-0.2</v>
      </c>
      <c r="AI43" s="44">
        <v>-0.2</v>
      </c>
      <c r="AJ43" s="44">
        <v>-0.2</v>
      </c>
      <c r="AK43" s="44">
        <v>-0.2</v>
      </c>
      <c r="AL43" s="44">
        <v>-0.2</v>
      </c>
      <c r="AM43" s="44">
        <v>-0.2</v>
      </c>
      <c r="AN43" s="44">
        <v>-0.2</v>
      </c>
      <c r="AO43"/>
      <c r="AP43" s="44">
        <v>-0.2</v>
      </c>
      <c r="AQ43" s="44">
        <v>-0.2</v>
      </c>
      <c r="AR43" s="44">
        <v>-0.2</v>
      </c>
      <c r="AS43" s="44">
        <v>-0.2</v>
      </c>
      <c r="AT43"/>
      <c r="AU43" s="44">
        <v>-0.2</v>
      </c>
      <c r="AV43"/>
      <c r="AW43"/>
      <c r="AX43" s="44">
        <v>-0.2</v>
      </c>
    </row>
    <row r="44" spans="1:50" x14ac:dyDescent="0.25">
      <c r="A44" s="13" t="s">
        <v>34</v>
      </c>
      <c r="B44" s="3" t="s">
        <v>473</v>
      </c>
      <c r="C44" s="3" t="s">
        <v>483</v>
      </c>
      <c r="D44" s="3" t="s">
        <v>521</v>
      </c>
      <c r="E44" s="14" t="s">
        <v>146</v>
      </c>
      <c r="F44" s="14" t="s">
        <v>98</v>
      </c>
      <c r="G44" s="44">
        <v>0.4</v>
      </c>
      <c r="I44" s="58"/>
      <c r="J44" s="44">
        <v>0.4</v>
      </c>
      <c r="K44" s="44">
        <v>0.4</v>
      </c>
      <c r="L44" s="44">
        <v>0.4</v>
      </c>
      <c r="M44" s="44">
        <v>0.4</v>
      </c>
      <c r="O44" s="44">
        <v>0.4</v>
      </c>
      <c r="P44" s="44"/>
      <c r="Q44" s="44">
        <v>0.4</v>
      </c>
      <c r="R44" s="44">
        <v>0.4</v>
      </c>
      <c r="S44" s="44">
        <v>0.4</v>
      </c>
      <c r="V44" s="44">
        <v>0.4</v>
      </c>
      <c r="W44" s="44">
        <v>0.4</v>
      </c>
      <c r="X44" s="44">
        <v>0.4</v>
      </c>
      <c r="Y44" s="44">
        <v>0.4</v>
      </c>
      <c r="Z44" s="44">
        <v>0.4</v>
      </c>
      <c r="AA44" s="44">
        <v>0.4</v>
      </c>
      <c r="AB44" s="44">
        <v>0.4</v>
      </c>
      <c r="AC44" s="44">
        <v>0.4</v>
      </c>
      <c r="AD44" s="44">
        <v>0.4</v>
      </c>
      <c r="AE44" s="44">
        <v>0.4</v>
      </c>
      <c r="AF44" s="44">
        <v>0.4</v>
      </c>
      <c r="AG44"/>
      <c r="AH44" s="44">
        <v>0.4</v>
      </c>
      <c r="AI44" s="44">
        <v>0.4</v>
      </c>
      <c r="AJ44" s="44">
        <v>0.4</v>
      </c>
      <c r="AK44" s="44">
        <v>0.4</v>
      </c>
      <c r="AL44" s="44">
        <v>0.4</v>
      </c>
      <c r="AM44" s="44">
        <v>0.4</v>
      </c>
      <c r="AN44" s="44">
        <v>0.4</v>
      </c>
      <c r="AO44"/>
      <c r="AP44" s="44">
        <v>0.4</v>
      </c>
      <c r="AQ44" s="44">
        <v>0.4</v>
      </c>
      <c r="AR44" s="44">
        <v>0.4</v>
      </c>
      <c r="AS44" s="44">
        <v>0.4</v>
      </c>
      <c r="AT44"/>
      <c r="AU44" s="44">
        <v>0.4</v>
      </c>
      <c r="AV44"/>
      <c r="AW44"/>
      <c r="AX44" s="44">
        <v>0.4</v>
      </c>
    </row>
    <row r="45" spans="1:50" x14ac:dyDescent="0.25">
      <c r="A45" s="13" t="s">
        <v>35</v>
      </c>
      <c r="B45" s="3" t="s">
        <v>473</v>
      </c>
      <c r="C45" s="3" t="s">
        <v>483</v>
      </c>
      <c r="D45" s="3" t="s">
        <v>521</v>
      </c>
      <c r="E45" s="14" t="s">
        <v>147</v>
      </c>
      <c r="F45" s="14" t="s">
        <v>101</v>
      </c>
      <c r="G45" s="44">
        <v>0</v>
      </c>
      <c r="I45" s="58"/>
      <c r="J45" s="44">
        <v>0</v>
      </c>
      <c r="K45" s="44">
        <v>0</v>
      </c>
      <c r="L45" s="44">
        <v>0</v>
      </c>
      <c r="M45" s="44">
        <v>0</v>
      </c>
      <c r="O45" s="44">
        <v>0</v>
      </c>
      <c r="P45" s="44"/>
      <c r="Q45" s="44">
        <v>0</v>
      </c>
      <c r="R45" s="44">
        <v>0</v>
      </c>
      <c r="S45" s="44">
        <v>0</v>
      </c>
      <c r="V45" s="44">
        <v>0</v>
      </c>
      <c r="W45" s="44">
        <v>0</v>
      </c>
      <c r="X45" s="44">
        <v>0</v>
      </c>
      <c r="Y45" s="44">
        <v>0</v>
      </c>
      <c r="Z45" s="44">
        <v>0</v>
      </c>
      <c r="AA45" s="44">
        <v>0</v>
      </c>
      <c r="AB45" s="44">
        <v>0</v>
      </c>
      <c r="AC45" s="44">
        <v>0</v>
      </c>
      <c r="AD45" s="44">
        <v>0</v>
      </c>
      <c r="AE45" s="44">
        <v>0</v>
      </c>
      <c r="AF45" s="44">
        <v>0</v>
      </c>
      <c r="AG45"/>
      <c r="AH45" s="44">
        <v>0</v>
      </c>
      <c r="AI45" s="44">
        <v>0</v>
      </c>
      <c r="AJ45" s="44">
        <v>0</v>
      </c>
      <c r="AK45" s="44">
        <v>0</v>
      </c>
      <c r="AL45" s="44">
        <v>0</v>
      </c>
      <c r="AM45" s="44">
        <v>0</v>
      </c>
      <c r="AN45" s="44">
        <v>0</v>
      </c>
      <c r="AO45"/>
      <c r="AP45" s="44">
        <v>0</v>
      </c>
      <c r="AQ45" s="44">
        <v>0</v>
      </c>
      <c r="AR45" s="44">
        <v>0</v>
      </c>
      <c r="AS45" s="44">
        <v>0</v>
      </c>
      <c r="AT45"/>
      <c r="AU45" s="44">
        <v>0</v>
      </c>
      <c r="AV45"/>
      <c r="AW45"/>
      <c r="AX45" s="44">
        <v>0</v>
      </c>
    </row>
    <row r="46" spans="1:50" x14ac:dyDescent="0.25">
      <c r="A46" s="13" t="s">
        <v>437</v>
      </c>
      <c r="B46" s="3" t="s">
        <v>473</v>
      </c>
      <c r="C46" s="3" t="s">
        <v>483</v>
      </c>
      <c r="D46" s="3" t="s">
        <v>521</v>
      </c>
      <c r="E46" s="14" t="s">
        <v>439</v>
      </c>
      <c r="F46" s="14" t="s">
        <v>95</v>
      </c>
      <c r="G46" s="44">
        <v>1200</v>
      </c>
      <c r="I46" s="58"/>
      <c r="J46" s="44">
        <v>1200</v>
      </c>
      <c r="K46" s="44">
        <v>1200</v>
      </c>
      <c r="L46" s="44">
        <v>1200</v>
      </c>
      <c r="M46" s="44">
        <v>1200</v>
      </c>
      <c r="O46" s="44">
        <v>1200</v>
      </c>
      <c r="P46" s="44"/>
      <c r="Q46" s="44">
        <v>1200</v>
      </c>
      <c r="R46" s="44">
        <v>1200</v>
      </c>
      <c r="S46" s="44">
        <v>1200</v>
      </c>
      <c r="V46" s="44">
        <v>1200</v>
      </c>
      <c r="W46" s="44">
        <v>1200</v>
      </c>
      <c r="X46" s="44">
        <v>1200</v>
      </c>
      <c r="Y46" s="44">
        <v>1200</v>
      </c>
      <c r="Z46" s="44">
        <v>1200</v>
      </c>
      <c r="AA46" s="44">
        <v>1200</v>
      </c>
      <c r="AB46" s="44">
        <v>1200</v>
      </c>
      <c r="AC46" s="44">
        <v>1200</v>
      </c>
      <c r="AD46" s="44">
        <v>1200</v>
      </c>
      <c r="AE46" s="44">
        <v>1200</v>
      </c>
      <c r="AF46" s="44">
        <v>1200</v>
      </c>
      <c r="AG46"/>
      <c r="AH46" s="44">
        <v>1200</v>
      </c>
      <c r="AI46" s="44">
        <v>1200</v>
      </c>
      <c r="AJ46" s="44">
        <v>1200</v>
      </c>
      <c r="AK46" s="44">
        <v>1200</v>
      </c>
      <c r="AL46" s="44">
        <v>1200</v>
      </c>
      <c r="AM46" s="44">
        <v>1200</v>
      </c>
      <c r="AN46" s="44">
        <v>1200</v>
      </c>
      <c r="AO46"/>
      <c r="AP46" s="44">
        <v>1200</v>
      </c>
      <c r="AQ46" s="44">
        <v>1200</v>
      </c>
      <c r="AR46" s="44">
        <v>1200</v>
      </c>
      <c r="AS46" s="44">
        <v>1200</v>
      </c>
      <c r="AT46"/>
      <c r="AU46" s="44">
        <v>1200</v>
      </c>
      <c r="AV46"/>
      <c r="AW46"/>
      <c r="AX46" s="44">
        <v>1200</v>
      </c>
    </row>
    <row r="47" spans="1:50" x14ac:dyDescent="0.25">
      <c r="A47" s="13" t="s">
        <v>438</v>
      </c>
      <c r="B47" s="3" t="s">
        <v>473</v>
      </c>
      <c r="C47" s="3" t="s">
        <v>483</v>
      </c>
      <c r="D47" s="3" t="s">
        <v>521</v>
      </c>
      <c r="E47" s="14" t="s">
        <v>440</v>
      </c>
      <c r="F47" s="14" t="s">
        <v>95</v>
      </c>
      <c r="G47" s="44">
        <v>1200</v>
      </c>
      <c r="I47" s="58"/>
      <c r="J47" s="44">
        <v>1200</v>
      </c>
      <c r="K47" s="44">
        <v>1200</v>
      </c>
      <c r="L47" s="44">
        <v>1200</v>
      </c>
      <c r="M47" s="44">
        <v>1200</v>
      </c>
      <c r="O47" s="44">
        <v>1200</v>
      </c>
      <c r="P47" s="44"/>
      <c r="Q47" s="44">
        <v>1200</v>
      </c>
      <c r="R47" s="44">
        <v>1200</v>
      </c>
      <c r="S47" s="44">
        <v>1200</v>
      </c>
      <c r="V47" s="44">
        <v>1200</v>
      </c>
      <c r="W47" s="44">
        <v>1200</v>
      </c>
      <c r="X47" s="44">
        <v>1200</v>
      </c>
      <c r="Y47" s="44">
        <v>1200</v>
      </c>
      <c r="Z47" s="44">
        <v>1200</v>
      </c>
      <c r="AA47" s="44">
        <v>1200</v>
      </c>
      <c r="AB47" s="44">
        <v>1200</v>
      </c>
      <c r="AC47" s="44">
        <v>1200</v>
      </c>
      <c r="AD47" s="44">
        <v>1200</v>
      </c>
      <c r="AE47" s="44">
        <v>1200</v>
      </c>
      <c r="AF47" s="44">
        <v>1200</v>
      </c>
      <c r="AG47"/>
      <c r="AH47" s="44">
        <v>1200</v>
      </c>
      <c r="AI47" s="44">
        <v>1200</v>
      </c>
      <c r="AJ47" s="44">
        <v>1200</v>
      </c>
      <c r="AK47" s="44">
        <v>1200</v>
      </c>
      <c r="AL47" s="44">
        <v>1200</v>
      </c>
      <c r="AM47" s="44">
        <v>1200</v>
      </c>
      <c r="AN47" s="44">
        <v>1200</v>
      </c>
      <c r="AO47"/>
      <c r="AP47" s="44">
        <v>1200</v>
      </c>
      <c r="AQ47" s="44">
        <v>1200</v>
      </c>
      <c r="AR47" s="44">
        <v>1200</v>
      </c>
      <c r="AS47" s="44">
        <v>1200</v>
      </c>
      <c r="AT47"/>
      <c r="AU47" s="44">
        <v>1200</v>
      </c>
      <c r="AV47"/>
      <c r="AW47"/>
      <c r="AX47" s="44">
        <v>1200</v>
      </c>
    </row>
    <row r="48" spans="1:50" x14ac:dyDescent="0.25">
      <c r="A48" s="13" t="s">
        <v>459</v>
      </c>
      <c r="B48" s="3" t="s">
        <v>473</v>
      </c>
      <c r="C48" s="3" t="s">
        <v>483</v>
      </c>
      <c r="D48" s="3" t="s">
        <v>521</v>
      </c>
      <c r="E48" s="14" t="s">
        <v>460</v>
      </c>
      <c r="F48" s="14" t="s">
        <v>461</v>
      </c>
      <c r="G48" s="44" t="s">
        <v>462</v>
      </c>
      <c r="I48" s="58"/>
      <c r="J48" s="44" t="s">
        <v>462</v>
      </c>
      <c r="K48" s="44" t="s">
        <v>462</v>
      </c>
      <c r="L48" s="44" t="s">
        <v>462</v>
      </c>
      <c r="M48" s="44" t="s">
        <v>462</v>
      </c>
      <c r="O48" s="44" t="s">
        <v>462</v>
      </c>
      <c r="P48" s="44"/>
      <c r="Q48" s="44" t="s">
        <v>462</v>
      </c>
      <c r="R48" s="44" t="s">
        <v>462</v>
      </c>
      <c r="S48" s="44" t="s">
        <v>462</v>
      </c>
      <c r="V48" s="44" t="s">
        <v>462</v>
      </c>
      <c r="W48" s="44" t="s">
        <v>462</v>
      </c>
      <c r="X48" s="44" t="s">
        <v>462</v>
      </c>
      <c r="Y48" s="44" t="s">
        <v>462</v>
      </c>
      <c r="Z48" s="44" t="s">
        <v>462</v>
      </c>
      <c r="AA48" s="44" t="s">
        <v>462</v>
      </c>
      <c r="AB48" s="44" t="s">
        <v>462</v>
      </c>
      <c r="AC48" s="44" t="s">
        <v>462</v>
      </c>
      <c r="AD48" s="44" t="s">
        <v>462</v>
      </c>
      <c r="AE48" s="44" t="s">
        <v>462</v>
      </c>
      <c r="AF48" s="44" t="s">
        <v>462</v>
      </c>
      <c r="AG48"/>
      <c r="AH48" s="44" t="s">
        <v>462</v>
      </c>
      <c r="AI48" s="44" t="s">
        <v>462</v>
      </c>
      <c r="AJ48" s="44" t="s">
        <v>462</v>
      </c>
      <c r="AK48" s="44" t="s">
        <v>462</v>
      </c>
      <c r="AL48" s="44" t="s">
        <v>462</v>
      </c>
      <c r="AM48" s="44" t="s">
        <v>462</v>
      </c>
      <c r="AN48" s="44" t="s">
        <v>462</v>
      </c>
      <c r="AO48"/>
      <c r="AP48" s="44" t="s">
        <v>462</v>
      </c>
      <c r="AQ48" s="44" t="s">
        <v>462</v>
      </c>
      <c r="AR48" s="44" t="s">
        <v>462</v>
      </c>
      <c r="AS48" s="44" t="s">
        <v>462</v>
      </c>
      <c r="AT48"/>
      <c r="AU48" s="44" t="s">
        <v>462</v>
      </c>
      <c r="AV48"/>
      <c r="AW48"/>
      <c r="AX48" s="44" t="s">
        <v>462</v>
      </c>
    </row>
    <row r="49" spans="1:50" x14ac:dyDescent="0.25">
      <c r="A49" s="13" t="s">
        <v>15</v>
      </c>
      <c r="B49" s="3" t="s">
        <v>473</v>
      </c>
      <c r="C49" s="3" t="s">
        <v>483</v>
      </c>
      <c r="D49" s="3" t="s">
        <v>521</v>
      </c>
      <c r="E49" s="14" t="s">
        <v>135</v>
      </c>
      <c r="F49" s="14" t="s">
        <v>94</v>
      </c>
      <c r="G49" s="44" t="s">
        <v>86</v>
      </c>
      <c r="I49" s="58"/>
      <c r="J49" s="44" t="s">
        <v>86</v>
      </c>
      <c r="K49" s="44" t="s">
        <v>86</v>
      </c>
      <c r="L49" s="44" t="s">
        <v>86</v>
      </c>
      <c r="M49" s="44" t="s">
        <v>86</v>
      </c>
      <c r="O49" s="44" t="s">
        <v>86</v>
      </c>
      <c r="P49" s="44"/>
      <c r="Q49" s="44" t="s">
        <v>86</v>
      </c>
      <c r="R49" s="44" t="s">
        <v>86</v>
      </c>
      <c r="S49" s="44" t="s">
        <v>86</v>
      </c>
      <c r="V49" s="44" t="s">
        <v>86</v>
      </c>
      <c r="W49" s="44" t="s">
        <v>86</v>
      </c>
      <c r="X49" s="44" t="s">
        <v>86</v>
      </c>
      <c r="Y49" s="44" t="s">
        <v>86</v>
      </c>
      <c r="Z49" s="44" t="s">
        <v>86</v>
      </c>
      <c r="AA49" s="44" t="s">
        <v>86</v>
      </c>
      <c r="AB49" s="44" t="s">
        <v>86</v>
      </c>
      <c r="AC49" s="44" t="s">
        <v>86</v>
      </c>
      <c r="AD49" s="44" t="s">
        <v>86</v>
      </c>
      <c r="AE49" s="44" t="s">
        <v>86</v>
      </c>
      <c r="AF49" s="44" t="s">
        <v>86</v>
      </c>
      <c r="AG49"/>
      <c r="AH49" s="44" t="s">
        <v>86</v>
      </c>
      <c r="AI49" s="44" t="s">
        <v>86</v>
      </c>
      <c r="AJ49" s="44" t="s">
        <v>86</v>
      </c>
      <c r="AK49" s="44" t="s">
        <v>86</v>
      </c>
      <c r="AL49" s="44" t="s">
        <v>86</v>
      </c>
      <c r="AM49" s="44" t="s">
        <v>86</v>
      </c>
      <c r="AN49" s="44" t="s">
        <v>86</v>
      </c>
      <c r="AO49"/>
      <c r="AP49" s="44" t="s">
        <v>86</v>
      </c>
      <c r="AQ49" s="44" t="s">
        <v>86</v>
      </c>
      <c r="AR49" s="44" t="s">
        <v>86</v>
      </c>
      <c r="AS49" s="44" t="s">
        <v>86</v>
      </c>
      <c r="AT49"/>
      <c r="AU49" s="44" t="s">
        <v>86</v>
      </c>
      <c r="AV49"/>
      <c r="AW49"/>
      <c r="AX49" s="44" t="s">
        <v>86</v>
      </c>
    </row>
    <row r="50" spans="1:50" x14ac:dyDescent="0.25">
      <c r="A50" s="11" t="s">
        <v>16</v>
      </c>
      <c r="B50" s="3" t="s">
        <v>473</v>
      </c>
      <c r="C50" s="3" t="s">
        <v>483</v>
      </c>
      <c r="D50" s="3" t="s">
        <v>521</v>
      </c>
      <c r="E50" s="12" t="s">
        <v>136</v>
      </c>
      <c r="F50" s="12" t="s">
        <v>94</v>
      </c>
      <c r="G50" s="44" t="s">
        <v>86</v>
      </c>
      <c r="I50" s="58"/>
      <c r="J50" s="44" t="s">
        <v>86</v>
      </c>
      <c r="K50" s="44" t="s">
        <v>86</v>
      </c>
      <c r="L50" s="44" t="s">
        <v>86</v>
      </c>
      <c r="M50" s="44" t="s">
        <v>86</v>
      </c>
      <c r="O50" s="44" t="s">
        <v>86</v>
      </c>
      <c r="P50" s="44"/>
      <c r="Q50" s="44" t="s">
        <v>86</v>
      </c>
      <c r="R50" s="44" t="s">
        <v>86</v>
      </c>
      <c r="S50" s="44" t="s">
        <v>86</v>
      </c>
      <c r="V50" s="44" t="s">
        <v>86</v>
      </c>
      <c r="W50" s="44" t="s">
        <v>86</v>
      </c>
      <c r="X50" s="44" t="s">
        <v>86</v>
      </c>
      <c r="Y50" s="44" t="s">
        <v>86</v>
      </c>
      <c r="Z50" s="44" t="s">
        <v>86</v>
      </c>
      <c r="AA50" s="44" t="s">
        <v>86</v>
      </c>
      <c r="AB50" s="44" t="s">
        <v>86</v>
      </c>
      <c r="AC50" s="44" t="s">
        <v>86</v>
      </c>
      <c r="AD50" s="44" t="s">
        <v>86</v>
      </c>
      <c r="AE50" s="44" t="s">
        <v>86</v>
      </c>
      <c r="AF50" s="44" t="s">
        <v>86</v>
      </c>
      <c r="AG50"/>
      <c r="AH50" s="44" t="s">
        <v>86</v>
      </c>
      <c r="AI50" s="44" t="s">
        <v>86</v>
      </c>
      <c r="AJ50" s="44" t="s">
        <v>86</v>
      </c>
      <c r="AK50" s="44" t="s">
        <v>86</v>
      </c>
      <c r="AL50" s="44" t="s">
        <v>86</v>
      </c>
      <c r="AM50" s="44" t="s">
        <v>86</v>
      </c>
      <c r="AN50" s="44" t="s">
        <v>86</v>
      </c>
      <c r="AO50"/>
      <c r="AP50" s="44" t="s">
        <v>86</v>
      </c>
      <c r="AQ50" s="44" t="s">
        <v>86</v>
      </c>
      <c r="AR50" s="44" t="s">
        <v>86</v>
      </c>
      <c r="AS50" s="44" t="s">
        <v>86</v>
      </c>
      <c r="AT50"/>
      <c r="AU50" s="44" t="s">
        <v>86</v>
      </c>
      <c r="AV50"/>
      <c r="AW50"/>
      <c r="AX50" s="44" t="s">
        <v>86</v>
      </c>
    </row>
    <row r="51" spans="1:50" x14ac:dyDescent="0.25">
      <c r="A51" s="11" t="s">
        <v>17</v>
      </c>
      <c r="B51" s="3" t="s">
        <v>473</v>
      </c>
      <c r="C51" s="3" t="s">
        <v>483</v>
      </c>
      <c r="D51" s="3" t="s">
        <v>521</v>
      </c>
      <c r="E51" s="12" t="s">
        <v>120</v>
      </c>
      <c r="F51" s="12" t="s">
        <v>98</v>
      </c>
      <c r="G51" s="44">
        <v>0</v>
      </c>
      <c r="I51" s="58"/>
      <c r="J51" s="44">
        <v>0</v>
      </c>
      <c r="K51" s="44">
        <v>0</v>
      </c>
      <c r="L51" s="44">
        <v>0</v>
      </c>
      <c r="M51" s="44">
        <v>0</v>
      </c>
      <c r="O51" s="44">
        <v>0</v>
      </c>
      <c r="P51" s="44"/>
      <c r="Q51" s="44">
        <v>0</v>
      </c>
      <c r="R51" s="44">
        <v>0</v>
      </c>
      <c r="S51" s="44">
        <v>0</v>
      </c>
      <c r="V51" s="44">
        <v>0</v>
      </c>
      <c r="W51" s="44">
        <v>0</v>
      </c>
      <c r="X51" s="44">
        <v>0</v>
      </c>
      <c r="Y51" s="44">
        <v>0</v>
      </c>
      <c r="Z51" s="44">
        <v>0</v>
      </c>
      <c r="AA51" s="44">
        <v>0</v>
      </c>
      <c r="AB51" s="44">
        <v>0</v>
      </c>
      <c r="AC51" s="44">
        <v>0</v>
      </c>
      <c r="AD51" s="44">
        <v>0</v>
      </c>
      <c r="AE51" s="44">
        <v>0</v>
      </c>
      <c r="AF51" s="44">
        <v>0</v>
      </c>
      <c r="AG51"/>
      <c r="AH51" s="44">
        <v>0</v>
      </c>
      <c r="AI51" s="44">
        <v>0</v>
      </c>
      <c r="AJ51" s="44">
        <v>0</v>
      </c>
      <c r="AK51" s="44">
        <v>0</v>
      </c>
      <c r="AL51" s="44">
        <v>0</v>
      </c>
      <c r="AM51" s="44">
        <v>0</v>
      </c>
      <c r="AN51" s="44">
        <v>0</v>
      </c>
      <c r="AO51"/>
      <c r="AP51" s="44">
        <v>0</v>
      </c>
      <c r="AQ51" s="44">
        <v>0</v>
      </c>
      <c r="AR51" s="44">
        <v>0</v>
      </c>
      <c r="AS51" s="44">
        <v>0</v>
      </c>
      <c r="AT51"/>
      <c r="AU51" s="44">
        <v>0</v>
      </c>
      <c r="AV51"/>
      <c r="AW51"/>
      <c r="AX51" s="44">
        <v>0</v>
      </c>
    </row>
    <row r="52" spans="1:50" x14ac:dyDescent="0.25">
      <c r="A52" s="11" t="s">
        <v>18</v>
      </c>
      <c r="B52" s="3" t="s">
        <v>473</v>
      </c>
      <c r="C52" s="3" t="s">
        <v>483</v>
      </c>
      <c r="D52" s="3" t="s">
        <v>521</v>
      </c>
      <c r="E52" s="12" t="s">
        <v>121</v>
      </c>
      <c r="F52" s="12" t="s">
        <v>98</v>
      </c>
      <c r="G52" s="44">
        <v>0.5</v>
      </c>
      <c r="I52" s="58"/>
      <c r="J52" s="44">
        <v>0.5</v>
      </c>
      <c r="K52" s="44">
        <v>0.5</v>
      </c>
      <c r="L52" s="44">
        <v>0.5</v>
      </c>
      <c r="M52" s="44">
        <v>0.5</v>
      </c>
      <c r="O52" s="44">
        <v>0.5</v>
      </c>
      <c r="P52" s="44"/>
      <c r="Q52" s="44">
        <v>0.5</v>
      </c>
      <c r="R52" s="44">
        <v>0.5</v>
      </c>
      <c r="S52" s="44">
        <v>0.5</v>
      </c>
      <c r="V52" s="44">
        <v>0.5</v>
      </c>
      <c r="W52" s="44">
        <v>0.5</v>
      </c>
      <c r="X52" s="44">
        <v>0.5</v>
      </c>
      <c r="Y52" s="44">
        <v>0.5</v>
      </c>
      <c r="Z52" s="44">
        <v>0.5</v>
      </c>
      <c r="AA52" s="44">
        <v>0.5</v>
      </c>
      <c r="AB52" s="44">
        <v>0.5</v>
      </c>
      <c r="AC52" s="44">
        <v>0.5</v>
      </c>
      <c r="AD52" s="44">
        <v>0.5</v>
      </c>
      <c r="AE52" s="44">
        <v>0.5</v>
      </c>
      <c r="AF52" s="44">
        <v>0.5</v>
      </c>
      <c r="AG52"/>
      <c r="AH52" s="44">
        <v>0.5</v>
      </c>
      <c r="AI52" s="44">
        <v>0.5</v>
      </c>
      <c r="AJ52" s="44">
        <v>0.5</v>
      </c>
      <c r="AK52" s="44">
        <v>0.5</v>
      </c>
      <c r="AL52" s="44">
        <v>0.5</v>
      </c>
      <c r="AM52" s="44">
        <v>0.5</v>
      </c>
      <c r="AN52" s="44">
        <v>0.5</v>
      </c>
      <c r="AO52"/>
      <c r="AP52" s="44">
        <v>0.5</v>
      </c>
      <c r="AQ52" s="44">
        <v>0.5</v>
      </c>
      <c r="AR52" s="44">
        <v>0.5</v>
      </c>
      <c r="AS52" s="44">
        <v>0.5</v>
      </c>
      <c r="AT52"/>
      <c r="AU52" s="44">
        <v>0.5</v>
      </c>
      <c r="AV52"/>
      <c r="AW52"/>
      <c r="AX52" s="44">
        <v>0.5</v>
      </c>
    </row>
    <row r="53" spans="1:50" x14ac:dyDescent="0.25">
      <c r="A53" s="11" t="s">
        <v>19</v>
      </c>
      <c r="B53" s="3" t="s">
        <v>473</v>
      </c>
      <c r="C53" s="3" t="s">
        <v>483</v>
      </c>
      <c r="D53" s="3" t="s">
        <v>521</v>
      </c>
      <c r="E53" s="12" t="s">
        <v>122</v>
      </c>
      <c r="F53" s="12" t="s">
        <v>98</v>
      </c>
      <c r="G53" s="44">
        <v>0.05</v>
      </c>
      <c r="I53" s="58"/>
      <c r="J53" s="44">
        <v>0.05</v>
      </c>
      <c r="K53" s="44">
        <v>0.05</v>
      </c>
      <c r="L53" s="44">
        <v>0.05</v>
      </c>
      <c r="M53" s="44">
        <v>0.05</v>
      </c>
      <c r="O53" s="44">
        <v>0.05</v>
      </c>
      <c r="P53" s="44"/>
      <c r="Q53" s="44">
        <v>0.05</v>
      </c>
      <c r="R53" s="44">
        <v>0.05</v>
      </c>
      <c r="S53" s="44">
        <v>0.05</v>
      </c>
      <c r="V53" s="44">
        <v>0.05</v>
      </c>
      <c r="W53" s="44">
        <v>0.05</v>
      </c>
      <c r="X53" s="44">
        <v>0.05</v>
      </c>
      <c r="Y53" s="44">
        <v>0.05</v>
      </c>
      <c r="Z53" s="44">
        <v>0.05</v>
      </c>
      <c r="AA53" s="44">
        <v>0.05</v>
      </c>
      <c r="AB53" s="44">
        <v>0.05</v>
      </c>
      <c r="AC53" s="44">
        <v>0.05</v>
      </c>
      <c r="AD53" s="44">
        <v>0.05</v>
      </c>
      <c r="AE53" s="44">
        <v>0.05</v>
      </c>
      <c r="AF53" s="44">
        <v>0.05</v>
      </c>
      <c r="AG53"/>
      <c r="AH53" s="44">
        <v>0.05</v>
      </c>
      <c r="AI53" s="44">
        <v>0.05</v>
      </c>
      <c r="AJ53" s="44">
        <v>0.05</v>
      </c>
      <c r="AK53" s="44">
        <v>0.05</v>
      </c>
      <c r="AL53" s="44">
        <v>0.05</v>
      </c>
      <c r="AM53" s="44">
        <v>0.05</v>
      </c>
      <c r="AN53" s="44">
        <v>0.05</v>
      </c>
      <c r="AO53"/>
      <c r="AP53" s="44">
        <v>0.05</v>
      </c>
      <c r="AQ53" s="44">
        <v>0.05</v>
      </c>
      <c r="AR53" s="44">
        <v>0.05</v>
      </c>
      <c r="AS53" s="44">
        <v>0.05</v>
      </c>
      <c r="AT53"/>
      <c r="AU53" s="44">
        <v>0.05</v>
      </c>
      <c r="AV53"/>
      <c r="AW53"/>
      <c r="AX53" s="44">
        <v>0.05</v>
      </c>
    </row>
    <row r="54" spans="1:50" x14ac:dyDescent="0.25">
      <c r="A54" s="15" t="s">
        <v>36</v>
      </c>
      <c r="B54" s="3" t="s">
        <v>473</v>
      </c>
      <c r="C54" s="3" t="s">
        <v>483</v>
      </c>
      <c r="D54" s="3" t="s">
        <v>521</v>
      </c>
      <c r="E54" s="16" t="s">
        <v>148</v>
      </c>
      <c r="F54" s="16" t="s">
        <v>98</v>
      </c>
      <c r="G54" s="44">
        <v>1E-3</v>
      </c>
      <c r="I54" s="58"/>
      <c r="J54" s="44">
        <v>1E-3</v>
      </c>
      <c r="K54" s="44">
        <v>1E-3</v>
      </c>
      <c r="L54" s="44">
        <v>1E-3</v>
      </c>
      <c r="M54" s="44">
        <v>1E-3</v>
      </c>
      <c r="O54" s="44">
        <v>1E-3</v>
      </c>
      <c r="P54" s="44"/>
      <c r="Q54" s="44">
        <v>1E-3</v>
      </c>
      <c r="R54" s="44">
        <v>1E-3</v>
      </c>
      <c r="S54" s="44">
        <v>1E-3</v>
      </c>
      <c r="V54" s="44">
        <v>1E-3</v>
      </c>
      <c r="W54" s="44">
        <v>1E-3</v>
      </c>
      <c r="X54" s="44">
        <v>1E-3</v>
      </c>
      <c r="Y54" s="44">
        <v>1E-3</v>
      </c>
      <c r="Z54" s="44">
        <v>1E-3</v>
      </c>
      <c r="AA54" s="44">
        <v>1E-3</v>
      </c>
      <c r="AB54" s="44">
        <v>1E-3</v>
      </c>
      <c r="AC54" s="44">
        <v>1E-3</v>
      </c>
      <c r="AD54" s="44">
        <v>1E-3</v>
      </c>
      <c r="AE54" s="44">
        <v>1E-3</v>
      </c>
      <c r="AF54" s="44">
        <v>1E-3</v>
      </c>
      <c r="AG54"/>
      <c r="AH54" s="44">
        <v>1E-3</v>
      </c>
      <c r="AI54" s="44">
        <v>1E-3</v>
      </c>
      <c r="AJ54" s="44">
        <v>1E-3</v>
      </c>
      <c r="AK54" s="44">
        <v>1E-3</v>
      </c>
      <c r="AL54" s="44">
        <v>1E-3</v>
      </c>
      <c r="AM54" s="44">
        <v>1E-3</v>
      </c>
      <c r="AN54" s="44">
        <v>1E-3</v>
      </c>
      <c r="AO54"/>
      <c r="AP54" s="44">
        <v>1E-3</v>
      </c>
      <c r="AQ54" s="44">
        <v>1E-3</v>
      </c>
      <c r="AR54" s="44">
        <v>1E-3</v>
      </c>
      <c r="AS54" s="44">
        <v>1E-3</v>
      </c>
      <c r="AT54"/>
      <c r="AU54" s="44">
        <v>1E-3</v>
      </c>
      <c r="AV54"/>
      <c r="AW54"/>
      <c r="AX54" s="44">
        <v>1E-3</v>
      </c>
    </row>
    <row r="55" spans="1:50" x14ac:dyDescent="0.25">
      <c r="A55" s="15" t="s">
        <v>379</v>
      </c>
      <c r="B55" s="3" t="s">
        <v>473</v>
      </c>
      <c r="C55" s="3" t="s">
        <v>483</v>
      </c>
      <c r="D55" s="3" t="s">
        <v>521</v>
      </c>
      <c r="E55" s="16" t="s">
        <v>380</v>
      </c>
      <c r="F55" s="16" t="s">
        <v>98</v>
      </c>
      <c r="G55" s="44">
        <v>0</v>
      </c>
      <c r="I55" s="58"/>
      <c r="J55" s="44">
        <v>0</v>
      </c>
      <c r="K55" s="44">
        <v>0</v>
      </c>
      <c r="L55" s="44">
        <v>0</v>
      </c>
      <c r="M55" s="44">
        <v>0</v>
      </c>
      <c r="O55" s="44">
        <v>0</v>
      </c>
      <c r="P55" s="44"/>
      <c r="Q55" s="44">
        <v>0</v>
      </c>
      <c r="R55" s="44">
        <v>0</v>
      </c>
      <c r="S55" s="44">
        <v>0</v>
      </c>
      <c r="V55" s="44">
        <v>0</v>
      </c>
      <c r="W55" s="44">
        <v>0</v>
      </c>
      <c r="X55" s="44">
        <v>0</v>
      </c>
      <c r="Y55" s="44">
        <v>0</v>
      </c>
      <c r="Z55" s="44">
        <v>0</v>
      </c>
      <c r="AA55" s="44">
        <v>0</v>
      </c>
      <c r="AB55" s="44">
        <v>0</v>
      </c>
      <c r="AC55" s="44">
        <v>0</v>
      </c>
      <c r="AD55" s="44">
        <v>0</v>
      </c>
      <c r="AE55" s="44">
        <v>0</v>
      </c>
      <c r="AF55" s="44">
        <v>0</v>
      </c>
      <c r="AG55"/>
      <c r="AH55" s="44">
        <v>0</v>
      </c>
      <c r="AI55" s="44">
        <v>0</v>
      </c>
      <c r="AJ55" s="44">
        <v>0</v>
      </c>
      <c r="AK55" s="44">
        <v>0</v>
      </c>
      <c r="AL55" s="44">
        <v>0</v>
      </c>
      <c r="AM55" s="44">
        <v>0</v>
      </c>
      <c r="AN55" s="44">
        <v>0</v>
      </c>
      <c r="AO55"/>
      <c r="AP55" s="44">
        <v>0</v>
      </c>
      <c r="AQ55" s="44">
        <v>0</v>
      </c>
      <c r="AR55" s="44">
        <v>0</v>
      </c>
      <c r="AS55" s="44">
        <v>0</v>
      </c>
      <c r="AT55"/>
      <c r="AU55" s="44">
        <v>0</v>
      </c>
      <c r="AV55"/>
      <c r="AW55"/>
      <c r="AX55" s="44">
        <v>0</v>
      </c>
    </row>
    <row r="56" spans="1:50" x14ac:dyDescent="0.25">
      <c r="A56" s="15" t="s">
        <v>37</v>
      </c>
      <c r="B56" s="3" t="s">
        <v>473</v>
      </c>
      <c r="C56" s="3" t="s">
        <v>483</v>
      </c>
      <c r="D56" s="3" t="s">
        <v>521</v>
      </c>
      <c r="E56" s="16" t="s">
        <v>149</v>
      </c>
      <c r="F56" s="16" t="s">
        <v>195</v>
      </c>
      <c r="G56" s="44">
        <v>1E-4</v>
      </c>
      <c r="I56" s="58"/>
      <c r="J56" s="44">
        <v>1E-4</v>
      </c>
      <c r="K56" s="44">
        <v>1E-4</v>
      </c>
      <c r="L56" s="44">
        <v>1E-4</v>
      </c>
      <c r="M56" s="44">
        <v>1E-4</v>
      </c>
      <c r="O56" s="44">
        <v>1E-4</v>
      </c>
      <c r="P56" s="44"/>
      <c r="Q56" s="44">
        <v>1E-4</v>
      </c>
      <c r="R56" s="44">
        <v>1E-4</v>
      </c>
      <c r="S56" s="44">
        <v>1E-4</v>
      </c>
      <c r="V56" s="44">
        <v>1E-4</v>
      </c>
      <c r="W56" s="44">
        <v>1E-4</v>
      </c>
      <c r="X56" s="44">
        <v>1E-4</v>
      </c>
      <c r="Y56" s="44">
        <v>1E-4</v>
      </c>
      <c r="Z56" s="44">
        <v>1E-4</v>
      </c>
      <c r="AA56" s="44">
        <v>1E-4</v>
      </c>
      <c r="AB56" s="44">
        <v>1E-4</v>
      </c>
      <c r="AC56" s="44">
        <v>1E-4</v>
      </c>
      <c r="AD56" s="44">
        <v>1E-4</v>
      </c>
      <c r="AE56" s="44">
        <v>1E-4</v>
      </c>
      <c r="AF56" s="44">
        <v>1E-4</v>
      </c>
      <c r="AG56"/>
      <c r="AH56" s="44">
        <v>1E-4</v>
      </c>
      <c r="AI56" s="44">
        <v>1E-4</v>
      </c>
      <c r="AJ56" s="44">
        <v>1E-4</v>
      </c>
      <c r="AK56" s="44">
        <v>1E-4</v>
      </c>
      <c r="AL56" s="44">
        <v>1E-4</v>
      </c>
      <c r="AM56" s="44">
        <v>1E-4</v>
      </c>
      <c r="AN56" s="44">
        <v>1E-4</v>
      </c>
      <c r="AO56"/>
      <c r="AP56" s="44">
        <v>1E-4</v>
      </c>
      <c r="AQ56" s="44">
        <v>1E-4</v>
      </c>
      <c r="AR56" s="44">
        <v>1E-4</v>
      </c>
      <c r="AS56" s="44">
        <v>1E-4</v>
      </c>
      <c r="AT56"/>
      <c r="AU56" s="44">
        <v>1E-4</v>
      </c>
      <c r="AV56"/>
      <c r="AW56"/>
      <c r="AX56" s="44">
        <v>1E-4</v>
      </c>
    </row>
    <row r="57" spans="1:50" x14ac:dyDescent="0.25">
      <c r="A57" s="15" t="s">
        <v>38</v>
      </c>
      <c r="B57" s="3" t="s">
        <v>473</v>
      </c>
      <c r="C57" s="3" t="s">
        <v>483</v>
      </c>
      <c r="D57" s="3" t="s">
        <v>521</v>
      </c>
      <c r="E57" s="16" t="s">
        <v>150</v>
      </c>
      <c r="F57" s="16" t="s">
        <v>195</v>
      </c>
      <c r="G57" s="44">
        <v>1E-4</v>
      </c>
      <c r="I57" s="58"/>
      <c r="J57" s="44">
        <v>1E-4</v>
      </c>
      <c r="K57" s="44">
        <v>1E-4</v>
      </c>
      <c r="L57" s="44">
        <v>1E-4</v>
      </c>
      <c r="M57" s="44">
        <v>1E-4</v>
      </c>
      <c r="O57" s="44">
        <v>1E-4</v>
      </c>
      <c r="P57" s="44"/>
      <c r="Q57" s="44">
        <v>1E-4</v>
      </c>
      <c r="R57" s="44">
        <v>1E-4</v>
      </c>
      <c r="S57" s="44">
        <v>1E-4</v>
      </c>
      <c r="V57" s="44">
        <v>1E-4</v>
      </c>
      <c r="W57" s="44">
        <v>1E-4</v>
      </c>
      <c r="X57" s="44">
        <v>1E-4</v>
      </c>
      <c r="Y57" s="44">
        <v>1E-4</v>
      </c>
      <c r="Z57" s="44">
        <v>1E-4</v>
      </c>
      <c r="AA57" s="44">
        <v>1E-4</v>
      </c>
      <c r="AB57" s="44">
        <v>1E-4</v>
      </c>
      <c r="AC57" s="44">
        <v>1E-4</v>
      </c>
      <c r="AD57" s="44">
        <v>1E-4</v>
      </c>
      <c r="AE57" s="44">
        <v>1E-4</v>
      </c>
      <c r="AF57" s="44">
        <v>1E-4</v>
      </c>
      <c r="AG57"/>
      <c r="AH57" s="44">
        <v>1E-4</v>
      </c>
      <c r="AI57" s="44">
        <v>1E-4</v>
      </c>
      <c r="AJ57" s="44">
        <v>1E-4</v>
      </c>
      <c r="AK57" s="44">
        <v>1E-4</v>
      </c>
      <c r="AL57" s="44">
        <v>1E-4</v>
      </c>
      <c r="AM57" s="44">
        <v>1E-4</v>
      </c>
      <c r="AN57" s="44">
        <v>1E-4</v>
      </c>
      <c r="AO57"/>
      <c r="AP57" s="44">
        <v>1E-4</v>
      </c>
      <c r="AQ57" s="44">
        <v>1E-4</v>
      </c>
      <c r="AR57" s="44">
        <v>1E-4</v>
      </c>
      <c r="AS57" s="44">
        <v>1E-4</v>
      </c>
      <c r="AT57"/>
      <c r="AU57" s="44">
        <v>1E-4</v>
      </c>
      <c r="AV57"/>
      <c r="AW57"/>
      <c r="AX57" s="44">
        <v>1E-4</v>
      </c>
    </row>
    <row r="58" spans="1:50" x14ac:dyDescent="0.25">
      <c r="A58" s="17" t="s">
        <v>39</v>
      </c>
      <c r="B58" s="3" t="s">
        <v>473</v>
      </c>
      <c r="C58" s="3" t="s">
        <v>483</v>
      </c>
      <c r="D58" s="3" t="s">
        <v>521</v>
      </c>
      <c r="E58" s="18" t="s">
        <v>151</v>
      </c>
      <c r="F58" s="18" t="s">
        <v>98</v>
      </c>
      <c r="G58" s="44">
        <v>6.9999999999999999E-4</v>
      </c>
      <c r="I58" s="58"/>
      <c r="J58" s="44">
        <v>6.9999999999999999E-4</v>
      </c>
      <c r="K58" s="44">
        <v>6.9999999999999999E-4</v>
      </c>
      <c r="L58" s="44">
        <v>6.9999999999999999E-4</v>
      </c>
      <c r="M58" s="44">
        <v>6.9999999999999999E-4</v>
      </c>
      <c r="O58" s="44">
        <v>6.9999999999999999E-4</v>
      </c>
      <c r="P58" s="44"/>
      <c r="Q58" s="44">
        <v>6.9999999999999999E-4</v>
      </c>
      <c r="R58" s="44">
        <v>6.9999999999999999E-4</v>
      </c>
      <c r="S58" s="44">
        <v>6.9999999999999999E-4</v>
      </c>
      <c r="V58" s="44">
        <v>6.9999999999999999E-4</v>
      </c>
      <c r="W58" s="44">
        <v>6.9999999999999999E-4</v>
      </c>
      <c r="X58" s="44">
        <v>6.9999999999999999E-4</v>
      </c>
      <c r="Y58" s="44">
        <v>6.9999999999999999E-4</v>
      </c>
      <c r="Z58" s="44">
        <v>6.9999999999999999E-4</v>
      </c>
      <c r="AA58" s="44">
        <v>6.9999999999999999E-4</v>
      </c>
      <c r="AB58" s="44">
        <v>6.9999999999999999E-4</v>
      </c>
      <c r="AC58" s="44">
        <v>6.9999999999999999E-4</v>
      </c>
      <c r="AD58" s="44">
        <v>6.9999999999999999E-4</v>
      </c>
      <c r="AE58" s="44">
        <v>6.9999999999999999E-4</v>
      </c>
      <c r="AF58" s="44">
        <v>6.9999999999999999E-4</v>
      </c>
      <c r="AG58"/>
      <c r="AH58" s="44">
        <v>6.9999999999999999E-4</v>
      </c>
      <c r="AI58" s="44">
        <v>6.9999999999999999E-4</v>
      </c>
      <c r="AJ58" s="44">
        <v>6.9999999999999999E-4</v>
      </c>
      <c r="AK58" s="44">
        <v>6.9999999999999999E-4</v>
      </c>
      <c r="AL58" s="44">
        <v>6.9999999999999999E-4</v>
      </c>
      <c r="AM58" s="44">
        <v>6.9999999999999999E-4</v>
      </c>
      <c r="AN58" s="44">
        <v>6.9999999999999999E-4</v>
      </c>
      <c r="AO58"/>
      <c r="AP58" s="44">
        <v>6.9999999999999999E-4</v>
      </c>
      <c r="AQ58" s="44">
        <v>6.9999999999999999E-4</v>
      </c>
      <c r="AR58" s="44">
        <v>6.9999999999999999E-4</v>
      </c>
      <c r="AS58" s="44">
        <v>6.9999999999999999E-4</v>
      </c>
      <c r="AT58"/>
      <c r="AU58" s="44">
        <v>6.9999999999999999E-4</v>
      </c>
      <c r="AV58"/>
      <c r="AW58"/>
      <c r="AX58" s="44">
        <v>6.9999999999999999E-4</v>
      </c>
    </row>
    <row r="59" spans="1:50" x14ac:dyDescent="0.25">
      <c r="A59" s="17" t="s">
        <v>40</v>
      </c>
      <c r="B59" s="3" t="s">
        <v>473</v>
      </c>
      <c r="C59" s="3" t="s">
        <v>483</v>
      </c>
      <c r="D59" s="3" t="s">
        <v>521</v>
      </c>
      <c r="E59" s="18" t="s">
        <v>152</v>
      </c>
      <c r="F59" s="18" t="s">
        <v>98</v>
      </c>
      <c r="G59" s="44">
        <v>1.22E-4</v>
      </c>
      <c r="I59" s="58"/>
      <c r="J59" s="44">
        <v>1.22E-4</v>
      </c>
      <c r="K59" s="44">
        <v>1.22E-4</v>
      </c>
      <c r="L59" s="44">
        <v>1.22E-4</v>
      </c>
      <c r="M59" s="44">
        <v>1.22E-4</v>
      </c>
      <c r="O59" s="44">
        <v>1.22E-4</v>
      </c>
      <c r="P59" s="44"/>
      <c r="Q59" s="44">
        <v>1.22E-4</v>
      </c>
      <c r="R59" s="44">
        <v>1.22E-4</v>
      </c>
      <c r="S59" s="44">
        <v>1.22E-4</v>
      </c>
      <c r="V59" s="44">
        <v>1.22E-4</v>
      </c>
      <c r="W59" s="44">
        <v>1.22E-4</v>
      </c>
      <c r="X59" s="44">
        <v>1.22E-4</v>
      </c>
      <c r="Y59" s="44">
        <v>1.22E-4</v>
      </c>
      <c r="Z59" s="44">
        <v>1.22E-4</v>
      </c>
      <c r="AA59" s="44">
        <v>1.22E-4</v>
      </c>
      <c r="AB59" s="44">
        <v>1.22E-4</v>
      </c>
      <c r="AC59" s="44">
        <v>1.22E-4</v>
      </c>
      <c r="AD59" s="44">
        <v>1.22E-4</v>
      </c>
      <c r="AE59" s="44">
        <v>1.22E-4</v>
      </c>
      <c r="AF59" s="44">
        <v>1.22E-4</v>
      </c>
      <c r="AG59"/>
      <c r="AH59" s="44">
        <v>1.22E-4</v>
      </c>
      <c r="AI59" s="44">
        <v>1.22E-4</v>
      </c>
      <c r="AJ59" s="44">
        <v>1.22E-4</v>
      </c>
      <c r="AK59" s="44">
        <v>1.22E-4</v>
      </c>
      <c r="AL59" s="44">
        <v>1.22E-4</v>
      </c>
      <c r="AM59" s="44">
        <v>1.22E-4</v>
      </c>
      <c r="AN59" s="44">
        <v>1.22E-4</v>
      </c>
      <c r="AO59"/>
      <c r="AP59" s="44">
        <v>1.22E-4</v>
      </c>
      <c r="AQ59" s="44">
        <v>1.22E-4</v>
      </c>
      <c r="AR59" s="44">
        <v>1.22E-4</v>
      </c>
      <c r="AS59" s="44">
        <v>1.22E-4</v>
      </c>
      <c r="AT59"/>
      <c r="AU59" s="44">
        <v>1.22E-4</v>
      </c>
      <c r="AV59"/>
      <c r="AW59"/>
      <c r="AX59" s="44">
        <v>1.22E-4</v>
      </c>
    </row>
    <row r="60" spans="1:50" x14ac:dyDescent="0.25">
      <c r="A60" s="17" t="s">
        <v>206</v>
      </c>
      <c r="B60" s="3" t="s">
        <v>473</v>
      </c>
      <c r="C60" s="3" t="s">
        <v>483</v>
      </c>
      <c r="D60" s="3" t="s">
        <v>521</v>
      </c>
      <c r="E60" s="18" t="s">
        <v>284</v>
      </c>
      <c r="F60" s="18" t="s">
        <v>98</v>
      </c>
      <c r="G60" s="44">
        <v>1</v>
      </c>
      <c r="I60" s="58"/>
      <c r="J60" s="44">
        <v>1</v>
      </c>
      <c r="K60" s="44">
        <v>1</v>
      </c>
      <c r="L60" s="44">
        <v>1</v>
      </c>
      <c r="M60" s="44">
        <v>1</v>
      </c>
      <c r="O60" s="44">
        <v>1</v>
      </c>
      <c r="P60" s="44"/>
      <c r="Q60" s="44">
        <v>1</v>
      </c>
      <c r="R60" s="44">
        <v>1</v>
      </c>
      <c r="S60" s="44">
        <v>1</v>
      </c>
      <c r="V60" s="44">
        <v>1</v>
      </c>
      <c r="W60" s="44">
        <v>1</v>
      </c>
      <c r="X60" s="44">
        <v>1</v>
      </c>
      <c r="Y60" s="44">
        <v>1</v>
      </c>
      <c r="Z60" s="44">
        <v>1</v>
      </c>
      <c r="AA60" s="44">
        <v>1</v>
      </c>
      <c r="AB60" s="44">
        <v>1</v>
      </c>
      <c r="AC60" s="44">
        <v>1</v>
      </c>
      <c r="AD60" s="44">
        <v>1</v>
      </c>
      <c r="AE60" s="44">
        <v>1</v>
      </c>
      <c r="AF60" s="44">
        <v>1</v>
      </c>
      <c r="AG60"/>
      <c r="AH60" s="44">
        <v>1</v>
      </c>
      <c r="AI60" s="44">
        <v>1</v>
      </c>
      <c r="AJ60" s="44">
        <v>1</v>
      </c>
      <c r="AK60" s="44">
        <v>1</v>
      </c>
      <c r="AL60" s="44">
        <v>1</v>
      </c>
      <c r="AM60" s="44">
        <v>1</v>
      </c>
      <c r="AN60" s="44">
        <v>1</v>
      </c>
      <c r="AO60"/>
      <c r="AP60" s="44">
        <v>1</v>
      </c>
      <c r="AQ60" s="44">
        <v>1</v>
      </c>
      <c r="AR60" s="44">
        <v>1</v>
      </c>
      <c r="AS60" s="44">
        <v>1</v>
      </c>
      <c r="AT60"/>
      <c r="AU60" s="44">
        <v>1</v>
      </c>
      <c r="AV60"/>
      <c r="AW60"/>
      <c r="AX60" s="44">
        <v>1</v>
      </c>
    </row>
    <row r="61" spans="1:50" x14ac:dyDescent="0.25">
      <c r="A61" s="17" t="s">
        <v>41</v>
      </c>
      <c r="B61" s="3" t="s">
        <v>473</v>
      </c>
      <c r="C61" s="3" t="s">
        <v>483</v>
      </c>
      <c r="D61" s="3" t="s">
        <v>521</v>
      </c>
      <c r="E61" s="18" t="s">
        <v>155</v>
      </c>
      <c r="F61" s="18" t="s">
        <v>102</v>
      </c>
      <c r="G61" s="44">
        <v>0.95</v>
      </c>
      <c r="I61" s="58"/>
      <c r="J61" s="44">
        <v>0.95</v>
      </c>
      <c r="K61" s="44">
        <v>0.95</v>
      </c>
      <c r="L61" s="44">
        <v>0.95</v>
      </c>
      <c r="M61" s="44">
        <v>0.95</v>
      </c>
      <c r="O61" s="44">
        <v>0.95</v>
      </c>
      <c r="P61" s="44"/>
      <c r="Q61" s="44">
        <v>0.95</v>
      </c>
      <c r="R61" s="44">
        <v>0.95</v>
      </c>
      <c r="S61" s="44">
        <v>0.95</v>
      </c>
      <c r="V61" s="44">
        <v>0.95</v>
      </c>
      <c r="W61" s="44">
        <v>0.95</v>
      </c>
      <c r="X61" s="44">
        <v>0.95</v>
      </c>
      <c r="Y61" s="44">
        <v>0.95</v>
      </c>
      <c r="Z61" s="44">
        <v>0.95</v>
      </c>
      <c r="AA61" s="44">
        <v>0.95</v>
      </c>
      <c r="AB61" s="44">
        <v>0.95</v>
      </c>
      <c r="AC61" s="44">
        <v>0.95</v>
      </c>
      <c r="AD61" s="44">
        <v>0.95</v>
      </c>
      <c r="AE61" s="44">
        <v>0.95</v>
      </c>
      <c r="AF61" s="44">
        <v>0.95</v>
      </c>
      <c r="AG61"/>
      <c r="AH61" s="44">
        <v>0.95</v>
      </c>
      <c r="AI61" s="44">
        <v>0.95</v>
      </c>
      <c r="AJ61" s="44">
        <v>0.95</v>
      </c>
      <c r="AK61" s="44">
        <v>0.95</v>
      </c>
      <c r="AL61" s="44">
        <v>0.95</v>
      </c>
      <c r="AM61" s="44">
        <v>0.95</v>
      </c>
      <c r="AN61" s="44">
        <v>0.95</v>
      </c>
      <c r="AO61"/>
      <c r="AP61" s="44">
        <v>0.95</v>
      </c>
      <c r="AQ61" s="44">
        <v>0.95</v>
      </c>
      <c r="AR61" s="44">
        <v>0.95</v>
      </c>
      <c r="AS61" s="44">
        <v>0.95</v>
      </c>
      <c r="AT61"/>
      <c r="AU61" s="44">
        <v>0.95</v>
      </c>
      <c r="AV61"/>
      <c r="AW61"/>
      <c r="AX61" s="44">
        <v>0.95</v>
      </c>
    </row>
    <row r="62" spans="1:50" x14ac:dyDescent="0.25">
      <c r="A62" s="17" t="s">
        <v>406</v>
      </c>
      <c r="B62" s="3" t="s">
        <v>473</v>
      </c>
      <c r="C62" s="3" t="s">
        <v>483</v>
      </c>
      <c r="D62" s="3" t="s">
        <v>521</v>
      </c>
      <c r="E62" s="18" t="s">
        <v>407</v>
      </c>
      <c r="F62" s="18" t="s">
        <v>94</v>
      </c>
      <c r="G62" s="44" t="s">
        <v>87</v>
      </c>
      <c r="I62" s="58"/>
      <c r="J62" s="44" t="s">
        <v>87</v>
      </c>
      <c r="K62" s="44" t="s">
        <v>87</v>
      </c>
      <c r="L62" s="44" t="s">
        <v>87</v>
      </c>
      <c r="M62" s="44" t="s">
        <v>87</v>
      </c>
      <c r="O62" s="44" t="s">
        <v>87</v>
      </c>
      <c r="P62" s="44"/>
      <c r="Q62" s="44" t="s">
        <v>87</v>
      </c>
      <c r="R62" s="44" t="s">
        <v>87</v>
      </c>
      <c r="S62" s="44" t="s">
        <v>87</v>
      </c>
      <c r="V62" s="44" t="s">
        <v>87</v>
      </c>
      <c r="W62" s="44" t="s">
        <v>87</v>
      </c>
      <c r="X62" s="44" t="s">
        <v>87</v>
      </c>
      <c r="Y62" s="44" t="s">
        <v>87</v>
      </c>
      <c r="Z62" s="44" t="s">
        <v>87</v>
      </c>
      <c r="AA62" s="44" t="s">
        <v>87</v>
      </c>
      <c r="AB62" s="44" t="s">
        <v>87</v>
      </c>
      <c r="AC62" s="44" t="s">
        <v>87</v>
      </c>
      <c r="AD62" s="44" t="s">
        <v>87</v>
      </c>
      <c r="AE62" s="44" t="s">
        <v>87</v>
      </c>
      <c r="AF62" s="44" t="s">
        <v>87</v>
      </c>
      <c r="AG62"/>
      <c r="AH62" s="44" t="s">
        <v>87</v>
      </c>
      <c r="AI62" s="44" t="s">
        <v>87</v>
      </c>
      <c r="AJ62" s="44" t="s">
        <v>87</v>
      </c>
      <c r="AK62" s="44" t="s">
        <v>87</v>
      </c>
      <c r="AL62" s="44" t="s">
        <v>87</v>
      </c>
      <c r="AM62" s="44" t="s">
        <v>87</v>
      </c>
      <c r="AN62" s="44" t="s">
        <v>87</v>
      </c>
      <c r="AO62"/>
      <c r="AP62" s="44" t="s">
        <v>87</v>
      </c>
      <c r="AQ62" s="44" t="s">
        <v>87</v>
      </c>
      <c r="AR62" s="44" t="s">
        <v>87</v>
      </c>
      <c r="AS62" s="44" t="s">
        <v>87</v>
      </c>
      <c r="AT62"/>
      <c r="AU62" s="44" t="s">
        <v>87</v>
      </c>
      <c r="AV62"/>
      <c r="AW62"/>
      <c r="AX62" s="44" t="s">
        <v>87</v>
      </c>
    </row>
    <row r="63" spans="1:50" x14ac:dyDescent="0.25">
      <c r="A63" s="17" t="s">
        <v>90</v>
      </c>
      <c r="B63" s="3" t="s">
        <v>473</v>
      </c>
      <c r="C63" s="3" t="s">
        <v>483</v>
      </c>
      <c r="D63" s="3" t="s">
        <v>521</v>
      </c>
      <c r="E63" s="18" t="s">
        <v>153</v>
      </c>
      <c r="F63" s="18" t="s">
        <v>103</v>
      </c>
      <c r="G63" s="44">
        <v>5</v>
      </c>
      <c r="I63" s="58"/>
      <c r="J63" s="44">
        <v>5</v>
      </c>
      <c r="K63" s="44">
        <v>5</v>
      </c>
      <c r="L63" s="44">
        <v>5</v>
      </c>
      <c r="M63" s="44">
        <v>5</v>
      </c>
      <c r="O63" s="44">
        <v>5</v>
      </c>
      <c r="P63" s="44"/>
      <c r="Q63" s="44">
        <v>5</v>
      </c>
      <c r="R63" s="44">
        <v>5</v>
      </c>
      <c r="S63" s="44">
        <v>5</v>
      </c>
      <c r="V63" s="44">
        <v>5</v>
      </c>
      <c r="W63" s="44">
        <v>5</v>
      </c>
      <c r="X63" s="44">
        <v>5</v>
      </c>
      <c r="Y63" s="44">
        <v>5</v>
      </c>
      <c r="Z63" s="44">
        <v>5</v>
      </c>
      <c r="AA63" s="44">
        <v>5</v>
      </c>
      <c r="AB63" s="44">
        <v>5</v>
      </c>
      <c r="AC63" s="44">
        <v>5</v>
      </c>
      <c r="AD63" s="44">
        <v>5</v>
      </c>
      <c r="AE63" s="44">
        <v>5</v>
      </c>
      <c r="AF63" s="44">
        <v>5</v>
      </c>
      <c r="AG63"/>
      <c r="AH63" s="44">
        <v>5</v>
      </c>
      <c r="AI63" s="44">
        <v>5</v>
      </c>
      <c r="AJ63" s="44">
        <v>5</v>
      </c>
      <c r="AK63" s="44">
        <v>5</v>
      </c>
      <c r="AL63" s="44">
        <v>5</v>
      </c>
      <c r="AM63" s="44">
        <v>5</v>
      </c>
      <c r="AN63" s="44">
        <v>5</v>
      </c>
      <c r="AO63"/>
      <c r="AP63" s="44">
        <v>5</v>
      </c>
      <c r="AQ63" s="44">
        <v>5</v>
      </c>
      <c r="AR63" s="44">
        <v>5</v>
      </c>
      <c r="AS63" s="44">
        <v>5</v>
      </c>
      <c r="AT63"/>
      <c r="AU63" s="44">
        <v>5</v>
      </c>
      <c r="AV63"/>
      <c r="AW63"/>
      <c r="AX63" s="44">
        <v>5</v>
      </c>
    </row>
    <row r="64" spans="1:50" x14ac:dyDescent="0.25">
      <c r="A64" s="17" t="s">
        <v>408</v>
      </c>
      <c r="B64" s="3" t="s">
        <v>473</v>
      </c>
      <c r="C64" s="3" t="s">
        <v>483</v>
      </c>
      <c r="D64" s="3" t="s">
        <v>521</v>
      </c>
      <c r="E64" s="18" t="s">
        <v>409</v>
      </c>
      <c r="F64" s="18" t="s">
        <v>94</v>
      </c>
      <c r="G64" s="44" t="s">
        <v>87</v>
      </c>
      <c r="I64" s="58"/>
      <c r="J64" s="44" t="s">
        <v>87</v>
      </c>
      <c r="K64" s="44" t="s">
        <v>87</v>
      </c>
      <c r="L64" s="44" t="s">
        <v>87</v>
      </c>
      <c r="M64" s="44" t="s">
        <v>87</v>
      </c>
      <c r="O64" s="44" t="s">
        <v>87</v>
      </c>
      <c r="P64" s="44"/>
      <c r="Q64" s="44" t="s">
        <v>87</v>
      </c>
      <c r="R64" s="44" t="s">
        <v>87</v>
      </c>
      <c r="S64" s="44" t="s">
        <v>87</v>
      </c>
      <c r="V64" s="44" t="s">
        <v>87</v>
      </c>
      <c r="W64" s="44" t="s">
        <v>87</v>
      </c>
      <c r="X64" s="44" t="s">
        <v>87</v>
      </c>
      <c r="Y64" s="44" t="s">
        <v>87</v>
      </c>
      <c r="Z64" s="44" t="s">
        <v>87</v>
      </c>
      <c r="AA64" s="44" t="s">
        <v>87</v>
      </c>
      <c r="AB64" s="44" t="s">
        <v>87</v>
      </c>
      <c r="AC64" s="44" t="s">
        <v>87</v>
      </c>
      <c r="AD64" s="44" t="s">
        <v>87</v>
      </c>
      <c r="AE64" s="44" t="s">
        <v>87</v>
      </c>
      <c r="AF64" s="44" t="s">
        <v>87</v>
      </c>
      <c r="AG64"/>
      <c r="AH64" s="44" t="s">
        <v>87</v>
      </c>
      <c r="AI64" s="44" t="s">
        <v>87</v>
      </c>
      <c r="AJ64" s="44" t="s">
        <v>87</v>
      </c>
      <c r="AK64" s="44" t="s">
        <v>87</v>
      </c>
      <c r="AL64" s="44" t="s">
        <v>87</v>
      </c>
      <c r="AM64" s="44" t="s">
        <v>87</v>
      </c>
      <c r="AN64" s="44" t="s">
        <v>87</v>
      </c>
      <c r="AO64"/>
      <c r="AP64" s="44" t="s">
        <v>87</v>
      </c>
      <c r="AQ64" s="44" t="s">
        <v>87</v>
      </c>
      <c r="AR64" s="44" t="s">
        <v>87</v>
      </c>
      <c r="AS64" s="44" t="s">
        <v>87</v>
      </c>
      <c r="AT64"/>
      <c r="AU64" s="44" t="s">
        <v>87</v>
      </c>
      <c r="AV64"/>
      <c r="AW64"/>
      <c r="AX64" s="44" t="s">
        <v>87</v>
      </c>
    </row>
    <row r="65" spans="1:50" x14ac:dyDescent="0.25">
      <c r="A65" s="17" t="s">
        <v>42</v>
      </c>
      <c r="B65" s="3" t="s">
        <v>473</v>
      </c>
      <c r="C65" s="3" t="s">
        <v>483</v>
      </c>
      <c r="D65" s="3" t="s">
        <v>521</v>
      </c>
      <c r="E65" s="18" t="s">
        <v>154</v>
      </c>
      <c r="F65" s="18" t="s">
        <v>103</v>
      </c>
      <c r="G65" s="44">
        <v>50</v>
      </c>
      <c r="I65" s="58"/>
      <c r="J65" s="44">
        <v>50</v>
      </c>
      <c r="K65" s="44">
        <v>50</v>
      </c>
      <c r="L65" s="44">
        <v>50</v>
      </c>
      <c r="M65" s="44">
        <v>50</v>
      </c>
      <c r="O65" s="44">
        <v>50</v>
      </c>
      <c r="P65" s="44"/>
      <c r="Q65" s="44">
        <v>50</v>
      </c>
      <c r="R65" s="44">
        <v>50</v>
      </c>
      <c r="S65" s="44">
        <v>50</v>
      </c>
      <c r="V65" s="44">
        <v>50</v>
      </c>
      <c r="W65" s="44">
        <v>50</v>
      </c>
      <c r="X65" s="44">
        <v>50</v>
      </c>
      <c r="Y65" s="44">
        <v>50</v>
      </c>
      <c r="Z65" s="44">
        <v>50</v>
      </c>
      <c r="AA65" s="44">
        <v>50</v>
      </c>
      <c r="AB65" s="44">
        <v>50</v>
      </c>
      <c r="AC65" s="44">
        <v>50</v>
      </c>
      <c r="AD65" s="44">
        <v>50</v>
      </c>
      <c r="AE65" s="44">
        <v>50</v>
      </c>
      <c r="AF65" s="44">
        <v>50</v>
      </c>
      <c r="AG65"/>
      <c r="AH65" s="44">
        <v>50</v>
      </c>
      <c r="AI65" s="44">
        <v>50</v>
      </c>
      <c r="AJ65" s="44">
        <v>50</v>
      </c>
      <c r="AK65" s="44">
        <v>50</v>
      </c>
      <c r="AL65" s="44">
        <v>50</v>
      </c>
      <c r="AM65" s="44">
        <v>50</v>
      </c>
      <c r="AN65" s="44">
        <v>50</v>
      </c>
      <c r="AO65"/>
      <c r="AP65" s="44">
        <v>50</v>
      </c>
      <c r="AQ65" s="44">
        <v>50</v>
      </c>
      <c r="AR65" s="44">
        <v>50</v>
      </c>
      <c r="AS65" s="44">
        <v>50</v>
      </c>
      <c r="AT65"/>
      <c r="AU65" s="44">
        <v>50</v>
      </c>
      <c r="AV65"/>
      <c r="AW65"/>
      <c r="AX65" s="44">
        <v>50</v>
      </c>
    </row>
    <row r="66" spans="1:50" x14ac:dyDescent="0.25">
      <c r="A66" s="17" t="s">
        <v>207</v>
      </c>
      <c r="B66" s="3" t="s">
        <v>473</v>
      </c>
      <c r="C66" s="3" t="s">
        <v>483</v>
      </c>
      <c r="D66" s="3" t="s">
        <v>521</v>
      </c>
      <c r="E66" s="18" t="s">
        <v>288</v>
      </c>
      <c r="F66" s="18" t="s">
        <v>106</v>
      </c>
      <c r="G66" s="44">
        <v>1453890.8941884842</v>
      </c>
      <c r="I66" s="58"/>
      <c r="J66" s="44">
        <v>1453890.8941884842</v>
      </c>
      <c r="K66" s="44">
        <v>1453890.8941884842</v>
      </c>
      <c r="L66" s="44">
        <v>1453890.8941884842</v>
      </c>
      <c r="M66" s="44">
        <v>1453890.8941884842</v>
      </c>
      <c r="O66" s="44">
        <v>1453890.8941884842</v>
      </c>
      <c r="P66" s="44"/>
      <c r="Q66" s="44">
        <v>1453890.8941884842</v>
      </c>
      <c r="R66" s="44">
        <v>1453890.8941884842</v>
      </c>
      <c r="S66" s="44">
        <v>1453890.8941884842</v>
      </c>
      <c r="V66" s="44">
        <v>1453890.8941884842</v>
      </c>
      <c r="W66" s="44">
        <v>1453890.8941884842</v>
      </c>
      <c r="X66" s="44">
        <v>1453890.8941884842</v>
      </c>
      <c r="Y66" s="44">
        <v>1453890.8941884842</v>
      </c>
      <c r="Z66" s="44">
        <v>1453890.8941884842</v>
      </c>
      <c r="AA66" s="44">
        <v>1453890.8941884842</v>
      </c>
      <c r="AB66" s="44">
        <v>1453890.8941884842</v>
      </c>
      <c r="AC66" s="44">
        <v>1453890.8941884842</v>
      </c>
      <c r="AD66" s="44">
        <v>1453890.8941884842</v>
      </c>
      <c r="AE66" s="44">
        <v>1453890.8941884842</v>
      </c>
      <c r="AF66" s="44">
        <v>1453890.8941884842</v>
      </c>
      <c r="AG66"/>
      <c r="AH66" s="44">
        <v>1453890.8941884842</v>
      </c>
      <c r="AI66" s="44">
        <v>1453890.8941884842</v>
      </c>
      <c r="AJ66" s="44">
        <v>1453890.8941884842</v>
      </c>
      <c r="AK66" s="44">
        <v>1453890.8941884842</v>
      </c>
      <c r="AL66" s="44">
        <v>1453890.8941884842</v>
      </c>
      <c r="AM66" s="44">
        <v>1453890.8941884842</v>
      </c>
      <c r="AN66" s="44">
        <v>1453890.8941884842</v>
      </c>
      <c r="AO66"/>
      <c r="AP66" s="44">
        <v>1453890.8941884842</v>
      </c>
      <c r="AQ66" s="44">
        <v>1453890.8941884842</v>
      </c>
      <c r="AR66" s="44">
        <v>1453890.8941884842</v>
      </c>
      <c r="AS66" s="44">
        <v>1453890.8941884842</v>
      </c>
      <c r="AT66"/>
      <c r="AU66" s="44">
        <v>1453890.8941884842</v>
      </c>
      <c r="AV66"/>
      <c r="AW66"/>
      <c r="AX66" s="44">
        <v>1453890.8941884842</v>
      </c>
    </row>
    <row r="67" spans="1:50" x14ac:dyDescent="0.25">
      <c r="A67" s="17" t="s">
        <v>43</v>
      </c>
      <c r="B67" s="3" t="s">
        <v>473</v>
      </c>
      <c r="C67" s="3" t="s">
        <v>483</v>
      </c>
      <c r="D67" s="3" t="s">
        <v>521</v>
      </c>
      <c r="E67" s="18" t="s">
        <v>381</v>
      </c>
      <c r="F67" s="18" t="s">
        <v>104</v>
      </c>
      <c r="G67" s="44">
        <v>1.3888888888888888E-5</v>
      </c>
      <c r="I67" s="58"/>
      <c r="J67" s="44">
        <v>1.3888888888888888E-5</v>
      </c>
      <c r="K67" s="44">
        <v>1.3888888888888888E-5</v>
      </c>
      <c r="L67" s="44">
        <v>1.3888888888888888E-5</v>
      </c>
      <c r="M67" s="44">
        <v>1.3888888888888888E-5</v>
      </c>
      <c r="O67" s="44">
        <v>1.3888888888888888E-5</v>
      </c>
      <c r="P67" s="44"/>
      <c r="Q67" s="44">
        <v>1.3888888888888888E-5</v>
      </c>
      <c r="R67" s="44">
        <v>1.3888888888888888E-5</v>
      </c>
      <c r="S67" s="44">
        <v>1.3888888888888888E-5</v>
      </c>
      <c r="V67" s="44">
        <v>1.3888888888888888E-5</v>
      </c>
      <c r="W67" s="44">
        <v>1.3888888888888888E-5</v>
      </c>
      <c r="X67" s="44">
        <v>1.3888888888888888E-5</v>
      </c>
      <c r="Y67" s="44">
        <v>1.3888888888888888E-5</v>
      </c>
      <c r="Z67" s="44">
        <v>1.3888888888888888E-5</v>
      </c>
      <c r="AA67" s="44">
        <v>1.3888888888888888E-5</v>
      </c>
      <c r="AB67" s="44">
        <v>1.3888888888888888E-5</v>
      </c>
      <c r="AC67" s="44">
        <v>1.3888888888888888E-5</v>
      </c>
      <c r="AD67" s="44">
        <v>1.3888888888888888E-5</v>
      </c>
      <c r="AE67" s="44">
        <v>1.3888888888888888E-5</v>
      </c>
      <c r="AF67" s="44">
        <v>1.3888888888888888E-5</v>
      </c>
      <c r="AG67"/>
      <c r="AH67" s="44">
        <v>1.3888888888888888E-5</v>
      </c>
      <c r="AI67" s="44">
        <v>1.3888888888888888E-5</v>
      </c>
      <c r="AJ67" s="44">
        <v>1.3888888888888888E-5</v>
      </c>
      <c r="AK67" s="44">
        <v>1.3888888888888888E-5</v>
      </c>
      <c r="AL67" s="44">
        <v>1.3888888888888888E-5</v>
      </c>
      <c r="AM67" s="44">
        <v>1.3888888888888888E-5</v>
      </c>
      <c r="AN67" s="44">
        <v>1.3888888888888888E-5</v>
      </c>
      <c r="AO67"/>
      <c r="AP67" s="44">
        <v>1.3888888888888888E-5</v>
      </c>
      <c r="AQ67" s="44">
        <v>1.3888888888888888E-5</v>
      </c>
      <c r="AR67" s="44">
        <v>1.3888888888888888E-5</v>
      </c>
      <c r="AS67" s="44">
        <v>1.3888888888888888E-5</v>
      </c>
      <c r="AT67"/>
      <c r="AU67" s="44">
        <v>1.3888888888888888E-5</v>
      </c>
      <c r="AV67"/>
      <c r="AW67"/>
      <c r="AX67" s="44">
        <v>1.3888888888888888E-5</v>
      </c>
    </row>
    <row r="68" spans="1:50" x14ac:dyDescent="0.25">
      <c r="A68" s="17" t="s">
        <v>44</v>
      </c>
      <c r="B68" s="3" t="s">
        <v>473</v>
      </c>
      <c r="C68" s="3" t="s">
        <v>483</v>
      </c>
      <c r="D68" s="3" t="s">
        <v>521</v>
      </c>
      <c r="E68" s="18" t="s">
        <v>156</v>
      </c>
      <c r="F68" s="18" t="s">
        <v>105</v>
      </c>
      <c r="G68" s="44">
        <v>4.5763888888888888E-4</v>
      </c>
      <c r="I68" s="58"/>
      <c r="J68" s="44">
        <v>6.5011574074074071E-4</v>
      </c>
      <c r="K68" s="44">
        <v>6.5011574074074071E-4</v>
      </c>
      <c r="L68" s="44">
        <v>6.5011574074074071E-4</v>
      </c>
      <c r="M68" s="44">
        <v>6.5011574074074071E-4</v>
      </c>
      <c r="O68" s="44">
        <v>6.5011574074074071E-4</v>
      </c>
      <c r="P68" s="44"/>
      <c r="Q68" s="44">
        <v>6.5011574074074071E-4</v>
      </c>
      <c r="R68" s="44">
        <v>6.5011574074074071E-4</v>
      </c>
      <c r="S68" s="44">
        <v>6.5011574074074071E-4</v>
      </c>
      <c r="V68" s="44">
        <v>6.5011574074074071E-4</v>
      </c>
      <c r="W68" s="44">
        <v>6.5011574074074071E-4</v>
      </c>
      <c r="X68" s="44">
        <v>6.5011574074074071E-4</v>
      </c>
      <c r="Y68" s="44">
        <v>6.5011574074074071E-4</v>
      </c>
      <c r="Z68" s="44">
        <v>6.5011574074074071E-4</v>
      </c>
      <c r="AA68" s="44">
        <v>6.5011574074074071E-4</v>
      </c>
      <c r="AB68" s="44">
        <v>6.5011574074074071E-4</v>
      </c>
      <c r="AC68" s="44">
        <v>6.5011574074074071E-4</v>
      </c>
      <c r="AD68" s="44">
        <v>6.5011574074074071E-4</v>
      </c>
      <c r="AE68" s="44">
        <v>6.5011574074074071E-4</v>
      </c>
      <c r="AF68" s="44">
        <v>6.5011574074074071E-4</v>
      </c>
      <c r="AG68"/>
      <c r="AH68" s="44">
        <v>6.5011574074074071E-4</v>
      </c>
      <c r="AI68" s="44">
        <v>6.5011574074074071E-4</v>
      </c>
      <c r="AJ68" s="44">
        <v>6.5011574074074071E-4</v>
      </c>
      <c r="AK68" s="44">
        <v>6.5011574074074071E-4</v>
      </c>
      <c r="AL68" s="44">
        <v>6.5011574074074071E-4</v>
      </c>
      <c r="AM68" s="44">
        <v>6.5011574074074071E-4</v>
      </c>
      <c r="AN68" s="44">
        <v>6.5011574074074071E-4</v>
      </c>
      <c r="AO68"/>
      <c r="AP68" s="44">
        <v>6.5011574074074071E-4</v>
      </c>
      <c r="AQ68" s="44">
        <v>6.5011574074074071E-4</v>
      </c>
      <c r="AR68" s="44">
        <v>6.5011574074074071E-4</v>
      </c>
      <c r="AS68" s="44">
        <v>6.5011574074074071E-4</v>
      </c>
      <c r="AT68"/>
      <c r="AU68" s="44">
        <v>6.5011574074074071E-4</v>
      </c>
      <c r="AV68"/>
      <c r="AW68"/>
      <c r="AX68" s="44">
        <v>6.5011574074074071E-4</v>
      </c>
    </row>
    <row r="69" spans="1:50" x14ac:dyDescent="0.25">
      <c r="A69" s="17" t="s">
        <v>45</v>
      </c>
      <c r="B69" s="3" t="s">
        <v>473</v>
      </c>
      <c r="C69" s="3" t="s">
        <v>483</v>
      </c>
      <c r="D69" s="3" t="s">
        <v>521</v>
      </c>
      <c r="E69" s="18" t="s">
        <v>157</v>
      </c>
      <c r="F69" s="18" t="s">
        <v>98</v>
      </c>
      <c r="G69" s="44">
        <v>3.63E-3</v>
      </c>
      <c r="I69" s="58"/>
      <c r="J69" s="44">
        <v>4.7400000000000003E-3</v>
      </c>
      <c r="K69" s="44">
        <v>4.7400000000000003E-3</v>
      </c>
      <c r="L69" s="44">
        <v>4.7400000000000003E-3</v>
      </c>
      <c r="M69" s="44">
        <v>4.7400000000000003E-3</v>
      </c>
      <c r="O69" s="44">
        <v>4.7400000000000003E-3</v>
      </c>
      <c r="P69" s="44"/>
      <c r="Q69" s="44">
        <v>4.7400000000000003E-3</v>
      </c>
      <c r="R69" s="44">
        <v>4.7400000000000003E-3</v>
      </c>
      <c r="S69" s="44">
        <v>4.7400000000000003E-3</v>
      </c>
      <c r="V69" s="44">
        <v>4.7400000000000003E-3</v>
      </c>
      <c r="W69" s="44">
        <v>4.7400000000000003E-3</v>
      </c>
      <c r="X69" s="44">
        <v>4.7400000000000003E-3</v>
      </c>
      <c r="Y69" s="44">
        <v>4.7400000000000003E-3</v>
      </c>
      <c r="Z69" s="44">
        <v>4.7400000000000003E-3</v>
      </c>
      <c r="AA69" s="44">
        <v>4.7400000000000003E-3</v>
      </c>
      <c r="AB69" s="44">
        <v>4.7400000000000003E-3</v>
      </c>
      <c r="AC69" s="44">
        <v>4.7400000000000003E-3</v>
      </c>
      <c r="AD69" s="44">
        <v>4.7400000000000003E-3</v>
      </c>
      <c r="AE69" s="44">
        <v>4.7400000000000003E-3</v>
      </c>
      <c r="AF69" s="44">
        <v>4.7400000000000003E-3</v>
      </c>
      <c r="AG69"/>
      <c r="AH69" s="44">
        <v>4.7400000000000003E-3</v>
      </c>
      <c r="AI69" s="44">
        <v>4.7400000000000003E-3</v>
      </c>
      <c r="AJ69" s="44">
        <v>4.7400000000000003E-3</v>
      </c>
      <c r="AK69" s="44">
        <v>4.7400000000000003E-3</v>
      </c>
      <c r="AL69" s="44">
        <v>4.7400000000000003E-3</v>
      </c>
      <c r="AM69" s="44">
        <v>4.7400000000000003E-3</v>
      </c>
      <c r="AN69" s="44">
        <v>4.7400000000000003E-3</v>
      </c>
      <c r="AO69"/>
      <c r="AP69" s="44">
        <v>4.7400000000000003E-3</v>
      </c>
      <c r="AQ69" s="44">
        <v>4.7400000000000003E-3</v>
      </c>
      <c r="AR69" s="44">
        <v>4.7400000000000003E-3</v>
      </c>
      <c r="AS69" s="44">
        <v>4.7400000000000003E-3</v>
      </c>
      <c r="AT69"/>
      <c r="AU69" s="44">
        <v>4.7400000000000003E-3</v>
      </c>
      <c r="AV69"/>
      <c r="AW69"/>
      <c r="AX69" s="44">
        <v>4.7400000000000003E-3</v>
      </c>
    </row>
    <row r="70" spans="1:50" x14ac:dyDescent="0.25">
      <c r="A70" s="17" t="s">
        <v>46</v>
      </c>
      <c r="B70" s="3" t="s">
        <v>473</v>
      </c>
      <c r="C70" s="3" t="s">
        <v>483</v>
      </c>
      <c r="D70" s="3" t="s">
        <v>521</v>
      </c>
      <c r="E70" s="18" t="s">
        <v>158</v>
      </c>
      <c r="F70" s="18" t="s">
        <v>106</v>
      </c>
      <c r="G70" s="44">
        <v>491356.80000000005</v>
      </c>
      <c r="I70" s="58"/>
      <c r="J70" s="44">
        <v>282528</v>
      </c>
      <c r="K70" s="44">
        <v>282528</v>
      </c>
      <c r="L70" s="44">
        <v>282528</v>
      </c>
      <c r="M70" s="44">
        <v>282528</v>
      </c>
      <c r="O70" s="44">
        <v>282528</v>
      </c>
      <c r="P70" s="44"/>
      <c r="Q70" s="44">
        <v>282528</v>
      </c>
      <c r="R70" s="44">
        <v>282528</v>
      </c>
      <c r="S70" s="44">
        <v>282528</v>
      </c>
      <c r="V70" s="44">
        <v>282528</v>
      </c>
      <c r="W70" s="44">
        <v>282528</v>
      </c>
      <c r="X70" s="44">
        <v>282528</v>
      </c>
      <c r="Y70" s="44">
        <v>282528</v>
      </c>
      <c r="Z70" s="44">
        <v>282528</v>
      </c>
      <c r="AA70" s="44">
        <v>282528</v>
      </c>
      <c r="AB70" s="44">
        <v>282528</v>
      </c>
      <c r="AC70" s="44">
        <v>282528</v>
      </c>
      <c r="AD70" s="44">
        <v>282528</v>
      </c>
      <c r="AE70" s="44">
        <v>282528</v>
      </c>
      <c r="AF70" s="44">
        <v>282528</v>
      </c>
      <c r="AG70"/>
      <c r="AH70" s="44">
        <v>282528</v>
      </c>
      <c r="AI70" s="44">
        <v>282528</v>
      </c>
      <c r="AJ70" s="44">
        <v>282528</v>
      </c>
      <c r="AK70" s="44">
        <v>282528</v>
      </c>
      <c r="AL70" s="44">
        <v>282528</v>
      </c>
      <c r="AM70" s="44">
        <v>282528</v>
      </c>
      <c r="AN70" s="44">
        <v>282528</v>
      </c>
      <c r="AO70"/>
      <c r="AP70" s="44">
        <v>282528</v>
      </c>
      <c r="AQ70" s="44">
        <v>282528</v>
      </c>
      <c r="AR70" s="44">
        <v>282528</v>
      </c>
      <c r="AS70" s="44">
        <v>282528</v>
      </c>
      <c r="AT70"/>
      <c r="AU70" s="44">
        <v>282528</v>
      </c>
      <c r="AV70"/>
      <c r="AW70"/>
      <c r="AX70" s="44">
        <v>282528</v>
      </c>
    </row>
    <row r="71" spans="1:50" x14ac:dyDescent="0.25">
      <c r="A71" s="17" t="s">
        <v>47</v>
      </c>
      <c r="B71" s="3" t="s">
        <v>473</v>
      </c>
      <c r="C71" s="3" t="s">
        <v>483</v>
      </c>
      <c r="D71" s="3" t="s">
        <v>521</v>
      </c>
      <c r="E71" s="18" t="s">
        <v>159</v>
      </c>
      <c r="F71" s="18" t="s">
        <v>102</v>
      </c>
      <c r="G71" s="44">
        <v>0.57999999999999996</v>
      </c>
      <c r="I71" s="58"/>
      <c r="J71" s="44">
        <v>0.56999999999999995</v>
      </c>
      <c r="K71" s="44">
        <v>0.56999999999999995</v>
      </c>
      <c r="L71" s="44">
        <v>0.56999999999999995</v>
      </c>
      <c r="M71" s="44">
        <v>0.56999999999999995</v>
      </c>
      <c r="O71" s="44">
        <v>0.56999999999999995</v>
      </c>
      <c r="P71" s="44"/>
      <c r="Q71" s="44">
        <v>0.56999999999999995</v>
      </c>
      <c r="R71" s="44">
        <v>0.56999999999999995</v>
      </c>
      <c r="S71" s="44">
        <v>0.56999999999999995</v>
      </c>
      <c r="V71" s="44">
        <v>0.56999999999999995</v>
      </c>
      <c r="W71" s="44">
        <v>0.56999999999999995</v>
      </c>
      <c r="X71" s="44">
        <v>0.56999999999999995</v>
      </c>
      <c r="Y71" s="44">
        <v>0.56999999999999995</v>
      </c>
      <c r="Z71" s="44">
        <v>0.56999999999999995</v>
      </c>
      <c r="AA71" s="44">
        <v>0.56999999999999995</v>
      </c>
      <c r="AB71" s="44">
        <v>0.56999999999999995</v>
      </c>
      <c r="AC71" s="44">
        <v>0.56999999999999995</v>
      </c>
      <c r="AD71" s="44">
        <v>0.56999999999999995</v>
      </c>
      <c r="AE71" s="44">
        <v>0.56999999999999995</v>
      </c>
      <c r="AF71" s="44">
        <v>0.56999999999999995</v>
      </c>
      <c r="AG71"/>
      <c r="AH71" s="44">
        <v>0.56999999999999995</v>
      </c>
      <c r="AI71" s="44">
        <v>0.56999999999999995</v>
      </c>
      <c r="AJ71" s="44">
        <v>0.56999999999999995</v>
      </c>
      <c r="AK71" s="44">
        <v>0.56999999999999995</v>
      </c>
      <c r="AL71" s="44">
        <v>0.56999999999999995</v>
      </c>
      <c r="AM71" s="44">
        <v>0.56999999999999995</v>
      </c>
      <c r="AN71" s="44">
        <v>0.56999999999999995</v>
      </c>
      <c r="AO71"/>
      <c r="AP71" s="44">
        <v>0.56999999999999995</v>
      </c>
      <c r="AQ71" s="44">
        <v>0.56999999999999995</v>
      </c>
      <c r="AR71" s="44">
        <v>0.56999999999999995</v>
      </c>
      <c r="AS71" s="44">
        <v>0.56999999999999995</v>
      </c>
      <c r="AT71"/>
      <c r="AU71" s="44">
        <v>0.56999999999999995</v>
      </c>
      <c r="AV71"/>
      <c r="AW71"/>
      <c r="AX71" s="44">
        <v>0.56999999999999995</v>
      </c>
    </row>
    <row r="72" spans="1:50" x14ac:dyDescent="0.25">
      <c r="A72" s="17" t="s">
        <v>48</v>
      </c>
      <c r="B72" s="3" t="s">
        <v>473</v>
      </c>
      <c r="C72" s="3" t="s">
        <v>483</v>
      </c>
      <c r="D72" s="3" t="s">
        <v>521</v>
      </c>
      <c r="E72" s="18" t="s">
        <v>160</v>
      </c>
      <c r="F72" s="18" t="s">
        <v>100</v>
      </c>
      <c r="G72" s="44">
        <v>0.25862068965517243</v>
      </c>
      <c r="I72" s="58"/>
      <c r="J72" s="44">
        <v>0.16</v>
      </c>
      <c r="K72" s="44">
        <v>0.16</v>
      </c>
      <c r="L72" s="44">
        <v>0.16</v>
      </c>
      <c r="M72" s="44">
        <v>0.16</v>
      </c>
      <c r="O72" s="44">
        <v>0.16</v>
      </c>
      <c r="P72" s="44"/>
      <c r="Q72" s="44">
        <v>0.16</v>
      </c>
      <c r="R72" s="44">
        <v>0.16</v>
      </c>
      <c r="S72" s="44">
        <v>0.16</v>
      </c>
      <c r="V72" s="44">
        <v>0.16</v>
      </c>
      <c r="W72" s="44">
        <v>0.16</v>
      </c>
      <c r="X72" s="44">
        <v>0.16</v>
      </c>
      <c r="Y72" s="44">
        <v>0.16</v>
      </c>
      <c r="Z72" s="44">
        <v>0.16</v>
      </c>
      <c r="AA72" s="44">
        <v>0.16</v>
      </c>
      <c r="AB72" s="44">
        <v>0.16</v>
      </c>
      <c r="AC72" s="44">
        <v>0.16</v>
      </c>
      <c r="AD72" s="44">
        <v>0.16</v>
      </c>
      <c r="AE72" s="44">
        <v>0.16</v>
      </c>
      <c r="AF72" s="44">
        <v>0.16</v>
      </c>
      <c r="AG72"/>
      <c r="AH72" s="44">
        <v>0.16</v>
      </c>
      <c r="AI72" s="44">
        <v>0.16</v>
      </c>
      <c r="AJ72" s="44">
        <v>0.16</v>
      </c>
      <c r="AK72" s="44">
        <v>0.16</v>
      </c>
      <c r="AL72" s="44">
        <v>0.16</v>
      </c>
      <c r="AM72" s="44">
        <v>0.16</v>
      </c>
      <c r="AN72" s="44">
        <v>0.16</v>
      </c>
      <c r="AO72"/>
      <c r="AP72" s="44">
        <v>0.16</v>
      </c>
      <c r="AQ72" s="44">
        <v>0.16</v>
      </c>
      <c r="AR72" s="44">
        <v>0.16</v>
      </c>
      <c r="AS72" s="44">
        <v>0.16</v>
      </c>
      <c r="AT72"/>
      <c r="AU72" s="44">
        <v>0.16</v>
      </c>
      <c r="AV72"/>
      <c r="AW72"/>
      <c r="AX72" s="44">
        <v>0.16</v>
      </c>
    </row>
    <row r="73" spans="1:50" x14ac:dyDescent="0.25">
      <c r="A73" s="17" t="s">
        <v>49</v>
      </c>
      <c r="B73" s="3" t="s">
        <v>473</v>
      </c>
      <c r="C73" s="3" t="s">
        <v>483</v>
      </c>
      <c r="D73" s="3" t="s">
        <v>521</v>
      </c>
      <c r="E73" s="18" t="s">
        <v>161</v>
      </c>
      <c r="F73" s="18" t="s">
        <v>107</v>
      </c>
      <c r="G73" s="44">
        <v>0</v>
      </c>
      <c r="I73" s="58"/>
      <c r="J73" s="44">
        <v>0</v>
      </c>
      <c r="K73" s="44">
        <v>0</v>
      </c>
      <c r="L73" s="44">
        <v>0</v>
      </c>
      <c r="M73" s="44">
        <v>0</v>
      </c>
      <c r="O73" s="44">
        <v>0</v>
      </c>
      <c r="P73" s="44"/>
      <c r="Q73" s="44">
        <v>0</v>
      </c>
      <c r="R73" s="44">
        <v>0</v>
      </c>
      <c r="S73" s="44">
        <v>0</v>
      </c>
      <c r="V73" s="44">
        <v>0</v>
      </c>
      <c r="W73" s="44">
        <v>0</v>
      </c>
      <c r="X73" s="44">
        <v>0</v>
      </c>
      <c r="Y73" s="44">
        <v>0</v>
      </c>
      <c r="Z73" s="44">
        <v>0</v>
      </c>
      <c r="AA73" s="44">
        <v>0</v>
      </c>
      <c r="AB73" s="44">
        <v>0</v>
      </c>
      <c r="AC73" s="44">
        <v>0</v>
      </c>
      <c r="AD73" s="44">
        <v>0</v>
      </c>
      <c r="AE73" s="44">
        <v>0</v>
      </c>
      <c r="AF73" s="44">
        <v>0</v>
      </c>
      <c r="AG73"/>
      <c r="AH73" s="44">
        <v>0</v>
      </c>
      <c r="AI73" s="44">
        <v>0</v>
      </c>
      <c r="AJ73" s="44">
        <v>0</v>
      </c>
      <c r="AK73" s="44">
        <v>0</v>
      </c>
      <c r="AL73" s="44">
        <v>0</v>
      </c>
      <c r="AM73" s="44">
        <v>0</v>
      </c>
      <c r="AN73" s="44">
        <v>0</v>
      </c>
      <c r="AO73"/>
      <c r="AP73" s="44">
        <v>0</v>
      </c>
      <c r="AQ73" s="44">
        <v>0</v>
      </c>
      <c r="AR73" s="44">
        <v>0</v>
      </c>
      <c r="AS73" s="44">
        <v>0</v>
      </c>
      <c r="AT73"/>
      <c r="AU73" s="44">
        <v>0</v>
      </c>
      <c r="AV73"/>
      <c r="AW73"/>
      <c r="AX73" s="44">
        <v>0</v>
      </c>
    </row>
    <row r="74" spans="1:50" x14ac:dyDescent="0.25">
      <c r="A74" s="33" t="s">
        <v>50</v>
      </c>
      <c r="B74" s="3" t="s">
        <v>473</v>
      </c>
      <c r="C74" s="3" t="s">
        <v>483</v>
      </c>
      <c r="D74" s="3" t="s">
        <v>521</v>
      </c>
      <c r="E74" s="34" t="s">
        <v>419</v>
      </c>
      <c r="F74" s="34" t="s">
        <v>418</v>
      </c>
      <c r="G74" s="44">
        <v>745476480000</v>
      </c>
      <c r="I74" s="58"/>
      <c r="J74" s="44">
        <v>745476480000</v>
      </c>
      <c r="K74" s="44">
        <v>745476480000</v>
      </c>
      <c r="L74" s="44">
        <v>745476480000</v>
      </c>
      <c r="M74" s="44">
        <v>745476480000</v>
      </c>
      <c r="O74" s="44">
        <v>745476480000</v>
      </c>
      <c r="P74" s="44"/>
      <c r="Q74" s="44">
        <v>745476480000</v>
      </c>
      <c r="R74" s="44">
        <v>745476480000</v>
      </c>
      <c r="S74" s="44">
        <v>745476480000</v>
      </c>
      <c r="V74" s="44">
        <v>745476480000</v>
      </c>
      <c r="W74" s="44">
        <v>745476480000</v>
      </c>
      <c r="X74" s="44">
        <v>745476480000</v>
      </c>
      <c r="Y74" s="44">
        <v>745476480000</v>
      </c>
      <c r="Z74" s="44">
        <v>745476480000</v>
      </c>
      <c r="AA74" s="44">
        <v>745476480000</v>
      </c>
      <c r="AB74" s="44">
        <v>745476480000</v>
      </c>
      <c r="AC74" s="44">
        <v>745476480000</v>
      </c>
      <c r="AD74" s="44">
        <v>745476480000</v>
      </c>
      <c r="AE74" s="44">
        <v>745476480000</v>
      </c>
      <c r="AF74" s="44">
        <v>745476480000</v>
      </c>
      <c r="AG74"/>
      <c r="AH74" s="44">
        <v>745476480000</v>
      </c>
      <c r="AI74" s="44">
        <v>745476480000</v>
      </c>
      <c r="AJ74" s="44">
        <v>745476480000</v>
      </c>
      <c r="AK74" s="44">
        <v>745476480000</v>
      </c>
      <c r="AL74" s="44">
        <v>745476480000</v>
      </c>
      <c r="AM74" s="44">
        <v>745476480000</v>
      </c>
      <c r="AN74" s="44">
        <v>745476480000</v>
      </c>
      <c r="AO74"/>
      <c r="AP74" s="44">
        <v>745476480000</v>
      </c>
      <c r="AQ74" s="44">
        <v>745476480000</v>
      </c>
      <c r="AR74" s="44">
        <v>745476480000</v>
      </c>
      <c r="AS74" s="44">
        <v>745476480000</v>
      </c>
      <c r="AT74"/>
      <c r="AU74" s="44">
        <v>745476480000</v>
      </c>
      <c r="AV74"/>
      <c r="AW74"/>
      <c r="AX74" s="44">
        <v>745476480000</v>
      </c>
    </row>
    <row r="75" spans="1:50" x14ac:dyDescent="0.25">
      <c r="A75" s="33" t="s">
        <v>204</v>
      </c>
      <c r="B75" s="3" t="s">
        <v>473</v>
      </c>
      <c r="C75" s="3" t="s">
        <v>483</v>
      </c>
      <c r="D75" s="3" t="s">
        <v>521</v>
      </c>
      <c r="E75" s="34" t="s">
        <v>413</v>
      </c>
      <c r="F75" s="34" t="s">
        <v>202</v>
      </c>
      <c r="G75" s="44">
        <v>100</v>
      </c>
      <c r="I75" s="58"/>
      <c r="J75" s="44">
        <v>100</v>
      </c>
      <c r="K75" s="44">
        <v>100</v>
      </c>
      <c r="L75" s="44">
        <v>100</v>
      </c>
      <c r="M75" s="44">
        <v>100</v>
      </c>
      <c r="O75" s="44">
        <v>100</v>
      </c>
      <c r="P75" s="44"/>
      <c r="Q75" s="44">
        <v>100</v>
      </c>
      <c r="R75" s="44">
        <v>100</v>
      </c>
      <c r="S75" s="44">
        <v>100</v>
      </c>
      <c r="V75" s="44">
        <v>100</v>
      </c>
      <c r="W75" s="44">
        <v>100</v>
      </c>
      <c r="X75" s="44">
        <v>100</v>
      </c>
      <c r="Y75" s="44">
        <v>100</v>
      </c>
      <c r="Z75" s="44">
        <v>100</v>
      </c>
      <c r="AA75" s="44">
        <v>100</v>
      </c>
      <c r="AB75" s="44">
        <v>100</v>
      </c>
      <c r="AC75" s="44">
        <v>100</v>
      </c>
      <c r="AD75" s="44">
        <v>100</v>
      </c>
      <c r="AE75" s="44">
        <v>100</v>
      </c>
      <c r="AF75" s="44">
        <v>100</v>
      </c>
      <c r="AG75"/>
      <c r="AH75" s="44">
        <v>100</v>
      </c>
      <c r="AI75" s="44">
        <v>100</v>
      </c>
      <c r="AJ75" s="44">
        <v>100</v>
      </c>
      <c r="AK75" s="44">
        <v>100</v>
      </c>
      <c r="AL75" s="44">
        <v>100</v>
      </c>
      <c r="AM75" s="44">
        <v>100</v>
      </c>
      <c r="AN75" s="44">
        <v>100</v>
      </c>
      <c r="AO75"/>
      <c r="AP75" s="44">
        <v>100</v>
      </c>
      <c r="AQ75" s="44">
        <v>100</v>
      </c>
      <c r="AR75" s="44">
        <v>100</v>
      </c>
      <c r="AS75" s="44">
        <v>100</v>
      </c>
      <c r="AT75"/>
      <c r="AU75" s="44">
        <v>100</v>
      </c>
      <c r="AV75"/>
      <c r="AW75"/>
      <c r="AX75" s="44">
        <v>100</v>
      </c>
    </row>
    <row r="76" spans="1:50" x14ac:dyDescent="0.25">
      <c r="A76" s="33" t="s">
        <v>414</v>
      </c>
      <c r="B76" s="3" t="s">
        <v>473</v>
      </c>
      <c r="C76" s="3" t="s">
        <v>483</v>
      </c>
      <c r="D76" s="3" t="s">
        <v>521</v>
      </c>
      <c r="E76" s="34" t="s">
        <v>420</v>
      </c>
      <c r="F76" s="34" t="s">
        <v>94</v>
      </c>
      <c r="G76" s="44" t="s">
        <v>86</v>
      </c>
      <c r="I76" s="58"/>
      <c r="J76" s="44" t="s">
        <v>86</v>
      </c>
      <c r="K76" s="44" t="s">
        <v>86</v>
      </c>
      <c r="L76" s="44" t="s">
        <v>86</v>
      </c>
      <c r="M76" s="44" t="s">
        <v>86</v>
      </c>
      <c r="O76" s="44" t="s">
        <v>86</v>
      </c>
      <c r="P76" s="44"/>
      <c r="Q76" s="44" t="s">
        <v>86</v>
      </c>
      <c r="R76" s="44" t="s">
        <v>86</v>
      </c>
      <c r="S76" s="44" t="s">
        <v>86</v>
      </c>
      <c r="V76" s="44" t="s">
        <v>86</v>
      </c>
      <c r="W76" s="44" t="s">
        <v>86</v>
      </c>
      <c r="X76" s="44" t="s">
        <v>86</v>
      </c>
      <c r="Y76" s="44" t="s">
        <v>86</v>
      </c>
      <c r="Z76" s="44" t="s">
        <v>86</v>
      </c>
      <c r="AA76" s="44" t="s">
        <v>86</v>
      </c>
      <c r="AB76" s="44" t="s">
        <v>86</v>
      </c>
      <c r="AC76" s="44" t="s">
        <v>86</v>
      </c>
      <c r="AD76" s="44" t="s">
        <v>86</v>
      </c>
      <c r="AE76" s="44" t="s">
        <v>86</v>
      </c>
      <c r="AF76" s="44" t="s">
        <v>86</v>
      </c>
      <c r="AG76"/>
      <c r="AH76" s="44" t="s">
        <v>86</v>
      </c>
      <c r="AI76" s="44" t="s">
        <v>86</v>
      </c>
      <c r="AJ76" s="44" t="s">
        <v>86</v>
      </c>
      <c r="AK76" s="44" t="s">
        <v>86</v>
      </c>
      <c r="AL76" s="44" t="s">
        <v>86</v>
      </c>
      <c r="AM76" s="44" t="s">
        <v>86</v>
      </c>
      <c r="AN76" s="44" t="s">
        <v>86</v>
      </c>
      <c r="AO76"/>
      <c r="AP76" s="44" t="s">
        <v>86</v>
      </c>
      <c r="AQ76" s="44" t="s">
        <v>86</v>
      </c>
      <c r="AR76" s="44" t="s">
        <v>86</v>
      </c>
      <c r="AS76" s="44" t="s">
        <v>86</v>
      </c>
      <c r="AT76"/>
      <c r="AU76" s="44" t="s">
        <v>86</v>
      </c>
      <c r="AV76"/>
      <c r="AW76"/>
      <c r="AX76" s="44" t="s">
        <v>86</v>
      </c>
    </row>
    <row r="77" spans="1:50" x14ac:dyDescent="0.25">
      <c r="A77" s="33" t="s">
        <v>400</v>
      </c>
      <c r="B77" s="3" t="s">
        <v>473</v>
      </c>
      <c r="C77" s="3" t="s">
        <v>483</v>
      </c>
      <c r="D77" s="3" t="s">
        <v>521</v>
      </c>
      <c r="E77" s="34" t="s">
        <v>403</v>
      </c>
      <c r="F77" s="34" t="s">
        <v>106</v>
      </c>
      <c r="G77" s="44">
        <v>29203.200000000001</v>
      </c>
      <c r="I77" s="58"/>
      <c r="J77" s="44">
        <v>21600</v>
      </c>
      <c r="K77" s="44">
        <v>21600</v>
      </c>
      <c r="L77" s="44">
        <v>21600</v>
      </c>
      <c r="M77" s="44">
        <v>21600</v>
      </c>
      <c r="O77" s="44">
        <v>21600</v>
      </c>
      <c r="P77" s="44"/>
      <c r="Q77" s="44">
        <v>21600</v>
      </c>
      <c r="R77" s="44">
        <v>21600</v>
      </c>
      <c r="S77" s="44">
        <v>21600</v>
      </c>
      <c r="V77" s="44">
        <v>21600</v>
      </c>
      <c r="W77" s="44">
        <v>21600</v>
      </c>
      <c r="X77" s="44">
        <v>21600</v>
      </c>
      <c r="Y77" s="44">
        <v>21600</v>
      </c>
      <c r="Z77" s="44">
        <v>21600</v>
      </c>
      <c r="AA77" s="44">
        <v>21600</v>
      </c>
      <c r="AB77" s="44">
        <v>21600</v>
      </c>
      <c r="AC77" s="44">
        <v>21600</v>
      </c>
      <c r="AD77" s="44">
        <v>21600</v>
      </c>
      <c r="AE77" s="44">
        <v>21600</v>
      </c>
      <c r="AF77" s="44">
        <v>21600</v>
      </c>
      <c r="AG77"/>
      <c r="AH77" s="44">
        <v>21600</v>
      </c>
      <c r="AI77" s="44">
        <v>21600</v>
      </c>
      <c r="AJ77" s="44">
        <v>21600</v>
      </c>
      <c r="AK77" s="44">
        <v>21600</v>
      </c>
      <c r="AL77" s="44">
        <v>21600</v>
      </c>
      <c r="AM77" s="44">
        <v>21600</v>
      </c>
      <c r="AN77" s="44">
        <v>21600</v>
      </c>
      <c r="AO77"/>
      <c r="AP77" s="44">
        <v>21600</v>
      </c>
      <c r="AQ77" s="44">
        <v>21600</v>
      </c>
      <c r="AR77" s="44">
        <v>21600</v>
      </c>
      <c r="AS77" s="44">
        <v>21600</v>
      </c>
      <c r="AT77"/>
      <c r="AU77" s="44">
        <v>21600</v>
      </c>
      <c r="AV77"/>
      <c r="AW77"/>
      <c r="AX77" s="44">
        <v>21600</v>
      </c>
    </row>
    <row r="78" spans="1:50" x14ac:dyDescent="0.25">
      <c r="A78" s="33" t="s">
        <v>410</v>
      </c>
      <c r="B78" s="3" t="s">
        <v>473</v>
      </c>
      <c r="C78" s="3" t="s">
        <v>483</v>
      </c>
      <c r="D78" s="3" t="s">
        <v>521</v>
      </c>
      <c r="E78" s="34" t="s">
        <v>416</v>
      </c>
      <c r="F78" s="34" t="s">
        <v>100</v>
      </c>
      <c r="G78" s="44">
        <v>0.5</v>
      </c>
      <c r="I78" s="58"/>
      <c r="J78" s="44">
        <v>0.5</v>
      </c>
      <c r="K78" s="44">
        <v>0.5</v>
      </c>
      <c r="L78" s="44">
        <v>0.5</v>
      </c>
      <c r="M78" s="44">
        <v>0.5</v>
      </c>
      <c r="O78" s="44">
        <v>0.5</v>
      </c>
      <c r="P78" s="44"/>
      <c r="Q78" s="44">
        <v>0.5</v>
      </c>
      <c r="R78" s="44">
        <v>0.5</v>
      </c>
      <c r="S78" s="44">
        <v>0.5</v>
      </c>
      <c r="V78" s="44">
        <v>0.5</v>
      </c>
      <c r="W78" s="44">
        <v>0.5</v>
      </c>
      <c r="X78" s="44">
        <v>0.5</v>
      </c>
      <c r="Y78" s="44">
        <v>0.5</v>
      </c>
      <c r="Z78" s="44">
        <v>0.5</v>
      </c>
      <c r="AA78" s="44">
        <v>0.5</v>
      </c>
      <c r="AB78" s="44">
        <v>0.5</v>
      </c>
      <c r="AC78" s="44">
        <v>0.5</v>
      </c>
      <c r="AD78" s="44">
        <v>0.5</v>
      </c>
      <c r="AE78" s="44">
        <v>0.5</v>
      </c>
      <c r="AF78" s="44">
        <v>0.5</v>
      </c>
      <c r="AG78"/>
      <c r="AH78" s="44">
        <v>0.5</v>
      </c>
      <c r="AI78" s="44">
        <v>0.5</v>
      </c>
      <c r="AJ78" s="44">
        <v>0.5</v>
      </c>
      <c r="AK78" s="44">
        <v>0.5</v>
      </c>
      <c r="AL78" s="44">
        <v>0.5</v>
      </c>
      <c r="AM78" s="44">
        <v>0.5</v>
      </c>
      <c r="AN78" s="44">
        <v>0.5</v>
      </c>
      <c r="AO78"/>
      <c r="AP78" s="44">
        <v>0.5</v>
      </c>
      <c r="AQ78" s="44">
        <v>0.5</v>
      </c>
      <c r="AR78" s="44">
        <v>0.5</v>
      </c>
      <c r="AS78" s="44">
        <v>0.5</v>
      </c>
      <c r="AT78"/>
      <c r="AU78" s="44">
        <v>0.5</v>
      </c>
      <c r="AV78"/>
      <c r="AW78"/>
      <c r="AX78" s="44">
        <v>0.5</v>
      </c>
    </row>
    <row r="79" spans="1:50" x14ac:dyDescent="0.25">
      <c r="A79" s="33" t="s">
        <v>401</v>
      </c>
      <c r="B79" s="3" t="s">
        <v>473</v>
      </c>
      <c r="C79" s="3" t="s">
        <v>483</v>
      </c>
      <c r="D79" s="3" t="s">
        <v>521</v>
      </c>
      <c r="E79" s="34" t="s">
        <v>415</v>
      </c>
      <c r="F79" s="34" t="s">
        <v>106</v>
      </c>
      <c r="G79" s="44">
        <v>387936</v>
      </c>
      <c r="I79" s="58"/>
      <c r="J79" s="44">
        <v>60479.999999999993</v>
      </c>
      <c r="K79" s="44">
        <v>60479.999999999993</v>
      </c>
      <c r="L79" s="44">
        <v>60479.999999999993</v>
      </c>
      <c r="M79" s="44">
        <v>60479.999999999993</v>
      </c>
      <c r="O79" s="44">
        <v>60479.999999999993</v>
      </c>
      <c r="P79" s="44"/>
      <c r="Q79" s="44">
        <v>60479.999999999993</v>
      </c>
      <c r="R79" s="44">
        <v>60479.999999999993</v>
      </c>
      <c r="S79" s="44">
        <v>60479.999999999993</v>
      </c>
      <c r="V79" s="44">
        <v>60479.999999999993</v>
      </c>
      <c r="W79" s="44">
        <v>60479.999999999993</v>
      </c>
      <c r="X79" s="44">
        <v>60479.999999999993</v>
      </c>
      <c r="Y79" s="44">
        <v>60479.999999999993</v>
      </c>
      <c r="Z79" s="44">
        <v>60479.999999999993</v>
      </c>
      <c r="AA79" s="44">
        <v>60479.999999999993</v>
      </c>
      <c r="AB79" s="44">
        <v>60479.999999999993</v>
      </c>
      <c r="AC79" s="44">
        <v>60479.999999999993</v>
      </c>
      <c r="AD79" s="44">
        <v>60479.999999999993</v>
      </c>
      <c r="AE79" s="44">
        <v>60479.999999999993</v>
      </c>
      <c r="AF79" s="44">
        <v>60479.999999999993</v>
      </c>
      <c r="AG79"/>
      <c r="AH79" s="44">
        <v>60479.999999999993</v>
      </c>
      <c r="AI79" s="44">
        <v>60479.999999999993</v>
      </c>
      <c r="AJ79" s="44">
        <v>60479.999999999993</v>
      </c>
      <c r="AK79" s="44">
        <v>60479.999999999993</v>
      </c>
      <c r="AL79" s="44">
        <v>60479.999999999993</v>
      </c>
      <c r="AM79" s="44">
        <v>60479.999999999993</v>
      </c>
      <c r="AN79" s="44">
        <v>60479.999999999993</v>
      </c>
      <c r="AO79"/>
      <c r="AP79" s="44">
        <v>60479.999999999993</v>
      </c>
      <c r="AQ79" s="44">
        <v>60479.999999999993</v>
      </c>
      <c r="AR79" s="44">
        <v>60479.999999999993</v>
      </c>
      <c r="AS79" s="44">
        <v>60479.999999999993</v>
      </c>
      <c r="AT79"/>
      <c r="AU79" s="44">
        <v>60479.999999999993</v>
      </c>
      <c r="AV79"/>
      <c r="AW79"/>
      <c r="AX79" s="44">
        <v>60479.999999999993</v>
      </c>
    </row>
    <row r="80" spans="1:50" x14ac:dyDescent="0.25">
      <c r="A80" s="33" t="s">
        <v>411</v>
      </c>
      <c r="B80" s="3" t="s">
        <v>473</v>
      </c>
      <c r="C80" s="3" t="s">
        <v>483</v>
      </c>
      <c r="D80" s="3" t="s">
        <v>521</v>
      </c>
      <c r="E80" s="34" t="s">
        <v>417</v>
      </c>
      <c r="F80" s="34" t="s">
        <v>100</v>
      </c>
      <c r="G80" s="44">
        <v>0.85</v>
      </c>
      <c r="I80" s="58"/>
      <c r="J80" s="44">
        <v>0.85</v>
      </c>
      <c r="K80" s="44">
        <v>0.85</v>
      </c>
      <c r="L80" s="44">
        <v>0.85</v>
      </c>
      <c r="M80" s="44">
        <v>0.85</v>
      </c>
      <c r="O80" s="44">
        <v>0.85</v>
      </c>
      <c r="P80" s="44"/>
      <c r="Q80" s="44">
        <v>0.85</v>
      </c>
      <c r="R80" s="44">
        <v>0.85</v>
      </c>
      <c r="S80" s="44">
        <v>0.85</v>
      </c>
      <c r="V80" s="44">
        <v>0.85</v>
      </c>
      <c r="W80" s="44">
        <v>0.85</v>
      </c>
      <c r="X80" s="44">
        <v>0.85</v>
      </c>
      <c r="Y80" s="44">
        <v>0.85</v>
      </c>
      <c r="Z80" s="44">
        <v>0.85</v>
      </c>
      <c r="AA80" s="44">
        <v>0.85</v>
      </c>
      <c r="AB80" s="44">
        <v>0.85</v>
      </c>
      <c r="AC80" s="44">
        <v>0.85</v>
      </c>
      <c r="AD80" s="44">
        <v>0.85</v>
      </c>
      <c r="AE80" s="44">
        <v>0.85</v>
      </c>
      <c r="AF80" s="44">
        <v>0.85</v>
      </c>
      <c r="AG80"/>
      <c r="AH80" s="44">
        <v>0.85</v>
      </c>
      <c r="AI80" s="44">
        <v>0.85</v>
      </c>
      <c r="AJ80" s="44">
        <v>0.85</v>
      </c>
      <c r="AK80" s="44">
        <v>0.85</v>
      </c>
      <c r="AL80" s="44">
        <v>0.85</v>
      </c>
      <c r="AM80" s="44">
        <v>0.85</v>
      </c>
      <c r="AN80" s="44">
        <v>0.85</v>
      </c>
      <c r="AO80"/>
      <c r="AP80" s="44">
        <v>0.85</v>
      </c>
      <c r="AQ80" s="44">
        <v>0.85</v>
      </c>
      <c r="AR80" s="44">
        <v>0.85</v>
      </c>
      <c r="AS80" s="44">
        <v>0.85</v>
      </c>
      <c r="AT80"/>
      <c r="AU80" s="44">
        <v>0.85</v>
      </c>
      <c r="AV80"/>
      <c r="AW80"/>
      <c r="AX80" s="44">
        <v>0.85</v>
      </c>
    </row>
    <row r="81" spans="1:50" x14ac:dyDescent="0.25">
      <c r="A81" s="33" t="s">
        <v>402</v>
      </c>
      <c r="B81" s="3" t="s">
        <v>473</v>
      </c>
      <c r="C81" s="3" t="s">
        <v>483</v>
      </c>
      <c r="D81" s="3" t="s">
        <v>521</v>
      </c>
      <c r="E81" s="34" t="s">
        <v>404</v>
      </c>
      <c r="F81" s="34" t="s">
        <v>106</v>
      </c>
      <c r="G81" s="44">
        <v>518400</v>
      </c>
      <c r="I81" s="58"/>
      <c r="J81" s="44">
        <v>518400</v>
      </c>
      <c r="K81" s="44">
        <v>518400</v>
      </c>
      <c r="L81" s="44">
        <v>518400</v>
      </c>
      <c r="M81" s="44">
        <v>518400</v>
      </c>
      <c r="O81" s="44">
        <v>518400</v>
      </c>
      <c r="P81" s="44"/>
      <c r="Q81" s="44">
        <v>518400</v>
      </c>
      <c r="R81" s="44">
        <v>518400</v>
      </c>
      <c r="S81" s="44">
        <v>518400</v>
      </c>
      <c r="V81" s="44">
        <v>518400</v>
      </c>
      <c r="W81" s="44">
        <v>518400</v>
      </c>
      <c r="X81" s="44">
        <v>518400</v>
      </c>
      <c r="Y81" s="44">
        <v>518400</v>
      </c>
      <c r="Z81" s="44">
        <v>518400</v>
      </c>
      <c r="AA81" s="44">
        <v>518400</v>
      </c>
      <c r="AB81" s="44">
        <v>518400</v>
      </c>
      <c r="AC81" s="44">
        <v>518400</v>
      </c>
      <c r="AD81" s="44">
        <v>518400</v>
      </c>
      <c r="AE81" s="44">
        <v>518400</v>
      </c>
      <c r="AF81" s="44">
        <v>518400</v>
      </c>
      <c r="AG81"/>
      <c r="AH81" s="44">
        <v>518400</v>
      </c>
      <c r="AI81" s="44">
        <v>518400</v>
      </c>
      <c r="AJ81" s="44">
        <v>518400</v>
      </c>
      <c r="AK81" s="44">
        <v>518400</v>
      </c>
      <c r="AL81" s="44">
        <v>518400</v>
      </c>
      <c r="AM81" s="44">
        <v>518400</v>
      </c>
      <c r="AN81" s="44">
        <v>518400</v>
      </c>
      <c r="AO81"/>
      <c r="AP81" s="44">
        <v>518400</v>
      </c>
      <c r="AQ81" s="44">
        <v>518400</v>
      </c>
      <c r="AR81" s="44">
        <v>518400</v>
      </c>
      <c r="AS81" s="44">
        <v>518400</v>
      </c>
      <c r="AT81"/>
      <c r="AU81" s="44">
        <v>518400</v>
      </c>
      <c r="AV81"/>
      <c r="AW81"/>
      <c r="AX81" s="44">
        <v>518400</v>
      </c>
    </row>
    <row r="82" spans="1:50" x14ac:dyDescent="0.25">
      <c r="A82" s="33" t="s">
        <v>412</v>
      </c>
      <c r="B82" s="3" t="s">
        <v>473</v>
      </c>
      <c r="C82" s="3" t="s">
        <v>483</v>
      </c>
      <c r="D82" s="3" t="s">
        <v>521</v>
      </c>
      <c r="E82" s="34" t="s">
        <v>405</v>
      </c>
      <c r="F82" s="34" t="s">
        <v>106</v>
      </c>
      <c r="G82" s="44">
        <v>5184000</v>
      </c>
      <c r="I82" s="58"/>
      <c r="J82" s="44">
        <v>5184000</v>
      </c>
      <c r="K82" s="44">
        <v>5184000</v>
      </c>
      <c r="L82" s="44">
        <v>5184000</v>
      </c>
      <c r="M82" s="44">
        <v>5184000</v>
      </c>
      <c r="O82" s="44">
        <v>5184000</v>
      </c>
      <c r="P82" s="44"/>
      <c r="Q82" s="44">
        <v>5184000</v>
      </c>
      <c r="R82" s="44">
        <v>5184000</v>
      </c>
      <c r="S82" s="44">
        <v>5184000</v>
      </c>
      <c r="V82" s="44">
        <v>5184000</v>
      </c>
      <c r="W82" s="44">
        <v>5184000</v>
      </c>
      <c r="X82" s="44">
        <v>5184000</v>
      </c>
      <c r="Y82" s="44">
        <v>5184000</v>
      </c>
      <c r="Z82" s="44">
        <v>5184000</v>
      </c>
      <c r="AA82" s="44">
        <v>5184000</v>
      </c>
      <c r="AB82" s="44">
        <v>5184000</v>
      </c>
      <c r="AC82" s="44">
        <v>5184000</v>
      </c>
      <c r="AD82" s="44">
        <v>5184000</v>
      </c>
      <c r="AE82" s="44">
        <v>5184000</v>
      </c>
      <c r="AF82" s="44">
        <v>5184000</v>
      </c>
      <c r="AG82"/>
      <c r="AH82" s="44">
        <v>5184000</v>
      </c>
      <c r="AI82" s="44">
        <v>5184000</v>
      </c>
      <c r="AJ82" s="44">
        <v>5184000</v>
      </c>
      <c r="AK82" s="44">
        <v>5184000</v>
      </c>
      <c r="AL82" s="44">
        <v>5184000</v>
      </c>
      <c r="AM82" s="44">
        <v>5184000</v>
      </c>
      <c r="AN82" s="44">
        <v>5184000</v>
      </c>
      <c r="AO82"/>
      <c r="AP82" s="44">
        <v>5184000</v>
      </c>
      <c r="AQ82" s="44">
        <v>5184000</v>
      </c>
      <c r="AR82" s="44">
        <v>5184000</v>
      </c>
      <c r="AS82" s="44">
        <v>5184000</v>
      </c>
      <c r="AT82"/>
      <c r="AU82" s="44">
        <v>5184000</v>
      </c>
      <c r="AV82"/>
      <c r="AW82"/>
      <c r="AX82" s="44">
        <v>5184000</v>
      </c>
    </row>
    <row r="83" spans="1:50" x14ac:dyDescent="0.25">
      <c r="A83" s="17" t="s">
        <v>51</v>
      </c>
      <c r="B83" s="3" t="s">
        <v>473</v>
      </c>
      <c r="C83" s="3" t="s">
        <v>483</v>
      </c>
      <c r="D83" s="3" t="s">
        <v>521</v>
      </c>
      <c r="E83" s="18" t="s">
        <v>162</v>
      </c>
      <c r="F83" s="18" t="s">
        <v>108</v>
      </c>
      <c r="G83" s="44">
        <v>259200</v>
      </c>
      <c r="I83" s="58"/>
      <c r="J83" s="44">
        <v>50000</v>
      </c>
      <c r="K83" s="44">
        <v>50000</v>
      </c>
      <c r="L83" s="44">
        <v>50000</v>
      </c>
      <c r="M83" s="44">
        <v>50000</v>
      </c>
      <c r="O83" s="44">
        <v>50000</v>
      </c>
      <c r="P83" s="44"/>
      <c r="Q83" s="44">
        <v>50000</v>
      </c>
      <c r="R83" s="44">
        <v>50000</v>
      </c>
      <c r="S83" s="44">
        <v>50000</v>
      </c>
      <c r="V83" s="44">
        <v>50000</v>
      </c>
      <c r="W83" s="44">
        <v>50000</v>
      </c>
      <c r="X83" s="44">
        <v>50000</v>
      </c>
      <c r="Y83" s="44">
        <v>50000</v>
      </c>
      <c r="Z83" s="44">
        <v>50000</v>
      </c>
      <c r="AA83" s="44">
        <v>50000</v>
      </c>
      <c r="AB83" s="44">
        <v>50000</v>
      </c>
      <c r="AC83" s="44">
        <v>50000</v>
      </c>
      <c r="AD83" s="44">
        <v>50000</v>
      </c>
      <c r="AE83" s="44">
        <v>50000</v>
      </c>
      <c r="AF83" s="44">
        <v>50000</v>
      </c>
      <c r="AG83"/>
      <c r="AH83" s="44">
        <v>50000</v>
      </c>
      <c r="AI83" s="44">
        <v>50000</v>
      </c>
      <c r="AJ83" s="44">
        <v>50000</v>
      </c>
      <c r="AK83" s="44">
        <v>50000</v>
      </c>
      <c r="AL83" s="44">
        <v>50000</v>
      </c>
      <c r="AM83" s="44">
        <v>50000</v>
      </c>
      <c r="AN83" s="44">
        <v>50000</v>
      </c>
      <c r="AO83"/>
      <c r="AP83" s="44">
        <v>50000</v>
      </c>
      <c r="AQ83" s="44">
        <v>50000</v>
      </c>
      <c r="AR83" s="44">
        <v>50000</v>
      </c>
      <c r="AS83" s="44">
        <v>50000</v>
      </c>
      <c r="AT83"/>
      <c r="AU83" s="44">
        <v>50000</v>
      </c>
      <c r="AV83"/>
      <c r="AW83"/>
      <c r="AX83" s="44">
        <v>50000</v>
      </c>
    </row>
    <row r="84" spans="1:50" x14ac:dyDescent="0.25">
      <c r="A84" s="17" t="s">
        <v>52</v>
      </c>
      <c r="B84" s="3" t="s">
        <v>473</v>
      </c>
      <c r="C84" s="3" t="s">
        <v>483</v>
      </c>
      <c r="D84" s="3" t="s">
        <v>521</v>
      </c>
      <c r="E84" s="18" t="s">
        <v>163</v>
      </c>
      <c r="F84" s="18" t="s">
        <v>196</v>
      </c>
      <c r="G84" s="44">
        <v>140000</v>
      </c>
      <c r="I84" s="58"/>
      <c r="J84" s="44">
        <v>140000</v>
      </c>
      <c r="K84" s="44">
        <v>140000</v>
      </c>
      <c r="L84" s="44">
        <v>140000</v>
      </c>
      <c r="M84" s="44">
        <v>140000</v>
      </c>
      <c r="O84" s="44">
        <v>140000</v>
      </c>
      <c r="P84" s="44"/>
      <c r="Q84" s="44">
        <v>140000</v>
      </c>
      <c r="R84" s="44">
        <v>140000</v>
      </c>
      <c r="S84" s="44">
        <v>140000</v>
      </c>
      <c r="V84" s="44">
        <v>140000</v>
      </c>
      <c r="W84" s="44">
        <v>140000</v>
      </c>
      <c r="X84" s="44">
        <v>140000</v>
      </c>
      <c r="Y84" s="44">
        <v>140000</v>
      </c>
      <c r="Z84" s="44">
        <v>140000</v>
      </c>
      <c r="AA84" s="44">
        <v>140000</v>
      </c>
      <c r="AB84" s="44">
        <v>140000</v>
      </c>
      <c r="AC84" s="44">
        <v>140000</v>
      </c>
      <c r="AD84" s="44">
        <v>140000</v>
      </c>
      <c r="AE84" s="44">
        <v>140000</v>
      </c>
      <c r="AF84" s="44">
        <v>140000</v>
      </c>
      <c r="AG84"/>
      <c r="AH84" s="44">
        <v>140000</v>
      </c>
      <c r="AI84" s="44">
        <v>140000</v>
      </c>
      <c r="AJ84" s="44">
        <v>140000</v>
      </c>
      <c r="AK84" s="44">
        <v>140000</v>
      </c>
      <c r="AL84" s="44">
        <v>140000</v>
      </c>
      <c r="AM84" s="44">
        <v>140000</v>
      </c>
      <c r="AN84" s="44">
        <v>140000</v>
      </c>
      <c r="AO84"/>
      <c r="AP84" s="44">
        <v>140000</v>
      </c>
      <c r="AQ84" s="44">
        <v>140000</v>
      </c>
      <c r="AR84" s="44">
        <v>140000</v>
      </c>
      <c r="AS84" s="44">
        <v>140000</v>
      </c>
      <c r="AT84"/>
      <c r="AU84" s="44">
        <v>140000</v>
      </c>
      <c r="AV84"/>
      <c r="AW84"/>
      <c r="AX84" s="44">
        <v>140000</v>
      </c>
    </row>
    <row r="85" spans="1:50" x14ac:dyDescent="0.25">
      <c r="A85" s="17" t="s">
        <v>53</v>
      </c>
      <c r="B85" s="3" t="s">
        <v>473</v>
      </c>
      <c r="C85" s="3" t="s">
        <v>483</v>
      </c>
      <c r="D85" s="3" t="s">
        <v>521</v>
      </c>
      <c r="E85" s="18" t="s">
        <v>164</v>
      </c>
      <c r="F85" s="18" t="s">
        <v>197</v>
      </c>
      <c r="G85" s="44">
        <v>3.6636136999999999E-2</v>
      </c>
      <c r="I85" s="58"/>
      <c r="J85" s="44">
        <v>3.6636136999999999E-2</v>
      </c>
      <c r="K85" s="44">
        <v>3.6636136999999999E-2</v>
      </c>
      <c r="L85" s="44">
        <v>3.6636136999999999E-2</v>
      </c>
      <c r="M85" s="44">
        <v>3.6636136999999999E-2</v>
      </c>
      <c r="O85" s="44">
        <v>3.6636136999999999E-2</v>
      </c>
      <c r="P85" s="44"/>
      <c r="Q85" s="44">
        <v>3.6636136999999999E-2</v>
      </c>
      <c r="R85" s="44">
        <v>3.6636136999999999E-2</v>
      </c>
      <c r="S85" s="44">
        <v>3.6636136999999999E-2</v>
      </c>
      <c r="V85" s="44">
        <v>3.6636136999999999E-2</v>
      </c>
      <c r="W85" s="44">
        <v>3.6636136999999999E-2</v>
      </c>
      <c r="X85" s="44">
        <v>3.6636136999999999E-2</v>
      </c>
      <c r="Y85" s="44">
        <v>3.6636136999999999E-2</v>
      </c>
      <c r="Z85" s="44">
        <v>3.6636136999999999E-2</v>
      </c>
      <c r="AA85" s="44">
        <v>3.6636136999999999E-2</v>
      </c>
      <c r="AB85" s="44">
        <v>3.6636136999999999E-2</v>
      </c>
      <c r="AC85" s="44">
        <v>3.6636136999999999E-2</v>
      </c>
      <c r="AD85" s="44">
        <v>3.6636136999999999E-2</v>
      </c>
      <c r="AE85" s="44">
        <v>3.6636136999999999E-2</v>
      </c>
      <c r="AF85" s="44">
        <v>3.6636136999999999E-2</v>
      </c>
      <c r="AG85"/>
      <c r="AH85" s="44">
        <v>3.6636136999999999E-2</v>
      </c>
      <c r="AI85" s="44">
        <v>3.6636136999999999E-2</v>
      </c>
      <c r="AJ85" s="44">
        <v>3.6636136999999999E-2</v>
      </c>
      <c r="AK85" s="44">
        <v>3.6636136999999999E-2</v>
      </c>
      <c r="AL85" s="44">
        <v>3.6636136999999999E-2</v>
      </c>
      <c r="AM85" s="44">
        <v>3.6636136999999999E-2</v>
      </c>
      <c r="AN85" s="44">
        <v>3.6636136999999999E-2</v>
      </c>
      <c r="AO85"/>
      <c r="AP85" s="44">
        <v>3.6636136999999999E-2</v>
      </c>
      <c r="AQ85" s="44">
        <v>3.6636136999999999E-2</v>
      </c>
      <c r="AR85" s="44">
        <v>3.6636136999999999E-2</v>
      </c>
      <c r="AS85" s="44">
        <v>3.6636136999999999E-2</v>
      </c>
      <c r="AT85"/>
      <c r="AU85" s="44">
        <v>3.6636136999999999E-2</v>
      </c>
      <c r="AV85"/>
      <c r="AW85"/>
      <c r="AX85" s="44">
        <v>3.6636136999999999E-2</v>
      </c>
    </row>
    <row r="86" spans="1:50" x14ac:dyDescent="0.25">
      <c r="A86" s="17" t="s">
        <v>54</v>
      </c>
      <c r="B86" s="3" t="s">
        <v>473</v>
      </c>
      <c r="C86" s="3" t="s">
        <v>483</v>
      </c>
      <c r="D86" s="3" t="s">
        <v>521</v>
      </c>
      <c r="E86" s="18" t="s">
        <v>165</v>
      </c>
      <c r="F86" s="18" t="s">
        <v>98</v>
      </c>
      <c r="G86" s="44">
        <v>4.4999999999999997E-3</v>
      </c>
      <c r="I86" s="58"/>
      <c r="J86" s="44">
        <v>4.4999999999999997E-3</v>
      </c>
      <c r="K86" s="44">
        <v>4.4999999999999997E-3</v>
      </c>
      <c r="L86" s="44">
        <v>4.4999999999999997E-3</v>
      </c>
      <c r="M86" s="44">
        <v>4.4999999999999997E-3</v>
      </c>
      <c r="O86" s="44">
        <v>4.4999999999999997E-3</v>
      </c>
      <c r="P86" s="44"/>
      <c r="Q86" s="44">
        <v>4.4999999999999997E-3</v>
      </c>
      <c r="R86" s="44">
        <v>4.4999999999999997E-3</v>
      </c>
      <c r="S86" s="44">
        <v>4.4999999999999997E-3</v>
      </c>
      <c r="V86" s="44">
        <v>4.4999999999999997E-3</v>
      </c>
      <c r="W86" s="44">
        <v>4.4999999999999997E-3</v>
      </c>
      <c r="X86" s="44">
        <v>4.4999999999999997E-3</v>
      </c>
      <c r="Y86" s="44">
        <v>4.4999999999999997E-3</v>
      </c>
      <c r="Z86" s="44">
        <v>4.4999999999999997E-3</v>
      </c>
      <c r="AA86" s="44">
        <v>4.4999999999999997E-3</v>
      </c>
      <c r="AB86" s="44">
        <v>4.4999999999999997E-3</v>
      </c>
      <c r="AC86" s="44">
        <v>4.4999999999999997E-3</v>
      </c>
      <c r="AD86" s="44">
        <v>4.4999999999999997E-3</v>
      </c>
      <c r="AE86" s="44">
        <v>4.4999999999999997E-3</v>
      </c>
      <c r="AF86" s="44">
        <v>4.4999999999999997E-3</v>
      </c>
      <c r="AG86"/>
      <c r="AH86" s="44">
        <v>4.4999999999999997E-3</v>
      </c>
      <c r="AI86" s="44">
        <v>4.4999999999999997E-3</v>
      </c>
      <c r="AJ86" s="44">
        <v>4.4999999999999997E-3</v>
      </c>
      <c r="AK86" s="44">
        <v>4.4999999999999997E-3</v>
      </c>
      <c r="AL86" s="44">
        <v>4.4999999999999997E-3</v>
      </c>
      <c r="AM86" s="44">
        <v>4.4999999999999997E-3</v>
      </c>
      <c r="AN86" s="44">
        <v>4.4999999999999997E-3</v>
      </c>
      <c r="AO86"/>
      <c r="AP86" s="44">
        <v>4.4999999999999997E-3</v>
      </c>
      <c r="AQ86" s="44">
        <v>4.4999999999999997E-3</v>
      </c>
      <c r="AR86" s="44">
        <v>4.4999999999999997E-3</v>
      </c>
      <c r="AS86" s="44">
        <v>4.4999999999999997E-3</v>
      </c>
      <c r="AT86"/>
      <c r="AU86" s="44">
        <v>4.4999999999999997E-3</v>
      </c>
      <c r="AV86"/>
      <c r="AW86"/>
      <c r="AX86" s="44">
        <v>4.4999999999999997E-3</v>
      </c>
    </row>
    <row r="87" spans="1:50" x14ac:dyDescent="0.25">
      <c r="A87" s="17" t="s">
        <v>55</v>
      </c>
      <c r="B87" s="3" t="s">
        <v>473</v>
      </c>
      <c r="C87" s="3" t="s">
        <v>483</v>
      </c>
      <c r="D87" s="3" t="s">
        <v>521</v>
      </c>
      <c r="E87" s="18" t="s">
        <v>166</v>
      </c>
      <c r="F87" s="18" t="s">
        <v>100</v>
      </c>
      <c r="G87" s="44">
        <v>0.05</v>
      </c>
      <c r="I87" s="58"/>
      <c r="J87" s="44">
        <v>0.05</v>
      </c>
      <c r="K87" s="44">
        <v>0.05</v>
      </c>
      <c r="L87" s="44">
        <v>0.05</v>
      </c>
      <c r="M87" s="44">
        <v>0.05</v>
      </c>
      <c r="O87" s="44">
        <v>0.05</v>
      </c>
      <c r="P87" s="44"/>
      <c r="Q87" s="44">
        <v>0.05</v>
      </c>
      <c r="R87" s="44">
        <v>0.05</v>
      </c>
      <c r="S87" s="44">
        <v>0.05</v>
      </c>
      <c r="V87" s="44">
        <v>0.05</v>
      </c>
      <c r="W87" s="44">
        <v>0.05</v>
      </c>
      <c r="X87" s="44">
        <v>0.05</v>
      </c>
      <c r="Y87" s="44">
        <v>0.05</v>
      </c>
      <c r="Z87" s="44">
        <v>0.05</v>
      </c>
      <c r="AA87" s="44">
        <v>0.05</v>
      </c>
      <c r="AB87" s="44">
        <v>0.05</v>
      </c>
      <c r="AC87" s="44">
        <v>0.05</v>
      </c>
      <c r="AD87" s="44">
        <v>0.05</v>
      </c>
      <c r="AE87" s="44">
        <v>0.05</v>
      </c>
      <c r="AF87" s="44">
        <v>0.05</v>
      </c>
      <c r="AG87"/>
      <c r="AH87" s="44">
        <v>0.05</v>
      </c>
      <c r="AI87" s="44">
        <v>0.05</v>
      </c>
      <c r="AJ87" s="44">
        <v>0.05</v>
      </c>
      <c r="AK87" s="44">
        <v>0.05</v>
      </c>
      <c r="AL87" s="44">
        <v>0.05</v>
      </c>
      <c r="AM87" s="44">
        <v>0.05</v>
      </c>
      <c r="AN87" s="44">
        <v>0.05</v>
      </c>
      <c r="AO87"/>
      <c r="AP87" s="44">
        <v>0.05</v>
      </c>
      <c r="AQ87" s="44">
        <v>0.05</v>
      </c>
      <c r="AR87" s="44">
        <v>0.05</v>
      </c>
      <c r="AS87" s="44">
        <v>0.05</v>
      </c>
      <c r="AT87"/>
      <c r="AU87" s="44">
        <v>0.05</v>
      </c>
      <c r="AV87"/>
      <c r="AW87"/>
      <c r="AX87" s="44">
        <v>0.05</v>
      </c>
    </row>
    <row r="88" spans="1:50" x14ac:dyDescent="0.25">
      <c r="A88" s="19" t="s">
        <v>213</v>
      </c>
      <c r="B88" s="3" t="s">
        <v>473</v>
      </c>
      <c r="C88" s="3" t="s">
        <v>483</v>
      </c>
      <c r="D88" s="3" t="s">
        <v>521</v>
      </c>
      <c r="E88" s="20" t="s">
        <v>290</v>
      </c>
      <c r="F88" s="20" t="s">
        <v>98</v>
      </c>
      <c r="G88" s="44">
        <v>6.0000000000000002E-6</v>
      </c>
      <c r="I88" s="58"/>
      <c r="J88" s="44">
        <v>6.0000000000000002E-6</v>
      </c>
      <c r="K88" s="44">
        <v>6.0000000000000002E-6</v>
      </c>
      <c r="L88" s="44">
        <v>6.0000000000000002E-6</v>
      </c>
      <c r="M88" s="44">
        <v>6.0000000000000002E-6</v>
      </c>
      <c r="O88" s="44">
        <v>6.0000000000000002E-6</v>
      </c>
      <c r="P88" s="44"/>
      <c r="Q88" s="44">
        <v>6.0000000000000002E-6</v>
      </c>
      <c r="R88" s="44">
        <v>6.0000000000000002E-6</v>
      </c>
      <c r="S88" s="44">
        <v>6.0000000000000002E-6</v>
      </c>
      <c r="V88" s="44">
        <v>6.0000000000000002E-6</v>
      </c>
      <c r="W88" s="44">
        <v>6.0000000000000002E-6</v>
      </c>
      <c r="X88" s="44">
        <v>6.0000000000000002E-6</v>
      </c>
      <c r="Y88" s="44">
        <v>6.0000000000000002E-6</v>
      </c>
      <c r="Z88" s="44">
        <v>6.0000000000000002E-6</v>
      </c>
      <c r="AA88" s="44">
        <v>6.0000000000000002E-6</v>
      </c>
      <c r="AB88" s="44">
        <v>6.0000000000000002E-6</v>
      </c>
      <c r="AC88" s="44">
        <v>6.0000000000000002E-6</v>
      </c>
      <c r="AD88" s="44">
        <v>6.0000000000000002E-6</v>
      </c>
      <c r="AE88" s="44">
        <v>6.0000000000000002E-6</v>
      </c>
      <c r="AF88" s="44">
        <v>6.0000000000000002E-6</v>
      </c>
      <c r="AG88"/>
      <c r="AH88" s="44">
        <v>6.0000000000000002E-6</v>
      </c>
      <c r="AI88" s="44">
        <v>6.0000000000000002E-6</v>
      </c>
      <c r="AJ88" s="44">
        <v>6.0000000000000002E-6</v>
      </c>
      <c r="AK88" s="44">
        <v>6.0000000000000002E-6</v>
      </c>
      <c r="AL88" s="44">
        <v>6.0000000000000002E-6</v>
      </c>
      <c r="AM88" s="44">
        <v>6.0000000000000002E-6</v>
      </c>
      <c r="AN88" s="44">
        <v>6.0000000000000002E-6</v>
      </c>
      <c r="AO88"/>
      <c r="AP88" s="44">
        <v>6.0000000000000002E-6</v>
      </c>
      <c r="AQ88" s="44">
        <v>6.0000000000000002E-6</v>
      </c>
      <c r="AR88" s="44">
        <v>6.0000000000000002E-6</v>
      </c>
      <c r="AS88" s="44">
        <v>6.0000000000000002E-6</v>
      </c>
      <c r="AT88"/>
      <c r="AU88" s="44">
        <v>6.0000000000000002E-6</v>
      </c>
      <c r="AV88"/>
      <c r="AW88"/>
      <c r="AX88" s="44">
        <v>6.0000000000000002E-6</v>
      </c>
    </row>
    <row r="89" spans="1:50" x14ac:dyDescent="0.25">
      <c r="A89" s="19" t="s">
        <v>214</v>
      </c>
      <c r="B89" s="3" t="s">
        <v>473</v>
      </c>
      <c r="C89" s="3" t="s">
        <v>483</v>
      </c>
      <c r="D89" s="3" t="s">
        <v>521</v>
      </c>
      <c r="E89" s="20" t="s">
        <v>291</v>
      </c>
      <c r="F89" s="20" t="s">
        <v>98</v>
      </c>
      <c r="G89" s="44">
        <v>1E-3</v>
      </c>
      <c r="I89" s="58"/>
      <c r="J89" s="44">
        <v>1E-3</v>
      </c>
      <c r="K89" s="44">
        <v>1E-3</v>
      </c>
      <c r="L89" s="44">
        <v>1E-3</v>
      </c>
      <c r="M89" s="44">
        <v>1E-3</v>
      </c>
      <c r="O89" s="44">
        <v>1E-3</v>
      </c>
      <c r="P89" s="44"/>
      <c r="Q89" s="44">
        <v>1E-3</v>
      </c>
      <c r="R89" s="44">
        <v>1E-3</v>
      </c>
      <c r="S89" s="44">
        <v>1E-3</v>
      </c>
      <c r="V89" s="44">
        <v>1E-3</v>
      </c>
      <c r="W89" s="44">
        <v>1E-3</v>
      </c>
      <c r="X89" s="44">
        <v>1E-3</v>
      </c>
      <c r="Y89" s="44">
        <v>1E-3</v>
      </c>
      <c r="Z89" s="44">
        <v>1E-3</v>
      </c>
      <c r="AA89" s="44">
        <v>1E-3</v>
      </c>
      <c r="AB89" s="44">
        <v>1E-3</v>
      </c>
      <c r="AC89" s="44">
        <v>1E-3</v>
      </c>
      <c r="AD89" s="44">
        <v>1E-3</v>
      </c>
      <c r="AE89" s="44">
        <v>1E-3</v>
      </c>
      <c r="AF89" s="44">
        <v>1E-3</v>
      </c>
      <c r="AG89"/>
      <c r="AH89" s="44">
        <v>1E-3</v>
      </c>
      <c r="AI89" s="44">
        <v>1E-3</v>
      </c>
      <c r="AJ89" s="44">
        <v>1E-3</v>
      </c>
      <c r="AK89" s="44">
        <v>1E-3</v>
      </c>
      <c r="AL89" s="44">
        <v>1E-3</v>
      </c>
      <c r="AM89" s="44">
        <v>1E-3</v>
      </c>
      <c r="AN89" s="44">
        <v>1E-3</v>
      </c>
      <c r="AO89"/>
      <c r="AP89" s="44">
        <v>1E-3</v>
      </c>
      <c r="AQ89" s="44">
        <v>1E-3</v>
      </c>
      <c r="AR89" s="44">
        <v>1E-3</v>
      </c>
      <c r="AS89" s="44">
        <v>1E-3</v>
      </c>
      <c r="AT89"/>
      <c r="AU89" s="44">
        <v>1E-3</v>
      </c>
      <c r="AV89"/>
      <c r="AW89"/>
      <c r="AX89" s="44">
        <v>1E-3</v>
      </c>
    </row>
    <row r="90" spans="1:50" x14ac:dyDescent="0.25">
      <c r="A90" s="19" t="s">
        <v>215</v>
      </c>
      <c r="B90" s="3" t="s">
        <v>473</v>
      </c>
      <c r="C90" s="3" t="s">
        <v>483</v>
      </c>
      <c r="D90" s="3" t="s">
        <v>521</v>
      </c>
      <c r="E90" s="20" t="s">
        <v>295</v>
      </c>
      <c r="F90" s="20" t="s">
        <v>294</v>
      </c>
      <c r="G90" s="44">
        <v>374999999.99999994</v>
      </c>
      <c r="I90" s="58"/>
      <c r="J90" s="44">
        <v>374999999.99999994</v>
      </c>
      <c r="K90" s="44">
        <v>374999999.99999994</v>
      </c>
      <c r="L90" s="44">
        <v>374999999.99999994</v>
      </c>
      <c r="M90" s="44">
        <v>374999999.99999994</v>
      </c>
      <c r="O90" s="44">
        <v>374999999.99999994</v>
      </c>
      <c r="P90" s="44"/>
      <c r="Q90" s="44">
        <v>374999999.99999994</v>
      </c>
      <c r="R90" s="44">
        <v>374999999.99999994</v>
      </c>
      <c r="S90" s="44">
        <v>374999999.99999994</v>
      </c>
      <c r="V90" s="44">
        <v>374999999.99999994</v>
      </c>
      <c r="W90" s="44">
        <v>374999999.99999994</v>
      </c>
      <c r="X90" s="44">
        <v>374999999.99999994</v>
      </c>
      <c r="Y90" s="44">
        <v>374999999.99999994</v>
      </c>
      <c r="Z90" s="44">
        <v>374999999.99999994</v>
      </c>
      <c r="AA90" s="44">
        <v>374999999.99999994</v>
      </c>
      <c r="AB90" s="44">
        <v>374999999.99999994</v>
      </c>
      <c r="AC90" s="44">
        <v>374999999.99999994</v>
      </c>
      <c r="AD90" s="44">
        <v>374999999.99999994</v>
      </c>
      <c r="AE90" s="44">
        <v>374999999.99999994</v>
      </c>
      <c r="AF90" s="44">
        <v>374999999.99999994</v>
      </c>
      <c r="AG90"/>
      <c r="AH90" s="44">
        <v>374999999.99999994</v>
      </c>
      <c r="AI90" s="44">
        <v>374999999.99999994</v>
      </c>
      <c r="AJ90" s="44">
        <v>374999999.99999994</v>
      </c>
      <c r="AK90" s="44">
        <v>374999999.99999994</v>
      </c>
      <c r="AL90" s="44">
        <v>374999999.99999994</v>
      </c>
      <c r="AM90" s="44">
        <v>374999999.99999994</v>
      </c>
      <c r="AN90" s="44">
        <v>374999999.99999994</v>
      </c>
      <c r="AO90"/>
      <c r="AP90" s="44">
        <v>374999999.99999994</v>
      </c>
      <c r="AQ90" s="44">
        <v>374999999.99999994</v>
      </c>
      <c r="AR90" s="44">
        <v>374999999.99999994</v>
      </c>
      <c r="AS90" s="44">
        <v>374999999.99999994</v>
      </c>
      <c r="AT90"/>
      <c r="AU90" s="44">
        <v>374999999.99999994</v>
      </c>
      <c r="AV90"/>
      <c r="AW90"/>
      <c r="AX90" s="44">
        <v>374999999.99999994</v>
      </c>
    </row>
    <row r="91" spans="1:50" x14ac:dyDescent="0.25">
      <c r="A91" s="19" t="s">
        <v>216</v>
      </c>
      <c r="B91" s="3" t="s">
        <v>473</v>
      </c>
      <c r="C91" s="3" t="s">
        <v>483</v>
      </c>
      <c r="D91" s="3" t="s">
        <v>521</v>
      </c>
      <c r="E91" s="20" t="s">
        <v>292</v>
      </c>
      <c r="F91" s="20" t="s">
        <v>297</v>
      </c>
      <c r="G91" s="44">
        <v>3.7037037037037038E-3</v>
      </c>
      <c r="I91" s="58"/>
      <c r="J91" s="44">
        <v>3.7037037037037038E-3</v>
      </c>
      <c r="K91" s="44">
        <v>3.7037037037037038E-3</v>
      </c>
      <c r="L91" s="44">
        <v>3.7037037037037038E-3</v>
      </c>
      <c r="M91" s="44">
        <v>3.7037037037037038E-3</v>
      </c>
      <c r="O91" s="44">
        <v>3.7037037037037038E-3</v>
      </c>
      <c r="P91" s="44"/>
      <c r="Q91" s="44">
        <v>3.7037037037037038E-3</v>
      </c>
      <c r="R91" s="44">
        <v>3.7037037037037038E-3</v>
      </c>
      <c r="S91" s="44">
        <v>3.7037037037037038E-3</v>
      </c>
      <c r="V91" s="44">
        <v>3.7037037037037038E-3</v>
      </c>
      <c r="W91" s="44">
        <v>3.7037037037037038E-3</v>
      </c>
      <c r="X91" s="44">
        <v>3.7037037037037038E-3</v>
      </c>
      <c r="Y91" s="44">
        <v>3.7037037037037038E-3</v>
      </c>
      <c r="Z91" s="44">
        <v>3.7037037037037038E-3</v>
      </c>
      <c r="AA91" s="44">
        <v>3.7037037037037038E-3</v>
      </c>
      <c r="AB91" s="44">
        <v>3.7037037037037038E-3</v>
      </c>
      <c r="AC91" s="44">
        <v>3.7037037037037038E-3</v>
      </c>
      <c r="AD91" s="44">
        <v>3.7037037037037038E-3</v>
      </c>
      <c r="AE91" s="44">
        <v>3.7037037037037038E-3</v>
      </c>
      <c r="AF91" s="44">
        <v>3.7037037037037038E-3</v>
      </c>
      <c r="AG91"/>
      <c r="AH91" s="44">
        <v>3.7037037037037038E-3</v>
      </c>
      <c r="AI91" s="44">
        <v>3.7037037037037038E-3</v>
      </c>
      <c r="AJ91" s="44">
        <v>3.7037037037037038E-3</v>
      </c>
      <c r="AK91" s="44">
        <v>3.7037037037037038E-3</v>
      </c>
      <c r="AL91" s="44">
        <v>3.7037037037037038E-3</v>
      </c>
      <c r="AM91" s="44">
        <v>3.7037037037037038E-3</v>
      </c>
      <c r="AN91" s="44">
        <v>3.7037037037037038E-3</v>
      </c>
      <c r="AO91"/>
      <c r="AP91" s="44">
        <v>3.7037037037037038E-3</v>
      </c>
      <c r="AQ91" s="44">
        <v>3.7037037037037038E-3</v>
      </c>
      <c r="AR91" s="44">
        <v>3.7037037037037038E-3</v>
      </c>
      <c r="AS91" s="44">
        <v>3.7037037037037038E-3</v>
      </c>
      <c r="AT91"/>
      <c r="AU91" s="44">
        <v>3.7037037037037038E-3</v>
      </c>
      <c r="AV91"/>
      <c r="AW91"/>
      <c r="AX91" s="44">
        <v>3.7037037037037038E-3</v>
      </c>
    </row>
    <row r="92" spans="1:50" x14ac:dyDescent="0.25">
      <c r="A92" s="19" t="s">
        <v>217</v>
      </c>
      <c r="B92" s="3" t="s">
        <v>473</v>
      </c>
      <c r="C92" s="3" t="s">
        <v>483</v>
      </c>
      <c r="D92" s="3" t="s">
        <v>521</v>
      </c>
      <c r="E92" s="20" t="s">
        <v>293</v>
      </c>
      <c r="F92" s="20" t="s">
        <v>296</v>
      </c>
      <c r="G92" s="44">
        <v>165600</v>
      </c>
      <c r="I92" s="58"/>
      <c r="J92" s="44">
        <v>165600</v>
      </c>
      <c r="K92" s="44">
        <v>165600</v>
      </c>
      <c r="L92" s="44">
        <v>165600</v>
      </c>
      <c r="M92" s="44">
        <v>165600</v>
      </c>
      <c r="O92" s="44">
        <v>165600</v>
      </c>
      <c r="P92" s="44"/>
      <c r="Q92" s="44">
        <v>165600</v>
      </c>
      <c r="R92" s="44">
        <v>165600</v>
      </c>
      <c r="S92" s="44">
        <v>165600</v>
      </c>
      <c r="V92" s="44">
        <v>165600</v>
      </c>
      <c r="W92" s="44">
        <v>165600</v>
      </c>
      <c r="X92" s="44">
        <v>165600</v>
      </c>
      <c r="Y92" s="44">
        <v>165600</v>
      </c>
      <c r="Z92" s="44">
        <v>165600</v>
      </c>
      <c r="AA92" s="44">
        <v>165600</v>
      </c>
      <c r="AB92" s="44">
        <v>165600</v>
      </c>
      <c r="AC92" s="44">
        <v>165600</v>
      </c>
      <c r="AD92" s="44">
        <v>165600</v>
      </c>
      <c r="AE92" s="44">
        <v>165600</v>
      </c>
      <c r="AF92" s="44">
        <v>165600</v>
      </c>
      <c r="AG92"/>
      <c r="AH92" s="44">
        <v>165600</v>
      </c>
      <c r="AI92" s="44">
        <v>165600</v>
      </c>
      <c r="AJ92" s="44">
        <v>165600</v>
      </c>
      <c r="AK92" s="44">
        <v>165600</v>
      </c>
      <c r="AL92" s="44">
        <v>165600</v>
      </c>
      <c r="AM92" s="44">
        <v>165600</v>
      </c>
      <c r="AN92" s="44">
        <v>165600</v>
      </c>
      <c r="AO92"/>
      <c r="AP92" s="44">
        <v>165600</v>
      </c>
      <c r="AQ92" s="44">
        <v>165600</v>
      </c>
      <c r="AR92" s="44">
        <v>165600</v>
      </c>
      <c r="AS92" s="44">
        <v>165600</v>
      </c>
      <c r="AT92"/>
      <c r="AU92" s="44">
        <v>165600</v>
      </c>
      <c r="AV92"/>
      <c r="AW92"/>
      <c r="AX92" s="44">
        <v>165600</v>
      </c>
    </row>
    <row r="93" spans="1:50" x14ac:dyDescent="0.25">
      <c r="A93" s="13" t="s">
        <v>60</v>
      </c>
      <c r="B93" s="3" t="s">
        <v>473</v>
      </c>
      <c r="C93" s="3" t="s">
        <v>483</v>
      </c>
      <c r="D93" s="3" t="s">
        <v>521</v>
      </c>
      <c r="E93" s="14" t="s">
        <v>171</v>
      </c>
      <c r="F93" s="14" t="s">
        <v>109</v>
      </c>
      <c r="G93" s="44">
        <v>20</v>
      </c>
      <c r="I93" s="58"/>
      <c r="J93" s="44">
        <v>20</v>
      </c>
      <c r="K93" s="44">
        <v>20</v>
      </c>
      <c r="L93" s="44">
        <v>20</v>
      </c>
      <c r="M93" s="44">
        <v>20</v>
      </c>
      <c r="O93" s="44">
        <v>20</v>
      </c>
      <c r="P93" s="44"/>
      <c r="Q93" s="44">
        <v>20</v>
      </c>
      <c r="R93" s="44">
        <v>20</v>
      </c>
      <c r="S93" s="44">
        <v>20</v>
      </c>
      <c r="V93" s="44">
        <v>20</v>
      </c>
      <c r="W93" s="44">
        <v>20</v>
      </c>
      <c r="X93" s="44">
        <v>20</v>
      </c>
      <c r="Y93" s="44">
        <v>20</v>
      </c>
      <c r="Z93" s="44">
        <v>20</v>
      </c>
      <c r="AA93" s="44">
        <v>20</v>
      </c>
      <c r="AB93" s="44">
        <v>20</v>
      </c>
      <c r="AC93" s="44">
        <v>20</v>
      </c>
      <c r="AD93" s="44">
        <v>20</v>
      </c>
      <c r="AE93" s="44">
        <v>20</v>
      </c>
      <c r="AF93" s="44">
        <v>20</v>
      </c>
      <c r="AG93"/>
      <c r="AH93" s="44">
        <v>20</v>
      </c>
      <c r="AI93" s="44">
        <v>20</v>
      </c>
      <c r="AJ93" s="44">
        <v>20</v>
      </c>
      <c r="AK93" s="44">
        <v>20</v>
      </c>
      <c r="AL93" s="44">
        <v>20</v>
      </c>
      <c r="AM93" s="44">
        <v>20</v>
      </c>
      <c r="AN93" s="44">
        <v>20</v>
      </c>
      <c r="AO93"/>
      <c r="AP93" s="44">
        <v>20</v>
      </c>
      <c r="AQ93" s="44">
        <v>20</v>
      </c>
      <c r="AR93" s="44">
        <v>20</v>
      </c>
      <c r="AS93" s="44">
        <v>20</v>
      </c>
      <c r="AT93"/>
      <c r="AU93" s="44">
        <v>20</v>
      </c>
      <c r="AV93"/>
      <c r="AW93"/>
      <c r="AX93" s="44">
        <v>20</v>
      </c>
    </row>
    <row r="94" spans="1:50" x14ac:dyDescent="0.25">
      <c r="A94" s="13" t="s">
        <v>208</v>
      </c>
      <c r="B94" s="3" t="s">
        <v>473</v>
      </c>
      <c r="C94" s="3" t="s">
        <v>483</v>
      </c>
      <c r="D94" s="3" t="s">
        <v>521</v>
      </c>
      <c r="E94" s="14" t="s">
        <v>289</v>
      </c>
      <c r="F94" s="14" t="s">
        <v>100</v>
      </c>
      <c r="G94" s="44">
        <v>1</v>
      </c>
      <c r="I94" s="58"/>
      <c r="J94" s="44">
        <v>1</v>
      </c>
      <c r="K94" s="44">
        <v>1</v>
      </c>
      <c r="L94" s="44">
        <v>1</v>
      </c>
      <c r="M94" s="44">
        <v>1</v>
      </c>
      <c r="O94" s="44">
        <v>1</v>
      </c>
      <c r="P94" s="44"/>
      <c r="Q94" s="44">
        <v>1</v>
      </c>
      <c r="R94" s="44">
        <v>1</v>
      </c>
      <c r="S94" s="44">
        <v>1</v>
      </c>
      <c r="V94" s="44">
        <v>1</v>
      </c>
      <c r="W94" s="44">
        <v>1</v>
      </c>
      <c r="X94" s="44">
        <v>1</v>
      </c>
      <c r="Y94" s="44">
        <v>1</v>
      </c>
      <c r="Z94" s="44">
        <v>1</v>
      </c>
      <c r="AA94" s="44">
        <v>1</v>
      </c>
      <c r="AB94" s="44">
        <v>1</v>
      </c>
      <c r="AC94" s="44">
        <v>1</v>
      </c>
      <c r="AD94" s="44">
        <v>1</v>
      </c>
      <c r="AE94" s="44">
        <v>1</v>
      </c>
      <c r="AF94" s="44">
        <v>1</v>
      </c>
      <c r="AG94"/>
      <c r="AH94" s="44">
        <v>1</v>
      </c>
      <c r="AI94" s="44">
        <v>1</v>
      </c>
      <c r="AJ94" s="44">
        <v>1</v>
      </c>
      <c r="AK94" s="44">
        <v>1</v>
      </c>
      <c r="AL94" s="44">
        <v>1</v>
      </c>
      <c r="AM94" s="44">
        <v>1</v>
      </c>
      <c r="AN94" s="44">
        <v>1</v>
      </c>
      <c r="AO94"/>
      <c r="AP94" s="44">
        <v>1</v>
      </c>
      <c r="AQ94" s="44">
        <v>1</v>
      </c>
      <c r="AR94" s="44">
        <v>1</v>
      </c>
      <c r="AS94" s="44">
        <v>1</v>
      </c>
      <c r="AT94"/>
      <c r="AU94" s="44">
        <v>1</v>
      </c>
      <c r="AV94"/>
      <c r="AW94"/>
      <c r="AX94" s="44">
        <v>1</v>
      </c>
    </row>
    <row r="95" spans="1:50" x14ac:dyDescent="0.25">
      <c r="A95" s="13" t="s">
        <v>59</v>
      </c>
      <c r="B95" s="3" t="s">
        <v>473</v>
      </c>
      <c r="C95" s="3" t="s">
        <v>483</v>
      </c>
      <c r="D95" s="3" t="s">
        <v>521</v>
      </c>
      <c r="E95" s="14" t="s">
        <v>170</v>
      </c>
      <c r="F95" s="14" t="s">
        <v>102</v>
      </c>
      <c r="G95" s="44">
        <v>21</v>
      </c>
      <c r="I95" s="58"/>
      <c r="J95" s="44">
        <v>21</v>
      </c>
      <c r="K95" s="44">
        <v>21</v>
      </c>
      <c r="L95" s="44">
        <v>21</v>
      </c>
      <c r="M95" s="44">
        <v>21</v>
      </c>
      <c r="O95" s="44">
        <v>21</v>
      </c>
      <c r="P95" s="44"/>
      <c r="Q95" s="44">
        <v>21</v>
      </c>
      <c r="R95" s="44">
        <v>21</v>
      </c>
      <c r="S95" s="44">
        <v>21</v>
      </c>
      <c r="V95" s="44">
        <v>21</v>
      </c>
      <c r="W95" s="44">
        <v>21</v>
      </c>
      <c r="X95" s="44">
        <v>21</v>
      </c>
      <c r="Y95" s="44">
        <v>21</v>
      </c>
      <c r="Z95" s="44">
        <v>21</v>
      </c>
      <c r="AA95" s="44">
        <v>21</v>
      </c>
      <c r="AB95" s="44">
        <v>21</v>
      </c>
      <c r="AC95" s="44">
        <v>21</v>
      </c>
      <c r="AD95" s="44">
        <v>21</v>
      </c>
      <c r="AE95" s="44">
        <v>21</v>
      </c>
      <c r="AF95" s="44">
        <v>21</v>
      </c>
      <c r="AG95"/>
      <c r="AH95" s="44">
        <v>21</v>
      </c>
      <c r="AI95" s="44">
        <v>21</v>
      </c>
      <c r="AJ95" s="44">
        <v>21</v>
      </c>
      <c r="AK95" s="44">
        <v>21</v>
      </c>
      <c r="AL95" s="44">
        <v>21</v>
      </c>
      <c r="AM95" s="44">
        <v>21</v>
      </c>
      <c r="AN95" s="44">
        <v>21</v>
      </c>
      <c r="AO95"/>
      <c r="AP95" s="44">
        <v>21</v>
      </c>
      <c r="AQ95" s="44">
        <v>21</v>
      </c>
      <c r="AR95" s="44">
        <v>21</v>
      </c>
      <c r="AS95" s="44">
        <v>21</v>
      </c>
      <c r="AT95"/>
      <c r="AU95" s="44">
        <v>21</v>
      </c>
      <c r="AV95"/>
      <c r="AW95"/>
      <c r="AX95" s="44">
        <v>21</v>
      </c>
    </row>
    <row r="96" spans="1:50" x14ac:dyDescent="0.25">
      <c r="A96" s="23" t="s">
        <v>65</v>
      </c>
      <c r="B96" s="3" t="s">
        <v>473</v>
      </c>
      <c r="C96" s="3" t="s">
        <v>483</v>
      </c>
      <c r="D96" s="3" t="s">
        <v>521</v>
      </c>
      <c r="E96" s="24" t="s">
        <v>176</v>
      </c>
      <c r="F96" s="24" t="s">
        <v>182</v>
      </c>
      <c r="G96" s="44">
        <v>0.64</v>
      </c>
      <c r="I96" s="58"/>
      <c r="J96" s="44">
        <v>0.64</v>
      </c>
      <c r="K96" s="44">
        <v>0.64</v>
      </c>
      <c r="L96" s="44">
        <v>0.64</v>
      </c>
      <c r="M96" s="44">
        <v>0.64</v>
      </c>
      <c r="O96" s="44">
        <v>0.64</v>
      </c>
      <c r="P96" s="44"/>
      <c r="Q96" s="44">
        <v>0.64</v>
      </c>
      <c r="R96" s="44">
        <v>0.64</v>
      </c>
      <c r="S96" s="44">
        <v>0.64</v>
      </c>
      <c r="V96" s="44">
        <v>0.64</v>
      </c>
      <c r="W96" s="44">
        <v>0.64</v>
      </c>
      <c r="X96" s="44">
        <v>0.64</v>
      </c>
      <c r="Y96" s="44">
        <v>0.64</v>
      </c>
      <c r="Z96" s="44">
        <v>0.64</v>
      </c>
      <c r="AA96" s="44">
        <v>0.64</v>
      </c>
      <c r="AB96" s="44">
        <v>0.64</v>
      </c>
      <c r="AC96" s="44">
        <v>0.64</v>
      </c>
      <c r="AD96" s="44">
        <v>0.64</v>
      </c>
      <c r="AE96" s="44">
        <v>0.64</v>
      </c>
      <c r="AF96" s="44">
        <v>0.64</v>
      </c>
      <c r="AG96"/>
      <c r="AH96" s="44">
        <v>0.64</v>
      </c>
      <c r="AI96" s="44">
        <v>0.64</v>
      </c>
      <c r="AJ96" s="44">
        <v>0.64</v>
      </c>
      <c r="AK96" s="44">
        <v>0.64</v>
      </c>
      <c r="AL96" s="44">
        <v>0.64</v>
      </c>
      <c r="AM96" s="44">
        <v>0.64</v>
      </c>
      <c r="AN96" s="44">
        <v>0.64</v>
      </c>
      <c r="AO96"/>
      <c r="AP96" s="44">
        <v>0.64</v>
      </c>
      <c r="AQ96" s="44">
        <v>0.64</v>
      </c>
      <c r="AR96" s="44">
        <v>0.64</v>
      </c>
      <c r="AS96" s="44">
        <v>0.64</v>
      </c>
      <c r="AT96"/>
      <c r="AU96" s="44">
        <v>0.64</v>
      </c>
      <c r="AV96"/>
      <c r="AW96"/>
      <c r="AX96" s="44">
        <v>0.64</v>
      </c>
    </row>
    <row r="97" spans="1:50" x14ac:dyDescent="0.25">
      <c r="A97" s="23" t="s">
        <v>366</v>
      </c>
      <c r="B97" s="3" t="s">
        <v>473</v>
      </c>
      <c r="C97" s="3" t="s">
        <v>483</v>
      </c>
      <c r="D97" s="3" t="s">
        <v>521</v>
      </c>
      <c r="E97" s="24" t="s">
        <v>369</v>
      </c>
      <c r="F97" s="24" t="s">
        <v>182</v>
      </c>
      <c r="G97" s="44">
        <v>8</v>
      </c>
      <c r="I97" s="58"/>
      <c r="J97" s="44">
        <v>8</v>
      </c>
      <c r="K97" s="44">
        <v>8</v>
      </c>
      <c r="L97" s="44">
        <v>8</v>
      </c>
      <c r="M97" s="44">
        <v>8</v>
      </c>
      <c r="O97" s="44">
        <v>8</v>
      </c>
      <c r="P97" s="44"/>
      <c r="Q97" s="44">
        <v>8</v>
      </c>
      <c r="R97" s="44">
        <v>8</v>
      </c>
      <c r="S97" s="44">
        <v>8</v>
      </c>
      <c r="V97" s="44">
        <v>8</v>
      </c>
      <c r="W97" s="44">
        <v>8</v>
      </c>
      <c r="X97" s="44">
        <v>8</v>
      </c>
      <c r="Y97" s="44">
        <v>8</v>
      </c>
      <c r="Z97" s="44">
        <v>8</v>
      </c>
      <c r="AA97" s="44">
        <v>8</v>
      </c>
      <c r="AB97" s="44">
        <v>8</v>
      </c>
      <c r="AC97" s="44">
        <v>8</v>
      </c>
      <c r="AD97" s="44">
        <v>8</v>
      </c>
      <c r="AE97" s="44">
        <v>8</v>
      </c>
      <c r="AF97" s="44">
        <v>8</v>
      </c>
      <c r="AG97"/>
      <c r="AH97" s="44">
        <v>8</v>
      </c>
      <c r="AI97" s="44">
        <v>8</v>
      </c>
      <c r="AJ97" s="44">
        <v>8</v>
      </c>
      <c r="AK97" s="44">
        <v>8</v>
      </c>
      <c r="AL97" s="44">
        <v>8</v>
      </c>
      <c r="AM97" s="44">
        <v>8</v>
      </c>
      <c r="AN97" s="44">
        <v>8</v>
      </c>
      <c r="AO97"/>
      <c r="AP97" s="44">
        <v>8</v>
      </c>
      <c r="AQ97" s="44">
        <v>8</v>
      </c>
      <c r="AR97" s="44">
        <v>8</v>
      </c>
      <c r="AS97" s="44">
        <v>8</v>
      </c>
      <c r="AT97"/>
      <c r="AU97" s="44">
        <v>8</v>
      </c>
      <c r="AV97"/>
      <c r="AW97"/>
      <c r="AX97" s="44">
        <v>8</v>
      </c>
    </row>
    <row r="98" spans="1:50" x14ac:dyDescent="0.25">
      <c r="A98" s="23" t="s">
        <v>367</v>
      </c>
      <c r="B98" s="3" t="s">
        <v>473</v>
      </c>
      <c r="C98" s="3" t="s">
        <v>483</v>
      </c>
      <c r="D98" s="3" t="s">
        <v>521</v>
      </c>
      <c r="E98" s="24" t="s">
        <v>370</v>
      </c>
      <c r="F98" s="24" t="s">
        <v>182</v>
      </c>
      <c r="G98" s="44">
        <v>10</v>
      </c>
      <c r="I98" s="58"/>
      <c r="J98" s="44">
        <v>10</v>
      </c>
      <c r="K98" s="44">
        <v>10</v>
      </c>
      <c r="L98" s="44">
        <v>10</v>
      </c>
      <c r="M98" s="44">
        <v>10</v>
      </c>
      <c r="O98" s="44">
        <v>10</v>
      </c>
      <c r="P98" s="44"/>
      <c r="Q98" s="44">
        <v>10</v>
      </c>
      <c r="R98" s="44">
        <v>10</v>
      </c>
      <c r="S98" s="44">
        <v>10</v>
      </c>
      <c r="V98" s="44">
        <v>10</v>
      </c>
      <c r="W98" s="44">
        <v>10</v>
      </c>
      <c r="X98" s="44">
        <v>10</v>
      </c>
      <c r="Y98" s="44">
        <v>10</v>
      </c>
      <c r="Z98" s="44">
        <v>10</v>
      </c>
      <c r="AA98" s="44">
        <v>10</v>
      </c>
      <c r="AB98" s="44">
        <v>10</v>
      </c>
      <c r="AC98" s="44">
        <v>10</v>
      </c>
      <c r="AD98" s="44">
        <v>10</v>
      </c>
      <c r="AE98" s="44">
        <v>10</v>
      </c>
      <c r="AF98" s="44">
        <v>10</v>
      </c>
      <c r="AG98"/>
      <c r="AH98" s="44">
        <v>10</v>
      </c>
      <c r="AI98" s="44">
        <v>10</v>
      </c>
      <c r="AJ98" s="44">
        <v>10</v>
      </c>
      <c r="AK98" s="44">
        <v>10</v>
      </c>
      <c r="AL98" s="44">
        <v>10</v>
      </c>
      <c r="AM98" s="44">
        <v>10</v>
      </c>
      <c r="AN98" s="44">
        <v>10</v>
      </c>
      <c r="AO98"/>
      <c r="AP98" s="44">
        <v>10</v>
      </c>
      <c r="AQ98" s="44">
        <v>10</v>
      </c>
      <c r="AR98" s="44">
        <v>10</v>
      </c>
      <c r="AS98" s="44">
        <v>10</v>
      </c>
      <c r="AT98"/>
      <c r="AU98" s="44">
        <v>10</v>
      </c>
      <c r="AV98"/>
      <c r="AW98"/>
      <c r="AX98" s="44">
        <v>10</v>
      </c>
    </row>
    <row r="99" spans="1:50" x14ac:dyDescent="0.25">
      <c r="A99" s="23" t="s">
        <v>368</v>
      </c>
      <c r="B99" s="3" t="s">
        <v>473</v>
      </c>
      <c r="C99" s="3" t="s">
        <v>483</v>
      </c>
      <c r="D99" s="3" t="s">
        <v>521</v>
      </c>
      <c r="E99" s="24" t="s">
        <v>371</v>
      </c>
      <c r="F99" s="24" t="s">
        <v>182</v>
      </c>
      <c r="G99" s="44">
        <v>8</v>
      </c>
      <c r="I99" s="58"/>
      <c r="J99" s="44">
        <v>8</v>
      </c>
      <c r="K99" s="44">
        <v>8</v>
      </c>
      <c r="L99" s="44">
        <v>8</v>
      </c>
      <c r="M99" s="44">
        <v>8</v>
      </c>
      <c r="O99" s="44">
        <v>8</v>
      </c>
      <c r="P99" s="44"/>
      <c r="Q99" s="44">
        <v>8</v>
      </c>
      <c r="R99" s="44">
        <v>8</v>
      </c>
      <c r="S99" s="44">
        <v>8</v>
      </c>
      <c r="V99" s="44">
        <v>8</v>
      </c>
      <c r="W99" s="44">
        <v>8</v>
      </c>
      <c r="X99" s="44">
        <v>8</v>
      </c>
      <c r="Y99" s="44">
        <v>8</v>
      </c>
      <c r="Z99" s="44">
        <v>8</v>
      </c>
      <c r="AA99" s="44">
        <v>8</v>
      </c>
      <c r="AB99" s="44">
        <v>8</v>
      </c>
      <c r="AC99" s="44">
        <v>8</v>
      </c>
      <c r="AD99" s="44">
        <v>8</v>
      </c>
      <c r="AE99" s="44">
        <v>8</v>
      </c>
      <c r="AF99" s="44">
        <v>8</v>
      </c>
      <c r="AG99"/>
      <c r="AH99" s="44">
        <v>8</v>
      </c>
      <c r="AI99" s="44">
        <v>8</v>
      </c>
      <c r="AJ99" s="44">
        <v>8</v>
      </c>
      <c r="AK99" s="44">
        <v>8</v>
      </c>
      <c r="AL99" s="44">
        <v>8</v>
      </c>
      <c r="AM99" s="44">
        <v>8</v>
      </c>
      <c r="AN99" s="44">
        <v>8</v>
      </c>
      <c r="AO99"/>
      <c r="AP99" s="44">
        <v>8</v>
      </c>
      <c r="AQ99" s="44">
        <v>8</v>
      </c>
      <c r="AR99" s="44">
        <v>8</v>
      </c>
      <c r="AS99" s="44">
        <v>8</v>
      </c>
      <c r="AT99"/>
      <c r="AU99" s="44">
        <v>8</v>
      </c>
      <c r="AV99"/>
      <c r="AW99"/>
      <c r="AX99" s="44">
        <v>8</v>
      </c>
    </row>
    <row r="100" spans="1:50" x14ac:dyDescent="0.25">
      <c r="A100" s="23" t="s">
        <v>383</v>
      </c>
      <c r="B100" s="3" t="s">
        <v>473</v>
      </c>
      <c r="C100" s="3" t="s">
        <v>483</v>
      </c>
      <c r="D100" s="3" t="s">
        <v>521</v>
      </c>
      <c r="E100" s="24" t="s">
        <v>384</v>
      </c>
      <c r="F100" s="24" t="s">
        <v>102</v>
      </c>
      <c r="G100" s="44">
        <v>1</v>
      </c>
      <c r="I100" s="58"/>
      <c r="J100" s="44">
        <v>1</v>
      </c>
      <c r="K100" s="44">
        <v>1</v>
      </c>
      <c r="L100" s="44">
        <v>1</v>
      </c>
      <c r="M100" s="44">
        <v>1</v>
      </c>
      <c r="O100" s="44">
        <v>1</v>
      </c>
      <c r="P100" s="44"/>
      <c r="Q100" s="44">
        <v>1</v>
      </c>
      <c r="R100" s="44">
        <v>1</v>
      </c>
      <c r="S100" s="44">
        <v>1</v>
      </c>
      <c r="V100" s="44">
        <v>1</v>
      </c>
      <c r="W100" s="44">
        <v>1</v>
      </c>
      <c r="X100" s="44">
        <v>1</v>
      </c>
      <c r="Y100" s="44">
        <v>1</v>
      </c>
      <c r="Z100" s="44">
        <v>1</v>
      </c>
      <c r="AA100" s="44">
        <v>1</v>
      </c>
      <c r="AB100" s="44">
        <v>1</v>
      </c>
      <c r="AC100" s="44">
        <v>1</v>
      </c>
      <c r="AD100" s="44">
        <v>1</v>
      </c>
      <c r="AE100" s="44">
        <v>1</v>
      </c>
      <c r="AF100" s="44">
        <v>1</v>
      </c>
      <c r="AG100"/>
      <c r="AH100" s="44">
        <v>1</v>
      </c>
      <c r="AI100" s="44">
        <v>1</v>
      </c>
      <c r="AJ100" s="44">
        <v>1</v>
      </c>
      <c r="AK100" s="44">
        <v>1</v>
      </c>
      <c r="AL100" s="44">
        <v>1</v>
      </c>
      <c r="AM100" s="44">
        <v>1</v>
      </c>
      <c r="AN100" s="44">
        <v>1</v>
      </c>
      <c r="AO100"/>
      <c r="AP100" s="44">
        <v>1</v>
      </c>
      <c r="AQ100" s="44">
        <v>1</v>
      </c>
      <c r="AR100" s="44">
        <v>1</v>
      </c>
      <c r="AS100" s="44">
        <v>1</v>
      </c>
      <c r="AT100"/>
      <c r="AU100" s="44">
        <v>1</v>
      </c>
      <c r="AV100"/>
      <c r="AW100"/>
      <c r="AX100" s="44">
        <v>1</v>
      </c>
    </row>
    <row r="101" spans="1:50" x14ac:dyDescent="0.25">
      <c r="A101" s="23" t="s">
        <v>385</v>
      </c>
      <c r="B101" s="3" t="s">
        <v>473</v>
      </c>
      <c r="C101" s="3" t="s">
        <v>483</v>
      </c>
      <c r="D101" s="3" t="s">
        <v>521</v>
      </c>
      <c r="E101" s="24" t="s">
        <v>386</v>
      </c>
      <c r="F101" s="24" t="s">
        <v>399</v>
      </c>
      <c r="G101" s="44">
        <v>0.5</v>
      </c>
      <c r="I101" s="58"/>
      <c r="J101" s="44">
        <v>0.5</v>
      </c>
      <c r="K101" s="44">
        <v>0.5</v>
      </c>
      <c r="L101" s="44">
        <v>0.5</v>
      </c>
      <c r="M101" s="44">
        <v>0.5</v>
      </c>
      <c r="O101" s="44">
        <v>0.5</v>
      </c>
      <c r="P101" s="44"/>
      <c r="Q101" s="44">
        <v>0.5</v>
      </c>
      <c r="R101" s="44">
        <v>0.5</v>
      </c>
      <c r="S101" s="44">
        <v>0.5</v>
      </c>
      <c r="V101" s="44">
        <v>0.5</v>
      </c>
      <c r="W101" s="44">
        <v>0.5</v>
      </c>
      <c r="X101" s="44">
        <v>0.5</v>
      </c>
      <c r="Y101" s="44">
        <v>0.5</v>
      </c>
      <c r="Z101" s="44">
        <v>0.5</v>
      </c>
      <c r="AA101" s="44">
        <v>0.5</v>
      </c>
      <c r="AB101" s="44">
        <v>0.5</v>
      </c>
      <c r="AC101" s="44">
        <v>0.5</v>
      </c>
      <c r="AD101" s="44">
        <v>0.5</v>
      </c>
      <c r="AE101" s="44">
        <v>0.5</v>
      </c>
      <c r="AF101" s="44">
        <v>0.5</v>
      </c>
      <c r="AG101"/>
      <c r="AH101" s="44">
        <v>0.5</v>
      </c>
      <c r="AI101" s="44">
        <v>0.5</v>
      </c>
      <c r="AJ101" s="44">
        <v>0.5</v>
      </c>
      <c r="AK101" s="44">
        <v>0.5</v>
      </c>
      <c r="AL101" s="44">
        <v>0.5</v>
      </c>
      <c r="AM101" s="44">
        <v>0.5</v>
      </c>
      <c r="AN101" s="44">
        <v>0.5</v>
      </c>
      <c r="AO101"/>
      <c r="AP101" s="44">
        <v>0.5</v>
      </c>
      <c r="AQ101" s="44">
        <v>0.5</v>
      </c>
      <c r="AR101" s="44">
        <v>0.5</v>
      </c>
      <c r="AS101" s="44">
        <v>0.5</v>
      </c>
      <c r="AT101"/>
      <c r="AU101" s="44">
        <v>0.5</v>
      </c>
      <c r="AV101"/>
      <c r="AW101"/>
      <c r="AX101" s="44">
        <v>0.5</v>
      </c>
    </row>
    <row r="102" spans="1:50" x14ac:dyDescent="0.25">
      <c r="A102" s="23" t="s">
        <v>512</v>
      </c>
      <c r="B102" s="3" t="s">
        <v>473</v>
      </c>
      <c r="C102" s="3" t="s">
        <v>483</v>
      </c>
      <c r="D102" s="3" t="s">
        <v>521</v>
      </c>
      <c r="E102" s="24" t="s">
        <v>513</v>
      </c>
      <c r="F102" s="24" t="s">
        <v>486</v>
      </c>
      <c r="G102" s="44">
        <f t="shared" ref="G102" si="0">G100</f>
        <v>1</v>
      </c>
      <c r="I102" s="58"/>
      <c r="J102" s="44">
        <f t="shared" ref="J102:AX102" si="1">10/0.1</f>
        <v>100</v>
      </c>
      <c r="K102" s="44">
        <f t="shared" si="1"/>
        <v>100</v>
      </c>
      <c r="L102" s="44">
        <f t="shared" si="1"/>
        <v>100</v>
      </c>
      <c r="M102" s="44">
        <f t="shared" si="1"/>
        <v>100</v>
      </c>
      <c r="O102" s="44">
        <f t="shared" si="1"/>
        <v>100</v>
      </c>
      <c r="P102" s="44"/>
      <c r="Q102" s="44">
        <f t="shared" si="1"/>
        <v>100</v>
      </c>
      <c r="R102" s="44">
        <f t="shared" si="1"/>
        <v>100</v>
      </c>
      <c r="S102" s="44">
        <f t="shared" si="1"/>
        <v>100</v>
      </c>
      <c r="V102" s="44">
        <f t="shared" si="1"/>
        <v>100</v>
      </c>
      <c r="W102" s="44">
        <f t="shared" si="1"/>
        <v>100</v>
      </c>
      <c r="X102" s="44">
        <f t="shared" si="1"/>
        <v>100</v>
      </c>
      <c r="Y102" s="44">
        <f t="shared" si="1"/>
        <v>100</v>
      </c>
      <c r="Z102" s="44">
        <f t="shared" si="1"/>
        <v>100</v>
      </c>
      <c r="AA102" s="44">
        <f t="shared" si="1"/>
        <v>100</v>
      </c>
      <c r="AB102" s="44">
        <f t="shared" si="1"/>
        <v>100</v>
      </c>
      <c r="AC102" s="44">
        <f t="shared" si="1"/>
        <v>100</v>
      </c>
      <c r="AD102" s="44">
        <f t="shared" si="1"/>
        <v>100</v>
      </c>
      <c r="AE102" s="44">
        <f t="shared" si="1"/>
        <v>100</v>
      </c>
      <c r="AF102" s="44">
        <f t="shared" si="1"/>
        <v>100</v>
      </c>
      <c r="AG102"/>
      <c r="AH102" s="44">
        <f t="shared" si="1"/>
        <v>100</v>
      </c>
      <c r="AI102" s="44">
        <f t="shared" si="1"/>
        <v>100</v>
      </c>
      <c r="AJ102" s="44">
        <f t="shared" si="1"/>
        <v>100</v>
      </c>
      <c r="AK102" s="44">
        <f t="shared" si="1"/>
        <v>100</v>
      </c>
      <c r="AL102" s="44">
        <f t="shared" si="1"/>
        <v>100</v>
      </c>
      <c r="AM102" s="44">
        <f t="shared" si="1"/>
        <v>100</v>
      </c>
      <c r="AN102" s="44">
        <f t="shared" si="1"/>
        <v>100</v>
      </c>
      <c r="AO102"/>
      <c r="AP102" s="44">
        <f t="shared" si="1"/>
        <v>100</v>
      </c>
      <c r="AQ102" s="44">
        <f t="shared" si="1"/>
        <v>100</v>
      </c>
      <c r="AR102" s="44">
        <f t="shared" si="1"/>
        <v>100</v>
      </c>
      <c r="AS102" s="44">
        <f t="shared" si="1"/>
        <v>100</v>
      </c>
      <c r="AT102"/>
      <c r="AU102" s="44">
        <f t="shared" si="1"/>
        <v>100</v>
      </c>
      <c r="AV102"/>
      <c r="AW102"/>
      <c r="AX102" s="44">
        <f t="shared" si="1"/>
        <v>100</v>
      </c>
    </row>
    <row r="103" spans="1:50" x14ac:dyDescent="0.25">
      <c r="A103" s="23" t="s">
        <v>514</v>
      </c>
      <c r="B103" s="3" t="s">
        <v>473</v>
      </c>
      <c r="C103" s="3" t="s">
        <v>483</v>
      </c>
      <c r="D103" s="3" t="s">
        <v>521</v>
      </c>
      <c r="E103" s="24" t="s">
        <v>513</v>
      </c>
      <c r="F103" s="24" t="s">
        <v>486</v>
      </c>
      <c r="G103" s="44">
        <f>3*G100</f>
        <v>3</v>
      </c>
      <c r="I103" s="58"/>
      <c r="J103" s="44">
        <f t="shared" ref="J103:AX103" si="2">150/0.1</f>
        <v>1500</v>
      </c>
      <c r="K103" s="44">
        <f t="shared" si="2"/>
        <v>1500</v>
      </c>
      <c r="L103" s="44">
        <f t="shared" si="2"/>
        <v>1500</v>
      </c>
      <c r="M103" s="44">
        <f t="shared" si="2"/>
        <v>1500</v>
      </c>
      <c r="O103" s="44">
        <f t="shared" si="2"/>
        <v>1500</v>
      </c>
      <c r="P103" s="44"/>
      <c r="Q103" s="44">
        <f t="shared" si="2"/>
        <v>1500</v>
      </c>
      <c r="R103" s="44">
        <f t="shared" si="2"/>
        <v>1500</v>
      </c>
      <c r="S103" s="44">
        <f t="shared" si="2"/>
        <v>1500</v>
      </c>
      <c r="V103" s="44">
        <f t="shared" si="2"/>
        <v>1500</v>
      </c>
      <c r="W103" s="44">
        <f t="shared" si="2"/>
        <v>1500</v>
      </c>
      <c r="X103" s="44">
        <f t="shared" si="2"/>
        <v>1500</v>
      </c>
      <c r="Y103" s="44">
        <f t="shared" si="2"/>
        <v>1500</v>
      </c>
      <c r="Z103" s="44">
        <f t="shared" si="2"/>
        <v>1500</v>
      </c>
      <c r="AA103" s="44">
        <f t="shared" si="2"/>
        <v>1500</v>
      </c>
      <c r="AB103" s="44">
        <f t="shared" si="2"/>
        <v>1500</v>
      </c>
      <c r="AC103" s="44">
        <f t="shared" si="2"/>
        <v>1500</v>
      </c>
      <c r="AD103" s="44">
        <f t="shared" si="2"/>
        <v>1500</v>
      </c>
      <c r="AE103" s="44">
        <f t="shared" si="2"/>
        <v>1500</v>
      </c>
      <c r="AF103" s="44">
        <f t="shared" si="2"/>
        <v>1500</v>
      </c>
      <c r="AG103"/>
      <c r="AH103" s="44">
        <f t="shared" si="2"/>
        <v>1500</v>
      </c>
      <c r="AI103" s="44">
        <f t="shared" si="2"/>
        <v>1500</v>
      </c>
      <c r="AJ103" s="44">
        <f t="shared" si="2"/>
        <v>1500</v>
      </c>
      <c r="AK103" s="44">
        <f t="shared" si="2"/>
        <v>1500</v>
      </c>
      <c r="AL103" s="44">
        <f t="shared" si="2"/>
        <v>1500</v>
      </c>
      <c r="AM103" s="44">
        <f t="shared" si="2"/>
        <v>1500</v>
      </c>
      <c r="AN103" s="44">
        <f t="shared" si="2"/>
        <v>1500</v>
      </c>
      <c r="AO103"/>
      <c r="AP103" s="44">
        <f t="shared" si="2"/>
        <v>1500</v>
      </c>
      <c r="AQ103" s="44">
        <f t="shared" si="2"/>
        <v>1500</v>
      </c>
      <c r="AR103" s="44">
        <f t="shared" si="2"/>
        <v>1500</v>
      </c>
      <c r="AS103" s="44">
        <f t="shared" si="2"/>
        <v>1500</v>
      </c>
      <c r="AT103"/>
      <c r="AU103" s="44">
        <f t="shared" si="2"/>
        <v>1500</v>
      </c>
      <c r="AV103"/>
      <c r="AW103"/>
      <c r="AX103" s="44">
        <f t="shared" si="2"/>
        <v>1500</v>
      </c>
    </row>
    <row r="104" spans="1:50" x14ac:dyDescent="0.25">
      <c r="A104" s="23" t="s">
        <v>515</v>
      </c>
      <c r="B104" s="3" t="s">
        <v>473</v>
      </c>
      <c r="C104" s="3" t="s">
        <v>483</v>
      </c>
      <c r="D104" s="3" t="s">
        <v>521</v>
      </c>
      <c r="E104" s="24" t="s">
        <v>513</v>
      </c>
      <c r="F104" s="24" t="s">
        <v>486</v>
      </c>
      <c r="G104" s="44">
        <f t="shared" ref="G104" si="3">G95</f>
        <v>21</v>
      </c>
      <c r="I104" s="58"/>
      <c r="J104" s="44">
        <f t="shared" ref="J104:AX104" si="4">20/0.1</f>
        <v>200</v>
      </c>
      <c r="K104" s="44">
        <f t="shared" si="4"/>
        <v>200</v>
      </c>
      <c r="L104" s="44">
        <f t="shared" si="4"/>
        <v>200</v>
      </c>
      <c r="M104" s="44">
        <f t="shared" si="4"/>
        <v>200</v>
      </c>
      <c r="O104" s="44">
        <f t="shared" si="4"/>
        <v>200</v>
      </c>
      <c r="P104" s="44"/>
      <c r="Q104" s="44">
        <f t="shared" si="4"/>
        <v>200</v>
      </c>
      <c r="R104" s="44">
        <f t="shared" si="4"/>
        <v>200</v>
      </c>
      <c r="S104" s="44">
        <f t="shared" si="4"/>
        <v>200</v>
      </c>
      <c r="V104" s="44">
        <f t="shared" si="4"/>
        <v>200</v>
      </c>
      <c r="W104" s="44">
        <f t="shared" si="4"/>
        <v>200</v>
      </c>
      <c r="X104" s="44">
        <f t="shared" si="4"/>
        <v>200</v>
      </c>
      <c r="Y104" s="44">
        <f t="shared" si="4"/>
        <v>200</v>
      </c>
      <c r="Z104" s="44">
        <f t="shared" si="4"/>
        <v>200</v>
      </c>
      <c r="AA104" s="44">
        <f t="shared" si="4"/>
        <v>200</v>
      </c>
      <c r="AB104" s="44">
        <f t="shared" si="4"/>
        <v>200</v>
      </c>
      <c r="AC104" s="44">
        <f t="shared" si="4"/>
        <v>200</v>
      </c>
      <c r="AD104" s="44">
        <f t="shared" si="4"/>
        <v>200</v>
      </c>
      <c r="AE104" s="44">
        <f t="shared" si="4"/>
        <v>200</v>
      </c>
      <c r="AF104" s="44">
        <f t="shared" si="4"/>
        <v>200</v>
      </c>
      <c r="AG104"/>
      <c r="AH104" s="44">
        <f t="shared" si="4"/>
        <v>200</v>
      </c>
      <c r="AI104" s="44">
        <f t="shared" si="4"/>
        <v>200</v>
      </c>
      <c r="AJ104" s="44">
        <f t="shared" si="4"/>
        <v>200</v>
      </c>
      <c r="AK104" s="44">
        <f t="shared" si="4"/>
        <v>200</v>
      </c>
      <c r="AL104" s="44">
        <f t="shared" si="4"/>
        <v>200</v>
      </c>
      <c r="AM104" s="44">
        <f t="shared" si="4"/>
        <v>200</v>
      </c>
      <c r="AN104" s="44">
        <f t="shared" si="4"/>
        <v>200</v>
      </c>
      <c r="AO104"/>
      <c r="AP104" s="44">
        <f t="shared" si="4"/>
        <v>200</v>
      </c>
      <c r="AQ104" s="44">
        <f t="shared" si="4"/>
        <v>200</v>
      </c>
      <c r="AR104" s="44">
        <f t="shared" si="4"/>
        <v>200</v>
      </c>
      <c r="AS104" s="44">
        <f t="shared" si="4"/>
        <v>200</v>
      </c>
      <c r="AT104"/>
      <c r="AU104" s="44">
        <f t="shared" si="4"/>
        <v>200</v>
      </c>
      <c r="AV104"/>
      <c r="AW104"/>
      <c r="AX104" s="44">
        <f t="shared" si="4"/>
        <v>200</v>
      </c>
    </row>
    <row r="105" spans="1:50" x14ac:dyDescent="0.25">
      <c r="A105" s="23" t="s">
        <v>516</v>
      </c>
      <c r="B105" s="3" t="s">
        <v>473</v>
      </c>
      <c r="C105" s="3" t="s">
        <v>483</v>
      </c>
      <c r="D105" s="3" t="s">
        <v>521</v>
      </c>
      <c r="E105" s="24" t="s">
        <v>513</v>
      </c>
      <c r="F105" s="24" t="s">
        <v>486</v>
      </c>
      <c r="G105" s="44">
        <f>10*G95</f>
        <v>210</v>
      </c>
      <c r="I105" s="58"/>
      <c r="J105" s="44">
        <f t="shared" ref="J105:AX105" si="5">400/0.1</f>
        <v>4000</v>
      </c>
      <c r="K105" s="44">
        <f t="shared" si="5"/>
        <v>4000</v>
      </c>
      <c r="L105" s="44">
        <f t="shared" si="5"/>
        <v>4000</v>
      </c>
      <c r="M105" s="44">
        <f t="shared" si="5"/>
        <v>4000</v>
      </c>
      <c r="O105" s="44">
        <f t="shared" si="5"/>
        <v>4000</v>
      </c>
      <c r="P105" s="44"/>
      <c r="Q105" s="44">
        <f t="shared" si="5"/>
        <v>4000</v>
      </c>
      <c r="R105" s="44">
        <f t="shared" si="5"/>
        <v>4000</v>
      </c>
      <c r="S105" s="44">
        <f t="shared" si="5"/>
        <v>4000</v>
      </c>
      <c r="V105" s="44">
        <f t="shared" si="5"/>
        <v>4000</v>
      </c>
      <c r="W105" s="44">
        <f t="shared" si="5"/>
        <v>4000</v>
      </c>
      <c r="X105" s="44">
        <f t="shared" si="5"/>
        <v>4000</v>
      </c>
      <c r="Y105" s="44">
        <f t="shared" si="5"/>
        <v>4000</v>
      </c>
      <c r="Z105" s="44">
        <f t="shared" si="5"/>
        <v>4000</v>
      </c>
      <c r="AA105" s="44">
        <f t="shared" si="5"/>
        <v>4000</v>
      </c>
      <c r="AB105" s="44">
        <f t="shared" si="5"/>
        <v>4000</v>
      </c>
      <c r="AC105" s="44">
        <f t="shared" si="5"/>
        <v>4000</v>
      </c>
      <c r="AD105" s="44">
        <f t="shared" si="5"/>
        <v>4000</v>
      </c>
      <c r="AE105" s="44">
        <f t="shared" si="5"/>
        <v>4000</v>
      </c>
      <c r="AF105" s="44">
        <f t="shared" si="5"/>
        <v>4000</v>
      </c>
      <c r="AG105"/>
      <c r="AH105" s="44">
        <f t="shared" si="5"/>
        <v>4000</v>
      </c>
      <c r="AI105" s="44">
        <f t="shared" si="5"/>
        <v>4000</v>
      </c>
      <c r="AJ105" s="44">
        <f t="shared" si="5"/>
        <v>4000</v>
      </c>
      <c r="AK105" s="44">
        <f t="shared" si="5"/>
        <v>4000</v>
      </c>
      <c r="AL105" s="44">
        <f t="shared" si="5"/>
        <v>4000</v>
      </c>
      <c r="AM105" s="44">
        <f t="shared" si="5"/>
        <v>4000</v>
      </c>
      <c r="AN105" s="44">
        <f t="shared" si="5"/>
        <v>4000</v>
      </c>
      <c r="AO105"/>
      <c r="AP105" s="44">
        <f t="shared" si="5"/>
        <v>4000</v>
      </c>
      <c r="AQ105" s="44">
        <f t="shared" si="5"/>
        <v>4000</v>
      </c>
      <c r="AR105" s="44">
        <f t="shared" si="5"/>
        <v>4000</v>
      </c>
      <c r="AS105" s="44">
        <f t="shared" si="5"/>
        <v>4000</v>
      </c>
      <c r="AT105"/>
      <c r="AU105" s="44">
        <f t="shared" si="5"/>
        <v>4000</v>
      </c>
      <c r="AV105"/>
      <c r="AW105"/>
      <c r="AX105" s="44">
        <f t="shared" si="5"/>
        <v>4000</v>
      </c>
    </row>
    <row r="106" spans="1:50" x14ac:dyDescent="0.25">
      <c r="A106" s="23" t="s">
        <v>387</v>
      </c>
      <c r="B106" s="3" t="s">
        <v>473</v>
      </c>
      <c r="C106" s="3" t="s">
        <v>483</v>
      </c>
      <c r="D106" s="3" t="s">
        <v>521</v>
      </c>
      <c r="E106" s="24" t="s">
        <v>388</v>
      </c>
      <c r="F106" s="24" t="s">
        <v>106</v>
      </c>
      <c r="G106" s="44">
        <v>0</v>
      </c>
      <c r="I106" s="58"/>
      <c r="J106" s="44">
        <f t="shared" ref="J106:AX106" si="6">10/0.1</f>
        <v>100</v>
      </c>
      <c r="K106" s="44">
        <f t="shared" si="6"/>
        <v>100</v>
      </c>
      <c r="L106" s="44">
        <f t="shared" si="6"/>
        <v>100</v>
      </c>
      <c r="M106" s="44">
        <f t="shared" si="6"/>
        <v>100</v>
      </c>
      <c r="O106" s="44">
        <f t="shared" si="6"/>
        <v>100</v>
      </c>
      <c r="P106" s="44"/>
      <c r="Q106" s="44">
        <f t="shared" si="6"/>
        <v>100</v>
      </c>
      <c r="R106" s="44">
        <f t="shared" si="6"/>
        <v>100</v>
      </c>
      <c r="S106" s="44">
        <f t="shared" si="6"/>
        <v>100</v>
      </c>
      <c r="V106" s="44">
        <f t="shared" si="6"/>
        <v>100</v>
      </c>
      <c r="W106" s="44">
        <f t="shared" si="6"/>
        <v>100</v>
      </c>
      <c r="X106" s="44">
        <f t="shared" si="6"/>
        <v>100</v>
      </c>
      <c r="Y106" s="44">
        <f t="shared" si="6"/>
        <v>100</v>
      </c>
      <c r="Z106" s="44">
        <f t="shared" si="6"/>
        <v>100</v>
      </c>
      <c r="AA106" s="44">
        <f t="shared" si="6"/>
        <v>100</v>
      </c>
      <c r="AB106" s="44">
        <f t="shared" si="6"/>
        <v>100</v>
      </c>
      <c r="AC106" s="44">
        <f t="shared" si="6"/>
        <v>100</v>
      </c>
      <c r="AD106" s="44">
        <f t="shared" si="6"/>
        <v>100</v>
      </c>
      <c r="AE106" s="44">
        <f t="shared" si="6"/>
        <v>100</v>
      </c>
      <c r="AF106" s="44">
        <f t="shared" si="6"/>
        <v>100</v>
      </c>
      <c r="AG106"/>
      <c r="AH106" s="44">
        <f t="shared" si="6"/>
        <v>100</v>
      </c>
      <c r="AI106" s="44">
        <f t="shared" si="6"/>
        <v>100</v>
      </c>
      <c r="AJ106" s="44">
        <f t="shared" si="6"/>
        <v>100</v>
      </c>
      <c r="AK106" s="44">
        <f t="shared" si="6"/>
        <v>100</v>
      </c>
      <c r="AL106" s="44">
        <f t="shared" si="6"/>
        <v>100</v>
      </c>
      <c r="AM106" s="44">
        <f t="shared" si="6"/>
        <v>100</v>
      </c>
      <c r="AN106" s="44">
        <f t="shared" si="6"/>
        <v>100</v>
      </c>
      <c r="AO106"/>
      <c r="AP106" s="44">
        <f t="shared" si="6"/>
        <v>100</v>
      </c>
      <c r="AQ106" s="44">
        <f t="shared" si="6"/>
        <v>100</v>
      </c>
      <c r="AR106" s="44">
        <f t="shared" si="6"/>
        <v>100</v>
      </c>
      <c r="AS106" s="44">
        <f t="shared" si="6"/>
        <v>100</v>
      </c>
      <c r="AT106"/>
      <c r="AU106" s="44">
        <f t="shared" si="6"/>
        <v>100</v>
      </c>
      <c r="AV106"/>
      <c r="AW106"/>
      <c r="AX106" s="44">
        <f t="shared" si="6"/>
        <v>100</v>
      </c>
    </row>
    <row r="107" spans="1:50" x14ac:dyDescent="0.25">
      <c r="A107" s="23" t="s">
        <v>389</v>
      </c>
      <c r="B107" s="3" t="s">
        <v>473</v>
      </c>
      <c r="C107" s="3" t="s">
        <v>483</v>
      </c>
      <c r="D107" s="3" t="s">
        <v>521</v>
      </c>
      <c r="E107" s="24" t="s">
        <v>390</v>
      </c>
      <c r="F107" s="24" t="s">
        <v>106</v>
      </c>
      <c r="G107" s="44">
        <v>1589759.9999999998</v>
      </c>
      <c r="I107" s="58"/>
      <c r="J107" s="44">
        <f t="shared" ref="J107:AX107" si="7">150/0.1</f>
        <v>1500</v>
      </c>
      <c r="K107" s="44">
        <f t="shared" si="7"/>
        <v>1500</v>
      </c>
      <c r="L107" s="44">
        <f t="shared" si="7"/>
        <v>1500</v>
      </c>
      <c r="M107" s="44">
        <f t="shared" si="7"/>
        <v>1500</v>
      </c>
      <c r="O107" s="44">
        <f t="shared" si="7"/>
        <v>1500</v>
      </c>
      <c r="P107" s="44"/>
      <c r="Q107" s="44">
        <f t="shared" si="7"/>
        <v>1500</v>
      </c>
      <c r="R107" s="44">
        <f t="shared" si="7"/>
        <v>1500</v>
      </c>
      <c r="S107" s="44">
        <f t="shared" si="7"/>
        <v>1500</v>
      </c>
      <c r="V107" s="44">
        <f t="shared" si="7"/>
        <v>1500</v>
      </c>
      <c r="W107" s="44">
        <f t="shared" si="7"/>
        <v>1500</v>
      </c>
      <c r="X107" s="44">
        <f t="shared" si="7"/>
        <v>1500</v>
      </c>
      <c r="Y107" s="44">
        <f t="shared" si="7"/>
        <v>1500</v>
      </c>
      <c r="Z107" s="44">
        <f t="shared" si="7"/>
        <v>1500</v>
      </c>
      <c r="AA107" s="44">
        <f t="shared" si="7"/>
        <v>1500</v>
      </c>
      <c r="AB107" s="44">
        <f t="shared" si="7"/>
        <v>1500</v>
      </c>
      <c r="AC107" s="44">
        <f t="shared" si="7"/>
        <v>1500</v>
      </c>
      <c r="AD107" s="44">
        <f t="shared" si="7"/>
        <v>1500</v>
      </c>
      <c r="AE107" s="44">
        <f t="shared" si="7"/>
        <v>1500</v>
      </c>
      <c r="AF107" s="44">
        <f t="shared" si="7"/>
        <v>1500</v>
      </c>
      <c r="AG107"/>
      <c r="AH107" s="44">
        <f t="shared" si="7"/>
        <v>1500</v>
      </c>
      <c r="AI107" s="44">
        <f t="shared" si="7"/>
        <v>1500</v>
      </c>
      <c r="AJ107" s="44">
        <f t="shared" si="7"/>
        <v>1500</v>
      </c>
      <c r="AK107" s="44">
        <f t="shared" si="7"/>
        <v>1500</v>
      </c>
      <c r="AL107" s="44">
        <f t="shared" si="7"/>
        <v>1500</v>
      </c>
      <c r="AM107" s="44">
        <f t="shared" si="7"/>
        <v>1500</v>
      </c>
      <c r="AN107" s="44">
        <f t="shared" si="7"/>
        <v>1500</v>
      </c>
      <c r="AO107"/>
      <c r="AP107" s="44">
        <f t="shared" si="7"/>
        <v>1500</v>
      </c>
      <c r="AQ107" s="44">
        <f t="shared" si="7"/>
        <v>1500</v>
      </c>
      <c r="AR107" s="44">
        <f t="shared" si="7"/>
        <v>1500</v>
      </c>
      <c r="AS107" s="44">
        <f t="shared" si="7"/>
        <v>1500</v>
      </c>
      <c r="AT107"/>
      <c r="AU107" s="44">
        <f t="shared" si="7"/>
        <v>1500</v>
      </c>
      <c r="AV107"/>
      <c r="AW107"/>
      <c r="AX107" s="44">
        <f t="shared" si="7"/>
        <v>1500</v>
      </c>
    </row>
    <row r="108" spans="1:50" x14ac:dyDescent="0.25">
      <c r="A108" s="23" t="s">
        <v>391</v>
      </c>
      <c r="B108" s="3" t="s">
        <v>473</v>
      </c>
      <c r="C108" s="3" t="s">
        <v>483</v>
      </c>
      <c r="D108" s="3" t="s">
        <v>521</v>
      </c>
      <c r="E108" s="24" t="s">
        <v>392</v>
      </c>
      <c r="F108" s="24" t="s">
        <v>106</v>
      </c>
      <c r="G108" s="44">
        <v>6171428.5714285718</v>
      </c>
      <c r="I108" s="58"/>
      <c r="J108" s="44">
        <f t="shared" ref="J108:AX108" si="8">20/0.1</f>
        <v>200</v>
      </c>
      <c r="K108" s="44">
        <f t="shared" si="8"/>
        <v>200</v>
      </c>
      <c r="L108" s="44">
        <f t="shared" si="8"/>
        <v>200</v>
      </c>
      <c r="M108" s="44">
        <f t="shared" si="8"/>
        <v>200</v>
      </c>
      <c r="O108" s="44">
        <f t="shared" si="8"/>
        <v>200</v>
      </c>
      <c r="P108" s="44"/>
      <c r="Q108" s="44">
        <f t="shared" si="8"/>
        <v>200</v>
      </c>
      <c r="R108" s="44">
        <f t="shared" si="8"/>
        <v>200</v>
      </c>
      <c r="S108" s="44">
        <f t="shared" si="8"/>
        <v>200</v>
      </c>
      <c r="V108" s="44">
        <f t="shared" si="8"/>
        <v>200</v>
      </c>
      <c r="W108" s="44">
        <f t="shared" si="8"/>
        <v>200</v>
      </c>
      <c r="X108" s="44">
        <f t="shared" si="8"/>
        <v>200</v>
      </c>
      <c r="Y108" s="44">
        <f t="shared" si="8"/>
        <v>200</v>
      </c>
      <c r="Z108" s="44">
        <f t="shared" si="8"/>
        <v>200</v>
      </c>
      <c r="AA108" s="44">
        <f t="shared" si="8"/>
        <v>200</v>
      </c>
      <c r="AB108" s="44">
        <f t="shared" si="8"/>
        <v>200</v>
      </c>
      <c r="AC108" s="44">
        <f t="shared" si="8"/>
        <v>200</v>
      </c>
      <c r="AD108" s="44">
        <f t="shared" si="8"/>
        <v>200</v>
      </c>
      <c r="AE108" s="44">
        <f t="shared" si="8"/>
        <v>200</v>
      </c>
      <c r="AF108" s="44">
        <f t="shared" si="8"/>
        <v>200</v>
      </c>
      <c r="AG108"/>
      <c r="AH108" s="44">
        <f t="shared" si="8"/>
        <v>200</v>
      </c>
      <c r="AI108" s="44">
        <f t="shared" si="8"/>
        <v>200</v>
      </c>
      <c r="AJ108" s="44">
        <f t="shared" si="8"/>
        <v>200</v>
      </c>
      <c r="AK108" s="44">
        <f t="shared" si="8"/>
        <v>200</v>
      </c>
      <c r="AL108" s="44">
        <f t="shared" si="8"/>
        <v>200</v>
      </c>
      <c r="AM108" s="44">
        <f t="shared" si="8"/>
        <v>200</v>
      </c>
      <c r="AN108" s="44">
        <f t="shared" si="8"/>
        <v>200</v>
      </c>
      <c r="AO108"/>
      <c r="AP108" s="44">
        <f t="shared" si="8"/>
        <v>200</v>
      </c>
      <c r="AQ108" s="44">
        <f t="shared" si="8"/>
        <v>200</v>
      </c>
      <c r="AR108" s="44">
        <f t="shared" si="8"/>
        <v>200</v>
      </c>
      <c r="AS108" s="44">
        <f t="shared" si="8"/>
        <v>200</v>
      </c>
      <c r="AT108"/>
      <c r="AU108" s="44">
        <f t="shared" si="8"/>
        <v>200</v>
      </c>
      <c r="AV108"/>
      <c r="AW108"/>
      <c r="AX108" s="44">
        <f t="shared" si="8"/>
        <v>200</v>
      </c>
    </row>
    <row r="109" spans="1:50" x14ac:dyDescent="0.25">
      <c r="A109" s="23" t="s">
        <v>393</v>
      </c>
      <c r="B109" s="3" t="s">
        <v>473</v>
      </c>
      <c r="C109" s="3" t="s">
        <v>483</v>
      </c>
      <c r="D109" s="3" t="s">
        <v>521</v>
      </c>
      <c r="E109" s="24" t="s">
        <v>394</v>
      </c>
      <c r="F109" s="24" t="s">
        <v>106</v>
      </c>
      <c r="G109" s="44">
        <v>6171428.5714285718</v>
      </c>
      <c r="I109" s="58"/>
      <c r="J109" s="44">
        <f t="shared" ref="J109:AX109" si="9">400/0.1</f>
        <v>4000</v>
      </c>
      <c r="K109" s="44">
        <f t="shared" si="9"/>
        <v>4000</v>
      </c>
      <c r="L109" s="44">
        <f t="shared" si="9"/>
        <v>4000</v>
      </c>
      <c r="M109" s="44">
        <f t="shared" si="9"/>
        <v>4000</v>
      </c>
      <c r="O109" s="44">
        <f t="shared" si="9"/>
        <v>4000</v>
      </c>
      <c r="P109" s="44"/>
      <c r="Q109" s="44">
        <f t="shared" si="9"/>
        <v>4000</v>
      </c>
      <c r="R109" s="44">
        <f t="shared" si="9"/>
        <v>4000</v>
      </c>
      <c r="S109" s="44">
        <f t="shared" si="9"/>
        <v>4000</v>
      </c>
      <c r="V109" s="44">
        <f t="shared" si="9"/>
        <v>4000</v>
      </c>
      <c r="W109" s="44">
        <f t="shared" si="9"/>
        <v>4000</v>
      </c>
      <c r="X109" s="44">
        <f t="shared" si="9"/>
        <v>4000</v>
      </c>
      <c r="Y109" s="44">
        <f t="shared" si="9"/>
        <v>4000</v>
      </c>
      <c r="Z109" s="44">
        <f t="shared" si="9"/>
        <v>4000</v>
      </c>
      <c r="AA109" s="44">
        <f t="shared" si="9"/>
        <v>4000</v>
      </c>
      <c r="AB109" s="44">
        <f t="shared" si="9"/>
        <v>4000</v>
      </c>
      <c r="AC109" s="44">
        <f t="shared" si="9"/>
        <v>4000</v>
      </c>
      <c r="AD109" s="44">
        <f t="shared" si="9"/>
        <v>4000</v>
      </c>
      <c r="AE109" s="44">
        <f t="shared" si="9"/>
        <v>4000</v>
      </c>
      <c r="AF109" s="44">
        <f t="shared" si="9"/>
        <v>4000</v>
      </c>
      <c r="AG109"/>
      <c r="AH109" s="44">
        <f t="shared" si="9"/>
        <v>4000</v>
      </c>
      <c r="AI109" s="44">
        <f t="shared" si="9"/>
        <v>4000</v>
      </c>
      <c r="AJ109" s="44">
        <f t="shared" si="9"/>
        <v>4000</v>
      </c>
      <c r="AK109" s="44">
        <f t="shared" si="9"/>
        <v>4000</v>
      </c>
      <c r="AL109" s="44">
        <f t="shared" si="9"/>
        <v>4000</v>
      </c>
      <c r="AM109" s="44">
        <f t="shared" si="9"/>
        <v>4000</v>
      </c>
      <c r="AN109" s="44">
        <f t="shared" si="9"/>
        <v>4000</v>
      </c>
      <c r="AO109"/>
      <c r="AP109" s="44">
        <f t="shared" si="9"/>
        <v>4000</v>
      </c>
      <c r="AQ109" s="44">
        <f t="shared" si="9"/>
        <v>4000</v>
      </c>
      <c r="AR109" s="44">
        <f t="shared" si="9"/>
        <v>4000</v>
      </c>
      <c r="AS109" s="44">
        <f t="shared" si="9"/>
        <v>4000</v>
      </c>
      <c r="AT109"/>
      <c r="AU109" s="44">
        <f t="shared" si="9"/>
        <v>4000</v>
      </c>
      <c r="AV109"/>
      <c r="AW109"/>
      <c r="AX109" s="44">
        <f t="shared" si="9"/>
        <v>4000</v>
      </c>
    </row>
    <row r="110" spans="1:50" x14ac:dyDescent="0.25">
      <c r="A110" s="23" t="s">
        <v>421</v>
      </c>
      <c r="B110" s="3" t="s">
        <v>473</v>
      </c>
      <c r="C110" s="3" t="s">
        <v>483</v>
      </c>
      <c r="D110" s="3" t="s">
        <v>521</v>
      </c>
      <c r="E110" s="24" t="s">
        <v>422</v>
      </c>
      <c r="F110" s="24" t="s">
        <v>433</v>
      </c>
      <c r="G110" s="44">
        <v>100</v>
      </c>
      <c r="I110" s="58"/>
      <c r="J110" s="44">
        <v>100</v>
      </c>
      <c r="K110" s="44">
        <v>100</v>
      </c>
      <c r="L110" s="44">
        <v>100</v>
      </c>
      <c r="M110" s="44">
        <v>100</v>
      </c>
      <c r="O110" s="44">
        <v>100</v>
      </c>
      <c r="P110" s="44"/>
      <c r="Q110" s="44">
        <v>100</v>
      </c>
      <c r="R110" s="44">
        <v>100</v>
      </c>
      <c r="S110" s="44">
        <v>100</v>
      </c>
      <c r="V110" s="44">
        <v>100</v>
      </c>
      <c r="W110" s="44">
        <v>100</v>
      </c>
      <c r="X110" s="44">
        <v>100</v>
      </c>
      <c r="Y110" s="44">
        <v>100</v>
      </c>
      <c r="Z110" s="44">
        <v>100</v>
      </c>
      <c r="AA110" s="44">
        <v>100</v>
      </c>
      <c r="AB110" s="44">
        <v>100</v>
      </c>
      <c r="AC110" s="44">
        <v>100</v>
      </c>
      <c r="AD110" s="44">
        <v>100</v>
      </c>
      <c r="AE110" s="44">
        <v>100</v>
      </c>
      <c r="AF110" s="44">
        <v>100</v>
      </c>
      <c r="AG110"/>
      <c r="AH110" s="44">
        <v>100</v>
      </c>
      <c r="AI110" s="44">
        <v>100</v>
      </c>
      <c r="AJ110" s="44">
        <v>100</v>
      </c>
      <c r="AK110" s="44">
        <v>100</v>
      </c>
      <c r="AL110" s="44">
        <v>100</v>
      </c>
      <c r="AM110" s="44">
        <v>100</v>
      </c>
      <c r="AN110" s="44">
        <v>100</v>
      </c>
      <c r="AO110"/>
      <c r="AP110" s="44">
        <v>100</v>
      </c>
      <c r="AQ110" s="44">
        <v>100</v>
      </c>
      <c r="AR110" s="44">
        <v>100</v>
      </c>
      <c r="AS110" s="44">
        <v>100</v>
      </c>
      <c r="AT110"/>
      <c r="AU110" s="44">
        <v>100</v>
      </c>
      <c r="AV110"/>
      <c r="AW110"/>
      <c r="AX110" s="44">
        <v>100</v>
      </c>
    </row>
    <row r="111" spans="1:50" ht="14.45" customHeight="1" x14ac:dyDescent="0.25">
      <c r="A111" s="23" t="s">
        <v>423</v>
      </c>
      <c r="B111" s="3" t="s">
        <v>473</v>
      </c>
      <c r="C111" s="3" t="s">
        <v>483</v>
      </c>
      <c r="D111" s="3" t="s">
        <v>521</v>
      </c>
      <c r="E111" s="24" t="s">
        <v>424</v>
      </c>
      <c r="F111" s="24" t="s">
        <v>434</v>
      </c>
      <c r="G111" s="44">
        <v>280800</v>
      </c>
      <c r="I111" s="58"/>
      <c r="J111" s="44">
        <v>280800</v>
      </c>
      <c r="K111" s="44">
        <v>280800</v>
      </c>
      <c r="L111" s="44">
        <v>280800</v>
      </c>
      <c r="M111" s="44">
        <v>280800</v>
      </c>
      <c r="O111" s="44">
        <v>280800</v>
      </c>
      <c r="P111" s="44"/>
      <c r="Q111" s="44">
        <v>280800</v>
      </c>
      <c r="R111" s="44">
        <v>280800</v>
      </c>
      <c r="S111" s="44">
        <v>280800</v>
      </c>
      <c r="V111" s="44">
        <v>280800</v>
      </c>
      <c r="W111" s="44">
        <v>280800</v>
      </c>
      <c r="X111" s="44">
        <v>280800</v>
      </c>
      <c r="Y111" s="44">
        <v>280800</v>
      </c>
      <c r="Z111" s="44">
        <v>280800</v>
      </c>
      <c r="AA111" s="44">
        <v>280800</v>
      </c>
      <c r="AB111" s="44">
        <v>280800</v>
      </c>
      <c r="AC111" s="44">
        <v>280800</v>
      </c>
      <c r="AD111" s="44">
        <v>280800</v>
      </c>
      <c r="AE111" s="44">
        <v>280800</v>
      </c>
      <c r="AF111" s="44">
        <v>280800</v>
      </c>
      <c r="AG111"/>
      <c r="AH111" s="44">
        <v>280800</v>
      </c>
      <c r="AI111" s="44">
        <v>280800</v>
      </c>
      <c r="AJ111" s="44">
        <v>280800</v>
      </c>
      <c r="AK111" s="44">
        <v>280800</v>
      </c>
      <c r="AL111" s="44">
        <v>280800</v>
      </c>
      <c r="AM111" s="44">
        <v>280800</v>
      </c>
      <c r="AN111" s="44">
        <v>280800</v>
      </c>
      <c r="AO111"/>
      <c r="AP111" s="44">
        <v>280800</v>
      </c>
      <c r="AQ111" s="44">
        <v>280800</v>
      </c>
      <c r="AR111" s="44">
        <v>280800</v>
      </c>
      <c r="AS111" s="44">
        <v>280800</v>
      </c>
      <c r="AT111"/>
      <c r="AU111" s="44">
        <v>280800</v>
      </c>
      <c r="AV111"/>
      <c r="AW111"/>
      <c r="AX111" s="44">
        <v>280800</v>
      </c>
    </row>
    <row r="112" spans="1:50" x14ac:dyDescent="0.25">
      <c r="A112" s="23" t="s">
        <v>425</v>
      </c>
      <c r="B112" s="3" t="s">
        <v>473</v>
      </c>
      <c r="C112" s="3" t="s">
        <v>483</v>
      </c>
      <c r="D112" s="3" t="s">
        <v>521</v>
      </c>
      <c r="E112" s="24" t="s">
        <v>426</v>
      </c>
      <c r="F112" s="24" t="s">
        <v>435</v>
      </c>
      <c r="G112" s="44">
        <v>1.2847222222222224E-5</v>
      </c>
      <c r="I112" s="58"/>
      <c r="J112" s="44">
        <f t="shared" ref="J112:AX112" si="10">1.11 / 10</f>
        <v>0.11100000000000002</v>
      </c>
      <c r="K112" s="44">
        <f t="shared" si="10"/>
        <v>0.11100000000000002</v>
      </c>
      <c r="L112" s="44">
        <f t="shared" si="10"/>
        <v>0.11100000000000002</v>
      </c>
      <c r="M112" s="44">
        <f t="shared" si="10"/>
        <v>0.11100000000000002</v>
      </c>
      <c r="O112" s="44">
        <f t="shared" si="10"/>
        <v>0.11100000000000002</v>
      </c>
      <c r="P112" s="44"/>
      <c r="Q112" s="44">
        <f t="shared" si="10"/>
        <v>0.11100000000000002</v>
      </c>
      <c r="R112" s="44">
        <f t="shared" si="10"/>
        <v>0.11100000000000002</v>
      </c>
      <c r="S112" s="44">
        <f t="shared" si="10"/>
        <v>0.11100000000000002</v>
      </c>
      <c r="V112" s="44">
        <f t="shared" si="10"/>
        <v>0.11100000000000002</v>
      </c>
      <c r="W112" s="44">
        <f t="shared" si="10"/>
        <v>0.11100000000000002</v>
      </c>
      <c r="X112" s="44">
        <f t="shared" si="10"/>
        <v>0.11100000000000002</v>
      </c>
      <c r="Y112" s="44">
        <f t="shared" si="10"/>
        <v>0.11100000000000002</v>
      </c>
      <c r="Z112" s="44">
        <f t="shared" si="10"/>
        <v>0.11100000000000002</v>
      </c>
      <c r="AA112" s="44">
        <f t="shared" si="10"/>
        <v>0.11100000000000002</v>
      </c>
      <c r="AB112" s="44">
        <f t="shared" si="10"/>
        <v>0.11100000000000002</v>
      </c>
      <c r="AC112" s="44">
        <f t="shared" si="10"/>
        <v>0.11100000000000002</v>
      </c>
      <c r="AD112" s="44">
        <f t="shared" si="10"/>
        <v>0.11100000000000002</v>
      </c>
      <c r="AE112" s="44">
        <f t="shared" si="10"/>
        <v>0.11100000000000002</v>
      </c>
      <c r="AF112" s="44">
        <f t="shared" si="10"/>
        <v>0.11100000000000002</v>
      </c>
      <c r="AG112"/>
      <c r="AH112" s="44">
        <f t="shared" si="10"/>
        <v>0.11100000000000002</v>
      </c>
      <c r="AI112" s="44">
        <f t="shared" si="10"/>
        <v>0.11100000000000002</v>
      </c>
      <c r="AJ112" s="44">
        <f t="shared" si="10"/>
        <v>0.11100000000000002</v>
      </c>
      <c r="AK112" s="44">
        <f t="shared" si="10"/>
        <v>0.11100000000000002</v>
      </c>
      <c r="AL112" s="44">
        <f t="shared" si="10"/>
        <v>0.11100000000000002</v>
      </c>
      <c r="AM112" s="44">
        <f t="shared" si="10"/>
        <v>0.11100000000000002</v>
      </c>
      <c r="AN112" s="44">
        <f t="shared" si="10"/>
        <v>0.11100000000000002</v>
      </c>
      <c r="AO112"/>
      <c r="AP112" s="44">
        <f t="shared" si="10"/>
        <v>0.11100000000000002</v>
      </c>
      <c r="AQ112" s="44">
        <f t="shared" si="10"/>
        <v>0.11100000000000002</v>
      </c>
      <c r="AR112" s="44">
        <f t="shared" si="10"/>
        <v>0.11100000000000002</v>
      </c>
      <c r="AS112" s="44">
        <f t="shared" si="10"/>
        <v>0.11100000000000002</v>
      </c>
      <c r="AT112"/>
      <c r="AU112" s="44">
        <f t="shared" si="10"/>
        <v>0.11100000000000002</v>
      </c>
      <c r="AV112"/>
      <c r="AW112"/>
      <c r="AX112" s="44">
        <f t="shared" si="10"/>
        <v>0.11100000000000002</v>
      </c>
    </row>
    <row r="113" spans="1:50" x14ac:dyDescent="0.25">
      <c r="A113" s="23" t="s">
        <v>427</v>
      </c>
      <c r="B113" s="3" t="s">
        <v>473</v>
      </c>
      <c r="C113" s="3" t="s">
        <v>483</v>
      </c>
      <c r="D113" s="3" t="s">
        <v>521</v>
      </c>
      <c r="E113" s="24" t="s">
        <v>428</v>
      </c>
      <c r="F113" s="24" t="s">
        <v>433</v>
      </c>
      <c r="G113" s="44">
        <v>100</v>
      </c>
      <c r="I113" s="58"/>
      <c r="J113" s="44">
        <v>100</v>
      </c>
      <c r="K113" s="44">
        <v>100</v>
      </c>
      <c r="L113" s="44">
        <v>100</v>
      </c>
      <c r="M113" s="44">
        <v>100</v>
      </c>
      <c r="O113" s="44">
        <v>100</v>
      </c>
      <c r="P113" s="44"/>
      <c r="Q113" s="44">
        <v>100</v>
      </c>
      <c r="R113" s="44">
        <v>100</v>
      </c>
      <c r="S113" s="44">
        <v>100</v>
      </c>
      <c r="V113" s="44">
        <v>100</v>
      </c>
      <c r="W113" s="44">
        <v>100</v>
      </c>
      <c r="X113" s="44">
        <v>100</v>
      </c>
      <c r="Y113" s="44">
        <v>100</v>
      </c>
      <c r="Z113" s="44">
        <v>100</v>
      </c>
      <c r="AA113" s="44">
        <v>100</v>
      </c>
      <c r="AB113" s="44">
        <v>100</v>
      </c>
      <c r="AC113" s="44">
        <v>100</v>
      </c>
      <c r="AD113" s="44">
        <v>100</v>
      </c>
      <c r="AE113" s="44">
        <v>100</v>
      </c>
      <c r="AF113" s="44">
        <v>100</v>
      </c>
      <c r="AG113"/>
      <c r="AH113" s="44">
        <v>100</v>
      </c>
      <c r="AI113" s="44">
        <v>100</v>
      </c>
      <c r="AJ113" s="44">
        <v>100</v>
      </c>
      <c r="AK113" s="44">
        <v>100</v>
      </c>
      <c r="AL113" s="44">
        <v>100</v>
      </c>
      <c r="AM113" s="44">
        <v>100</v>
      </c>
      <c r="AN113" s="44">
        <v>100</v>
      </c>
      <c r="AO113"/>
      <c r="AP113" s="44">
        <v>100</v>
      </c>
      <c r="AQ113" s="44">
        <v>100</v>
      </c>
      <c r="AR113" s="44">
        <v>100</v>
      </c>
      <c r="AS113" s="44">
        <v>100</v>
      </c>
      <c r="AT113"/>
      <c r="AU113" s="44">
        <v>100</v>
      </c>
      <c r="AV113"/>
      <c r="AW113"/>
      <c r="AX113" s="44">
        <v>100</v>
      </c>
    </row>
    <row r="114" spans="1:50" ht="14.45" customHeight="1" x14ac:dyDescent="0.25">
      <c r="A114" s="23" t="s">
        <v>429</v>
      </c>
      <c r="B114" s="3" t="s">
        <v>473</v>
      </c>
      <c r="C114" s="3" t="s">
        <v>483</v>
      </c>
      <c r="D114" s="3" t="s">
        <v>521</v>
      </c>
      <c r="E114" s="24" t="s">
        <v>430</v>
      </c>
      <c r="F114" s="24" t="s">
        <v>434</v>
      </c>
      <c r="G114" s="44">
        <v>459648</v>
      </c>
      <c r="I114" s="58"/>
      <c r="J114" s="44">
        <v>459648</v>
      </c>
      <c r="K114" s="44">
        <v>459648</v>
      </c>
      <c r="L114" s="44">
        <v>459648</v>
      </c>
      <c r="M114" s="44">
        <v>459648</v>
      </c>
      <c r="O114" s="44">
        <v>459648</v>
      </c>
      <c r="P114" s="44"/>
      <c r="Q114" s="44">
        <v>459648</v>
      </c>
      <c r="R114" s="44">
        <v>459648</v>
      </c>
      <c r="S114" s="44">
        <v>459648</v>
      </c>
      <c r="V114" s="44">
        <v>459648</v>
      </c>
      <c r="W114" s="44">
        <v>459648</v>
      </c>
      <c r="X114" s="44">
        <v>459648</v>
      </c>
      <c r="Y114" s="44">
        <v>459648</v>
      </c>
      <c r="Z114" s="44">
        <v>459648</v>
      </c>
      <c r="AA114" s="44">
        <v>459648</v>
      </c>
      <c r="AB114" s="44">
        <v>459648</v>
      </c>
      <c r="AC114" s="44">
        <v>459648</v>
      </c>
      <c r="AD114" s="44">
        <v>459648</v>
      </c>
      <c r="AE114" s="44">
        <v>459648</v>
      </c>
      <c r="AF114" s="44">
        <v>459648</v>
      </c>
      <c r="AG114"/>
      <c r="AH114" s="44">
        <v>459648</v>
      </c>
      <c r="AI114" s="44">
        <v>459648</v>
      </c>
      <c r="AJ114" s="44">
        <v>459648</v>
      </c>
      <c r="AK114" s="44">
        <v>459648</v>
      </c>
      <c r="AL114" s="44">
        <v>459648</v>
      </c>
      <c r="AM114" s="44">
        <v>459648</v>
      </c>
      <c r="AN114" s="44">
        <v>459648</v>
      </c>
      <c r="AO114"/>
      <c r="AP114" s="44">
        <v>459648</v>
      </c>
      <c r="AQ114" s="44">
        <v>459648</v>
      </c>
      <c r="AR114" s="44">
        <v>459648</v>
      </c>
      <c r="AS114" s="44">
        <v>459648</v>
      </c>
      <c r="AT114"/>
      <c r="AU114" s="44">
        <v>459648</v>
      </c>
      <c r="AV114"/>
      <c r="AW114"/>
      <c r="AX114" s="44">
        <v>459648</v>
      </c>
    </row>
    <row r="115" spans="1:50" x14ac:dyDescent="0.25">
      <c r="A115" s="23" t="s">
        <v>431</v>
      </c>
      <c r="B115" s="3" t="s">
        <v>473</v>
      </c>
      <c r="C115" s="3" t="s">
        <v>483</v>
      </c>
      <c r="D115" s="3" t="s">
        <v>521</v>
      </c>
      <c r="E115" s="24" t="s">
        <v>432</v>
      </c>
      <c r="F115" s="24" t="s">
        <v>435</v>
      </c>
      <c r="G115" s="44">
        <v>1.2847222222222224E-5</v>
      </c>
      <c r="I115" s="58"/>
      <c r="J115" s="44">
        <f t="shared" ref="J115:AX115" si="11">1.11/8</f>
        <v>0.13875000000000001</v>
      </c>
      <c r="K115" s="44">
        <f t="shared" si="11"/>
        <v>0.13875000000000001</v>
      </c>
      <c r="L115" s="44">
        <f t="shared" si="11"/>
        <v>0.13875000000000001</v>
      </c>
      <c r="M115" s="44">
        <f t="shared" si="11"/>
        <v>0.13875000000000001</v>
      </c>
      <c r="O115" s="44">
        <f t="shared" si="11"/>
        <v>0.13875000000000001</v>
      </c>
      <c r="P115" s="44"/>
      <c r="Q115" s="44">
        <f t="shared" si="11"/>
        <v>0.13875000000000001</v>
      </c>
      <c r="R115" s="44">
        <f t="shared" si="11"/>
        <v>0.13875000000000001</v>
      </c>
      <c r="S115" s="44">
        <f t="shared" si="11"/>
        <v>0.13875000000000001</v>
      </c>
      <c r="V115" s="44">
        <f t="shared" si="11"/>
        <v>0.13875000000000001</v>
      </c>
      <c r="W115" s="44">
        <f t="shared" si="11"/>
        <v>0.13875000000000001</v>
      </c>
      <c r="X115" s="44">
        <f t="shared" si="11"/>
        <v>0.13875000000000001</v>
      </c>
      <c r="Y115" s="44">
        <f t="shared" si="11"/>
        <v>0.13875000000000001</v>
      </c>
      <c r="Z115" s="44">
        <f t="shared" si="11"/>
        <v>0.13875000000000001</v>
      </c>
      <c r="AA115" s="44">
        <f t="shared" si="11"/>
        <v>0.13875000000000001</v>
      </c>
      <c r="AB115" s="44">
        <f t="shared" si="11"/>
        <v>0.13875000000000001</v>
      </c>
      <c r="AC115" s="44">
        <f t="shared" si="11"/>
        <v>0.13875000000000001</v>
      </c>
      <c r="AD115" s="44">
        <f t="shared" si="11"/>
        <v>0.13875000000000001</v>
      </c>
      <c r="AE115" s="44">
        <f t="shared" si="11"/>
        <v>0.13875000000000001</v>
      </c>
      <c r="AF115" s="44">
        <f t="shared" si="11"/>
        <v>0.13875000000000001</v>
      </c>
      <c r="AG115"/>
      <c r="AH115" s="44">
        <f t="shared" si="11"/>
        <v>0.13875000000000001</v>
      </c>
      <c r="AI115" s="44">
        <f t="shared" si="11"/>
        <v>0.13875000000000001</v>
      </c>
      <c r="AJ115" s="44">
        <f t="shared" si="11"/>
        <v>0.13875000000000001</v>
      </c>
      <c r="AK115" s="44">
        <f t="shared" si="11"/>
        <v>0.13875000000000001</v>
      </c>
      <c r="AL115" s="44">
        <f t="shared" si="11"/>
        <v>0.13875000000000001</v>
      </c>
      <c r="AM115" s="44">
        <f t="shared" si="11"/>
        <v>0.13875000000000001</v>
      </c>
      <c r="AN115" s="44">
        <f t="shared" si="11"/>
        <v>0.13875000000000001</v>
      </c>
      <c r="AO115"/>
      <c r="AP115" s="44">
        <f t="shared" si="11"/>
        <v>0.13875000000000001</v>
      </c>
      <c r="AQ115" s="44">
        <f t="shared" si="11"/>
        <v>0.13875000000000001</v>
      </c>
      <c r="AR115" s="44">
        <f t="shared" si="11"/>
        <v>0.13875000000000001</v>
      </c>
      <c r="AS115" s="44">
        <f t="shared" si="11"/>
        <v>0.13875000000000001</v>
      </c>
      <c r="AT115"/>
      <c r="AU115" s="44">
        <f t="shared" si="11"/>
        <v>0.13875000000000001</v>
      </c>
      <c r="AV115"/>
      <c r="AW115"/>
      <c r="AX115" s="44">
        <f t="shared" si="11"/>
        <v>0.13875000000000001</v>
      </c>
    </row>
    <row r="116" spans="1:50" x14ac:dyDescent="0.25">
      <c r="A116" s="23" t="s">
        <v>395</v>
      </c>
      <c r="B116" s="3" t="s">
        <v>473</v>
      </c>
      <c r="C116" s="3" t="s">
        <v>483</v>
      </c>
      <c r="D116" s="3" t="s">
        <v>521</v>
      </c>
      <c r="E116" s="24" t="s">
        <v>396</v>
      </c>
      <c r="F116" s="24" t="s">
        <v>106</v>
      </c>
      <c r="G116" s="44">
        <v>21600</v>
      </c>
      <c r="I116" s="58"/>
      <c r="J116" s="44">
        <v>21600</v>
      </c>
      <c r="K116" s="44">
        <v>21600</v>
      </c>
      <c r="L116" s="44">
        <v>21600</v>
      </c>
      <c r="M116" s="44">
        <v>21600</v>
      </c>
      <c r="O116" s="44">
        <v>21600</v>
      </c>
      <c r="P116" s="44"/>
      <c r="Q116" s="44">
        <v>21600</v>
      </c>
      <c r="R116" s="44">
        <v>21600</v>
      </c>
      <c r="S116" s="44">
        <v>21600</v>
      </c>
      <c r="V116" s="44">
        <v>21600</v>
      </c>
      <c r="W116" s="44">
        <v>21600</v>
      </c>
      <c r="X116" s="44">
        <v>21600</v>
      </c>
      <c r="Y116" s="44">
        <v>21600</v>
      </c>
      <c r="Z116" s="44">
        <v>21600</v>
      </c>
      <c r="AA116" s="44">
        <v>21600</v>
      </c>
      <c r="AB116" s="44">
        <v>21600</v>
      </c>
      <c r="AC116" s="44">
        <v>21600</v>
      </c>
      <c r="AD116" s="44">
        <v>21600</v>
      </c>
      <c r="AE116" s="44">
        <v>21600</v>
      </c>
      <c r="AF116" s="44">
        <v>21600</v>
      </c>
      <c r="AG116"/>
      <c r="AH116" s="44">
        <v>21600</v>
      </c>
      <c r="AI116" s="44">
        <v>21600</v>
      </c>
      <c r="AJ116" s="44">
        <v>21600</v>
      </c>
      <c r="AK116" s="44">
        <v>21600</v>
      </c>
      <c r="AL116" s="44">
        <v>21600</v>
      </c>
      <c r="AM116" s="44">
        <v>21600</v>
      </c>
      <c r="AN116" s="44">
        <v>21600</v>
      </c>
      <c r="AO116"/>
      <c r="AP116" s="44">
        <v>21600</v>
      </c>
      <c r="AQ116" s="44">
        <v>21600</v>
      </c>
      <c r="AR116" s="44">
        <v>21600</v>
      </c>
      <c r="AS116" s="44">
        <v>21600</v>
      </c>
      <c r="AT116"/>
      <c r="AU116" s="44">
        <v>21600</v>
      </c>
      <c r="AV116"/>
      <c r="AW116"/>
      <c r="AX116" s="44">
        <v>21600</v>
      </c>
    </row>
    <row r="117" spans="1:50" x14ac:dyDescent="0.25">
      <c r="A117" s="23" t="s">
        <v>397</v>
      </c>
      <c r="B117" s="3" t="s">
        <v>473</v>
      </c>
      <c r="C117" s="3" t="s">
        <v>483</v>
      </c>
      <c r="D117" s="3" t="s">
        <v>521</v>
      </c>
      <c r="E117" s="24" t="s">
        <v>398</v>
      </c>
      <c r="F117" s="24" t="s">
        <v>106</v>
      </c>
      <c r="G117" s="44">
        <v>172800</v>
      </c>
      <c r="I117" s="58"/>
      <c r="J117" s="44">
        <v>43200</v>
      </c>
      <c r="K117" s="44">
        <v>43200</v>
      </c>
      <c r="L117" s="44">
        <v>43200</v>
      </c>
      <c r="M117" s="44">
        <v>43200</v>
      </c>
      <c r="O117" s="44">
        <v>43200</v>
      </c>
      <c r="P117" s="44"/>
      <c r="Q117" s="44">
        <v>43200</v>
      </c>
      <c r="R117" s="44">
        <v>43200</v>
      </c>
      <c r="S117" s="44">
        <v>43200</v>
      </c>
      <c r="V117" s="44">
        <v>43200</v>
      </c>
      <c r="W117" s="44">
        <v>43200</v>
      </c>
      <c r="X117" s="44">
        <v>43200</v>
      </c>
      <c r="Y117" s="44">
        <v>43200</v>
      </c>
      <c r="Z117" s="44">
        <v>43200</v>
      </c>
      <c r="AA117" s="44">
        <v>43200</v>
      </c>
      <c r="AB117" s="44">
        <v>43200</v>
      </c>
      <c r="AC117" s="44">
        <v>43200</v>
      </c>
      <c r="AD117" s="44">
        <v>43200</v>
      </c>
      <c r="AE117" s="44">
        <v>43200</v>
      </c>
      <c r="AF117" s="44">
        <v>43200</v>
      </c>
      <c r="AG117"/>
      <c r="AH117" s="44">
        <v>43200</v>
      </c>
      <c r="AI117" s="44">
        <v>43200</v>
      </c>
      <c r="AJ117" s="44">
        <v>43200</v>
      </c>
      <c r="AK117" s="44">
        <v>43200</v>
      </c>
      <c r="AL117" s="44">
        <v>43200</v>
      </c>
      <c r="AM117" s="44">
        <v>43200</v>
      </c>
      <c r="AN117" s="44">
        <v>43200</v>
      </c>
      <c r="AO117"/>
      <c r="AP117" s="44">
        <v>43200</v>
      </c>
      <c r="AQ117" s="44">
        <v>43200</v>
      </c>
      <c r="AR117" s="44">
        <v>43200</v>
      </c>
      <c r="AS117" s="44">
        <v>43200</v>
      </c>
      <c r="AT117"/>
      <c r="AU117" s="44">
        <v>43200</v>
      </c>
      <c r="AV117"/>
      <c r="AW117"/>
      <c r="AX117" s="44">
        <v>43200</v>
      </c>
    </row>
    <row r="118" spans="1:50" x14ac:dyDescent="0.25">
      <c r="A118" s="13" t="s">
        <v>61</v>
      </c>
      <c r="B118" s="3" t="s">
        <v>473</v>
      </c>
      <c r="C118" s="3" t="s">
        <v>483</v>
      </c>
      <c r="D118" s="3" t="s">
        <v>521</v>
      </c>
      <c r="E118" s="14" t="s">
        <v>172</v>
      </c>
      <c r="F118" s="14" t="s">
        <v>111</v>
      </c>
      <c r="G118" s="44">
        <v>0.8</v>
      </c>
      <c r="I118" s="58"/>
      <c r="J118" s="44">
        <v>0.8</v>
      </c>
      <c r="K118" s="44">
        <v>0.8</v>
      </c>
      <c r="L118" s="44">
        <v>0.8</v>
      </c>
      <c r="M118" s="44">
        <v>0.8</v>
      </c>
      <c r="O118" s="44">
        <v>0.8</v>
      </c>
      <c r="P118" s="44"/>
      <c r="Q118" s="44">
        <v>0.8</v>
      </c>
      <c r="R118" s="44">
        <v>0.8</v>
      </c>
      <c r="S118" s="44">
        <v>0.8</v>
      </c>
      <c r="V118" s="44">
        <v>0.8</v>
      </c>
      <c r="W118" s="44">
        <v>0.8</v>
      </c>
      <c r="X118" s="44">
        <v>0.8</v>
      </c>
      <c r="Y118" s="44">
        <v>0.8</v>
      </c>
      <c r="Z118" s="44">
        <v>0.8</v>
      </c>
      <c r="AA118" s="44">
        <v>0.8</v>
      </c>
      <c r="AB118" s="44">
        <v>0.8</v>
      </c>
      <c r="AC118" s="44">
        <v>0.8</v>
      </c>
      <c r="AD118" s="44">
        <v>0.8</v>
      </c>
      <c r="AE118" s="44">
        <v>0.8</v>
      </c>
      <c r="AF118" s="44">
        <v>0.8</v>
      </c>
      <c r="AG118"/>
      <c r="AH118" s="44">
        <v>0.8</v>
      </c>
      <c r="AI118" s="44">
        <v>0.8</v>
      </c>
      <c r="AJ118" s="44">
        <v>0.8</v>
      </c>
      <c r="AK118" s="44">
        <v>0.8</v>
      </c>
      <c r="AL118" s="44">
        <v>0.8</v>
      </c>
      <c r="AM118" s="44">
        <v>0.8</v>
      </c>
      <c r="AN118" s="44">
        <v>0.8</v>
      </c>
      <c r="AO118"/>
      <c r="AP118" s="44">
        <v>0.8</v>
      </c>
      <c r="AQ118" s="44">
        <v>0.8</v>
      </c>
      <c r="AR118" s="44">
        <v>0.8</v>
      </c>
      <c r="AS118" s="44">
        <v>0.8</v>
      </c>
      <c r="AT118"/>
      <c r="AU118" s="44">
        <v>0.8</v>
      </c>
      <c r="AV118"/>
      <c r="AW118"/>
      <c r="AX118" s="44">
        <v>0.8</v>
      </c>
    </row>
    <row r="119" spans="1:50" x14ac:dyDescent="0.25">
      <c r="A119" s="13" t="s">
        <v>62</v>
      </c>
      <c r="B119" s="3" t="s">
        <v>473</v>
      </c>
      <c r="C119" s="3" t="s">
        <v>483</v>
      </c>
      <c r="D119" s="3" t="s">
        <v>521</v>
      </c>
      <c r="E119" s="14" t="s">
        <v>173</v>
      </c>
      <c r="F119" s="14" t="s">
        <v>198</v>
      </c>
      <c r="G119" s="44">
        <v>2.0833333333333335E-4</v>
      </c>
      <c r="I119" s="58">
        <f>1250 * 0.000001 / 6</f>
        <v>2.0833333333333335E-4</v>
      </c>
      <c r="J119" s="44">
        <f>0.000208333333333333 / 2</f>
        <v>1.041666666666665E-4</v>
      </c>
      <c r="K119" s="44">
        <f>0.000208333333333333 / 2</f>
        <v>1.041666666666665E-4</v>
      </c>
      <c r="L119" s="44">
        <f>0.000208333333333333 / 2</f>
        <v>1.041666666666665E-4</v>
      </c>
      <c r="M119" s="44">
        <f>0.000208333333333333 / 2</f>
        <v>1.041666666666665E-4</v>
      </c>
      <c r="N119" s="1" t="s">
        <v>595</v>
      </c>
      <c r="O119" s="44">
        <f>0.000208333333333333 / 2</f>
        <v>1.041666666666665E-4</v>
      </c>
      <c r="P119" s="44"/>
      <c r="Q119" s="44">
        <v>2.0833333333333335E-4</v>
      </c>
      <c r="R119" s="44">
        <v>2.0833333333333335E-4</v>
      </c>
      <c r="S119" s="44">
        <v>2.0833333333333335E-4</v>
      </c>
      <c r="V119" s="44">
        <v>2.0833333333333335E-4</v>
      </c>
      <c r="W119" s="44">
        <v>2.0833333333333335E-4</v>
      </c>
      <c r="X119" s="44">
        <v>2.0833333333333335E-4</v>
      </c>
      <c r="Y119" s="44">
        <v>2.0833333333333335E-4</v>
      </c>
      <c r="Z119" s="44">
        <v>2.0833333333333335E-4</v>
      </c>
      <c r="AA119" s="44">
        <v>2.0833333333333335E-4</v>
      </c>
      <c r="AB119" s="44">
        <v>2.0833333333333335E-4</v>
      </c>
      <c r="AC119" s="44">
        <v>2.0833333333333335E-4</v>
      </c>
      <c r="AD119" s="44">
        <v>2.0833333333333335E-4</v>
      </c>
      <c r="AE119" s="44">
        <v>2.0833333333333335E-4</v>
      </c>
      <c r="AF119" s="44">
        <v>2.0833333333333335E-4</v>
      </c>
      <c r="AG119"/>
      <c r="AH119" s="44">
        <v>2.0833333333333335E-4</v>
      </c>
      <c r="AI119" s="44">
        <v>2.0833333333333335E-4</v>
      </c>
      <c r="AJ119" s="44">
        <v>2.0833333333333335E-4</v>
      </c>
      <c r="AK119" s="44">
        <v>2.0833333333333335E-4</v>
      </c>
      <c r="AL119" s="44">
        <v>2.0833333333333335E-4</v>
      </c>
      <c r="AM119" s="44">
        <v>2.0833333333333335E-4</v>
      </c>
      <c r="AN119" s="44">
        <v>2.0833333333333335E-4</v>
      </c>
      <c r="AO119"/>
      <c r="AP119" s="44">
        <v>2.0833333333333335E-4</v>
      </c>
      <c r="AQ119" s="44">
        <v>2.0833333333333335E-4</v>
      </c>
      <c r="AR119" s="44">
        <v>2.0833333333333335E-4</v>
      </c>
      <c r="AS119" s="44">
        <v>2.0833333333333335E-4</v>
      </c>
      <c r="AT119"/>
      <c r="AU119" s="44">
        <v>2.0833333333333335E-4</v>
      </c>
      <c r="AV119"/>
      <c r="AW119"/>
      <c r="AX119" s="44">
        <v>2.0833333333333335E-4</v>
      </c>
    </row>
    <row r="120" spans="1:50" x14ac:dyDescent="0.25">
      <c r="A120" s="13" t="s">
        <v>63</v>
      </c>
      <c r="B120" s="3" t="s">
        <v>473</v>
      </c>
      <c r="C120" s="3" t="s">
        <v>483</v>
      </c>
      <c r="D120" s="3" t="s">
        <v>521</v>
      </c>
      <c r="E120" s="14" t="s">
        <v>174</v>
      </c>
      <c r="F120" s="14" t="s">
        <v>110</v>
      </c>
      <c r="G120" s="44">
        <v>5.7899999999999998E-7</v>
      </c>
      <c r="I120" s="58"/>
      <c r="J120" s="44">
        <v>5.7899999999999998E-7</v>
      </c>
      <c r="K120" s="44">
        <v>5.7899999999999998E-7</v>
      </c>
      <c r="L120" s="44">
        <v>5.7899999999999998E-7</v>
      </c>
      <c r="M120" s="44">
        <v>5.7899999999999998E-7</v>
      </c>
      <c r="O120" s="44">
        <v>5.7899999999999998E-7</v>
      </c>
      <c r="P120" s="44"/>
      <c r="Q120" s="44">
        <v>5.7899999999999998E-7</v>
      </c>
      <c r="R120" s="44">
        <v>5.7899999999999998E-7</v>
      </c>
      <c r="S120" s="44">
        <v>5.7899999999999998E-7</v>
      </c>
      <c r="V120" s="44">
        <v>5.7899999999999998E-7</v>
      </c>
      <c r="W120" s="44">
        <v>5.7899999999999998E-7</v>
      </c>
      <c r="X120" s="44">
        <v>5.7899999999999998E-7</v>
      </c>
      <c r="Y120" s="44">
        <v>5.7899999999999998E-7</v>
      </c>
      <c r="Z120" s="44">
        <v>5.7899999999999998E-7</v>
      </c>
      <c r="AA120" s="44">
        <v>5.7899999999999998E-7</v>
      </c>
      <c r="AB120" s="44">
        <v>5.7899999999999998E-7</v>
      </c>
      <c r="AC120" s="44">
        <v>5.7899999999999998E-7</v>
      </c>
      <c r="AD120" s="44">
        <v>5.7899999999999998E-7</v>
      </c>
      <c r="AE120" s="44">
        <v>5.7899999999999998E-7</v>
      </c>
      <c r="AF120" s="44">
        <v>5.7899999999999998E-7</v>
      </c>
      <c r="AG120"/>
      <c r="AH120" s="44">
        <v>5.7899999999999998E-7</v>
      </c>
      <c r="AI120" s="44">
        <v>5.7899999999999998E-7</v>
      </c>
      <c r="AJ120" s="44">
        <v>5.7899999999999998E-7</v>
      </c>
      <c r="AK120" s="44">
        <v>5.7899999999999998E-7</v>
      </c>
      <c r="AL120" s="44">
        <v>5.7899999999999998E-7</v>
      </c>
      <c r="AM120" s="44">
        <v>5.7899999999999998E-7</v>
      </c>
      <c r="AN120" s="44">
        <v>5.7899999999999998E-7</v>
      </c>
      <c r="AO120"/>
      <c r="AP120" s="44">
        <v>5.7899999999999998E-7</v>
      </c>
      <c r="AQ120" s="44">
        <v>5.7899999999999998E-7</v>
      </c>
      <c r="AR120" s="44">
        <v>5.7899999999999998E-7</v>
      </c>
      <c r="AS120" s="44">
        <v>5.7899999999999998E-7</v>
      </c>
      <c r="AT120"/>
      <c r="AU120" s="44">
        <v>5.7899999999999998E-7</v>
      </c>
      <c r="AV120"/>
      <c r="AW120"/>
      <c r="AX120" s="44">
        <v>5.7899999999999998E-7</v>
      </c>
    </row>
    <row r="121" spans="1:50" x14ac:dyDescent="0.25">
      <c r="A121" s="13" t="s">
        <v>64</v>
      </c>
      <c r="B121" s="3" t="s">
        <v>473</v>
      </c>
      <c r="C121" s="3" t="s">
        <v>483</v>
      </c>
      <c r="D121" s="3" t="s">
        <v>521</v>
      </c>
      <c r="E121" s="14" t="s">
        <v>175</v>
      </c>
      <c r="F121" s="14" t="s">
        <v>198</v>
      </c>
      <c r="G121" s="44">
        <v>2.0833333333333335E-4</v>
      </c>
      <c r="I121" s="58"/>
      <c r="J121" s="44">
        <v>2.0833333333333335E-4</v>
      </c>
      <c r="K121" s="44">
        <v>2.0833333333333335E-4</v>
      </c>
      <c r="L121" s="44">
        <v>2.0833333333333335E-4</v>
      </c>
      <c r="M121" s="44">
        <v>2.0833333333333335E-4</v>
      </c>
      <c r="O121" s="44">
        <v>2.0833333333333335E-4</v>
      </c>
      <c r="P121" s="44"/>
      <c r="Q121" s="44">
        <v>2.0833333333333335E-4</v>
      </c>
      <c r="R121" s="44">
        <v>2.0833333333333335E-4</v>
      </c>
      <c r="S121" s="44">
        <v>2.0833333333333335E-4</v>
      </c>
      <c r="V121" s="44">
        <v>2.0833333333333335E-4</v>
      </c>
      <c r="W121" s="44">
        <v>2.0833333333333335E-4</v>
      </c>
      <c r="X121" s="44">
        <v>2.0833333333333335E-4</v>
      </c>
      <c r="Y121" s="44">
        <v>2.0833333333333335E-4</v>
      </c>
      <c r="Z121" s="44">
        <v>2.0833333333333335E-4</v>
      </c>
      <c r="AA121" s="44">
        <v>2.0833333333333335E-4</v>
      </c>
      <c r="AB121" s="44">
        <v>2.0833333333333335E-4</v>
      </c>
      <c r="AC121" s="44">
        <v>2.0833333333333335E-4</v>
      </c>
      <c r="AD121" s="44">
        <v>2.0833333333333335E-4</v>
      </c>
      <c r="AE121" s="44">
        <v>2.0833333333333335E-4</v>
      </c>
      <c r="AF121" s="44">
        <v>2.0833333333333335E-4</v>
      </c>
      <c r="AG121"/>
      <c r="AH121" s="44">
        <v>2.0833333333333335E-4</v>
      </c>
      <c r="AI121" s="44">
        <v>2.0833333333333335E-4</v>
      </c>
      <c r="AJ121" s="44">
        <v>2.0833333333333335E-4</v>
      </c>
      <c r="AK121" s="44">
        <v>2.0833333333333335E-4</v>
      </c>
      <c r="AL121" s="44">
        <v>2.0833333333333335E-4</v>
      </c>
      <c r="AM121" s="44">
        <v>2.0833333333333335E-4</v>
      </c>
      <c r="AN121" s="44">
        <v>2.0833333333333335E-4</v>
      </c>
      <c r="AO121"/>
      <c r="AP121" s="44">
        <v>2.0833333333333335E-4</v>
      </c>
      <c r="AQ121" s="44">
        <v>2.0833333333333335E-4</v>
      </c>
      <c r="AR121" s="44">
        <v>2.0833333333333335E-4</v>
      </c>
      <c r="AS121" s="44">
        <v>2.0833333333333335E-4</v>
      </c>
      <c r="AT121"/>
      <c r="AU121" s="44">
        <v>2.0833333333333335E-4</v>
      </c>
      <c r="AV121"/>
      <c r="AW121"/>
      <c r="AX121" s="44">
        <v>2.0833333333333335E-4</v>
      </c>
    </row>
    <row r="122" spans="1:50" x14ac:dyDescent="0.25">
      <c r="A122" s="13" t="s">
        <v>452</v>
      </c>
      <c r="B122" s="3" t="s">
        <v>473</v>
      </c>
      <c r="C122" s="3" t="s">
        <v>483</v>
      </c>
      <c r="D122" s="3" t="s">
        <v>521</v>
      </c>
      <c r="E122" s="14" t="s">
        <v>453</v>
      </c>
      <c r="F122" s="14" t="s">
        <v>198</v>
      </c>
      <c r="G122" s="44">
        <v>1.0000000000000001E-5</v>
      </c>
      <c r="I122" s="58"/>
      <c r="J122" s="44">
        <v>0</v>
      </c>
      <c r="K122" s="44">
        <v>0</v>
      </c>
      <c r="L122" s="44">
        <v>0</v>
      </c>
      <c r="M122" s="44">
        <v>0</v>
      </c>
      <c r="O122" s="44">
        <v>0</v>
      </c>
      <c r="P122" s="44"/>
      <c r="Q122" s="44">
        <v>0</v>
      </c>
      <c r="R122" s="44">
        <v>0</v>
      </c>
      <c r="S122" s="44">
        <v>0</v>
      </c>
      <c r="V122" s="44">
        <v>0</v>
      </c>
      <c r="W122" s="44">
        <v>0</v>
      </c>
      <c r="X122" s="44">
        <v>0</v>
      </c>
      <c r="Y122" s="44">
        <v>0</v>
      </c>
      <c r="Z122" s="44">
        <v>0</v>
      </c>
      <c r="AA122" s="44">
        <v>0</v>
      </c>
      <c r="AB122" s="44">
        <v>0</v>
      </c>
      <c r="AC122" s="44">
        <v>0</v>
      </c>
      <c r="AD122" s="44">
        <v>0</v>
      </c>
      <c r="AE122" s="44">
        <v>0</v>
      </c>
      <c r="AF122" s="44">
        <v>0</v>
      </c>
      <c r="AG122"/>
      <c r="AH122" s="44">
        <v>0</v>
      </c>
      <c r="AI122" s="44">
        <v>0</v>
      </c>
      <c r="AJ122" s="44">
        <v>0</v>
      </c>
      <c r="AK122" s="44">
        <v>0</v>
      </c>
      <c r="AL122" s="44">
        <v>0</v>
      </c>
      <c r="AM122" s="44">
        <v>0</v>
      </c>
      <c r="AN122" s="44">
        <v>0</v>
      </c>
      <c r="AO122"/>
      <c r="AP122" s="44">
        <v>0</v>
      </c>
      <c r="AQ122" s="44">
        <v>0</v>
      </c>
      <c r="AR122" s="44">
        <v>0</v>
      </c>
      <c r="AS122" s="44">
        <v>0</v>
      </c>
      <c r="AT122"/>
      <c r="AU122" s="44">
        <v>0</v>
      </c>
      <c r="AV122"/>
      <c r="AW122"/>
      <c r="AX122" s="44">
        <v>0</v>
      </c>
    </row>
    <row r="123" spans="1:50" x14ac:dyDescent="0.25">
      <c r="A123" s="13" t="s">
        <v>454</v>
      </c>
      <c r="B123" s="3" t="s">
        <v>473</v>
      </c>
      <c r="C123" s="3" t="s">
        <v>483</v>
      </c>
      <c r="D123" s="3" t="s">
        <v>521</v>
      </c>
      <c r="E123" s="14" t="s">
        <v>455</v>
      </c>
      <c r="F123" s="14" t="s">
        <v>198</v>
      </c>
      <c r="G123" s="44">
        <v>1.0000000000000001E-5</v>
      </c>
      <c r="I123" s="58"/>
      <c r="J123" s="44">
        <v>0</v>
      </c>
      <c r="K123" s="44">
        <v>0</v>
      </c>
      <c r="L123" s="44">
        <v>0</v>
      </c>
      <c r="M123" s="44">
        <v>0</v>
      </c>
      <c r="O123" s="44">
        <v>0</v>
      </c>
      <c r="P123" s="44"/>
      <c r="Q123" s="44">
        <v>0</v>
      </c>
      <c r="R123" s="44">
        <v>0</v>
      </c>
      <c r="S123" s="44">
        <v>0</v>
      </c>
      <c r="V123" s="44">
        <v>0</v>
      </c>
      <c r="W123" s="44">
        <v>0</v>
      </c>
      <c r="X123" s="44">
        <v>0</v>
      </c>
      <c r="Y123" s="44">
        <v>0</v>
      </c>
      <c r="Z123" s="44">
        <v>0</v>
      </c>
      <c r="AA123" s="44">
        <v>0</v>
      </c>
      <c r="AB123" s="44">
        <v>0</v>
      </c>
      <c r="AC123" s="44">
        <v>0</v>
      </c>
      <c r="AD123" s="44">
        <v>0</v>
      </c>
      <c r="AE123" s="44">
        <v>0</v>
      </c>
      <c r="AF123" s="44">
        <v>0</v>
      </c>
      <c r="AG123"/>
      <c r="AH123" s="44">
        <v>0</v>
      </c>
      <c r="AI123" s="44">
        <v>0</v>
      </c>
      <c r="AJ123" s="44">
        <v>0</v>
      </c>
      <c r="AK123" s="44">
        <v>0</v>
      </c>
      <c r="AL123" s="44">
        <v>0</v>
      </c>
      <c r="AM123" s="44">
        <v>0</v>
      </c>
      <c r="AN123" s="44">
        <v>0</v>
      </c>
      <c r="AO123"/>
      <c r="AP123" s="44">
        <v>0</v>
      </c>
      <c r="AQ123" s="44">
        <v>0</v>
      </c>
      <c r="AR123" s="44">
        <v>0</v>
      </c>
      <c r="AS123" s="44">
        <v>0</v>
      </c>
      <c r="AT123"/>
      <c r="AU123" s="44">
        <v>0</v>
      </c>
      <c r="AV123"/>
      <c r="AW123"/>
      <c r="AX123" s="44">
        <v>0</v>
      </c>
    </row>
    <row r="124" spans="1:50" x14ac:dyDescent="0.25">
      <c r="A124" s="38" t="s">
        <v>444</v>
      </c>
      <c r="B124" s="3" t="s">
        <v>473</v>
      </c>
      <c r="C124" s="3" t="s">
        <v>483</v>
      </c>
      <c r="D124" s="3" t="s">
        <v>521</v>
      </c>
      <c r="E124" s="39" t="s">
        <v>178</v>
      </c>
      <c r="F124" s="39" t="s">
        <v>179</v>
      </c>
      <c r="G124" s="44">
        <v>1.9999999999999999E-7</v>
      </c>
      <c r="I124" s="58"/>
      <c r="J124" s="44">
        <v>0</v>
      </c>
      <c r="K124" s="44">
        <v>0</v>
      </c>
      <c r="L124" s="44">
        <v>0</v>
      </c>
      <c r="M124" s="44">
        <v>0</v>
      </c>
      <c r="O124" s="44">
        <v>0</v>
      </c>
      <c r="P124" s="44"/>
      <c r="Q124" s="44">
        <v>5.9999999999999997E-7</v>
      </c>
      <c r="R124" s="44">
        <v>5.9999999999999997E-7</v>
      </c>
      <c r="S124" s="44">
        <v>5.9999999999999997E-7</v>
      </c>
      <c r="V124" s="44">
        <v>5.9999999999999997E-7</v>
      </c>
      <c r="W124" s="44">
        <v>5.9999999999999997E-7</v>
      </c>
      <c r="X124" s="44">
        <v>5.9999999999999997E-7</v>
      </c>
      <c r="Y124" s="44">
        <v>5.9999999999999997E-7</v>
      </c>
      <c r="Z124" s="44">
        <v>5.9999999999999997E-7</v>
      </c>
      <c r="AA124" s="44">
        <v>5.9999999999999997E-7</v>
      </c>
      <c r="AB124" s="44">
        <v>5.9999999999999997E-7</v>
      </c>
      <c r="AC124" s="44">
        <v>5.9999999999999997E-7</v>
      </c>
      <c r="AD124" s="44">
        <v>5.9999999999999997E-7</v>
      </c>
      <c r="AE124" s="44">
        <v>5.9999999999999997E-7</v>
      </c>
      <c r="AF124" s="44">
        <v>5.9999999999999997E-7</v>
      </c>
      <c r="AG124"/>
      <c r="AH124" s="44">
        <v>5.9999999999999997E-7</v>
      </c>
      <c r="AI124" s="44">
        <v>5.9999999999999997E-7</v>
      </c>
      <c r="AJ124" s="44">
        <v>5.9999999999999997E-7</v>
      </c>
      <c r="AK124" s="44">
        <v>5.9999999999999997E-7</v>
      </c>
      <c r="AL124" s="44">
        <v>5.9999999999999997E-7</v>
      </c>
      <c r="AM124" s="44">
        <v>5.9999999999999997E-7</v>
      </c>
      <c r="AN124" s="44">
        <v>5.9999999999999997E-7</v>
      </c>
      <c r="AO124"/>
      <c r="AP124" s="44">
        <v>5.9999999999999997E-7</v>
      </c>
      <c r="AQ124" s="44">
        <v>5.9999999999999997E-7</v>
      </c>
      <c r="AR124" s="44">
        <v>5.9999999999999997E-7</v>
      </c>
      <c r="AS124" s="44">
        <v>5.9999999999999997E-7</v>
      </c>
      <c r="AT124"/>
      <c r="AU124" s="44">
        <v>5.9999999999999997E-7</v>
      </c>
      <c r="AV124"/>
      <c r="AW124"/>
      <c r="AX124" s="44">
        <v>9.9999999999999995E-8</v>
      </c>
    </row>
    <row r="125" spans="1:50" x14ac:dyDescent="0.25">
      <c r="A125" s="38" t="s">
        <v>67</v>
      </c>
      <c r="B125" s="3" t="s">
        <v>473</v>
      </c>
      <c r="C125" s="3" t="s">
        <v>483</v>
      </c>
      <c r="D125" s="3" t="s">
        <v>521</v>
      </c>
      <c r="E125" s="39" t="s">
        <v>445</v>
      </c>
      <c r="F125" s="39" t="s">
        <v>446</v>
      </c>
      <c r="G125" s="44">
        <f>1000 * 0.000001 / 12</f>
        <v>8.3333333333333331E-5</v>
      </c>
      <c r="I125" s="58"/>
      <c r="J125" s="44">
        <f t="shared" ref="J125:AX125" si="12">1000 * 0.000001 / 12</f>
        <v>8.3333333333333331E-5</v>
      </c>
      <c r="K125" s="44">
        <f t="shared" si="12"/>
        <v>8.3333333333333331E-5</v>
      </c>
      <c r="L125" s="44">
        <f t="shared" si="12"/>
        <v>8.3333333333333331E-5</v>
      </c>
      <c r="M125" s="44">
        <f t="shared" si="12"/>
        <v>8.3333333333333331E-5</v>
      </c>
      <c r="O125" s="44">
        <f t="shared" si="12"/>
        <v>8.3333333333333331E-5</v>
      </c>
      <c r="P125" s="44"/>
      <c r="Q125" s="44">
        <f t="shared" si="12"/>
        <v>8.3333333333333331E-5</v>
      </c>
      <c r="R125" s="44">
        <f t="shared" si="12"/>
        <v>8.3333333333333331E-5</v>
      </c>
      <c r="S125" s="44">
        <f t="shared" si="12"/>
        <v>8.3333333333333331E-5</v>
      </c>
      <c r="V125" s="44">
        <f t="shared" si="12"/>
        <v>8.3333333333333331E-5</v>
      </c>
      <c r="W125" s="44">
        <f t="shared" si="12"/>
        <v>8.3333333333333331E-5</v>
      </c>
      <c r="X125" s="44">
        <f t="shared" si="12"/>
        <v>8.3333333333333331E-5</v>
      </c>
      <c r="Y125" s="44">
        <f t="shared" si="12"/>
        <v>8.3333333333333331E-5</v>
      </c>
      <c r="Z125" s="44">
        <f t="shared" si="12"/>
        <v>8.3333333333333331E-5</v>
      </c>
      <c r="AA125" s="44">
        <f t="shared" si="12"/>
        <v>8.3333333333333331E-5</v>
      </c>
      <c r="AB125" s="44">
        <f t="shared" si="12"/>
        <v>8.3333333333333331E-5</v>
      </c>
      <c r="AC125" s="44">
        <f t="shared" si="12"/>
        <v>8.3333333333333331E-5</v>
      </c>
      <c r="AD125" s="44">
        <f t="shared" si="12"/>
        <v>8.3333333333333331E-5</v>
      </c>
      <c r="AE125" s="44">
        <f t="shared" si="12"/>
        <v>8.3333333333333331E-5</v>
      </c>
      <c r="AF125" s="44">
        <f t="shared" si="12"/>
        <v>8.3333333333333331E-5</v>
      </c>
      <c r="AG125"/>
      <c r="AH125" s="44">
        <f t="shared" si="12"/>
        <v>8.3333333333333331E-5</v>
      </c>
      <c r="AI125" s="44">
        <f t="shared" si="12"/>
        <v>8.3333333333333331E-5</v>
      </c>
      <c r="AJ125" s="44">
        <f t="shared" si="12"/>
        <v>8.3333333333333331E-5</v>
      </c>
      <c r="AK125" s="44">
        <f t="shared" si="12"/>
        <v>8.3333333333333331E-5</v>
      </c>
      <c r="AL125" s="44">
        <f t="shared" si="12"/>
        <v>8.3333333333333331E-5</v>
      </c>
      <c r="AM125" s="44">
        <f t="shared" si="12"/>
        <v>8.3333333333333331E-5</v>
      </c>
      <c r="AN125" s="44">
        <f t="shared" si="12"/>
        <v>8.3333333333333331E-5</v>
      </c>
      <c r="AO125"/>
      <c r="AP125" s="44">
        <f t="shared" si="12"/>
        <v>8.3333333333333331E-5</v>
      </c>
      <c r="AQ125" s="44">
        <f t="shared" si="12"/>
        <v>8.3333333333333331E-5</v>
      </c>
      <c r="AR125" s="44">
        <f t="shared" si="12"/>
        <v>8.3333333333333331E-5</v>
      </c>
      <c r="AS125" s="44">
        <f t="shared" si="12"/>
        <v>8.3333333333333331E-5</v>
      </c>
      <c r="AT125"/>
      <c r="AU125" s="44">
        <f t="shared" si="12"/>
        <v>8.3333333333333331E-5</v>
      </c>
      <c r="AV125"/>
      <c r="AW125"/>
      <c r="AX125" s="44">
        <f t="shared" si="12"/>
        <v>8.3333333333333331E-5</v>
      </c>
    </row>
    <row r="126" spans="1:50" x14ac:dyDescent="0.25">
      <c r="A126" s="38" t="s">
        <v>448</v>
      </c>
      <c r="B126" s="3" t="s">
        <v>473</v>
      </c>
      <c r="C126" s="3" t="s">
        <v>483</v>
      </c>
      <c r="D126" s="3" t="s">
        <v>521</v>
      </c>
      <c r="E126" s="39" t="s">
        <v>449</v>
      </c>
      <c r="F126" s="39" t="s">
        <v>94</v>
      </c>
      <c r="G126" s="44" t="s">
        <v>87</v>
      </c>
      <c r="I126" s="58"/>
      <c r="J126" s="44" t="s">
        <v>86</v>
      </c>
      <c r="K126" s="44" t="s">
        <v>86</v>
      </c>
      <c r="L126" s="44" t="s">
        <v>86</v>
      </c>
      <c r="M126" s="44" t="s">
        <v>86</v>
      </c>
      <c r="O126" s="44" t="s">
        <v>86</v>
      </c>
      <c r="P126" s="44"/>
      <c r="Q126" s="44" t="s">
        <v>86</v>
      </c>
      <c r="R126" s="44" t="s">
        <v>86</v>
      </c>
      <c r="S126" s="44" t="s">
        <v>86</v>
      </c>
      <c r="V126" s="44" t="s">
        <v>86</v>
      </c>
      <c r="W126" s="44" t="s">
        <v>86</v>
      </c>
      <c r="X126" s="44" t="s">
        <v>86</v>
      </c>
      <c r="Y126" s="44" t="s">
        <v>86</v>
      </c>
      <c r="Z126" s="44" t="s">
        <v>86</v>
      </c>
      <c r="AA126" s="44" t="s">
        <v>86</v>
      </c>
      <c r="AB126" s="44" t="s">
        <v>86</v>
      </c>
      <c r="AC126" s="44" t="s">
        <v>86</v>
      </c>
      <c r="AD126" s="44" t="s">
        <v>86</v>
      </c>
      <c r="AE126" s="44" t="s">
        <v>86</v>
      </c>
      <c r="AF126" s="44" t="s">
        <v>86</v>
      </c>
      <c r="AG126"/>
      <c r="AH126" s="44" t="s">
        <v>86</v>
      </c>
      <c r="AI126" s="44" t="s">
        <v>86</v>
      </c>
      <c r="AJ126" s="44" t="s">
        <v>86</v>
      </c>
      <c r="AK126" s="44" t="s">
        <v>86</v>
      </c>
      <c r="AL126" s="44" t="s">
        <v>86</v>
      </c>
      <c r="AM126" s="44" t="s">
        <v>86</v>
      </c>
      <c r="AN126" s="44" t="s">
        <v>86</v>
      </c>
      <c r="AO126"/>
      <c r="AP126" s="44" t="s">
        <v>86</v>
      </c>
      <c r="AQ126" s="44" t="s">
        <v>86</v>
      </c>
      <c r="AR126" s="44" t="s">
        <v>86</v>
      </c>
      <c r="AS126" s="44" t="s">
        <v>86</v>
      </c>
      <c r="AT126"/>
      <c r="AU126" s="44" t="s">
        <v>86</v>
      </c>
      <c r="AV126"/>
      <c r="AW126"/>
      <c r="AX126" s="44" t="s">
        <v>86</v>
      </c>
    </row>
    <row r="127" spans="1:50" x14ac:dyDescent="0.25">
      <c r="A127" s="21" t="s">
        <v>66</v>
      </c>
      <c r="B127" s="3" t="s">
        <v>473</v>
      </c>
      <c r="C127" s="3" t="s">
        <v>483</v>
      </c>
      <c r="D127" s="3" t="s">
        <v>521</v>
      </c>
      <c r="E127" s="22" t="s">
        <v>177</v>
      </c>
      <c r="F127" s="22" t="s">
        <v>199</v>
      </c>
      <c r="G127" s="44">
        <v>5.0000000000000001E-4</v>
      </c>
      <c r="I127" s="58"/>
      <c r="J127" s="44">
        <v>5.0000000000000001E-4</v>
      </c>
      <c r="K127" s="44">
        <v>5.0000000000000001E-4</v>
      </c>
      <c r="L127" s="44">
        <v>5.0000000000000001E-4</v>
      </c>
      <c r="M127" s="44">
        <v>5.0000000000000001E-4</v>
      </c>
      <c r="O127" s="44">
        <v>5.0000000000000001E-4</v>
      </c>
      <c r="P127" s="44"/>
      <c r="Q127" s="44">
        <v>5.0000000000000001E-4</v>
      </c>
      <c r="R127" s="44">
        <v>5.0000000000000001E-4</v>
      </c>
      <c r="S127" s="44">
        <v>5.0000000000000001E-4</v>
      </c>
      <c r="V127" s="44">
        <v>5.0000000000000001E-4</v>
      </c>
      <c r="W127" s="44">
        <v>5.0000000000000001E-4</v>
      </c>
      <c r="X127" s="44">
        <v>5.0000000000000001E-4</v>
      </c>
      <c r="Y127" s="44">
        <v>5.0000000000000001E-4</v>
      </c>
      <c r="Z127" s="44">
        <v>5.0000000000000001E-4</v>
      </c>
      <c r="AA127" s="44">
        <v>5.0000000000000001E-4</v>
      </c>
      <c r="AB127" s="44">
        <v>5.0000000000000001E-4</v>
      </c>
      <c r="AC127" s="44">
        <v>5.0000000000000001E-4</v>
      </c>
      <c r="AD127" s="44">
        <v>5.0000000000000001E-4</v>
      </c>
      <c r="AE127" s="44">
        <v>5.0000000000000001E-4</v>
      </c>
      <c r="AF127" s="44">
        <v>5.0000000000000001E-4</v>
      </c>
      <c r="AG127"/>
      <c r="AH127" s="44">
        <v>5.0000000000000001E-4</v>
      </c>
      <c r="AI127" s="44">
        <v>5.0000000000000001E-4</v>
      </c>
      <c r="AJ127" s="44">
        <v>5.0000000000000001E-4</v>
      </c>
      <c r="AK127" s="44">
        <v>5.0000000000000001E-4</v>
      </c>
      <c r="AL127" s="44">
        <v>5.0000000000000001E-4</v>
      </c>
      <c r="AM127" s="44">
        <v>5.0000000000000001E-4</v>
      </c>
      <c r="AN127" s="44">
        <v>5.0000000000000001E-4</v>
      </c>
      <c r="AO127"/>
      <c r="AP127" s="44">
        <v>5.0000000000000001E-4</v>
      </c>
      <c r="AQ127" s="44">
        <v>5.0000000000000001E-4</v>
      </c>
      <c r="AR127" s="44">
        <v>5.0000000000000001E-4</v>
      </c>
      <c r="AS127" s="44">
        <v>5.0000000000000001E-4</v>
      </c>
      <c r="AT127"/>
      <c r="AU127" s="44">
        <v>5.0000000000000001E-4</v>
      </c>
      <c r="AV127"/>
      <c r="AW127"/>
      <c r="AX127" s="44">
        <v>5.0000000000000001E-4</v>
      </c>
    </row>
    <row r="128" spans="1:50" x14ac:dyDescent="0.25">
      <c r="A128" s="21" t="s">
        <v>441</v>
      </c>
      <c r="B128" s="3" t="s">
        <v>473</v>
      </c>
      <c r="C128" s="3" t="s">
        <v>483</v>
      </c>
      <c r="D128" s="3" t="s">
        <v>521</v>
      </c>
      <c r="E128" s="22" t="s">
        <v>442</v>
      </c>
      <c r="F128" s="22" t="s">
        <v>443</v>
      </c>
      <c r="G128" s="44">
        <v>1.0000000000000001E-9</v>
      </c>
      <c r="I128" s="58"/>
      <c r="J128" s="44">
        <f>0.00000000000003/2/2/2</f>
        <v>3.7499999999999998E-15</v>
      </c>
      <c r="K128" s="44">
        <f>0.00000000000003/2/2/2</f>
        <v>3.7499999999999998E-15</v>
      </c>
      <c r="L128" s="44">
        <f>0.0000000000005/100</f>
        <v>5E-15</v>
      </c>
      <c r="M128" s="44">
        <f>0.0000000000005/100</f>
        <v>5E-15</v>
      </c>
      <c r="N128" s="1" t="s">
        <v>602</v>
      </c>
      <c r="O128" s="44">
        <f>0.00000000000003/2/2/2</f>
        <v>3.7499999999999998E-15</v>
      </c>
      <c r="P128" s="44"/>
      <c r="Q128" s="44">
        <v>4.9999999999999999E-13</v>
      </c>
      <c r="R128" s="44">
        <v>4.9999999999999999E-13</v>
      </c>
      <c r="S128" s="44">
        <v>4.9999999999999999E-13</v>
      </c>
      <c r="V128" s="44">
        <v>4.9999999999999999E-13</v>
      </c>
      <c r="W128" s="44">
        <v>4.9999999999999999E-13</v>
      </c>
      <c r="X128" s="44">
        <v>4.9999999999999999E-13</v>
      </c>
      <c r="Y128" s="44">
        <v>4.9999999999999999E-13</v>
      </c>
      <c r="Z128" s="44">
        <v>4.9999999999999999E-13</v>
      </c>
      <c r="AA128" s="44">
        <v>4.9999999999999999E-13</v>
      </c>
      <c r="AB128" s="44">
        <v>4.9999999999999999E-13</v>
      </c>
      <c r="AC128" s="44">
        <v>4.9999999999999999E-13</v>
      </c>
      <c r="AD128" s="44">
        <v>4.9999999999999999E-13</v>
      </c>
      <c r="AE128" s="44">
        <v>4.9999999999999999E-13</v>
      </c>
      <c r="AF128" s="44">
        <v>4.9999999999999999E-13</v>
      </c>
      <c r="AG128"/>
      <c r="AH128" s="44">
        <v>4.9999999999999999E-13</v>
      </c>
      <c r="AI128" s="44">
        <v>4.9999999999999999E-13</v>
      </c>
      <c r="AJ128" s="44">
        <v>4.9999999999999999E-13</v>
      </c>
      <c r="AK128" s="44">
        <v>4.9999999999999999E-13</v>
      </c>
      <c r="AL128" s="44">
        <v>4.9999999999999999E-13</v>
      </c>
      <c r="AM128" s="44">
        <v>4.9999999999999999E-13</v>
      </c>
      <c r="AN128" s="44">
        <v>4.9999999999999999E-13</v>
      </c>
      <c r="AO128"/>
      <c r="AP128" s="44">
        <v>4.9999999999999999E-13</v>
      </c>
      <c r="AQ128" s="44">
        <v>4.9999999999999999E-13</v>
      </c>
      <c r="AR128" s="44">
        <v>4.9999999999999999E-13</v>
      </c>
      <c r="AS128" s="44">
        <v>4.9999999999999999E-13</v>
      </c>
      <c r="AT128"/>
      <c r="AU128" s="44">
        <v>4.9999999999999999E-13</v>
      </c>
      <c r="AV128"/>
      <c r="AW128"/>
      <c r="AX128" s="44">
        <v>4.9999999999999999E-13</v>
      </c>
    </row>
    <row r="129" spans="1:50" x14ac:dyDescent="0.25">
      <c r="A129" s="21" t="s">
        <v>604</v>
      </c>
      <c r="B129" s="3" t="s">
        <v>473</v>
      </c>
      <c r="C129" s="3" t="s">
        <v>483</v>
      </c>
      <c r="D129" s="3" t="s">
        <v>521</v>
      </c>
      <c r="E129" s="22" t="s">
        <v>442</v>
      </c>
      <c r="F129" s="22" t="s">
        <v>443</v>
      </c>
      <c r="G129" s="44">
        <v>1.0000000000000001E-9</v>
      </c>
      <c r="I129" s="58"/>
      <c r="J129" s="44">
        <f>0.00000000000003/2/2/2</f>
        <v>3.7499999999999998E-15</v>
      </c>
      <c r="K129" s="44">
        <f>0.00000000000003/2/2/2</f>
        <v>3.7499999999999998E-15</v>
      </c>
      <c r="L129" s="44">
        <f>0.000005/3600</f>
        <v>1.388888888888889E-9</v>
      </c>
      <c r="M129" s="44">
        <f>0.000005/3600</f>
        <v>1.388888888888889E-9</v>
      </c>
      <c r="O129" s="44">
        <f>0.00000000000003/2/2/2</f>
        <v>3.7499999999999998E-15</v>
      </c>
      <c r="P129" s="44"/>
      <c r="Q129" s="44">
        <v>4.9999999999999999E-13</v>
      </c>
      <c r="R129" s="44">
        <v>4.9999999999999999E-13</v>
      </c>
      <c r="S129" s="44">
        <v>4.9999999999999999E-13</v>
      </c>
      <c r="V129" s="44">
        <v>4.9999999999999999E-13</v>
      </c>
      <c r="W129" s="44">
        <v>4.9999999999999999E-13</v>
      </c>
      <c r="X129" s="44">
        <v>4.9999999999999999E-13</v>
      </c>
      <c r="Y129" s="44">
        <v>4.9999999999999999E-13</v>
      </c>
      <c r="Z129" s="44">
        <v>4.9999999999999999E-13</v>
      </c>
      <c r="AA129" s="44">
        <v>4.9999999999999999E-13</v>
      </c>
      <c r="AB129" s="44">
        <v>4.9999999999999999E-13</v>
      </c>
      <c r="AC129" s="44">
        <v>4.9999999999999999E-13</v>
      </c>
      <c r="AD129" s="44">
        <v>4.9999999999999999E-13</v>
      </c>
      <c r="AE129" s="44">
        <v>4.9999999999999999E-13</v>
      </c>
      <c r="AF129" s="44">
        <v>4.9999999999999999E-13</v>
      </c>
      <c r="AG129"/>
      <c r="AH129" s="44">
        <v>4.9999999999999999E-13</v>
      </c>
      <c r="AI129" s="44">
        <v>4.9999999999999999E-13</v>
      </c>
      <c r="AJ129" s="44">
        <v>4.9999999999999999E-13</v>
      </c>
      <c r="AK129" s="44">
        <v>4.9999999999999999E-13</v>
      </c>
      <c r="AL129" s="44">
        <v>4.9999999999999999E-13</v>
      </c>
      <c r="AM129" s="44">
        <v>4.9999999999999999E-13</v>
      </c>
      <c r="AN129" s="44">
        <v>4.9999999999999999E-13</v>
      </c>
      <c r="AO129"/>
      <c r="AP129" s="44">
        <v>4.9999999999999999E-13</v>
      </c>
      <c r="AQ129" s="44">
        <v>4.9999999999999999E-13</v>
      </c>
      <c r="AR129" s="44">
        <v>4.9999999999999999E-13</v>
      </c>
      <c r="AS129" s="44">
        <v>4.9999999999999999E-13</v>
      </c>
      <c r="AT129"/>
      <c r="AU129" s="44">
        <v>4.9999999999999999E-13</v>
      </c>
      <c r="AV129"/>
      <c r="AW129"/>
      <c r="AX129" s="44">
        <v>4.9999999999999999E-13</v>
      </c>
    </row>
    <row r="130" spans="1:50" x14ac:dyDescent="0.25">
      <c r="A130" s="21" t="s">
        <v>228</v>
      </c>
      <c r="B130" s="3" t="s">
        <v>473</v>
      </c>
      <c r="C130" s="3" t="s">
        <v>483</v>
      </c>
      <c r="D130" s="3" t="s">
        <v>521</v>
      </c>
      <c r="E130" s="22" t="s">
        <v>311</v>
      </c>
      <c r="F130" s="22" t="s">
        <v>109</v>
      </c>
      <c r="G130" s="44">
        <v>10</v>
      </c>
      <c r="I130" s="58"/>
      <c r="J130" s="44">
        <v>10</v>
      </c>
      <c r="K130" s="44">
        <v>10</v>
      </c>
      <c r="L130" s="44">
        <v>10</v>
      </c>
      <c r="M130" s="44">
        <v>10</v>
      </c>
      <c r="O130" s="44">
        <v>10</v>
      </c>
      <c r="P130" s="44"/>
      <c r="Q130" s="44">
        <v>10</v>
      </c>
      <c r="R130" s="44">
        <v>10</v>
      </c>
      <c r="S130" s="44">
        <v>10</v>
      </c>
      <c r="V130" s="44">
        <v>10</v>
      </c>
      <c r="W130" s="44">
        <v>10</v>
      </c>
      <c r="X130" s="44">
        <v>10</v>
      </c>
      <c r="Y130" s="44">
        <v>10</v>
      </c>
      <c r="Z130" s="44">
        <v>10</v>
      </c>
      <c r="AA130" s="44">
        <v>10</v>
      </c>
      <c r="AB130" s="44">
        <v>10</v>
      </c>
      <c r="AC130" s="44">
        <v>10</v>
      </c>
      <c r="AD130" s="44">
        <v>10</v>
      </c>
      <c r="AE130" s="44">
        <v>10</v>
      </c>
      <c r="AF130" s="44">
        <v>10</v>
      </c>
      <c r="AG130"/>
      <c r="AH130" s="44">
        <v>10</v>
      </c>
      <c r="AI130" s="44">
        <v>10</v>
      </c>
      <c r="AJ130" s="44">
        <v>10</v>
      </c>
      <c r="AK130" s="44">
        <v>10</v>
      </c>
      <c r="AL130" s="44">
        <v>10</v>
      </c>
      <c r="AM130" s="44">
        <v>10</v>
      </c>
      <c r="AN130" s="44">
        <v>10</v>
      </c>
      <c r="AO130"/>
      <c r="AP130" s="44">
        <v>10</v>
      </c>
      <c r="AQ130" s="44">
        <v>10</v>
      </c>
      <c r="AR130" s="44">
        <v>10</v>
      </c>
      <c r="AS130" s="44">
        <v>10</v>
      </c>
      <c r="AT130"/>
      <c r="AU130" s="44">
        <v>10</v>
      </c>
      <c r="AV130"/>
      <c r="AW130"/>
      <c r="AX130" s="44">
        <v>10</v>
      </c>
    </row>
    <row r="131" spans="1:50" x14ac:dyDescent="0.25">
      <c r="A131" s="21" t="s">
        <v>229</v>
      </c>
      <c r="B131" s="3" t="s">
        <v>473</v>
      </c>
      <c r="C131" s="3" t="s">
        <v>483</v>
      </c>
      <c r="D131" s="3" t="s">
        <v>521</v>
      </c>
      <c r="E131" s="22" t="s">
        <v>312</v>
      </c>
      <c r="F131" s="22" t="s">
        <v>301</v>
      </c>
      <c r="G131" s="44">
        <v>-0.04</v>
      </c>
      <c r="I131" s="58"/>
      <c r="J131" s="44">
        <v>-0.04</v>
      </c>
      <c r="K131" s="44">
        <v>-0.04</v>
      </c>
      <c r="L131" s="44">
        <v>-0.04</v>
      </c>
      <c r="M131" s="44">
        <v>-0.04</v>
      </c>
      <c r="O131" s="44">
        <v>-0.04</v>
      </c>
      <c r="P131" s="44"/>
      <c r="Q131" s="44">
        <v>-0.04</v>
      </c>
      <c r="R131" s="44">
        <v>-0.04</v>
      </c>
      <c r="S131" s="44">
        <v>-0.04</v>
      </c>
      <c r="V131" s="44">
        <v>-0.04</v>
      </c>
      <c r="W131" s="44">
        <v>-0.04</v>
      </c>
      <c r="X131" s="44">
        <v>-0.04</v>
      </c>
      <c r="Y131" s="44">
        <v>-0.04</v>
      </c>
      <c r="Z131" s="44">
        <v>-0.04</v>
      </c>
      <c r="AA131" s="44">
        <v>-0.04</v>
      </c>
      <c r="AB131" s="44">
        <v>-0.04</v>
      </c>
      <c r="AC131" s="44">
        <v>-0.04</v>
      </c>
      <c r="AD131" s="44">
        <v>-0.04</v>
      </c>
      <c r="AE131" s="44">
        <v>-0.04</v>
      </c>
      <c r="AF131" s="44">
        <v>-0.04</v>
      </c>
      <c r="AG131"/>
      <c r="AH131" s="44">
        <v>-0.04</v>
      </c>
      <c r="AI131" s="44">
        <v>-0.04</v>
      </c>
      <c r="AJ131" s="44">
        <v>-0.04</v>
      </c>
      <c r="AK131" s="44">
        <v>-0.04</v>
      </c>
      <c r="AL131" s="44">
        <v>-0.04</v>
      </c>
      <c r="AM131" s="44">
        <v>-0.04</v>
      </c>
      <c r="AN131" s="44">
        <v>-0.04</v>
      </c>
      <c r="AO131"/>
      <c r="AP131" s="44">
        <v>-0.04</v>
      </c>
      <c r="AQ131" s="44">
        <v>-0.04</v>
      </c>
      <c r="AR131" s="44">
        <v>-0.04</v>
      </c>
      <c r="AS131" s="44">
        <v>-0.04</v>
      </c>
      <c r="AT131"/>
      <c r="AU131" s="44">
        <v>-0.04</v>
      </c>
      <c r="AV131"/>
      <c r="AW131"/>
      <c r="AX131" s="44">
        <v>-0.04</v>
      </c>
    </row>
    <row r="132" spans="1:50" x14ac:dyDescent="0.25">
      <c r="A132" s="21" t="s">
        <v>230</v>
      </c>
      <c r="B132" s="3" t="s">
        <v>473</v>
      </c>
      <c r="C132" s="3" t="s">
        <v>483</v>
      </c>
      <c r="D132" s="3" t="s">
        <v>521</v>
      </c>
      <c r="E132" s="22" t="s">
        <v>313</v>
      </c>
      <c r="F132" s="22" t="s">
        <v>100</v>
      </c>
      <c r="G132" s="44">
        <v>2.9</v>
      </c>
      <c r="I132" s="58"/>
      <c r="J132" s="44">
        <v>2.9</v>
      </c>
      <c r="K132" s="44">
        <v>2.9</v>
      </c>
      <c r="L132" s="44">
        <v>2.9</v>
      </c>
      <c r="M132" s="44">
        <v>2.9</v>
      </c>
      <c r="O132" s="44">
        <v>2.9</v>
      </c>
      <c r="P132" s="44"/>
      <c r="Q132" s="44">
        <v>2.9</v>
      </c>
      <c r="R132" s="44">
        <v>2.9</v>
      </c>
      <c r="S132" s="44">
        <v>2.9</v>
      </c>
      <c r="V132" s="44">
        <v>2.9</v>
      </c>
      <c r="W132" s="44">
        <v>2.9</v>
      </c>
      <c r="X132" s="44">
        <v>2.9</v>
      </c>
      <c r="Y132" s="44">
        <v>2.9</v>
      </c>
      <c r="Z132" s="44">
        <v>2.9</v>
      </c>
      <c r="AA132" s="44">
        <v>2.9</v>
      </c>
      <c r="AB132" s="44">
        <v>2.9</v>
      </c>
      <c r="AC132" s="44">
        <v>2.9</v>
      </c>
      <c r="AD132" s="44">
        <v>2.9</v>
      </c>
      <c r="AE132" s="44">
        <v>2.9</v>
      </c>
      <c r="AF132" s="44">
        <v>2.9</v>
      </c>
      <c r="AG132"/>
      <c r="AH132" s="44">
        <v>2.9</v>
      </c>
      <c r="AI132" s="44">
        <v>2.9</v>
      </c>
      <c r="AJ132" s="44">
        <v>2.9</v>
      </c>
      <c r="AK132" s="44">
        <v>2.9</v>
      </c>
      <c r="AL132" s="44">
        <v>2.9</v>
      </c>
      <c r="AM132" s="44">
        <v>2.9</v>
      </c>
      <c r="AN132" s="44">
        <v>2.9</v>
      </c>
      <c r="AO132"/>
      <c r="AP132" s="44">
        <v>2.9</v>
      </c>
      <c r="AQ132" s="44">
        <v>2.9</v>
      </c>
      <c r="AR132" s="44">
        <v>2.9</v>
      </c>
      <c r="AS132" s="44">
        <v>2.9</v>
      </c>
      <c r="AT132"/>
      <c r="AU132" s="44">
        <v>2.9</v>
      </c>
      <c r="AV132"/>
      <c r="AW132"/>
      <c r="AX132" s="44">
        <v>2.9</v>
      </c>
    </row>
    <row r="133" spans="1:50" x14ac:dyDescent="0.25">
      <c r="A133" s="21" t="s">
        <v>231</v>
      </c>
      <c r="B133" s="3" t="s">
        <v>473</v>
      </c>
      <c r="C133" s="3" t="s">
        <v>483</v>
      </c>
      <c r="D133" s="3" t="s">
        <v>521</v>
      </c>
      <c r="E133" s="22" t="s">
        <v>314</v>
      </c>
      <c r="F133" s="22" t="s">
        <v>95</v>
      </c>
      <c r="G133" s="44">
        <v>1</v>
      </c>
      <c r="I133" s="58"/>
      <c r="J133" s="44">
        <v>1</v>
      </c>
      <c r="K133" s="44">
        <v>1</v>
      </c>
      <c r="L133" s="44">
        <v>1</v>
      </c>
      <c r="M133" s="44">
        <v>1</v>
      </c>
      <c r="O133" s="44">
        <v>1</v>
      </c>
      <c r="P133" s="44"/>
      <c r="Q133" s="44">
        <v>1</v>
      </c>
      <c r="R133" s="44">
        <v>1</v>
      </c>
      <c r="S133" s="44">
        <v>1</v>
      </c>
      <c r="V133" s="44">
        <v>1</v>
      </c>
      <c r="W133" s="44">
        <v>1</v>
      </c>
      <c r="X133" s="44">
        <v>1</v>
      </c>
      <c r="Y133" s="44">
        <v>1</v>
      </c>
      <c r="Z133" s="44">
        <v>1</v>
      </c>
      <c r="AA133" s="44">
        <v>1</v>
      </c>
      <c r="AB133" s="44">
        <v>1</v>
      </c>
      <c r="AC133" s="44">
        <v>1</v>
      </c>
      <c r="AD133" s="44">
        <v>1</v>
      </c>
      <c r="AE133" s="44">
        <v>1</v>
      </c>
      <c r="AF133" s="44">
        <v>1</v>
      </c>
      <c r="AG133"/>
      <c r="AH133" s="44">
        <v>1</v>
      </c>
      <c r="AI133" s="44">
        <v>1</v>
      </c>
      <c r="AJ133" s="44">
        <v>1</v>
      </c>
      <c r="AK133" s="44">
        <v>1</v>
      </c>
      <c r="AL133" s="44">
        <v>1</v>
      </c>
      <c r="AM133" s="44">
        <v>1</v>
      </c>
      <c r="AN133" s="44">
        <v>1</v>
      </c>
      <c r="AO133"/>
      <c r="AP133" s="44">
        <v>1</v>
      </c>
      <c r="AQ133" s="44">
        <v>1</v>
      </c>
      <c r="AR133" s="44">
        <v>1</v>
      </c>
      <c r="AS133" s="44">
        <v>1</v>
      </c>
      <c r="AT133"/>
      <c r="AU133" s="44">
        <v>1</v>
      </c>
      <c r="AV133"/>
      <c r="AW133"/>
      <c r="AX133" s="44">
        <v>1</v>
      </c>
    </row>
    <row r="134" spans="1:50" x14ac:dyDescent="0.25">
      <c r="A134" s="21" t="s">
        <v>68</v>
      </c>
      <c r="B134" s="3" t="s">
        <v>473</v>
      </c>
      <c r="C134" s="3" t="s">
        <v>483</v>
      </c>
      <c r="D134" s="3" t="s">
        <v>521</v>
      </c>
      <c r="E134" s="22" t="s">
        <v>178</v>
      </c>
      <c r="F134" s="22" t="s">
        <v>179</v>
      </c>
      <c r="G134" s="44">
        <v>6.0000000000000002E-5</v>
      </c>
      <c r="I134" s="58"/>
      <c r="J134" s="44">
        <v>1.9999999999999999E-7</v>
      </c>
      <c r="K134" s="44">
        <v>1.9999999999999999E-7</v>
      </c>
      <c r="L134" s="44">
        <v>1.9999999999999999E-7</v>
      </c>
      <c r="M134" s="44">
        <v>1.9999999999999999E-7</v>
      </c>
      <c r="O134" s="44">
        <v>1.9999999999999999E-7</v>
      </c>
      <c r="P134" s="44"/>
      <c r="Q134" s="44">
        <v>1.9999999999999999E-7</v>
      </c>
      <c r="R134" s="44">
        <v>1.9999999999999999E-7</v>
      </c>
      <c r="S134" s="44">
        <v>1.9999999999999999E-7</v>
      </c>
      <c r="V134" s="44">
        <v>1.9999999999999999E-7</v>
      </c>
      <c r="W134" s="44">
        <v>1.9999999999999999E-7</v>
      </c>
      <c r="X134" s="44">
        <v>1.9999999999999999E-7</v>
      </c>
      <c r="Y134" s="44">
        <v>1.9999999999999999E-7</v>
      </c>
      <c r="Z134" s="44">
        <v>1.9999999999999999E-7</v>
      </c>
      <c r="AA134" s="44">
        <v>1.9999999999999999E-7</v>
      </c>
      <c r="AB134" s="44">
        <v>1.9999999999999999E-7</v>
      </c>
      <c r="AC134" s="44">
        <v>1.9999999999999999E-7</v>
      </c>
      <c r="AD134" s="44">
        <v>1.9999999999999999E-7</v>
      </c>
      <c r="AE134" s="44">
        <v>1.9999999999999999E-7</v>
      </c>
      <c r="AF134" s="44">
        <v>1.9999999999999999E-7</v>
      </c>
      <c r="AG134"/>
      <c r="AH134" s="44">
        <v>1.9999999999999999E-7</v>
      </c>
      <c r="AI134" s="44">
        <v>1.9999999999999999E-7</v>
      </c>
      <c r="AJ134" s="44">
        <v>1.9999999999999999E-7</v>
      </c>
      <c r="AK134" s="44">
        <v>1.9999999999999999E-7</v>
      </c>
      <c r="AL134" s="44">
        <v>1.9999999999999999E-7</v>
      </c>
      <c r="AM134" s="44">
        <v>1.9999999999999999E-7</v>
      </c>
      <c r="AN134" s="44">
        <v>1.9999999999999999E-7</v>
      </c>
      <c r="AO134"/>
      <c r="AP134" s="44">
        <v>1.9999999999999999E-7</v>
      </c>
      <c r="AQ134" s="44">
        <v>1.9999999999999999E-7</v>
      </c>
      <c r="AR134" s="44">
        <v>1.9999999999999999E-7</v>
      </c>
      <c r="AS134" s="44">
        <v>1.9999999999999999E-7</v>
      </c>
      <c r="AT134"/>
      <c r="AU134" s="44">
        <v>1.9999999999999999E-7</v>
      </c>
      <c r="AV134"/>
      <c r="AW134"/>
      <c r="AX134" s="44">
        <v>1.9999999999999999E-7</v>
      </c>
    </row>
    <row r="135" spans="1:50" x14ac:dyDescent="0.25">
      <c r="A135" s="21" t="s">
        <v>522</v>
      </c>
      <c r="B135" s="3" t="s">
        <v>473</v>
      </c>
      <c r="C135" s="3" t="s">
        <v>483</v>
      </c>
      <c r="D135" s="3" t="s">
        <v>521</v>
      </c>
      <c r="E135" s="22" t="s">
        <v>315</v>
      </c>
      <c r="F135" s="22" t="s">
        <v>109</v>
      </c>
      <c r="G135" s="44">
        <v>1.9999999999999999E-7</v>
      </c>
      <c r="I135" s="60"/>
      <c r="J135" s="55">
        <v>0</v>
      </c>
      <c r="K135" s="55">
        <v>0</v>
      </c>
      <c r="L135" s="55">
        <v>0</v>
      </c>
      <c r="M135" s="55">
        <v>0</v>
      </c>
      <c r="O135" s="55">
        <v>0</v>
      </c>
      <c r="P135" s="55"/>
      <c r="Q135" s="44">
        <v>1.9999999999999999E-7</v>
      </c>
      <c r="R135" s="44">
        <v>1.9999999999999999E-7</v>
      </c>
      <c r="S135" s="44">
        <v>1.9999999999999999E-7</v>
      </c>
      <c r="V135" s="44">
        <v>1.9999999999999999E-7</v>
      </c>
      <c r="W135" s="44">
        <v>1.9999999999999999E-7</v>
      </c>
      <c r="X135" s="44">
        <v>1.9999999999999999E-7</v>
      </c>
      <c r="Y135" s="44">
        <v>1.9999999999999999E-7</v>
      </c>
      <c r="Z135" s="44">
        <v>1.9999999999999999E-7</v>
      </c>
      <c r="AA135" s="44">
        <v>1.9999999999999999E-7</v>
      </c>
      <c r="AB135" s="44">
        <v>1.9999999999999999E-7</v>
      </c>
      <c r="AC135" s="44">
        <v>1.9999999999999999E-7</v>
      </c>
      <c r="AD135" s="44">
        <v>1.9999999999999999E-7</v>
      </c>
      <c r="AE135" s="44">
        <v>1.9999999999999999E-7</v>
      </c>
      <c r="AF135" s="44">
        <v>1.9999999999999999E-7</v>
      </c>
      <c r="AG135"/>
      <c r="AH135" s="44">
        <v>1.9999999999999999E-7</v>
      </c>
      <c r="AI135" s="44">
        <v>1.9999999999999999E-7</v>
      </c>
      <c r="AJ135" s="44">
        <v>1.9999999999999999E-7</v>
      </c>
      <c r="AK135" s="44">
        <v>1.9999999999999999E-7</v>
      </c>
      <c r="AL135" s="44">
        <v>1.9999999999999999E-7</v>
      </c>
      <c r="AM135" s="44">
        <v>1.9999999999999999E-7</v>
      </c>
      <c r="AN135" s="44">
        <v>1.9999999999999999E-7</v>
      </c>
      <c r="AO135"/>
      <c r="AP135" s="44">
        <v>1.9999999999999999E-7</v>
      </c>
      <c r="AQ135" s="44">
        <v>1.9999999999999999E-7</v>
      </c>
      <c r="AR135" s="44">
        <v>1.9999999999999999E-7</v>
      </c>
      <c r="AS135" s="44">
        <v>1.9999999999999999E-7</v>
      </c>
      <c r="AT135"/>
      <c r="AU135" s="44">
        <v>1.9999999999999999E-7</v>
      </c>
      <c r="AV135"/>
      <c r="AW135"/>
      <c r="AX135" s="44">
        <v>1.9999999999999999E-7</v>
      </c>
    </row>
    <row r="136" spans="1:50" x14ac:dyDescent="0.25">
      <c r="A136" s="21" t="s">
        <v>232</v>
      </c>
      <c r="B136" s="3" t="s">
        <v>473</v>
      </c>
      <c r="C136" s="3" t="s">
        <v>483</v>
      </c>
      <c r="D136" s="3" t="s">
        <v>521</v>
      </c>
      <c r="E136" s="22" t="s">
        <v>315</v>
      </c>
      <c r="F136" s="22" t="s">
        <v>109</v>
      </c>
      <c r="G136" s="44">
        <v>10</v>
      </c>
      <c r="I136" s="58"/>
      <c r="J136" s="44">
        <v>10</v>
      </c>
      <c r="K136" s="44">
        <v>10</v>
      </c>
      <c r="L136" s="44">
        <v>10</v>
      </c>
      <c r="M136" s="44">
        <v>10</v>
      </c>
      <c r="O136" s="44">
        <v>10</v>
      </c>
      <c r="P136" s="44"/>
      <c r="Q136" s="44">
        <v>10</v>
      </c>
      <c r="R136" s="44">
        <v>10</v>
      </c>
      <c r="S136" s="44">
        <v>10</v>
      </c>
      <c r="V136" s="44">
        <v>10</v>
      </c>
      <c r="W136" s="44">
        <v>10</v>
      </c>
      <c r="X136" s="44">
        <v>10</v>
      </c>
      <c r="Y136" s="44">
        <v>10</v>
      </c>
      <c r="Z136" s="44">
        <v>10</v>
      </c>
      <c r="AA136" s="44">
        <v>10</v>
      </c>
      <c r="AB136" s="44">
        <v>10</v>
      </c>
      <c r="AC136" s="44">
        <v>10</v>
      </c>
      <c r="AD136" s="44">
        <v>10</v>
      </c>
      <c r="AE136" s="44">
        <v>10</v>
      </c>
      <c r="AF136" s="44">
        <v>10</v>
      </c>
      <c r="AG136"/>
      <c r="AH136" s="44">
        <v>10</v>
      </c>
      <c r="AI136" s="44">
        <v>10</v>
      </c>
      <c r="AJ136" s="44">
        <v>10</v>
      </c>
      <c r="AK136" s="44">
        <v>10</v>
      </c>
      <c r="AL136" s="44">
        <v>10</v>
      </c>
      <c r="AM136" s="44">
        <v>10</v>
      </c>
      <c r="AN136" s="44">
        <v>10</v>
      </c>
      <c r="AO136"/>
      <c r="AP136" s="44">
        <v>10</v>
      </c>
      <c r="AQ136" s="44">
        <v>10</v>
      </c>
      <c r="AR136" s="44">
        <v>10</v>
      </c>
      <c r="AS136" s="44">
        <v>10</v>
      </c>
      <c r="AT136"/>
      <c r="AU136" s="44">
        <v>10</v>
      </c>
      <c r="AV136"/>
      <c r="AW136"/>
      <c r="AX136" s="44">
        <v>10</v>
      </c>
    </row>
    <row r="137" spans="1:50" x14ac:dyDescent="0.25">
      <c r="A137" s="21" t="s">
        <v>233</v>
      </c>
      <c r="B137" s="3" t="s">
        <v>473</v>
      </c>
      <c r="C137" s="3" t="s">
        <v>483</v>
      </c>
      <c r="D137" s="3" t="s">
        <v>521</v>
      </c>
      <c r="E137" s="22" t="s">
        <v>316</v>
      </c>
      <c r="F137" s="22" t="s">
        <v>301</v>
      </c>
      <c r="G137" s="44">
        <v>-0.04</v>
      </c>
      <c r="I137" s="58"/>
      <c r="J137" s="44">
        <v>-0.04</v>
      </c>
      <c r="K137" s="44">
        <v>-0.04</v>
      </c>
      <c r="L137" s="44">
        <v>-0.04</v>
      </c>
      <c r="M137" s="44">
        <v>-0.04</v>
      </c>
      <c r="O137" s="44">
        <v>-0.04</v>
      </c>
      <c r="P137" s="44"/>
      <c r="Q137" s="44">
        <v>-0.04</v>
      </c>
      <c r="R137" s="44">
        <v>-0.04</v>
      </c>
      <c r="S137" s="44">
        <v>-0.04</v>
      </c>
      <c r="V137" s="44">
        <v>-0.04</v>
      </c>
      <c r="W137" s="44">
        <v>-0.04</v>
      </c>
      <c r="X137" s="44">
        <v>-0.04</v>
      </c>
      <c r="Y137" s="44">
        <v>-0.04</v>
      </c>
      <c r="Z137" s="44">
        <v>-0.04</v>
      </c>
      <c r="AA137" s="44">
        <v>-0.04</v>
      </c>
      <c r="AB137" s="44">
        <v>-0.04</v>
      </c>
      <c r="AC137" s="44">
        <v>-0.04</v>
      </c>
      <c r="AD137" s="44">
        <v>-0.04</v>
      </c>
      <c r="AE137" s="44">
        <v>-0.04</v>
      </c>
      <c r="AF137" s="44">
        <v>-0.04</v>
      </c>
      <c r="AG137"/>
      <c r="AH137" s="44">
        <v>-0.04</v>
      </c>
      <c r="AI137" s="44">
        <v>-0.04</v>
      </c>
      <c r="AJ137" s="44">
        <v>-0.04</v>
      </c>
      <c r="AK137" s="44">
        <v>-0.04</v>
      </c>
      <c r="AL137" s="44">
        <v>-0.04</v>
      </c>
      <c r="AM137" s="44">
        <v>-0.04</v>
      </c>
      <c r="AN137" s="44">
        <v>-0.04</v>
      </c>
      <c r="AO137"/>
      <c r="AP137" s="44">
        <v>-0.04</v>
      </c>
      <c r="AQ137" s="44">
        <v>-0.04</v>
      </c>
      <c r="AR137" s="44">
        <v>-0.04</v>
      </c>
      <c r="AS137" s="44">
        <v>-0.04</v>
      </c>
      <c r="AT137"/>
      <c r="AU137" s="44">
        <v>-0.04</v>
      </c>
      <c r="AV137"/>
      <c r="AW137"/>
      <c r="AX137" s="44">
        <v>-0.04</v>
      </c>
    </row>
    <row r="138" spans="1:50" x14ac:dyDescent="0.25">
      <c r="A138" s="21" t="s">
        <v>234</v>
      </c>
      <c r="B138" s="3" t="s">
        <v>473</v>
      </c>
      <c r="C138" s="3" t="s">
        <v>483</v>
      </c>
      <c r="D138" s="3" t="s">
        <v>521</v>
      </c>
      <c r="E138" s="22" t="s">
        <v>317</v>
      </c>
      <c r="F138" s="22" t="s">
        <v>100</v>
      </c>
      <c r="G138" s="44">
        <v>2.9</v>
      </c>
      <c r="I138" s="58"/>
      <c r="J138" s="44">
        <v>2.9</v>
      </c>
      <c r="K138" s="44">
        <v>2.9</v>
      </c>
      <c r="L138" s="44">
        <v>2.9</v>
      </c>
      <c r="M138" s="44">
        <v>2.9</v>
      </c>
      <c r="O138" s="44">
        <v>2.9</v>
      </c>
      <c r="P138" s="44"/>
      <c r="Q138" s="44">
        <v>2.9</v>
      </c>
      <c r="R138" s="44">
        <v>2.9</v>
      </c>
      <c r="S138" s="44">
        <v>2.9</v>
      </c>
      <c r="V138" s="44">
        <v>2.9</v>
      </c>
      <c r="W138" s="44">
        <v>2.9</v>
      </c>
      <c r="X138" s="44">
        <v>2.9</v>
      </c>
      <c r="Y138" s="44">
        <v>2.9</v>
      </c>
      <c r="Z138" s="44">
        <v>2.9</v>
      </c>
      <c r="AA138" s="44">
        <v>2.9</v>
      </c>
      <c r="AB138" s="44">
        <v>2.9</v>
      </c>
      <c r="AC138" s="44">
        <v>2.9</v>
      </c>
      <c r="AD138" s="44">
        <v>2.9</v>
      </c>
      <c r="AE138" s="44">
        <v>2.9</v>
      </c>
      <c r="AF138" s="44">
        <v>2.9</v>
      </c>
      <c r="AG138"/>
      <c r="AH138" s="44">
        <v>2.9</v>
      </c>
      <c r="AI138" s="44">
        <v>2.9</v>
      </c>
      <c r="AJ138" s="44">
        <v>2.9</v>
      </c>
      <c r="AK138" s="44">
        <v>2.9</v>
      </c>
      <c r="AL138" s="44">
        <v>2.9</v>
      </c>
      <c r="AM138" s="44">
        <v>2.9</v>
      </c>
      <c r="AN138" s="44">
        <v>2.9</v>
      </c>
      <c r="AO138"/>
      <c r="AP138" s="44">
        <v>2.9</v>
      </c>
      <c r="AQ138" s="44">
        <v>2.9</v>
      </c>
      <c r="AR138" s="44">
        <v>2.9</v>
      </c>
      <c r="AS138" s="44">
        <v>2.9</v>
      </c>
      <c r="AT138"/>
      <c r="AU138" s="44">
        <v>2.9</v>
      </c>
      <c r="AV138"/>
      <c r="AW138"/>
      <c r="AX138" s="44">
        <v>2.9</v>
      </c>
    </row>
    <row r="139" spans="1:50" x14ac:dyDescent="0.25">
      <c r="A139" s="21" t="s">
        <v>235</v>
      </c>
      <c r="B139" s="3" t="s">
        <v>473</v>
      </c>
      <c r="C139" s="3" t="s">
        <v>483</v>
      </c>
      <c r="D139" s="3" t="s">
        <v>521</v>
      </c>
      <c r="E139" s="22" t="s">
        <v>318</v>
      </c>
      <c r="F139" s="22" t="s">
        <v>95</v>
      </c>
      <c r="G139" s="44">
        <v>1</v>
      </c>
      <c r="I139" s="58"/>
      <c r="J139" s="44">
        <v>1</v>
      </c>
      <c r="K139" s="44">
        <v>1</v>
      </c>
      <c r="L139" s="44">
        <v>1</v>
      </c>
      <c r="M139" s="44">
        <v>1</v>
      </c>
      <c r="O139" s="44">
        <v>1</v>
      </c>
      <c r="P139" s="44"/>
      <c r="Q139" s="44">
        <v>1</v>
      </c>
      <c r="R139" s="44">
        <v>1</v>
      </c>
      <c r="S139" s="44">
        <v>1</v>
      </c>
      <c r="V139" s="44">
        <v>1</v>
      </c>
      <c r="W139" s="44">
        <v>1</v>
      </c>
      <c r="X139" s="44">
        <v>1</v>
      </c>
      <c r="Y139" s="44">
        <v>1</v>
      </c>
      <c r="Z139" s="44">
        <v>1</v>
      </c>
      <c r="AA139" s="44">
        <v>1</v>
      </c>
      <c r="AB139" s="44">
        <v>1</v>
      </c>
      <c r="AC139" s="44">
        <v>1</v>
      </c>
      <c r="AD139" s="44">
        <v>1</v>
      </c>
      <c r="AE139" s="44">
        <v>1</v>
      </c>
      <c r="AF139" s="44">
        <v>1</v>
      </c>
      <c r="AG139"/>
      <c r="AH139" s="44">
        <v>1</v>
      </c>
      <c r="AI139" s="44">
        <v>1</v>
      </c>
      <c r="AJ139" s="44">
        <v>1</v>
      </c>
      <c r="AK139" s="44">
        <v>1</v>
      </c>
      <c r="AL139" s="44">
        <v>1</v>
      </c>
      <c r="AM139" s="44">
        <v>1</v>
      </c>
      <c r="AN139" s="44">
        <v>1</v>
      </c>
      <c r="AO139"/>
      <c r="AP139" s="44">
        <v>1</v>
      </c>
      <c r="AQ139" s="44">
        <v>1</v>
      </c>
      <c r="AR139" s="44">
        <v>1</v>
      </c>
      <c r="AS139" s="44">
        <v>1</v>
      </c>
      <c r="AT139"/>
      <c r="AU139" s="44">
        <v>1</v>
      </c>
      <c r="AV139"/>
      <c r="AW139"/>
      <c r="AX139" s="44">
        <v>1</v>
      </c>
    </row>
    <row r="140" spans="1:50" x14ac:dyDescent="0.25">
      <c r="A140" s="21" t="s">
        <v>69</v>
      </c>
      <c r="B140" s="3" t="s">
        <v>473</v>
      </c>
      <c r="C140" s="3" t="s">
        <v>483</v>
      </c>
      <c r="D140" s="3" t="s">
        <v>521</v>
      </c>
      <c r="E140" s="22" t="s">
        <v>180</v>
      </c>
      <c r="F140" s="22" t="s">
        <v>100</v>
      </c>
      <c r="G140" s="44">
        <v>0</v>
      </c>
      <c r="I140" s="58"/>
      <c r="J140" s="44">
        <v>0</v>
      </c>
      <c r="K140" s="44">
        <v>0</v>
      </c>
      <c r="L140" s="44">
        <v>0</v>
      </c>
      <c r="M140" s="44">
        <v>0</v>
      </c>
      <c r="O140" s="44">
        <v>0</v>
      </c>
      <c r="P140" s="44"/>
      <c r="Q140" s="44">
        <v>0</v>
      </c>
      <c r="R140" s="44">
        <v>0</v>
      </c>
      <c r="S140" s="44">
        <v>0</v>
      </c>
      <c r="V140" s="44">
        <v>0</v>
      </c>
      <c r="W140" s="44">
        <v>0</v>
      </c>
      <c r="X140" s="44">
        <v>0</v>
      </c>
      <c r="Y140" s="44">
        <v>0</v>
      </c>
      <c r="Z140" s="44">
        <v>0</v>
      </c>
      <c r="AA140" s="44">
        <v>0</v>
      </c>
      <c r="AB140" s="44">
        <v>0</v>
      </c>
      <c r="AC140" s="44">
        <v>0</v>
      </c>
      <c r="AD140" s="44">
        <v>0</v>
      </c>
      <c r="AE140" s="44">
        <v>0</v>
      </c>
      <c r="AF140" s="44">
        <v>0</v>
      </c>
      <c r="AG140"/>
      <c r="AH140" s="44">
        <v>0</v>
      </c>
      <c r="AI140" s="44">
        <v>0</v>
      </c>
      <c r="AJ140" s="44">
        <v>0</v>
      </c>
      <c r="AK140" s="44">
        <v>0</v>
      </c>
      <c r="AL140" s="44">
        <v>0</v>
      </c>
      <c r="AM140" s="44">
        <v>0</v>
      </c>
      <c r="AN140" s="44">
        <v>0</v>
      </c>
      <c r="AO140"/>
      <c r="AP140" s="44">
        <v>0</v>
      </c>
      <c r="AQ140" s="44">
        <v>0</v>
      </c>
      <c r="AR140" s="44">
        <v>0</v>
      </c>
      <c r="AS140" s="44">
        <v>0</v>
      </c>
      <c r="AT140"/>
      <c r="AU140" s="44">
        <v>0</v>
      </c>
      <c r="AV140"/>
      <c r="AW140"/>
      <c r="AX140" s="44">
        <v>0</v>
      </c>
    </row>
    <row r="141" spans="1:50" x14ac:dyDescent="0.25">
      <c r="A141" s="40" t="s">
        <v>70</v>
      </c>
      <c r="B141" s="3" t="s">
        <v>473</v>
      </c>
      <c r="C141" s="3" t="s">
        <v>483</v>
      </c>
      <c r="D141" s="3" t="s">
        <v>521</v>
      </c>
      <c r="E141" s="41" t="s">
        <v>181</v>
      </c>
      <c r="F141" s="41" t="s">
        <v>198</v>
      </c>
      <c r="G141" s="44">
        <v>1.6666666666666666E-4</v>
      </c>
      <c r="I141" s="58"/>
      <c r="J141" s="44">
        <v>5.0000000000000004E-6</v>
      </c>
      <c r="K141" s="44">
        <v>5.0000000000000004E-6</v>
      </c>
      <c r="L141" s="44">
        <v>5.0000000000000004E-6</v>
      </c>
      <c r="M141" s="44">
        <v>5.0000000000000004E-6</v>
      </c>
      <c r="O141" s="44">
        <v>5.0000000000000004E-6</v>
      </c>
      <c r="P141" s="44"/>
      <c r="Q141" s="44">
        <v>5.0000000000000004E-6</v>
      </c>
      <c r="R141" s="44">
        <v>5.0000000000000004E-6</v>
      </c>
      <c r="S141" s="44">
        <v>5.0000000000000004E-6</v>
      </c>
      <c r="V141" s="44">
        <v>5.0000000000000004E-6</v>
      </c>
      <c r="W141" s="44">
        <v>5.0000000000000004E-6</v>
      </c>
      <c r="X141" s="44">
        <v>5.0000000000000004E-6</v>
      </c>
      <c r="Y141" s="44">
        <v>5.0000000000000004E-6</v>
      </c>
      <c r="Z141" s="44">
        <v>5.0000000000000004E-6</v>
      </c>
      <c r="AA141" s="44">
        <v>5.0000000000000004E-6</v>
      </c>
      <c r="AB141" s="44">
        <v>5.0000000000000004E-6</v>
      </c>
      <c r="AC141" s="44">
        <v>5.0000000000000004E-6</v>
      </c>
      <c r="AD141" s="44">
        <v>5.0000000000000004E-6</v>
      </c>
      <c r="AE141" s="44">
        <v>5.0000000000000004E-6</v>
      </c>
      <c r="AF141" s="44">
        <v>5.0000000000000004E-6</v>
      </c>
      <c r="AG141"/>
      <c r="AH141" s="44">
        <v>5.0000000000000004E-6</v>
      </c>
      <c r="AI141" s="44">
        <v>5.0000000000000004E-6</v>
      </c>
      <c r="AJ141" s="44">
        <v>5.0000000000000004E-6</v>
      </c>
      <c r="AK141" s="44">
        <v>5.0000000000000004E-6</v>
      </c>
      <c r="AL141" s="44">
        <v>5.0000000000000004E-6</v>
      </c>
      <c r="AM141" s="44">
        <v>5.0000000000000004E-6</v>
      </c>
      <c r="AN141" s="44">
        <v>5.0000000000000004E-6</v>
      </c>
      <c r="AO141"/>
      <c r="AP141" s="44">
        <v>5.0000000000000004E-6</v>
      </c>
      <c r="AQ141" s="44">
        <v>5.0000000000000004E-6</v>
      </c>
      <c r="AR141" s="44">
        <v>5.0000000000000004E-6</v>
      </c>
      <c r="AS141" s="44">
        <v>5.0000000000000004E-6</v>
      </c>
      <c r="AT141"/>
      <c r="AU141" s="44">
        <v>5.0000000000000004E-6</v>
      </c>
      <c r="AV141"/>
      <c r="AW141"/>
      <c r="AX141" s="44">
        <v>5.0000000000000004E-6</v>
      </c>
    </row>
    <row r="142" spans="1:50" x14ac:dyDescent="0.25">
      <c r="A142" s="23" t="s">
        <v>56</v>
      </c>
      <c r="B142" s="3" t="s">
        <v>473</v>
      </c>
      <c r="C142" s="3" t="s">
        <v>483</v>
      </c>
      <c r="D142" s="3" t="s">
        <v>521</v>
      </c>
      <c r="E142" s="24" t="s">
        <v>167</v>
      </c>
      <c r="F142" s="24" t="s">
        <v>198</v>
      </c>
      <c r="G142" s="44">
        <v>0</v>
      </c>
      <c r="I142" s="58"/>
      <c r="J142" s="44">
        <v>0</v>
      </c>
      <c r="K142" s="44">
        <v>0</v>
      </c>
      <c r="L142" s="44">
        <v>0</v>
      </c>
      <c r="M142" s="44">
        <v>0</v>
      </c>
      <c r="O142" s="44">
        <v>0</v>
      </c>
      <c r="P142" s="44"/>
      <c r="Q142" s="44">
        <v>0</v>
      </c>
      <c r="R142" s="44">
        <v>0</v>
      </c>
      <c r="S142" s="44">
        <v>0</v>
      </c>
      <c r="V142" s="44">
        <v>0</v>
      </c>
      <c r="W142" s="44">
        <v>0</v>
      </c>
      <c r="X142" s="44">
        <v>0</v>
      </c>
      <c r="Y142" s="44">
        <v>0</v>
      </c>
      <c r="Z142" s="44">
        <v>0</v>
      </c>
      <c r="AA142" s="44">
        <v>0</v>
      </c>
      <c r="AB142" s="44">
        <v>0</v>
      </c>
      <c r="AC142" s="44">
        <v>0</v>
      </c>
      <c r="AD142" s="44">
        <v>0</v>
      </c>
      <c r="AE142" s="44">
        <v>0</v>
      </c>
      <c r="AF142" s="44">
        <v>0</v>
      </c>
      <c r="AG142"/>
      <c r="AH142" s="44">
        <v>0</v>
      </c>
      <c r="AI142" s="44">
        <v>0</v>
      </c>
      <c r="AJ142" s="44">
        <v>0</v>
      </c>
      <c r="AK142" s="44">
        <v>0</v>
      </c>
      <c r="AL142" s="44">
        <v>0</v>
      </c>
      <c r="AM142" s="44">
        <v>0</v>
      </c>
      <c r="AN142" s="44">
        <v>0</v>
      </c>
      <c r="AO142"/>
      <c r="AP142" s="44">
        <v>0</v>
      </c>
      <c r="AQ142" s="44">
        <v>0</v>
      </c>
      <c r="AR142" s="44">
        <v>0</v>
      </c>
      <c r="AS142" s="44">
        <v>0</v>
      </c>
      <c r="AT142"/>
      <c r="AU142" s="44">
        <v>0</v>
      </c>
      <c r="AV142"/>
      <c r="AW142"/>
      <c r="AX142" s="44">
        <v>0</v>
      </c>
    </row>
    <row r="143" spans="1:50" x14ac:dyDescent="0.25">
      <c r="A143" s="23" t="s">
        <v>57</v>
      </c>
      <c r="B143" s="3" t="s">
        <v>473</v>
      </c>
      <c r="C143" s="3" t="s">
        <v>483</v>
      </c>
      <c r="D143" s="3" t="s">
        <v>521</v>
      </c>
      <c r="E143" s="24" t="s">
        <v>168</v>
      </c>
      <c r="F143" s="24" t="s">
        <v>198</v>
      </c>
      <c r="G143" s="44">
        <v>2E-3</v>
      </c>
      <c r="I143" s="58"/>
      <c r="J143" s="44">
        <v>2E-3</v>
      </c>
      <c r="K143" s="44">
        <v>2E-3</v>
      </c>
      <c r="L143" s="44">
        <v>2E-3</v>
      </c>
      <c r="M143" s="44">
        <v>2E-3</v>
      </c>
      <c r="O143" s="44">
        <v>2E-3</v>
      </c>
      <c r="P143" s="44"/>
      <c r="Q143" s="44">
        <v>2E-3</v>
      </c>
      <c r="R143" s="44">
        <v>2E-3</v>
      </c>
      <c r="S143" s="44">
        <v>2E-3</v>
      </c>
      <c r="V143" s="44">
        <v>2E-3</v>
      </c>
      <c r="W143" s="44">
        <v>2E-3</v>
      </c>
      <c r="X143" s="44">
        <v>2E-3</v>
      </c>
      <c r="Y143" s="44">
        <v>2E-3</v>
      </c>
      <c r="Z143" s="44">
        <v>2E-3</v>
      </c>
      <c r="AA143" s="44">
        <v>2E-3</v>
      </c>
      <c r="AB143" s="44">
        <v>2E-3</v>
      </c>
      <c r="AC143" s="44">
        <v>2E-3</v>
      </c>
      <c r="AD143" s="44">
        <v>2E-3</v>
      </c>
      <c r="AE143" s="44">
        <v>2E-3</v>
      </c>
      <c r="AF143" s="44">
        <v>2E-3</v>
      </c>
      <c r="AG143"/>
      <c r="AH143" s="44">
        <v>2E-3</v>
      </c>
      <c r="AI143" s="44">
        <v>2E-3</v>
      </c>
      <c r="AJ143" s="44">
        <v>2E-3</v>
      </c>
      <c r="AK143" s="44">
        <v>2E-3</v>
      </c>
      <c r="AL143" s="44">
        <v>2E-3</v>
      </c>
      <c r="AM143" s="44">
        <v>2E-3</v>
      </c>
      <c r="AN143" s="44">
        <v>2E-3</v>
      </c>
      <c r="AO143"/>
      <c r="AP143" s="44">
        <v>2E-3</v>
      </c>
      <c r="AQ143" s="44">
        <v>2E-3</v>
      </c>
      <c r="AR143" s="44">
        <v>2E-3</v>
      </c>
      <c r="AS143" s="44">
        <v>2E-3</v>
      </c>
      <c r="AT143"/>
      <c r="AU143" s="44">
        <v>2E-3</v>
      </c>
      <c r="AV143"/>
      <c r="AW143"/>
      <c r="AX143" s="44">
        <v>2E-3</v>
      </c>
    </row>
    <row r="144" spans="1:50" x14ac:dyDescent="0.25">
      <c r="A144" s="23" t="s">
        <v>58</v>
      </c>
      <c r="B144" s="3" t="s">
        <v>473</v>
      </c>
      <c r="C144" s="3" t="s">
        <v>483</v>
      </c>
      <c r="D144" s="3" t="s">
        <v>521</v>
      </c>
      <c r="E144" s="24" t="s">
        <v>169</v>
      </c>
      <c r="F144" s="24" t="s">
        <v>198</v>
      </c>
      <c r="G144" s="44">
        <v>3.9999999999999998E-6</v>
      </c>
      <c r="I144" s="58"/>
      <c r="J144" s="44">
        <v>3.9999999999999998E-6</v>
      </c>
      <c r="K144" s="44">
        <v>3.9999999999999998E-6</v>
      </c>
      <c r="L144" s="44">
        <v>3.9999999999999998E-6</v>
      </c>
      <c r="M144" s="44">
        <v>3.9999999999999998E-6</v>
      </c>
      <c r="O144" s="44">
        <v>3.9999999999999998E-6</v>
      </c>
      <c r="P144" s="44"/>
      <c r="Q144" s="44">
        <v>3.9999999999999998E-6</v>
      </c>
      <c r="R144" s="44">
        <v>3.9999999999999998E-6</v>
      </c>
      <c r="S144" s="44">
        <v>3.9999999999999998E-6</v>
      </c>
      <c r="V144" s="44">
        <v>3.9999999999999998E-6</v>
      </c>
      <c r="W144" s="44">
        <v>3.9999999999999998E-6</v>
      </c>
      <c r="X144" s="44">
        <v>3.9999999999999998E-6</v>
      </c>
      <c r="Y144" s="44">
        <v>3.9999999999999998E-6</v>
      </c>
      <c r="Z144" s="44">
        <v>3.9999999999999998E-6</v>
      </c>
      <c r="AA144" s="44">
        <v>3.9999999999999998E-6</v>
      </c>
      <c r="AB144" s="44">
        <v>3.9999999999999998E-6</v>
      </c>
      <c r="AC144" s="44">
        <v>3.9999999999999998E-6</v>
      </c>
      <c r="AD144" s="44">
        <v>3.9999999999999998E-6</v>
      </c>
      <c r="AE144" s="44">
        <v>3.9999999999999998E-6</v>
      </c>
      <c r="AF144" s="44">
        <v>3.9999999999999998E-6</v>
      </c>
      <c r="AG144"/>
      <c r="AH144" s="44">
        <v>3.9999999999999998E-6</v>
      </c>
      <c r="AI144" s="44">
        <v>3.9999999999999998E-6</v>
      </c>
      <c r="AJ144" s="44">
        <v>3.9999999999999998E-6</v>
      </c>
      <c r="AK144" s="44">
        <v>3.9999999999999998E-6</v>
      </c>
      <c r="AL144" s="44">
        <v>3.9999999999999998E-6</v>
      </c>
      <c r="AM144" s="44">
        <v>3.9999999999999998E-6</v>
      </c>
      <c r="AN144" s="44">
        <v>3.9999999999999998E-6</v>
      </c>
      <c r="AO144"/>
      <c r="AP144" s="44">
        <v>3.9999999999999998E-6</v>
      </c>
      <c r="AQ144" s="44">
        <v>3.9999999999999998E-6</v>
      </c>
      <c r="AR144" s="44">
        <v>3.9999999999999998E-6</v>
      </c>
      <c r="AS144" s="44">
        <v>3.9999999999999998E-6</v>
      </c>
      <c r="AT144"/>
      <c r="AU144" s="44">
        <v>3.9999999999999998E-6</v>
      </c>
      <c r="AV144"/>
      <c r="AW144"/>
      <c r="AX144" s="44">
        <v>3.9999999999999998E-6</v>
      </c>
    </row>
    <row r="145" spans="1:50" x14ac:dyDescent="0.25">
      <c r="A145" s="23" t="s">
        <v>71</v>
      </c>
      <c r="B145" s="3" t="s">
        <v>473</v>
      </c>
      <c r="C145" s="3" t="s">
        <v>483</v>
      </c>
      <c r="D145" s="3" t="s">
        <v>521</v>
      </c>
      <c r="E145" s="24" t="s">
        <v>183</v>
      </c>
      <c r="F145" s="24" t="s">
        <v>200</v>
      </c>
      <c r="G145" s="44">
        <v>3.7699999999999999E-10</v>
      </c>
      <c r="I145" s="58"/>
      <c r="J145" s="44">
        <v>3.7699999999999999E-10</v>
      </c>
      <c r="K145" s="44">
        <v>3.7699999999999999E-10</v>
      </c>
      <c r="L145" s="44">
        <v>3.7699999999999999E-10</v>
      </c>
      <c r="M145" s="44">
        <v>3.7699999999999999E-10</v>
      </c>
      <c r="O145" s="44">
        <v>3.7699999999999999E-10</v>
      </c>
      <c r="P145" s="44"/>
      <c r="Q145" s="44">
        <v>3.7699999999999999E-10</v>
      </c>
      <c r="R145" s="44">
        <v>3.7699999999999999E-10</v>
      </c>
      <c r="S145" s="44">
        <v>3.7699999999999999E-10</v>
      </c>
      <c r="V145" s="44">
        <v>3.7699999999999999E-10</v>
      </c>
      <c r="W145" s="44">
        <v>3.7699999999999999E-10</v>
      </c>
      <c r="X145" s="44">
        <v>3.7699999999999999E-10</v>
      </c>
      <c r="Y145" s="44">
        <v>3.7699999999999999E-10</v>
      </c>
      <c r="Z145" s="44">
        <v>3.7699999999999999E-10</v>
      </c>
      <c r="AA145" s="44">
        <v>3.7699999999999999E-10</v>
      </c>
      <c r="AB145" s="44">
        <v>3.7699999999999999E-10</v>
      </c>
      <c r="AC145" s="44">
        <v>3.7699999999999999E-10</v>
      </c>
      <c r="AD145" s="44">
        <v>3.7699999999999999E-10</v>
      </c>
      <c r="AE145" s="44">
        <v>3.7699999999999999E-10</v>
      </c>
      <c r="AF145" s="44">
        <v>3.7699999999999999E-10</v>
      </c>
      <c r="AG145"/>
      <c r="AH145" s="44">
        <v>3.7699999999999999E-10</v>
      </c>
      <c r="AI145" s="44">
        <v>3.7699999999999999E-10</v>
      </c>
      <c r="AJ145" s="44">
        <v>3.7699999999999999E-10</v>
      </c>
      <c r="AK145" s="44">
        <v>3.7699999999999999E-10</v>
      </c>
      <c r="AL145" s="44">
        <v>3.7699999999999999E-10</v>
      </c>
      <c r="AM145" s="44">
        <v>3.7699999999999999E-10</v>
      </c>
      <c r="AN145" s="44">
        <v>3.7699999999999999E-10</v>
      </c>
      <c r="AO145"/>
      <c r="AP145" s="44">
        <v>3.7699999999999999E-10</v>
      </c>
      <c r="AQ145" s="44">
        <v>3.7699999999999999E-10</v>
      </c>
      <c r="AR145" s="44">
        <v>3.7699999999999999E-10</v>
      </c>
      <c r="AS145" s="44">
        <v>3.7699999999999999E-10</v>
      </c>
      <c r="AT145"/>
      <c r="AU145" s="44">
        <v>3.7699999999999999E-10</v>
      </c>
      <c r="AV145"/>
      <c r="AW145"/>
      <c r="AX145" s="44">
        <v>3.7699999999999999E-10</v>
      </c>
    </row>
    <row r="146" spans="1:50" x14ac:dyDescent="0.25">
      <c r="A146" s="23" t="s">
        <v>236</v>
      </c>
      <c r="B146" s="3" t="s">
        <v>473</v>
      </c>
      <c r="C146" s="3" t="s">
        <v>483</v>
      </c>
      <c r="D146" s="3" t="s">
        <v>521</v>
      </c>
      <c r="E146" s="24" t="s">
        <v>303</v>
      </c>
      <c r="F146" s="24" t="s">
        <v>109</v>
      </c>
      <c r="G146" s="44">
        <v>20</v>
      </c>
      <c r="I146" s="58"/>
      <c r="J146" s="44">
        <v>20</v>
      </c>
      <c r="K146" s="44">
        <v>20</v>
      </c>
      <c r="L146" s="44">
        <v>20</v>
      </c>
      <c r="M146" s="44">
        <v>20</v>
      </c>
      <c r="O146" s="44">
        <v>20</v>
      </c>
      <c r="P146" s="44"/>
      <c r="Q146" s="44">
        <v>20</v>
      </c>
      <c r="R146" s="44">
        <v>20</v>
      </c>
      <c r="S146" s="44">
        <v>20</v>
      </c>
      <c r="V146" s="44">
        <v>20</v>
      </c>
      <c r="W146" s="44">
        <v>20</v>
      </c>
      <c r="X146" s="44">
        <v>20</v>
      </c>
      <c r="Y146" s="44">
        <v>20</v>
      </c>
      <c r="Z146" s="44">
        <v>20</v>
      </c>
      <c r="AA146" s="44">
        <v>20</v>
      </c>
      <c r="AB146" s="44">
        <v>20</v>
      </c>
      <c r="AC146" s="44">
        <v>20</v>
      </c>
      <c r="AD146" s="44">
        <v>20</v>
      </c>
      <c r="AE146" s="44">
        <v>20</v>
      </c>
      <c r="AF146" s="44">
        <v>20</v>
      </c>
      <c r="AG146"/>
      <c r="AH146" s="44">
        <v>20</v>
      </c>
      <c r="AI146" s="44">
        <v>20</v>
      </c>
      <c r="AJ146" s="44">
        <v>20</v>
      </c>
      <c r="AK146" s="44">
        <v>20</v>
      </c>
      <c r="AL146" s="44">
        <v>20</v>
      </c>
      <c r="AM146" s="44">
        <v>20</v>
      </c>
      <c r="AN146" s="44">
        <v>20</v>
      </c>
      <c r="AO146"/>
      <c r="AP146" s="44">
        <v>20</v>
      </c>
      <c r="AQ146" s="44">
        <v>20</v>
      </c>
      <c r="AR146" s="44">
        <v>20</v>
      </c>
      <c r="AS146" s="44">
        <v>20</v>
      </c>
      <c r="AT146"/>
      <c r="AU146" s="44">
        <v>20</v>
      </c>
      <c r="AV146"/>
      <c r="AW146"/>
      <c r="AX146" s="44">
        <v>20</v>
      </c>
    </row>
    <row r="147" spans="1:50" x14ac:dyDescent="0.25">
      <c r="A147" s="23" t="s">
        <v>237</v>
      </c>
      <c r="B147" s="3" t="s">
        <v>473</v>
      </c>
      <c r="C147" s="3" t="s">
        <v>483</v>
      </c>
      <c r="D147" s="3" t="s">
        <v>521</v>
      </c>
      <c r="E147" s="24" t="s">
        <v>304</v>
      </c>
      <c r="F147" s="24" t="s">
        <v>301</v>
      </c>
      <c r="G147" s="44">
        <v>-0.06</v>
      </c>
      <c r="I147" s="58"/>
      <c r="J147" s="44">
        <v>-0.06</v>
      </c>
      <c r="K147" s="44">
        <v>-0.06</v>
      </c>
      <c r="L147" s="44">
        <v>-0.06</v>
      </c>
      <c r="M147" s="44">
        <v>-0.06</v>
      </c>
      <c r="O147" s="44">
        <v>-0.06</v>
      </c>
      <c r="P147" s="44"/>
      <c r="Q147" s="44">
        <v>-0.06</v>
      </c>
      <c r="R147" s="44">
        <v>-0.06</v>
      </c>
      <c r="S147" s="44">
        <v>-0.06</v>
      </c>
      <c r="V147" s="44">
        <v>-0.06</v>
      </c>
      <c r="W147" s="44">
        <v>-0.06</v>
      </c>
      <c r="X147" s="44">
        <v>-0.06</v>
      </c>
      <c r="Y147" s="44">
        <v>-0.06</v>
      </c>
      <c r="Z147" s="44">
        <v>-0.06</v>
      </c>
      <c r="AA147" s="44">
        <v>-0.06</v>
      </c>
      <c r="AB147" s="44">
        <v>-0.06</v>
      </c>
      <c r="AC147" s="44">
        <v>-0.06</v>
      </c>
      <c r="AD147" s="44">
        <v>-0.06</v>
      </c>
      <c r="AE147" s="44">
        <v>-0.06</v>
      </c>
      <c r="AF147" s="44">
        <v>-0.06</v>
      </c>
      <c r="AG147"/>
      <c r="AH147" s="44">
        <v>-0.06</v>
      </c>
      <c r="AI147" s="44">
        <v>-0.06</v>
      </c>
      <c r="AJ147" s="44">
        <v>-0.06</v>
      </c>
      <c r="AK147" s="44">
        <v>-0.06</v>
      </c>
      <c r="AL147" s="44">
        <v>-0.06</v>
      </c>
      <c r="AM147" s="44">
        <v>-0.06</v>
      </c>
      <c r="AN147" s="44">
        <v>-0.06</v>
      </c>
      <c r="AO147"/>
      <c r="AP147" s="44">
        <v>-0.06</v>
      </c>
      <c r="AQ147" s="44">
        <v>-0.06</v>
      </c>
      <c r="AR147" s="44">
        <v>-0.06</v>
      </c>
      <c r="AS147" s="44">
        <v>-0.06</v>
      </c>
      <c r="AT147"/>
      <c r="AU147" s="44">
        <v>-0.06</v>
      </c>
      <c r="AV147"/>
      <c r="AW147"/>
      <c r="AX147" s="44">
        <v>-0.06</v>
      </c>
    </row>
    <row r="148" spans="1:50" x14ac:dyDescent="0.25">
      <c r="A148" s="23" t="s">
        <v>238</v>
      </c>
      <c r="B148" s="3" t="s">
        <v>473</v>
      </c>
      <c r="C148" s="3" t="s">
        <v>483</v>
      </c>
      <c r="D148" s="3" t="s">
        <v>521</v>
      </c>
      <c r="E148" s="24" t="s">
        <v>305</v>
      </c>
      <c r="F148" s="24" t="s">
        <v>100</v>
      </c>
      <c r="G148" s="44">
        <v>0.89100000000000001</v>
      </c>
      <c r="I148" s="58"/>
      <c r="J148" s="44">
        <v>0.89100000000000001</v>
      </c>
      <c r="K148" s="44">
        <v>0.89100000000000001</v>
      </c>
      <c r="L148" s="44">
        <v>0.89100000000000001</v>
      </c>
      <c r="M148" s="44">
        <v>0.89100000000000001</v>
      </c>
      <c r="O148" s="44">
        <v>0.89100000000000001</v>
      </c>
      <c r="P148" s="44"/>
      <c r="Q148" s="44">
        <v>0.89100000000000001</v>
      </c>
      <c r="R148" s="44">
        <v>0.89100000000000001</v>
      </c>
      <c r="S148" s="44">
        <v>0.89100000000000001</v>
      </c>
      <c r="V148" s="44">
        <v>0.89100000000000001</v>
      </c>
      <c r="W148" s="44">
        <v>0.89100000000000001</v>
      </c>
      <c r="X148" s="44">
        <v>0.89100000000000001</v>
      </c>
      <c r="Y148" s="44">
        <v>0.89100000000000001</v>
      </c>
      <c r="Z148" s="44">
        <v>0.89100000000000001</v>
      </c>
      <c r="AA148" s="44">
        <v>0.89100000000000001</v>
      </c>
      <c r="AB148" s="44">
        <v>0.89100000000000001</v>
      </c>
      <c r="AC148" s="44">
        <v>0.89100000000000001</v>
      </c>
      <c r="AD148" s="44">
        <v>0.89100000000000001</v>
      </c>
      <c r="AE148" s="44">
        <v>0.89100000000000001</v>
      </c>
      <c r="AF148" s="44">
        <v>0.89100000000000001</v>
      </c>
      <c r="AG148"/>
      <c r="AH148" s="44">
        <v>0.89100000000000001</v>
      </c>
      <c r="AI148" s="44">
        <v>0.89100000000000001</v>
      </c>
      <c r="AJ148" s="44">
        <v>0.89100000000000001</v>
      </c>
      <c r="AK148" s="44">
        <v>0.89100000000000001</v>
      </c>
      <c r="AL148" s="44">
        <v>0.89100000000000001</v>
      </c>
      <c r="AM148" s="44">
        <v>0.89100000000000001</v>
      </c>
      <c r="AN148" s="44">
        <v>0.89100000000000001</v>
      </c>
      <c r="AO148"/>
      <c r="AP148" s="44">
        <v>0.89100000000000001</v>
      </c>
      <c r="AQ148" s="44">
        <v>0.89100000000000001</v>
      </c>
      <c r="AR148" s="44">
        <v>0.89100000000000001</v>
      </c>
      <c r="AS148" s="44">
        <v>0.89100000000000001</v>
      </c>
      <c r="AT148"/>
      <c r="AU148" s="44">
        <v>0.89100000000000001</v>
      </c>
      <c r="AV148"/>
      <c r="AW148"/>
      <c r="AX148" s="44">
        <v>0.89100000000000001</v>
      </c>
    </row>
    <row r="149" spans="1:50" x14ac:dyDescent="0.25">
      <c r="A149" s="23" t="s">
        <v>239</v>
      </c>
      <c r="B149" s="3" t="s">
        <v>473</v>
      </c>
      <c r="C149" s="3" t="s">
        <v>483</v>
      </c>
      <c r="D149" s="3" t="s">
        <v>521</v>
      </c>
      <c r="E149" s="24" t="s">
        <v>306</v>
      </c>
      <c r="F149" s="24" t="s">
        <v>95</v>
      </c>
      <c r="G149" s="44">
        <v>1</v>
      </c>
      <c r="I149" s="58"/>
      <c r="J149" s="44">
        <v>1</v>
      </c>
      <c r="K149" s="44">
        <v>1</v>
      </c>
      <c r="L149" s="44">
        <v>1</v>
      </c>
      <c r="M149" s="44">
        <v>1</v>
      </c>
      <c r="O149" s="44">
        <v>1</v>
      </c>
      <c r="P149" s="44"/>
      <c r="Q149" s="44">
        <v>1</v>
      </c>
      <c r="R149" s="44">
        <v>1</v>
      </c>
      <c r="S149" s="44">
        <v>1</v>
      </c>
      <c r="V149" s="44">
        <v>1</v>
      </c>
      <c r="W149" s="44">
        <v>1</v>
      </c>
      <c r="X149" s="44">
        <v>1</v>
      </c>
      <c r="Y149" s="44">
        <v>1</v>
      </c>
      <c r="Z149" s="44">
        <v>1</v>
      </c>
      <c r="AA149" s="44">
        <v>1</v>
      </c>
      <c r="AB149" s="44">
        <v>1</v>
      </c>
      <c r="AC149" s="44">
        <v>1</v>
      </c>
      <c r="AD149" s="44">
        <v>1</v>
      </c>
      <c r="AE149" s="44">
        <v>1</v>
      </c>
      <c r="AF149" s="44">
        <v>1</v>
      </c>
      <c r="AG149"/>
      <c r="AH149" s="44">
        <v>1</v>
      </c>
      <c r="AI149" s="44">
        <v>1</v>
      </c>
      <c r="AJ149" s="44">
        <v>1</v>
      </c>
      <c r="AK149" s="44">
        <v>1</v>
      </c>
      <c r="AL149" s="44">
        <v>1</v>
      </c>
      <c r="AM149" s="44">
        <v>1</v>
      </c>
      <c r="AN149" s="44">
        <v>1</v>
      </c>
      <c r="AO149"/>
      <c r="AP149" s="44">
        <v>1</v>
      </c>
      <c r="AQ149" s="44">
        <v>1</v>
      </c>
      <c r="AR149" s="44">
        <v>1</v>
      </c>
      <c r="AS149" s="44">
        <v>1</v>
      </c>
      <c r="AT149"/>
      <c r="AU149" s="44">
        <v>1</v>
      </c>
      <c r="AV149"/>
      <c r="AW149"/>
      <c r="AX149" s="44">
        <v>1</v>
      </c>
    </row>
    <row r="150" spans="1:50" x14ac:dyDescent="0.25">
      <c r="A150" s="23" t="s">
        <v>72</v>
      </c>
      <c r="B150" s="3" t="s">
        <v>473</v>
      </c>
      <c r="C150" s="3" t="s">
        <v>483</v>
      </c>
      <c r="D150" s="3" t="s">
        <v>521</v>
      </c>
      <c r="E150" s="24" t="s">
        <v>184</v>
      </c>
      <c r="F150" s="24" t="s">
        <v>198</v>
      </c>
      <c r="G150" s="44">
        <v>4.0000000000000003E-5</v>
      </c>
      <c r="I150" s="58"/>
      <c r="J150" s="44">
        <v>4.0000000000000003E-5</v>
      </c>
      <c r="K150" s="44">
        <v>4.0000000000000003E-5</v>
      </c>
      <c r="L150" s="44">
        <v>4.0000000000000003E-5</v>
      </c>
      <c r="M150" s="44">
        <v>4.0000000000000003E-5</v>
      </c>
      <c r="O150" s="44">
        <v>4.0000000000000003E-5</v>
      </c>
      <c r="P150" s="44"/>
      <c r="Q150" s="44">
        <v>4.0000000000000003E-5</v>
      </c>
      <c r="R150" s="44">
        <v>4.0000000000000003E-5</v>
      </c>
      <c r="S150" s="44">
        <v>4.0000000000000003E-5</v>
      </c>
      <c r="V150" s="44">
        <v>4.0000000000000003E-5</v>
      </c>
      <c r="W150" s="44">
        <v>4.0000000000000003E-5</v>
      </c>
      <c r="X150" s="44">
        <v>4.0000000000000003E-5</v>
      </c>
      <c r="Y150" s="44">
        <v>4.0000000000000003E-5</v>
      </c>
      <c r="Z150" s="44">
        <v>4.0000000000000003E-5</v>
      </c>
      <c r="AA150" s="44">
        <v>4.0000000000000003E-5</v>
      </c>
      <c r="AB150" s="44">
        <v>4.0000000000000003E-5</v>
      </c>
      <c r="AC150" s="44">
        <v>4.0000000000000003E-5</v>
      </c>
      <c r="AD150" s="44">
        <v>4.0000000000000003E-5</v>
      </c>
      <c r="AE150" s="44">
        <v>4.0000000000000003E-5</v>
      </c>
      <c r="AF150" s="44">
        <v>4.0000000000000003E-5</v>
      </c>
      <c r="AG150"/>
      <c r="AH150" s="44">
        <v>4.0000000000000003E-5</v>
      </c>
      <c r="AI150" s="44">
        <v>4.0000000000000003E-5</v>
      </c>
      <c r="AJ150" s="44">
        <v>4.0000000000000003E-5</v>
      </c>
      <c r="AK150" s="44">
        <v>4.0000000000000003E-5</v>
      </c>
      <c r="AL150" s="44">
        <v>4.0000000000000003E-5</v>
      </c>
      <c r="AM150" s="44">
        <v>4.0000000000000003E-5</v>
      </c>
      <c r="AN150" s="44">
        <v>4.0000000000000003E-5</v>
      </c>
      <c r="AO150"/>
      <c r="AP150" s="44">
        <v>4.0000000000000003E-5</v>
      </c>
      <c r="AQ150" s="44">
        <v>4.0000000000000003E-5</v>
      </c>
      <c r="AR150" s="44">
        <v>4.0000000000000003E-5</v>
      </c>
      <c r="AS150" s="44">
        <v>4.0000000000000003E-5</v>
      </c>
      <c r="AT150"/>
      <c r="AU150" s="44">
        <v>4.0000000000000003E-5</v>
      </c>
      <c r="AV150"/>
      <c r="AW150"/>
      <c r="AX150" s="44">
        <v>4.0000000000000003E-5</v>
      </c>
    </row>
    <row r="151" spans="1:50" x14ac:dyDescent="0.25">
      <c r="A151" s="13" t="s">
        <v>73</v>
      </c>
      <c r="B151" s="3" t="s">
        <v>473</v>
      </c>
      <c r="C151" s="3" t="s">
        <v>483</v>
      </c>
      <c r="D151" s="3" t="s">
        <v>521</v>
      </c>
      <c r="E151" s="14" t="s">
        <v>186</v>
      </c>
      <c r="F151" s="14" t="s">
        <v>200</v>
      </c>
      <c r="G151" s="44">
        <v>5.8333333333333335E-9</v>
      </c>
      <c r="I151" s="58"/>
      <c r="J151" s="44">
        <v>5.8333333333333335E-9</v>
      </c>
      <c r="K151" s="44">
        <v>5.8333333333333335E-9</v>
      </c>
      <c r="L151" s="44">
        <v>5.8333333333333335E-9</v>
      </c>
      <c r="M151" s="44">
        <v>5.8333333333333335E-9</v>
      </c>
      <c r="O151" s="44">
        <v>5.8333333333333335E-9</v>
      </c>
      <c r="P151" s="44"/>
      <c r="Q151" s="44">
        <v>5.8333333333333335E-9</v>
      </c>
      <c r="R151" s="44">
        <v>5.8333333333333335E-9</v>
      </c>
      <c r="S151" s="44">
        <v>5.8333333333333335E-9</v>
      </c>
      <c r="V151" s="44">
        <v>5.8333333333333335E-9</v>
      </c>
      <c r="W151" s="44">
        <v>5.8333333333333335E-9</v>
      </c>
      <c r="X151" s="44">
        <v>5.8333333333333335E-9</v>
      </c>
      <c r="Y151" s="44">
        <v>5.8333333333333335E-9</v>
      </c>
      <c r="Z151" s="44">
        <v>5.8333333333333335E-9</v>
      </c>
      <c r="AA151" s="44">
        <v>5.8333333333333335E-9</v>
      </c>
      <c r="AB151" s="44">
        <v>5.8333333333333335E-9</v>
      </c>
      <c r="AC151" s="44">
        <v>5.8333333333333335E-9</v>
      </c>
      <c r="AD151" s="44">
        <v>5.8333333333333335E-9</v>
      </c>
      <c r="AE151" s="44">
        <v>5.8333333333333335E-9</v>
      </c>
      <c r="AF151" s="44">
        <v>5.8333333333333335E-9</v>
      </c>
      <c r="AG151"/>
      <c r="AH151" s="44">
        <v>5.8333333333333335E-9</v>
      </c>
      <c r="AI151" s="44">
        <v>5.8333333333333335E-9</v>
      </c>
      <c r="AJ151" s="44">
        <v>5.8333333333333335E-9</v>
      </c>
      <c r="AK151" s="44">
        <v>5.8333333333333335E-9</v>
      </c>
      <c r="AL151" s="44">
        <v>5.8333333333333335E-9</v>
      </c>
      <c r="AM151" s="44">
        <v>5.8333333333333335E-9</v>
      </c>
      <c r="AN151" s="44">
        <v>5.8333333333333335E-9</v>
      </c>
      <c r="AO151"/>
      <c r="AP151" s="44">
        <v>5.8333333333333335E-9</v>
      </c>
      <c r="AQ151" s="44">
        <v>5.8333333333333335E-9</v>
      </c>
      <c r="AR151" s="44">
        <v>5.8333333333333335E-9</v>
      </c>
      <c r="AS151" s="44">
        <v>5.8333333333333335E-9</v>
      </c>
      <c r="AT151"/>
      <c r="AU151" s="44">
        <v>5.8333333333333335E-9</v>
      </c>
      <c r="AV151"/>
      <c r="AW151"/>
      <c r="AX151" s="44">
        <v>5.8333333333333335E-9</v>
      </c>
    </row>
    <row r="152" spans="1:50" x14ac:dyDescent="0.25">
      <c r="A152" s="13" t="s">
        <v>240</v>
      </c>
      <c r="B152" s="3" t="s">
        <v>473</v>
      </c>
      <c r="C152" s="3" t="s">
        <v>483</v>
      </c>
      <c r="D152" s="3" t="s">
        <v>521</v>
      </c>
      <c r="E152" s="14" t="s">
        <v>307</v>
      </c>
      <c r="F152" s="14" t="s">
        <v>109</v>
      </c>
      <c r="G152" s="44">
        <v>20</v>
      </c>
      <c r="I152" s="58"/>
      <c r="J152" s="44">
        <v>20</v>
      </c>
      <c r="K152" s="44">
        <v>20</v>
      </c>
      <c r="L152" s="44">
        <v>20</v>
      </c>
      <c r="M152" s="44">
        <v>20</v>
      </c>
      <c r="O152" s="44">
        <v>20</v>
      </c>
      <c r="P152" s="44"/>
      <c r="Q152" s="44">
        <v>20</v>
      </c>
      <c r="R152" s="44">
        <v>20</v>
      </c>
      <c r="S152" s="44">
        <v>20</v>
      </c>
      <c r="V152" s="44">
        <v>20</v>
      </c>
      <c r="W152" s="44">
        <v>20</v>
      </c>
      <c r="X152" s="44">
        <v>20</v>
      </c>
      <c r="Y152" s="44">
        <v>20</v>
      </c>
      <c r="Z152" s="44">
        <v>20</v>
      </c>
      <c r="AA152" s="44">
        <v>20</v>
      </c>
      <c r="AB152" s="44">
        <v>20</v>
      </c>
      <c r="AC152" s="44">
        <v>20</v>
      </c>
      <c r="AD152" s="44">
        <v>20</v>
      </c>
      <c r="AE152" s="44">
        <v>20</v>
      </c>
      <c r="AF152" s="44">
        <v>20</v>
      </c>
      <c r="AG152"/>
      <c r="AH152" s="44">
        <v>20</v>
      </c>
      <c r="AI152" s="44">
        <v>20</v>
      </c>
      <c r="AJ152" s="44">
        <v>20</v>
      </c>
      <c r="AK152" s="44">
        <v>20</v>
      </c>
      <c r="AL152" s="44">
        <v>20</v>
      </c>
      <c r="AM152" s="44">
        <v>20</v>
      </c>
      <c r="AN152" s="44">
        <v>20</v>
      </c>
      <c r="AO152"/>
      <c r="AP152" s="44">
        <v>20</v>
      </c>
      <c r="AQ152" s="44">
        <v>20</v>
      </c>
      <c r="AR152" s="44">
        <v>20</v>
      </c>
      <c r="AS152" s="44">
        <v>20</v>
      </c>
      <c r="AT152"/>
      <c r="AU152" s="44">
        <v>20</v>
      </c>
      <c r="AV152"/>
      <c r="AW152"/>
      <c r="AX152" s="44">
        <v>20</v>
      </c>
    </row>
    <row r="153" spans="1:50" x14ac:dyDescent="0.25">
      <c r="A153" s="13" t="s">
        <v>241</v>
      </c>
      <c r="B153" s="3" t="s">
        <v>473</v>
      </c>
      <c r="C153" s="3" t="s">
        <v>483</v>
      </c>
      <c r="D153" s="3" t="s">
        <v>521</v>
      </c>
      <c r="E153" s="14" t="s">
        <v>308</v>
      </c>
      <c r="F153" s="14" t="s">
        <v>301</v>
      </c>
      <c r="G153" s="44">
        <v>-0.06</v>
      </c>
      <c r="I153" s="58"/>
      <c r="J153" s="44">
        <v>-0.06</v>
      </c>
      <c r="K153" s="44">
        <v>-0.06</v>
      </c>
      <c r="L153" s="44">
        <v>-0.06</v>
      </c>
      <c r="M153" s="44">
        <v>-0.06</v>
      </c>
      <c r="O153" s="44">
        <v>-0.06</v>
      </c>
      <c r="P153" s="44"/>
      <c r="Q153" s="44">
        <v>-0.06</v>
      </c>
      <c r="R153" s="44">
        <v>-0.06</v>
      </c>
      <c r="S153" s="44">
        <v>-0.06</v>
      </c>
      <c r="V153" s="44">
        <v>-0.06</v>
      </c>
      <c r="W153" s="44">
        <v>-0.06</v>
      </c>
      <c r="X153" s="44">
        <v>-0.06</v>
      </c>
      <c r="Y153" s="44">
        <v>-0.06</v>
      </c>
      <c r="Z153" s="44">
        <v>-0.06</v>
      </c>
      <c r="AA153" s="44">
        <v>-0.06</v>
      </c>
      <c r="AB153" s="44">
        <v>-0.06</v>
      </c>
      <c r="AC153" s="44">
        <v>-0.06</v>
      </c>
      <c r="AD153" s="44">
        <v>-0.06</v>
      </c>
      <c r="AE153" s="44">
        <v>-0.06</v>
      </c>
      <c r="AF153" s="44">
        <v>-0.06</v>
      </c>
      <c r="AG153"/>
      <c r="AH153" s="44">
        <v>-0.06</v>
      </c>
      <c r="AI153" s="44">
        <v>-0.06</v>
      </c>
      <c r="AJ153" s="44">
        <v>-0.06</v>
      </c>
      <c r="AK153" s="44">
        <v>-0.06</v>
      </c>
      <c r="AL153" s="44">
        <v>-0.06</v>
      </c>
      <c r="AM153" s="44">
        <v>-0.06</v>
      </c>
      <c r="AN153" s="44">
        <v>-0.06</v>
      </c>
      <c r="AO153"/>
      <c r="AP153" s="44">
        <v>-0.06</v>
      </c>
      <c r="AQ153" s="44">
        <v>-0.06</v>
      </c>
      <c r="AR153" s="44">
        <v>-0.06</v>
      </c>
      <c r="AS153" s="44">
        <v>-0.06</v>
      </c>
      <c r="AT153"/>
      <c r="AU153" s="44">
        <v>-0.06</v>
      </c>
      <c r="AV153"/>
      <c r="AW153"/>
      <c r="AX153" s="44">
        <v>-0.06</v>
      </c>
    </row>
    <row r="154" spans="1:50" x14ac:dyDescent="0.25">
      <c r="A154" s="13" t="s">
        <v>242</v>
      </c>
      <c r="B154" s="3" t="s">
        <v>473</v>
      </c>
      <c r="C154" s="3" t="s">
        <v>483</v>
      </c>
      <c r="D154" s="3" t="s">
        <v>521</v>
      </c>
      <c r="E154" s="14" t="s">
        <v>309</v>
      </c>
      <c r="F154" s="14" t="s">
        <v>100</v>
      </c>
      <c r="G154" s="44">
        <v>0.89100000000000001</v>
      </c>
      <c r="I154" s="58"/>
      <c r="J154" s="44">
        <v>0.89100000000000001</v>
      </c>
      <c r="K154" s="44">
        <v>0.89100000000000001</v>
      </c>
      <c r="L154" s="44">
        <v>0.89100000000000001</v>
      </c>
      <c r="M154" s="44">
        <v>0.89100000000000001</v>
      </c>
      <c r="O154" s="44">
        <v>0.89100000000000001</v>
      </c>
      <c r="P154" s="44"/>
      <c r="Q154" s="44">
        <v>0.89100000000000001</v>
      </c>
      <c r="R154" s="44">
        <v>0.89100000000000001</v>
      </c>
      <c r="S154" s="44">
        <v>0.89100000000000001</v>
      </c>
      <c r="V154" s="44">
        <v>0.89100000000000001</v>
      </c>
      <c r="W154" s="44">
        <v>0.89100000000000001</v>
      </c>
      <c r="X154" s="44">
        <v>0.89100000000000001</v>
      </c>
      <c r="Y154" s="44">
        <v>0.89100000000000001</v>
      </c>
      <c r="Z154" s="44">
        <v>0.89100000000000001</v>
      </c>
      <c r="AA154" s="44">
        <v>0.89100000000000001</v>
      </c>
      <c r="AB154" s="44">
        <v>0.89100000000000001</v>
      </c>
      <c r="AC154" s="44">
        <v>0.89100000000000001</v>
      </c>
      <c r="AD154" s="44">
        <v>0.89100000000000001</v>
      </c>
      <c r="AE154" s="44">
        <v>0.89100000000000001</v>
      </c>
      <c r="AF154" s="44">
        <v>0.89100000000000001</v>
      </c>
      <c r="AG154"/>
      <c r="AH154" s="44">
        <v>0.89100000000000001</v>
      </c>
      <c r="AI154" s="44">
        <v>0.89100000000000001</v>
      </c>
      <c r="AJ154" s="44">
        <v>0.89100000000000001</v>
      </c>
      <c r="AK154" s="44">
        <v>0.89100000000000001</v>
      </c>
      <c r="AL154" s="44">
        <v>0.89100000000000001</v>
      </c>
      <c r="AM154" s="44">
        <v>0.89100000000000001</v>
      </c>
      <c r="AN154" s="44">
        <v>0.89100000000000001</v>
      </c>
      <c r="AO154"/>
      <c r="AP154" s="44">
        <v>0.89100000000000001</v>
      </c>
      <c r="AQ154" s="44">
        <v>0.89100000000000001</v>
      </c>
      <c r="AR154" s="44">
        <v>0.89100000000000001</v>
      </c>
      <c r="AS154" s="44">
        <v>0.89100000000000001</v>
      </c>
      <c r="AT154"/>
      <c r="AU154" s="44">
        <v>0.89100000000000001</v>
      </c>
      <c r="AV154"/>
      <c r="AW154"/>
      <c r="AX154" s="44">
        <v>0.89100000000000001</v>
      </c>
    </row>
    <row r="155" spans="1:50" x14ac:dyDescent="0.25">
      <c r="A155" s="13" t="s">
        <v>243</v>
      </c>
      <c r="B155" s="3" t="s">
        <v>473</v>
      </c>
      <c r="C155" s="3" t="s">
        <v>483</v>
      </c>
      <c r="D155" s="3" t="s">
        <v>521</v>
      </c>
      <c r="E155" s="14" t="s">
        <v>310</v>
      </c>
      <c r="F155" s="14" t="s">
        <v>95</v>
      </c>
      <c r="G155" s="44">
        <v>1</v>
      </c>
      <c r="I155" s="58"/>
      <c r="J155" s="44">
        <v>1</v>
      </c>
      <c r="K155" s="44">
        <v>1</v>
      </c>
      <c r="L155" s="44">
        <v>1</v>
      </c>
      <c r="M155" s="44">
        <v>1</v>
      </c>
      <c r="O155" s="44">
        <v>1</v>
      </c>
      <c r="P155" s="44"/>
      <c r="Q155" s="44">
        <v>1</v>
      </c>
      <c r="R155" s="44">
        <v>1</v>
      </c>
      <c r="S155" s="44">
        <v>1</v>
      </c>
      <c r="V155" s="44">
        <v>1</v>
      </c>
      <c r="W155" s="44">
        <v>1</v>
      </c>
      <c r="X155" s="44">
        <v>1</v>
      </c>
      <c r="Y155" s="44">
        <v>1</v>
      </c>
      <c r="Z155" s="44">
        <v>1</v>
      </c>
      <c r="AA155" s="44">
        <v>1</v>
      </c>
      <c r="AB155" s="44">
        <v>1</v>
      </c>
      <c r="AC155" s="44">
        <v>1</v>
      </c>
      <c r="AD155" s="44">
        <v>1</v>
      </c>
      <c r="AE155" s="44">
        <v>1</v>
      </c>
      <c r="AF155" s="44">
        <v>1</v>
      </c>
      <c r="AG155"/>
      <c r="AH155" s="44">
        <v>1</v>
      </c>
      <c r="AI155" s="44">
        <v>1</v>
      </c>
      <c r="AJ155" s="44">
        <v>1</v>
      </c>
      <c r="AK155" s="44">
        <v>1</v>
      </c>
      <c r="AL155" s="44">
        <v>1</v>
      </c>
      <c r="AM155" s="44">
        <v>1</v>
      </c>
      <c r="AN155" s="44">
        <v>1</v>
      </c>
      <c r="AO155"/>
      <c r="AP155" s="44">
        <v>1</v>
      </c>
      <c r="AQ155" s="44">
        <v>1</v>
      </c>
      <c r="AR155" s="44">
        <v>1</v>
      </c>
      <c r="AS155" s="44">
        <v>1</v>
      </c>
      <c r="AT155"/>
      <c r="AU155" s="44">
        <v>1</v>
      </c>
      <c r="AV155"/>
      <c r="AW155"/>
      <c r="AX155" s="44">
        <v>1</v>
      </c>
    </row>
    <row r="156" spans="1:50" x14ac:dyDescent="0.25">
      <c r="A156" s="13" t="s">
        <v>74</v>
      </c>
      <c r="B156" s="3" t="s">
        <v>473</v>
      </c>
      <c r="C156" s="3" t="s">
        <v>483</v>
      </c>
      <c r="D156" s="3" t="s">
        <v>521</v>
      </c>
      <c r="E156" s="14" t="s">
        <v>185</v>
      </c>
      <c r="F156" s="14" t="s">
        <v>198</v>
      </c>
      <c r="G156" s="44">
        <v>4.0000000000000003E-5</v>
      </c>
      <c r="I156" s="58"/>
      <c r="J156" s="44">
        <v>4.0000000000000003E-5</v>
      </c>
      <c r="K156" s="44">
        <v>4.0000000000000003E-5</v>
      </c>
      <c r="L156" s="44">
        <v>4.0000000000000003E-5</v>
      </c>
      <c r="M156" s="44">
        <v>4.0000000000000003E-5</v>
      </c>
      <c r="O156" s="44">
        <v>4.0000000000000003E-5</v>
      </c>
      <c r="P156" s="44"/>
      <c r="Q156" s="44">
        <v>4.0000000000000003E-5</v>
      </c>
      <c r="R156" s="44">
        <v>4.0000000000000003E-5</v>
      </c>
      <c r="S156" s="44">
        <v>4.0000000000000003E-5</v>
      </c>
      <c r="V156" s="44">
        <v>4.0000000000000003E-5</v>
      </c>
      <c r="W156" s="44">
        <v>4.0000000000000003E-5</v>
      </c>
      <c r="X156" s="44">
        <v>4.0000000000000003E-5</v>
      </c>
      <c r="Y156" s="44">
        <v>4.0000000000000003E-5</v>
      </c>
      <c r="Z156" s="44">
        <v>4.0000000000000003E-5</v>
      </c>
      <c r="AA156" s="44">
        <v>4.0000000000000003E-5</v>
      </c>
      <c r="AB156" s="44">
        <v>4.0000000000000003E-5</v>
      </c>
      <c r="AC156" s="44">
        <v>4.0000000000000003E-5</v>
      </c>
      <c r="AD156" s="44">
        <v>4.0000000000000003E-5</v>
      </c>
      <c r="AE156" s="44">
        <v>4.0000000000000003E-5</v>
      </c>
      <c r="AF156" s="44">
        <v>4.0000000000000003E-5</v>
      </c>
      <c r="AG156"/>
      <c r="AH156" s="44">
        <v>4.0000000000000003E-5</v>
      </c>
      <c r="AI156" s="44">
        <v>4.0000000000000003E-5</v>
      </c>
      <c r="AJ156" s="44">
        <v>4.0000000000000003E-5</v>
      </c>
      <c r="AK156" s="44">
        <v>4.0000000000000003E-5</v>
      </c>
      <c r="AL156" s="44">
        <v>4.0000000000000003E-5</v>
      </c>
      <c r="AM156" s="44">
        <v>4.0000000000000003E-5</v>
      </c>
      <c r="AN156" s="44">
        <v>4.0000000000000003E-5</v>
      </c>
      <c r="AO156"/>
      <c r="AP156" s="44">
        <v>4.0000000000000003E-5</v>
      </c>
      <c r="AQ156" s="44">
        <v>4.0000000000000003E-5</v>
      </c>
      <c r="AR156" s="44">
        <v>4.0000000000000003E-5</v>
      </c>
      <c r="AS156" s="44">
        <v>4.0000000000000003E-5</v>
      </c>
      <c r="AT156"/>
      <c r="AU156" s="44">
        <v>4.0000000000000003E-5</v>
      </c>
      <c r="AV156"/>
      <c r="AW156"/>
      <c r="AX156" s="44">
        <v>4.0000000000000003E-5</v>
      </c>
    </row>
    <row r="157" spans="1:50" x14ac:dyDescent="0.25">
      <c r="A157" s="9" t="s">
        <v>75</v>
      </c>
      <c r="B157" s="3" t="s">
        <v>473</v>
      </c>
      <c r="C157" s="3" t="s">
        <v>483</v>
      </c>
      <c r="D157" s="3" t="s">
        <v>521</v>
      </c>
      <c r="E157" s="10" t="s">
        <v>187</v>
      </c>
      <c r="F157" s="10" t="s">
        <v>200</v>
      </c>
      <c r="G157" s="44">
        <v>4.9999999999999998E-8</v>
      </c>
      <c r="I157" s="58"/>
      <c r="J157" s="44">
        <v>4.0000000000000001E-8</v>
      </c>
      <c r="K157" s="44">
        <v>4.0000000000000001E-8</v>
      </c>
      <c r="L157" s="44">
        <v>4.0000000000000001E-8</v>
      </c>
      <c r="M157" s="44">
        <v>4.0000000000000001E-8</v>
      </c>
      <c r="O157" s="44">
        <v>4.0000000000000001E-8</v>
      </c>
      <c r="P157" s="44"/>
      <c r="Q157" s="44">
        <v>4.0000000000000001E-8</v>
      </c>
      <c r="R157" s="44">
        <v>4.0000000000000001E-8</v>
      </c>
      <c r="S157" s="44">
        <v>4.0000000000000001E-8</v>
      </c>
      <c r="V157" s="44">
        <v>4.0000000000000001E-8</v>
      </c>
      <c r="W157" s="44">
        <v>4.0000000000000001E-8</v>
      </c>
      <c r="X157" s="44">
        <v>4.0000000000000001E-8</v>
      </c>
      <c r="Y157" s="44">
        <v>4.0000000000000001E-8</v>
      </c>
      <c r="Z157" s="44">
        <v>4.0000000000000001E-8</v>
      </c>
      <c r="AA157" s="44">
        <v>4.0000000000000001E-8</v>
      </c>
      <c r="AB157" s="44">
        <v>4.0000000000000001E-8</v>
      </c>
      <c r="AC157" s="44">
        <v>4.0000000000000001E-8</v>
      </c>
      <c r="AD157" s="44">
        <v>4.0000000000000001E-8</v>
      </c>
      <c r="AE157" s="44">
        <v>4.0000000000000001E-8</v>
      </c>
      <c r="AF157" s="44">
        <v>4.0000000000000001E-8</v>
      </c>
      <c r="AG157"/>
      <c r="AH157" s="44">
        <v>4.0000000000000001E-8</v>
      </c>
      <c r="AI157" s="44">
        <v>4.0000000000000001E-8</v>
      </c>
      <c r="AJ157" s="44">
        <v>4.0000000000000001E-8</v>
      </c>
      <c r="AK157" s="44">
        <v>4.0000000000000001E-8</v>
      </c>
      <c r="AL157" s="44">
        <v>4.0000000000000001E-8</v>
      </c>
      <c r="AM157" s="44">
        <v>4.0000000000000001E-8</v>
      </c>
      <c r="AN157" s="44">
        <v>4.0000000000000001E-8</v>
      </c>
      <c r="AO157"/>
      <c r="AP157" s="44">
        <v>4.0000000000000001E-8</v>
      </c>
      <c r="AQ157" s="44">
        <v>4.0000000000000001E-8</v>
      </c>
      <c r="AR157" s="44">
        <v>4.0000000000000001E-8</v>
      </c>
      <c r="AS157" s="44">
        <v>4.0000000000000001E-8</v>
      </c>
      <c r="AT157"/>
      <c r="AU157" s="44">
        <v>4.0000000000000001E-8</v>
      </c>
      <c r="AV157"/>
      <c r="AW157"/>
      <c r="AX157" s="44">
        <v>4.0000000000000001E-8</v>
      </c>
    </row>
    <row r="158" spans="1:50" x14ac:dyDescent="0.25">
      <c r="A158" s="9" t="s">
        <v>218</v>
      </c>
      <c r="B158" s="3" t="s">
        <v>473</v>
      </c>
      <c r="C158" s="3" t="s">
        <v>483</v>
      </c>
      <c r="D158" s="3" t="s">
        <v>521</v>
      </c>
      <c r="E158" s="10" t="s">
        <v>298</v>
      </c>
      <c r="F158" s="10" t="s">
        <v>109</v>
      </c>
      <c r="G158" s="44">
        <v>20</v>
      </c>
      <c r="I158" s="58"/>
      <c r="J158" s="44">
        <v>20</v>
      </c>
      <c r="K158" s="44">
        <v>20</v>
      </c>
      <c r="L158" s="44">
        <v>20</v>
      </c>
      <c r="M158" s="44">
        <v>20</v>
      </c>
      <c r="O158" s="44">
        <v>20</v>
      </c>
      <c r="P158" s="44"/>
      <c r="Q158" s="44">
        <v>20</v>
      </c>
      <c r="R158" s="44">
        <v>20</v>
      </c>
      <c r="S158" s="44">
        <v>20</v>
      </c>
      <c r="V158" s="44">
        <v>20</v>
      </c>
      <c r="W158" s="44">
        <v>20</v>
      </c>
      <c r="X158" s="44">
        <v>20</v>
      </c>
      <c r="Y158" s="44">
        <v>20</v>
      </c>
      <c r="Z158" s="44">
        <v>20</v>
      </c>
      <c r="AA158" s="44">
        <v>20</v>
      </c>
      <c r="AB158" s="44">
        <v>20</v>
      </c>
      <c r="AC158" s="44">
        <v>20</v>
      </c>
      <c r="AD158" s="44">
        <v>20</v>
      </c>
      <c r="AE158" s="44">
        <v>20</v>
      </c>
      <c r="AF158" s="44">
        <v>20</v>
      </c>
      <c r="AG158"/>
      <c r="AH158" s="44">
        <v>20</v>
      </c>
      <c r="AI158" s="44">
        <v>20</v>
      </c>
      <c r="AJ158" s="44">
        <v>20</v>
      </c>
      <c r="AK158" s="44">
        <v>20</v>
      </c>
      <c r="AL158" s="44">
        <v>20</v>
      </c>
      <c r="AM158" s="44">
        <v>20</v>
      </c>
      <c r="AN158" s="44">
        <v>20</v>
      </c>
      <c r="AO158"/>
      <c r="AP158" s="44">
        <v>20</v>
      </c>
      <c r="AQ158" s="44">
        <v>20</v>
      </c>
      <c r="AR158" s="44">
        <v>20</v>
      </c>
      <c r="AS158" s="44">
        <v>20</v>
      </c>
      <c r="AT158"/>
      <c r="AU158" s="44">
        <v>20</v>
      </c>
      <c r="AV158"/>
      <c r="AW158"/>
      <c r="AX158" s="44">
        <v>20</v>
      </c>
    </row>
    <row r="159" spans="1:50" x14ac:dyDescent="0.25">
      <c r="A159" s="9" t="s">
        <v>219</v>
      </c>
      <c r="B159" s="3" t="s">
        <v>473</v>
      </c>
      <c r="C159" s="3" t="s">
        <v>483</v>
      </c>
      <c r="D159" s="3" t="s">
        <v>521</v>
      </c>
      <c r="E159" s="10" t="s">
        <v>299</v>
      </c>
      <c r="F159" s="10" t="s">
        <v>301</v>
      </c>
      <c r="G159" s="44">
        <v>-4.4200000000000003E-2</v>
      </c>
      <c r="I159" s="58"/>
      <c r="J159" s="44">
        <v>-4.4200000000000003E-2</v>
      </c>
      <c r="K159" s="44">
        <v>-4.4200000000000003E-2</v>
      </c>
      <c r="L159" s="44">
        <v>-4.4200000000000003E-2</v>
      </c>
      <c r="M159" s="44">
        <v>-4.4200000000000003E-2</v>
      </c>
      <c r="O159" s="44">
        <v>-4.4200000000000003E-2</v>
      </c>
      <c r="P159" s="44"/>
      <c r="Q159" s="44">
        <v>-4.4200000000000003E-2</v>
      </c>
      <c r="R159" s="44">
        <v>-4.4200000000000003E-2</v>
      </c>
      <c r="S159" s="44">
        <v>-4.4200000000000003E-2</v>
      </c>
      <c r="V159" s="44">
        <v>-4.4200000000000003E-2</v>
      </c>
      <c r="W159" s="44">
        <v>-4.4200000000000003E-2</v>
      </c>
      <c r="X159" s="44">
        <v>-4.4200000000000003E-2</v>
      </c>
      <c r="Y159" s="44">
        <v>-4.4200000000000003E-2</v>
      </c>
      <c r="Z159" s="44">
        <v>-4.4200000000000003E-2</v>
      </c>
      <c r="AA159" s="44">
        <v>-4.4200000000000003E-2</v>
      </c>
      <c r="AB159" s="44">
        <v>-4.4200000000000003E-2</v>
      </c>
      <c r="AC159" s="44">
        <v>-4.4200000000000003E-2</v>
      </c>
      <c r="AD159" s="44">
        <v>-4.4200000000000003E-2</v>
      </c>
      <c r="AE159" s="44">
        <v>-4.4200000000000003E-2</v>
      </c>
      <c r="AF159" s="44">
        <v>-4.4200000000000003E-2</v>
      </c>
      <c r="AG159"/>
      <c r="AH159" s="44">
        <v>-4.4200000000000003E-2</v>
      </c>
      <c r="AI159" s="44">
        <v>-4.4200000000000003E-2</v>
      </c>
      <c r="AJ159" s="44">
        <v>-4.4200000000000003E-2</v>
      </c>
      <c r="AK159" s="44">
        <v>-4.4200000000000003E-2</v>
      </c>
      <c r="AL159" s="44">
        <v>-4.4200000000000003E-2</v>
      </c>
      <c r="AM159" s="44">
        <v>-4.4200000000000003E-2</v>
      </c>
      <c r="AN159" s="44">
        <v>-4.4200000000000003E-2</v>
      </c>
      <c r="AO159"/>
      <c r="AP159" s="44">
        <v>-4.4200000000000003E-2</v>
      </c>
      <c r="AQ159" s="44">
        <v>-4.4200000000000003E-2</v>
      </c>
      <c r="AR159" s="44">
        <v>-4.4200000000000003E-2</v>
      </c>
      <c r="AS159" s="44">
        <v>-4.4200000000000003E-2</v>
      </c>
      <c r="AT159"/>
      <c r="AU159" s="44">
        <v>-4.4200000000000003E-2</v>
      </c>
      <c r="AV159"/>
      <c r="AW159"/>
      <c r="AX159" s="44">
        <v>-4.4200000000000003E-2</v>
      </c>
    </row>
    <row r="160" spans="1:50" x14ac:dyDescent="0.25">
      <c r="A160" s="9" t="s">
        <v>220</v>
      </c>
      <c r="B160" s="3" t="s">
        <v>473</v>
      </c>
      <c r="C160" s="3" t="s">
        <v>483</v>
      </c>
      <c r="D160" s="3" t="s">
        <v>521</v>
      </c>
      <c r="E160" s="10" t="s">
        <v>300</v>
      </c>
      <c r="F160" s="10" t="s">
        <v>100</v>
      </c>
      <c r="G160" s="44">
        <v>1.55</v>
      </c>
      <c r="I160" s="58"/>
      <c r="J160" s="44">
        <v>1.55</v>
      </c>
      <c r="K160" s="44">
        <v>1.55</v>
      </c>
      <c r="L160" s="44">
        <v>1.55</v>
      </c>
      <c r="M160" s="44">
        <v>1.55</v>
      </c>
      <c r="O160" s="44">
        <v>1.55</v>
      </c>
      <c r="P160" s="44"/>
      <c r="Q160" s="44">
        <v>1.55</v>
      </c>
      <c r="R160" s="44">
        <v>1.55</v>
      </c>
      <c r="S160" s="44">
        <v>1.55</v>
      </c>
      <c r="V160" s="44">
        <v>1.55</v>
      </c>
      <c r="W160" s="44">
        <v>1.55</v>
      </c>
      <c r="X160" s="44">
        <v>1.55</v>
      </c>
      <c r="Y160" s="44">
        <v>1.55</v>
      </c>
      <c r="Z160" s="44">
        <v>1.55</v>
      </c>
      <c r="AA160" s="44">
        <v>1.55</v>
      </c>
      <c r="AB160" s="44">
        <v>1.55</v>
      </c>
      <c r="AC160" s="44">
        <v>1.55</v>
      </c>
      <c r="AD160" s="44">
        <v>1.55</v>
      </c>
      <c r="AE160" s="44">
        <v>1.55</v>
      </c>
      <c r="AF160" s="44">
        <v>1.55</v>
      </c>
      <c r="AG160"/>
      <c r="AH160" s="44">
        <v>1.55</v>
      </c>
      <c r="AI160" s="44">
        <v>1.55</v>
      </c>
      <c r="AJ160" s="44">
        <v>1.55</v>
      </c>
      <c r="AK160" s="44">
        <v>1.55</v>
      </c>
      <c r="AL160" s="44">
        <v>1.55</v>
      </c>
      <c r="AM160" s="44">
        <v>1.55</v>
      </c>
      <c r="AN160" s="44">
        <v>1.55</v>
      </c>
      <c r="AO160"/>
      <c r="AP160" s="44">
        <v>1.55</v>
      </c>
      <c r="AQ160" s="44">
        <v>1.55</v>
      </c>
      <c r="AR160" s="44">
        <v>1.55</v>
      </c>
      <c r="AS160" s="44">
        <v>1.55</v>
      </c>
      <c r="AT160"/>
      <c r="AU160" s="44">
        <v>1.55</v>
      </c>
      <c r="AV160"/>
      <c r="AW160"/>
      <c r="AX160" s="44">
        <v>1.55</v>
      </c>
    </row>
    <row r="161" spans="1:50" x14ac:dyDescent="0.25">
      <c r="A161" s="9" t="s">
        <v>221</v>
      </c>
      <c r="B161" s="3" t="s">
        <v>473</v>
      </c>
      <c r="C161" s="3" t="s">
        <v>483</v>
      </c>
      <c r="D161" s="3" t="s">
        <v>521</v>
      </c>
      <c r="E161" s="10" t="s">
        <v>302</v>
      </c>
      <c r="F161" s="10" t="s">
        <v>95</v>
      </c>
      <c r="G161" s="44">
        <v>1</v>
      </c>
      <c r="I161" s="58"/>
      <c r="J161" s="44">
        <v>1</v>
      </c>
      <c r="K161" s="44">
        <v>1</v>
      </c>
      <c r="L161" s="44">
        <v>1</v>
      </c>
      <c r="M161" s="44">
        <v>1</v>
      </c>
      <c r="O161" s="44">
        <v>1</v>
      </c>
      <c r="P161" s="44"/>
      <c r="Q161" s="44">
        <v>1</v>
      </c>
      <c r="R161" s="44">
        <v>1</v>
      </c>
      <c r="S161" s="44">
        <v>1</v>
      </c>
      <c r="V161" s="44">
        <v>1</v>
      </c>
      <c r="W161" s="44">
        <v>1</v>
      </c>
      <c r="X161" s="44">
        <v>1</v>
      </c>
      <c r="Y161" s="44">
        <v>1</v>
      </c>
      <c r="Z161" s="44">
        <v>1</v>
      </c>
      <c r="AA161" s="44">
        <v>1</v>
      </c>
      <c r="AB161" s="44">
        <v>1</v>
      </c>
      <c r="AC161" s="44">
        <v>1</v>
      </c>
      <c r="AD161" s="44">
        <v>1</v>
      </c>
      <c r="AE161" s="44">
        <v>1</v>
      </c>
      <c r="AF161" s="44">
        <v>1</v>
      </c>
      <c r="AG161"/>
      <c r="AH161" s="44">
        <v>1</v>
      </c>
      <c r="AI161" s="44">
        <v>1</v>
      </c>
      <c r="AJ161" s="44">
        <v>1</v>
      </c>
      <c r="AK161" s="44">
        <v>1</v>
      </c>
      <c r="AL161" s="44">
        <v>1</v>
      </c>
      <c r="AM161" s="44">
        <v>1</v>
      </c>
      <c r="AN161" s="44">
        <v>1</v>
      </c>
      <c r="AO161"/>
      <c r="AP161" s="44">
        <v>1</v>
      </c>
      <c r="AQ161" s="44">
        <v>1</v>
      </c>
      <c r="AR161" s="44">
        <v>1</v>
      </c>
      <c r="AS161" s="44">
        <v>1</v>
      </c>
      <c r="AT161"/>
      <c r="AU161" s="44">
        <v>1</v>
      </c>
      <c r="AV161"/>
      <c r="AW161"/>
      <c r="AX161" s="44">
        <v>1</v>
      </c>
    </row>
    <row r="162" spans="1:50" x14ac:dyDescent="0.25">
      <c r="A162" s="9" t="s">
        <v>76</v>
      </c>
      <c r="B162" s="3" t="s">
        <v>473</v>
      </c>
      <c r="C162" s="3" t="s">
        <v>483</v>
      </c>
      <c r="D162" s="3" t="s">
        <v>521</v>
      </c>
      <c r="E162" s="10" t="s">
        <v>188</v>
      </c>
      <c r="F162" s="10" t="s">
        <v>198</v>
      </c>
      <c r="G162" s="44">
        <v>2.7799999999999998E-4</v>
      </c>
      <c r="I162" s="58"/>
      <c r="J162" s="44">
        <v>2.7799999999999998E-4</v>
      </c>
      <c r="K162" s="44">
        <v>2.7799999999999998E-4</v>
      </c>
      <c r="L162" s="44">
        <v>2.7799999999999998E-4</v>
      </c>
      <c r="M162" s="44">
        <v>2.7799999999999998E-4</v>
      </c>
      <c r="O162" s="44">
        <v>2.7799999999999998E-4</v>
      </c>
      <c r="P162" s="44"/>
      <c r="Q162" s="44">
        <v>2.7799999999999998E-4</v>
      </c>
      <c r="R162" s="44">
        <v>2.7799999999999998E-4</v>
      </c>
      <c r="S162" s="44">
        <v>2.7799999999999998E-4</v>
      </c>
      <c r="V162" s="44">
        <v>2.7799999999999998E-4</v>
      </c>
      <c r="W162" s="44">
        <v>2.7799999999999998E-4</v>
      </c>
      <c r="X162" s="44">
        <v>2.7799999999999998E-4</v>
      </c>
      <c r="Y162" s="44">
        <v>2.7799999999999998E-4</v>
      </c>
      <c r="Z162" s="44">
        <v>2.7799999999999998E-4</v>
      </c>
      <c r="AA162" s="44">
        <v>2.7799999999999998E-4</v>
      </c>
      <c r="AB162" s="44">
        <v>2.7799999999999998E-4</v>
      </c>
      <c r="AC162" s="44">
        <v>2.7799999999999998E-4</v>
      </c>
      <c r="AD162" s="44">
        <v>2.7799999999999998E-4</v>
      </c>
      <c r="AE162" s="44">
        <v>2.7799999999999998E-4</v>
      </c>
      <c r="AF162" s="44">
        <v>2.7799999999999998E-4</v>
      </c>
      <c r="AG162"/>
      <c r="AH162" s="44">
        <v>2.7799999999999998E-4</v>
      </c>
      <c r="AI162" s="44">
        <v>2.7799999999999998E-4</v>
      </c>
      <c r="AJ162" s="44">
        <v>2.7799999999999998E-4</v>
      </c>
      <c r="AK162" s="44">
        <v>2.7799999999999998E-4</v>
      </c>
      <c r="AL162" s="44">
        <v>2.7799999999999998E-4</v>
      </c>
      <c r="AM162" s="44">
        <v>2.7799999999999998E-4</v>
      </c>
      <c r="AN162" s="44">
        <v>2.7799999999999998E-4</v>
      </c>
      <c r="AO162"/>
      <c r="AP162" s="44">
        <v>2.7799999999999998E-4</v>
      </c>
      <c r="AQ162" s="44">
        <v>2.7799999999999998E-4</v>
      </c>
      <c r="AR162" s="44">
        <v>2.7799999999999998E-4</v>
      </c>
      <c r="AS162" s="44">
        <v>2.7799999999999998E-4</v>
      </c>
      <c r="AT162"/>
      <c r="AU162" s="44">
        <v>2.7799999999999998E-4</v>
      </c>
      <c r="AV162"/>
      <c r="AW162"/>
      <c r="AX162" s="44">
        <v>2.7799999999999998E-4</v>
      </c>
    </row>
    <row r="163" spans="1:50" x14ac:dyDescent="0.25">
      <c r="A163" s="25" t="s">
        <v>78</v>
      </c>
      <c r="B163" s="3" t="s">
        <v>473</v>
      </c>
      <c r="C163" s="3" t="s">
        <v>483</v>
      </c>
      <c r="D163" s="3" t="s">
        <v>521</v>
      </c>
      <c r="E163" s="26" t="s">
        <v>189</v>
      </c>
      <c r="F163" s="26" t="s">
        <v>201</v>
      </c>
      <c r="G163" s="44">
        <v>4.7300000000000001E-7</v>
      </c>
      <c r="I163" s="58"/>
      <c r="J163" s="44">
        <v>2.4999999999999998E-12</v>
      </c>
      <c r="K163" s="44">
        <v>2.4999999999999998E-12</v>
      </c>
      <c r="L163" s="44">
        <v>2.4999999999999998E-12</v>
      </c>
      <c r="M163" s="44">
        <v>2.4999999999999998E-12</v>
      </c>
      <c r="O163" s="44">
        <v>2.4999999999999998E-12</v>
      </c>
      <c r="P163" s="44"/>
      <c r="Q163" s="44">
        <v>2.4999999999999998E-12</v>
      </c>
      <c r="R163" s="44">
        <v>2.4999999999999998E-12</v>
      </c>
      <c r="S163" s="44">
        <v>2.4999999999999998E-12</v>
      </c>
      <c r="V163" s="44">
        <v>2.4999999999999998E-12</v>
      </c>
      <c r="W163" s="44">
        <v>2.4999999999999998E-12</v>
      </c>
      <c r="X163" s="44">
        <v>2.4999999999999998E-12</v>
      </c>
      <c r="Y163" s="44">
        <v>2.4999999999999998E-12</v>
      </c>
      <c r="Z163" s="44">
        <v>2.4999999999999998E-12</v>
      </c>
      <c r="AA163" s="44">
        <v>2.4999999999999998E-12</v>
      </c>
      <c r="AB163" s="44">
        <v>2.4999999999999998E-12</v>
      </c>
      <c r="AC163" s="44">
        <v>2.4999999999999998E-12</v>
      </c>
      <c r="AD163" s="44">
        <v>2.4999999999999998E-12</v>
      </c>
      <c r="AE163" s="44">
        <v>2.4999999999999998E-12</v>
      </c>
      <c r="AF163" s="44">
        <v>2.4999999999999998E-12</v>
      </c>
      <c r="AG163"/>
      <c r="AH163" s="44">
        <v>2.4999999999999998E-12</v>
      </c>
      <c r="AI163" s="44">
        <v>2.4999999999999998E-12</v>
      </c>
      <c r="AJ163" s="44">
        <v>2.4999999999999998E-12</v>
      </c>
      <c r="AK163" s="44">
        <v>2.4999999999999998E-12</v>
      </c>
      <c r="AL163" s="44">
        <v>2.4999999999999998E-12</v>
      </c>
      <c r="AM163" s="44">
        <v>2.4999999999999998E-12</v>
      </c>
      <c r="AN163" s="44">
        <v>2.4999999999999998E-12</v>
      </c>
      <c r="AO163"/>
      <c r="AP163" s="44">
        <v>2.4999999999999998E-12</v>
      </c>
      <c r="AQ163" s="44">
        <v>2.4999999999999998E-12</v>
      </c>
      <c r="AR163" s="44">
        <v>2.4999999999999998E-12</v>
      </c>
      <c r="AS163" s="44">
        <v>2.4999999999999998E-12</v>
      </c>
      <c r="AT163"/>
      <c r="AU163" s="44">
        <v>2.4999999999999998E-12</v>
      </c>
      <c r="AV163"/>
      <c r="AW163"/>
      <c r="AX163" s="44">
        <v>2.4999999999999998E-12</v>
      </c>
    </row>
    <row r="164" spans="1:50" x14ac:dyDescent="0.25">
      <c r="A164" s="25" t="s">
        <v>245</v>
      </c>
      <c r="B164" s="3" t="s">
        <v>473</v>
      </c>
      <c r="C164" s="3" t="s">
        <v>483</v>
      </c>
      <c r="D164" s="3" t="s">
        <v>521</v>
      </c>
      <c r="E164" s="26" t="s">
        <v>319</v>
      </c>
      <c r="F164" s="26" t="s">
        <v>109</v>
      </c>
      <c r="G164" s="44">
        <v>20</v>
      </c>
      <c r="I164" s="58"/>
      <c r="J164" s="44">
        <v>20</v>
      </c>
      <c r="K164" s="44">
        <v>20</v>
      </c>
      <c r="L164" s="44">
        <v>20</v>
      </c>
      <c r="M164" s="44">
        <v>20</v>
      </c>
      <c r="O164" s="44">
        <v>20</v>
      </c>
      <c r="P164" s="44"/>
      <c r="Q164" s="44">
        <v>20</v>
      </c>
      <c r="R164" s="44">
        <v>20</v>
      </c>
      <c r="S164" s="44">
        <v>20</v>
      </c>
      <c r="V164" s="44">
        <v>20</v>
      </c>
      <c r="W164" s="44">
        <v>20</v>
      </c>
      <c r="X164" s="44">
        <v>20</v>
      </c>
      <c r="Y164" s="44">
        <v>20</v>
      </c>
      <c r="Z164" s="44">
        <v>20</v>
      </c>
      <c r="AA164" s="44">
        <v>20</v>
      </c>
      <c r="AB164" s="44">
        <v>20</v>
      </c>
      <c r="AC164" s="44">
        <v>20</v>
      </c>
      <c r="AD164" s="44">
        <v>20</v>
      </c>
      <c r="AE164" s="44">
        <v>20</v>
      </c>
      <c r="AF164" s="44">
        <v>20</v>
      </c>
      <c r="AG164"/>
      <c r="AH164" s="44">
        <v>20</v>
      </c>
      <c r="AI164" s="44">
        <v>20</v>
      </c>
      <c r="AJ164" s="44">
        <v>20</v>
      </c>
      <c r="AK164" s="44">
        <v>20</v>
      </c>
      <c r="AL164" s="44">
        <v>20</v>
      </c>
      <c r="AM164" s="44">
        <v>20</v>
      </c>
      <c r="AN164" s="44">
        <v>20</v>
      </c>
      <c r="AO164"/>
      <c r="AP164" s="44">
        <v>20</v>
      </c>
      <c r="AQ164" s="44">
        <v>20</v>
      </c>
      <c r="AR164" s="44">
        <v>20</v>
      </c>
      <c r="AS164" s="44">
        <v>20</v>
      </c>
      <c r="AT164"/>
      <c r="AU164" s="44">
        <v>20</v>
      </c>
      <c r="AV164"/>
      <c r="AW164"/>
      <c r="AX164" s="44">
        <v>20</v>
      </c>
    </row>
    <row r="165" spans="1:50" x14ac:dyDescent="0.25">
      <c r="A165" s="25" t="s">
        <v>246</v>
      </c>
      <c r="B165" s="3" t="s">
        <v>473</v>
      </c>
      <c r="C165" s="3" t="s">
        <v>483</v>
      </c>
      <c r="D165" s="3" t="s">
        <v>521</v>
      </c>
      <c r="E165" s="26" t="s">
        <v>320</v>
      </c>
      <c r="F165" s="26" t="s">
        <v>301</v>
      </c>
      <c r="G165" s="44">
        <v>0</v>
      </c>
      <c r="I165" s="58"/>
      <c r="J165" s="44">
        <v>0</v>
      </c>
      <c r="K165" s="44">
        <v>0</v>
      </c>
      <c r="L165" s="44">
        <v>0</v>
      </c>
      <c r="M165" s="44">
        <v>0</v>
      </c>
      <c r="O165" s="44">
        <v>0</v>
      </c>
      <c r="P165" s="44"/>
      <c r="Q165" s="44">
        <v>0</v>
      </c>
      <c r="R165" s="44">
        <v>0</v>
      </c>
      <c r="S165" s="44">
        <v>0</v>
      </c>
      <c r="V165" s="44">
        <v>0</v>
      </c>
      <c r="W165" s="44">
        <v>0</v>
      </c>
      <c r="X165" s="44">
        <v>0</v>
      </c>
      <c r="Y165" s="44">
        <v>0</v>
      </c>
      <c r="Z165" s="44">
        <v>0</v>
      </c>
      <c r="AA165" s="44">
        <v>0</v>
      </c>
      <c r="AB165" s="44">
        <v>0</v>
      </c>
      <c r="AC165" s="44">
        <v>0</v>
      </c>
      <c r="AD165" s="44">
        <v>0</v>
      </c>
      <c r="AE165" s="44">
        <v>0</v>
      </c>
      <c r="AF165" s="44">
        <v>0</v>
      </c>
      <c r="AG165"/>
      <c r="AH165" s="44">
        <v>0</v>
      </c>
      <c r="AI165" s="44">
        <v>0</v>
      </c>
      <c r="AJ165" s="44">
        <v>0</v>
      </c>
      <c r="AK165" s="44">
        <v>0</v>
      </c>
      <c r="AL165" s="44">
        <v>0</v>
      </c>
      <c r="AM165" s="44">
        <v>0</v>
      </c>
      <c r="AN165" s="44">
        <v>0</v>
      </c>
      <c r="AO165"/>
      <c r="AP165" s="44">
        <v>0</v>
      </c>
      <c r="AQ165" s="44">
        <v>0</v>
      </c>
      <c r="AR165" s="44">
        <v>0</v>
      </c>
      <c r="AS165" s="44">
        <v>0</v>
      </c>
      <c r="AT165"/>
      <c r="AU165" s="44">
        <v>0</v>
      </c>
      <c r="AV165"/>
      <c r="AW165"/>
      <c r="AX165" s="44">
        <v>0</v>
      </c>
    </row>
    <row r="166" spans="1:50" x14ac:dyDescent="0.25">
      <c r="A166" s="25" t="s">
        <v>247</v>
      </c>
      <c r="B166" s="3" t="s">
        <v>473</v>
      </c>
      <c r="C166" s="3" t="s">
        <v>483</v>
      </c>
      <c r="D166" s="3" t="s">
        <v>521</v>
      </c>
      <c r="E166" s="26" t="s">
        <v>321</v>
      </c>
      <c r="F166" s="26" t="s">
        <v>100</v>
      </c>
      <c r="G166" s="44">
        <v>1</v>
      </c>
      <c r="I166" s="58"/>
      <c r="J166" s="44">
        <v>1</v>
      </c>
      <c r="K166" s="44">
        <v>1</v>
      </c>
      <c r="L166" s="44">
        <v>1</v>
      </c>
      <c r="M166" s="44">
        <v>1</v>
      </c>
      <c r="O166" s="44">
        <v>1</v>
      </c>
      <c r="P166" s="44"/>
      <c r="Q166" s="44">
        <v>1</v>
      </c>
      <c r="R166" s="44">
        <v>1</v>
      </c>
      <c r="S166" s="44">
        <v>1</v>
      </c>
      <c r="V166" s="44">
        <v>1</v>
      </c>
      <c r="W166" s="44">
        <v>1</v>
      </c>
      <c r="X166" s="44">
        <v>1</v>
      </c>
      <c r="Y166" s="44">
        <v>1</v>
      </c>
      <c r="Z166" s="44">
        <v>1</v>
      </c>
      <c r="AA166" s="44">
        <v>1</v>
      </c>
      <c r="AB166" s="44">
        <v>1</v>
      </c>
      <c r="AC166" s="44">
        <v>1</v>
      </c>
      <c r="AD166" s="44">
        <v>1</v>
      </c>
      <c r="AE166" s="44">
        <v>1</v>
      </c>
      <c r="AF166" s="44">
        <v>1</v>
      </c>
      <c r="AG166"/>
      <c r="AH166" s="44">
        <v>1</v>
      </c>
      <c r="AI166" s="44">
        <v>1</v>
      </c>
      <c r="AJ166" s="44">
        <v>1</v>
      </c>
      <c r="AK166" s="44">
        <v>1</v>
      </c>
      <c r="AL166" s="44">
        <v>1</v>
      </c>
      <c r="AM166" s="44">
        <v>1</v>
      </c>
      <c r="AN166" s="44">
        <v>1</v>
      </c>
      <c r="AO166"/>
      <c r="AP166" s="44">
        <v>1</v>
      </c>
      <c r="AQ166" s="44">
        <v>1</v>
      </c>
      <c r="AR166" s="44">
        <v>1</v>
      </c>
      <c r="AS166" s="44">
        <v>1</v>
      </c>
      <c r="AT166"/>
      <c r="AU166" s="44">
        <v>1</v>
      </c>
      <c r="AV166"/>
      <c r="AW166"/>
      <c r="AX166" s="44">
        <v>1</v>
      </c>
    </row>
    <row r="167" spans="1:50" x14ac:dyDescent="0.25">
      <c r="A167" s="25" t="s">
        <v>248</v>
      </c>
      <c r="B167" s="3" t="s">
        <v>473</v>
      </c>
      <c r="C167" s="3" t="s">
        <v>483</v>
      </c>
      <c r="D167" s="3" t="s">
        <v>521</v>
      </c>
      <c r="E167" s="26" t="s">
        <v>322</v>
      </c>
      <c r="F167" s="26" t="s">
        <v>95</v>
      </c>
      <c r="G167" s="44">
        <v>0</v>
      </c>
      <c r="I167" s="58"/>
      <c r="J167" s="44">
        <v>0</v>
      </c>
      <c r="K167" s="44">
        <v>0</v>
      </c>
      <c r="L167" s="44">
        <v>0</v>
      </c>
      <c r="M167" s="44">
        <v>0</v>
      </c>
      <c r="O167" s="44">
        <v>0</v>
      </c>
      <c r="P167" s="44"/>
      <c r="Q167" s="44">
        <v>0</v>
      </c>
      <c r="R167" s="44">
        <v>0</v>
      </c>
      <c r="S167" s="44">
        <v>0</v>
      </c>
      <c r="V167" s="44">
        <v>0</v>
      </c>
      <c r="W167" s="44">
        <v>0</v>
      </c>
      <c r="X167" s="44">
        <v>0</v>
      </c>
      <c r="Y167" s="44">
        <v>0</v>
      </c>
      <c r="Z167" s="44">
        <v>0</v>
      </c>
      <c r="AA167" s="44">
        <v>0</v>
      </c>
      <c r="AB167" s="44">
        <v>0</v>
      </c>
      <c r="AC167" s="44">
        <v>0</v>
      </c>
      <c r="AD167" s="44">
        <v>0</v>
      </c>
      <c r="AE167" s="44">
        <v>0</v>
      </c>
      <c r="AF167" s="44">
        <v>0</v>
      </c>
      <c r="AG167"/>
      <c r="AH167" s="44">
        <v>0</v>
      </c>
      <c r="AI167" s="44">
        <v>0</v>
      </c>
      <c r="AJ167" s="44">
        <v>0</v>
      </c>
      <c r="AK167" s="44">
        <v>0</v>
      </c>
      <c r="AL167" s="44">
        <v>0</v>
      </c>
      <c r="AM167" s="44">
        <v>0</v>
      </c>
      <c r="AN167" s="44">
        <v>0</v>
      </c>
      <c r="AO167"/>
      <c r="AP167" s="44">
        <v>0</v>
      </c>
      <c r="AQ167" s="44">
        <v>0</v>
      </c>
      <c r="AR167" s="44">
        <v>0</v>
      </c>
      <c r="AS167" s="44">
        <v>0</v>
      </c>
      <c r="AT167"/>
      <c r="AU167" s="44">
        <v>0</v>
      </c>
      <c r="AV167"/>
      <c r="AW167"/>
      <c r="AX167" s="44">
        <v>0</v>
      </c>
    </row>
    <row r="168" spans="1:50" x14ac:dyDescent="0.25">
      <c r="A168" s="25" t="s">
        <v>79</v>
      </c>
      <c r="B168" s="3" t="s">
        <v>473</v>
      </c>
      <c r="C168" s="3" t="s">
        <v>483</v>
      </c>
      <c r="D168" s="3" t="s">
        <v>521</v>
      </c>
      <c r="E168" s="26" t="s">
        <v>190</v>
      </c>
      <c r="F168" s="26" t="s">
        <v>100</v>
      </c>
      <c r="G168" s="44">
        <v>0.4</v>
      </c>
      <c r="I168" s="58"/>
      <c r="J168" s="44">
        <v>0.4</v>
      </c>
      <c r="K168" s="44">
        <v>0.4</v>
      </c>
      <c r="L168" s="44">
        <v>0.4</v>
      </c>
      <c r="M168" s="44">
        <v>0.4</v>
      </c>
      <c r="O168" s="44">
        <v>0.4</v>
      </c>
      <c r="P168" s="44"/>
      <c r="Q168" s="44">
        <v>0.4</v>
      </c>
      <c r="R168" s="44">
        <v>0.4</v>
      </c>
      <c r="S168" s="44">
        <v>0.4</v>
      </c>
      <c r="V168" s="44">
        <v>0.4</v>
      </c>
      <c r="W168" s="44">
        <v>0.4</v>
      </c>
      <c r="X168" s="44">
        <v>0.4</v>
      </c>
      <c r="Y168" s="44">
        <v>0.4</v>
      </c>
      <c r="Z168" s="44">
        <v>0.4</v>
      </c>
      <c r="AA168" s="44">
        <v>0.4</v>
      </c>
      <c r="AB168" s="44">
        <v>0.4</v>
      </c>
      <c r="AC168" s="44">
        <v>0.4</v>
      </c>
      <c r="AD168" s="44">
        <v>0.4</v>
      </c>
      <c r="AE168" s="44">
        <v>0.4</v>
      </c>
      <c r="AF168" s="44">
        <v>0.4</v>
      </c>
      <c r="AG168"/>
      <c r="AH168" s="44">
        <v>0.4</v>
      </c>
      <c r="AI168" s="44">
        <v>0.4</v>
      </c>
      <c r="AJ168" s="44">
        <v>0.4</v>
      </c>
      <c r="AK168" s="44">
        <v>0.4</v>
      </c>
      <c r="AL168" s="44">
        <v>0.4</v>
      </c>
      <c r="AM168" s="44">
        <v>0.4</v>
      </c>
      <c r="AN168" s="44">
        <v>0.4</v>
      </c>
      <c r="AO168"/>
      <c r="AP168" s="44">
        <v>0.4</v>
      </c>
      <c r="AQ168" s="44">
        <v>0.4</v>
      </c>
      <c r="AR168" s="44">
        <v>0.4</v>
      </c>
      <c r="AS168" s="44">
        <v>0.4</v>
      </c>
      <c r="AT168"/>
      <c r="AU168" s="44">
        <v>0.4</v>
      </c>
      <c r="AV168"/>
      <c r="AW168"/>
      <c r="AX168" s="44">
        <v>0.4</v>
      </c>
    </row>
    <row r="169" spans="1:50" x14ac:dyDescent="0.25">
      <c r="A169" s="31" t="s">
        <v>80</v>
      </c>
      <c r="B169" s="3" t="s">
        <v>473</v>
      </c>
      <c r="C169" s="3" t="s">
        <v>483</v>
      </c>
      <c r="D169" s="3" t="s">
        <v>521</v>
      </c>
      <c r="E169" s="32" t="s">
        <v>191</v>
      </c>
      <c r="F169" s="32" t="s">
        <v>200</v>
      </c>
      <c r="G169" s="44">
        <v>3.2100000000000002E-6</v>
      </c>
      <c r="I169" s="58"/>
      <c r="J169" s="44">
        <v>2.0000000000000001E-9</v>
      </c>
      <c r="K169" s="44">
        <v>2.0000000000000001E-9</v>
      </c>
      <c r="L169" s="44">
        <v>2.0000000000000001E-9</v>
      </c>
      <c r="M169" s="44">
        <v>2.0000000000000001E-9</v>
      </c>
      <c r="O169" s="44">
        <v>2.0000000000000001E-9</v>
      </c>
      <c r="P169" s="44"/>
      <c r="Q169" s="44">
        <v>2.0000000000000001E-9</v>
      </c>
      <c r="R169" s="44">
        <v>2.0000000000000001E-9</v>
      </c>
      <c r="S169" s="44">
        <v>2.0000000000000001E-9</v>
      </c>
      <c r="V169" s="44">
        <v>2.0000000000000001E-9</v>
      </c>
      <c r="W169" s="44">
        <v>2.0000000000000001E-9</v>
      </c>
      <c r="X169" s="44">
        <v>2.0000000000000001E-9</v>
      </c>
      <c r="Y169" s="44">
        <v>2.0000000000000001E-9</v>
      </c>
      <c r="Z169" s="44">
        <v>2.0000000000000001E-9</v>
      </c>
      <c r="AA169" s="44">
        <v>2.0000000000000001E-9</v>
      </c>
      <c r="AB169" s="44">
        <v>2.0000000000000001E-9</v>
      </c>
      <c r="AC169" s="44">
        <v>2.0000000000000001E-9</v>
      </c>
      <c r="AD169" s="44">
        <v>2.0000000000000001E-9</v>
      </c>
      <c r="AE169" s="44">
        <v>2.0000000000000001E-9</v>
      </c>
      <c r="AF169" s="44">
        <v>2.0000000000000001E-9</v>
      </c>
      <c r="AG169"/>
      <c r="AH169" s="44">
        <v>2.0000000000000001E-9</v>
      </c>
      <c r="AI169" s="44">
        <v>2.0000000000000001E-9</v>
      </c>
      <c r="AJ169" s="44">
        <v>2.0000000000000001E-9</v>
      </c>
      <c r="AK169" s="44">
        <v>2.0000000000000001E-9</v>
      </c>
      <c r="AL169" s="44">
        <v>2.0000000000000001E-9</v>
      </c>
      <c r="AM169" s="44">
        <v>2.0000000000000001E-9</v>
      </c>
      <c r="AN169" s="44">
        <v>2.0000000000000001E-9</v>
      </c>
      <c r="AO169"/>
      <c r="AP169" s="44">
        <v>2.0000000000000001E-9</v>
      </c>
      <c r="AQ169" s="44">
        <v>2.0000000000000001E-9</v>
      </c>
      <c r="AR169" s="44">
        <v>2.0000000000000001E-9</v>
      </c>
      <c r="AS169" s="44">
        <v>2.0000000000000001E-9</v>
      </c>
      <c r="AT169"/>
      <c r="AU169" s="44">
        <v>2.0000000000000001E-9</v>
      </c>
      <c r="AV169"/>
      <c r="AW169"/>
      <c r="AX169" s="44">
        <v>2.0000000000000001E-9</v>
      </c>
    </row>
    <row r="170" spans="1:50" x14ac:dyDescent="0.25">
      <c r="A170" s="31" t="s">
        <v>249</v>
      </c>
      <c r="B170" s="3" t="s">
        <v>473</v>
      </c>
      <c r="C170" s="3" t="s">
        <v>483</v>
      </c>
      <c r="D170" s="3" t="s">
        <v>521</v>
      </c>
      <c r="E170" s="32" t="s">
        <v>323</v>
      </c>
      <c r="F170" s="32" t="s">
        <v>109</v>
      </c>
      <c r="G170" s="44">
        <v>25</v>
      </c>
      <c r="I170" s="58"/>
      <c r="J170" s="44">
        <v>25</v>
      </c>
      <c r="K170" s="44">
        <v>25</v>
      </c>
      <c r="L170" s="44">
        <v>25</v>
      </c>
      <c r="M170" s="44">
        <v>25</v>
      </c>
      <c r="O170" s="44">
        <v>25</v>
      </c>
      <c r="P170" s="44"/>
      <c r="Q170" s="44">
        <v>25</v>
      </c>
      <c r="R170" s="44">
        <v>25</v>
      </c>
      <c r="S170" s="44">
        <v>25</v>
      </c>
      <c r="V170" s="44">
        <v>25</v>
      </c>
      <c r="W170" s="44">
        <v>25</v>
      </c>
      <c r="X170" s="44">
        <v>25</v>
      </c>
      <c r="Y170" s="44">
        <v>25</v>
      </c>
      <c r="Z170" s="44">
        <v>25</v>
      </c>
      <c r="AA170" s="44">
        <v>25</v>
      </c>
      <c r="AB170" s="44">
        <v>25</v>
      </c>
      <c r="AC170" s="44">
        <v>25</v>
      </c>
      <c r="AD170" s="44">
        <v>25</v>
      </c>
      <c r="AE170" s="44">
        <v>25</v>
      </c>
      <c r="AF170" s="44">
        <v>25</v>
      </c>
      <c r="AG170"/>
      <c r="AH170" s="44">
        <v>25</v>
      </c>
      <c r="AI170" s="44">
        <v>25</v>
      </c>
      <c r="AJ170" s="44">
        <v>25</v>
      </c>
      <c r="AK170" s="44">
        <v>25</v>
      </c>
      <c r="AL170" s="44">
        <v>25</v>
      </c>
      <c r="AM170" s="44">
        <v>25</v>
      </c>
      <c r="AN170" s="44">
        <v>25</v>
      </c>
      <c r="AO170"/>
      <c r="AP170" s="44">
        <v>25</v>
      </c>
      <c r="AQ170" s="44">
        <v>25</v>
      </c>
      <c r="AR170" s="44">
        <v>25</v>
      </c>
      <c r="AS170" s="44">
        <v>25</v>
      </c>
      <c r="AT170"/>
      <c r="AU170" s="44">
        <v>25</v>
      </c>
      <c r="AV170"/>
      <c r="AW170"/>
      <c r="AX170" s="44">
        <v>25</v>
      </c>
    </row>
    <row r="171" spans="1:50" x14ac:dyDescent="0.25">
      <c r="A171" s="31" t="s">
        <v>250</v>
      </c>
      <c r="B171" s="3" t="s">
        <v>473</v>
      </c>
      <c r="C171" s="3" t="s">
        <v>483</v>
      </c>
      <c r="D171" s="3" t="s">
        <v>521</v>
      </c>
      <c r="E171" s="32" t="s">
        <v>324</v>
      </c>
      <c r="F171" s="32" t="s">
        <v>301</v>
      </c>
      <c r="G171" s="44">
        <v>0</v>
      </c>
      <c r="I171" s="58"/>
      <c r="J171" s="44">
        <v>0</v>
      </c>
      <c r="K171" s="44">
        <v>0</v>
      </c>
      <c r="L171" s="44">
        <v>0</v>
      </c>
      <c r="M171" s="44">
        <v>0</v>
      </c>
      <c r="O171" s="44">
        <v>0</v>
      </c>
      <c r="P171" s="44"/>
      <c r="Q171" s="44">
        <v>0</v>
      </c>
      <c r="R171" s="44">
        <v>0</v>
      </c>
      <c r="S171" s="44">
        <v>0</v>
      </c>
      <c r="V171" s="44">
        <v>0</v>
      </c>
      <c r="W171" s="44">
        <v>0</v>
      </c>
      <c r="X171" s="44">
        <v>0</v>
      </c>
      <c r="Y171" s="44">
        <v>0</v>
      </c>
      <c r="Z171" s="44">
        <v>0</v>
      </c>
      <c r="AA171" s="44">
        <v>0</v>
      </c>
      <c r="AB171" s="44">
        <v>0</v>
      </c>
      <c r="AC171" s="44">
        <v>0</v>
      </c>
      <c r="AD171" s="44">
        <v>0</v>
      </c>
      <c r="AE171" s="44">
        <v>0</v>
      </c>
      <c r="AF171" s="44">
        <v>0</v>
      </c>
      <c r="AG171"/>
      <c r="AH171" s="44">
        <v>0</v>
      </c>
      <c r="AI171" s="44">
        <v>0</v>
      </c>
      <c r="AJ171" s="44">
        <v>0</v>
      </c>
      <c r="AK171" s="44">
        <v>0</v>
      </c>
      <c r="AL171" s="44">
        <v>0</v>
      </c>
      <c r="AM171" s="44">
        <v>0</v>
      </c>
      <c r="AN171" s="44">
        <v>0</v>
      </c>
      <c r="AO171"/>
      <c r="AP171" s="44">
        <v>0</v>
      </c>
      <c r="AQ171" s="44">
        <v>0</v>
      </c>
      <c r="AR171" s="44">
        <v>0</v>
      </c>
      <c r="AS171" s="44">
        <v>0</v>
      </c>
      <c r="AT171"/>
      <c r="AU171" s="44">
        <v>0</v>
      </c>
      <c r="AV171"/>
      <c r="AW171"/>
      <c r="AX171" s="44">
        <v>0</v>
      </c>
    </row>
    <row r="172" spans="1:50" x14ac:dyDescent="0.25">
      <c r="A172" s="31" t="s">
        <v>251</v>
      </c>
      <c r="B172" s="3" t="s">
        <v>473</v>
      </c>
      <c r="C172" s="3" t="s">
        <v>483</v>
      </c>
      <c r="D172" s="3" t="s">
        <v>521</v>
      </c>
      <c r="E172" s="32" t="s">
        <v>325</v>
      </c>
      <c r="F172" s="32" t="s">
        <v>100</v>
      </c>
      <c r="G172" s="44">
        <v>3.98</v>
      </c>
      <c r="I172" s="58"/>
      <c r="J172" s="44">
        <v>3.98</v>
      </c>
      <c r="K172" s="44">
        <v>3.98</v>
      </c>
      <c r="L172" s="44">
        <v>3.98</v>
      </c>
      <c r="M172" s="44">
        <v>3.98</v>
      </c>
      <c r="O172" s="44">
        <v>3.98</v>
      </c>
      <c r="P172" s="44"/>
      <c r="Q172" s="44">
        <v>3.98</v>
      </c>
      <c r="R172" s="44">
        <v>3.98</v>
      </c>
      <c r="S172" s="44">
        <v>3.98</v>
      </c>
      <c r="V172" s="44">
        <v>3.98</v>
      </c>
      <c r="W172" s="44">
        <v>3.98</v>
      </c>
      <c r="X172" s="44">
        <v>3.98</v>
      </c>
      <c r="Y172" s="44">
        <v>3.98</v>
      </c>
      <c r="Z172" s="44">
        <v>3.98</v>
      </c>
      <c r="AA172" s="44">
        <v>3.98</v>
      </c>
      <c r="AB172" s="44">
        <v>3.98</v>
      </c>
      <c r="AC172" s="44">
        <v>3.98</v>
      </c>
      <c r="AD172" s="44">
        <v>3.98</v>
      </c>
      <c r="AE172" s="44">
        <v>3.98</v>
      </c>
      <c r="AF172" s="44">
        <v>3.98</v>
      </c>
      <c r="AG172"/>
      <c r="AH172" s="44">
        <v>3.98</v>
      </c>
      <c r="AI172" s="44">
        <v>3.98</v>
      </c>
      <c r="AJ172" s="44">
        <v>3.98</v>
      </c>
      <c r="AK172" s="44">
        <v>3.98</v>
      </c>
      <c r="AL172" s="44">
        <v>3.98</v>
      </c>
      <c r="AM172" s="44">
        <v>3.98</v>
      </c>
      <c r="AN172" s="44">
        <v>3.98</v>
      </c>
      <c r="AO172"/>
      <c r="AP172" s="44">
        <v>3.98</v>
      </c>
      <c r="AQ172" s="44">
        <v>3.98</v>
      </c>
      <c r="AR172" s="44">
        <v>3.98</v>
      </c>
      <c r="AS172" s="44">
        <v>3.98</v>
      </c>
      <c r="AT172"/>
      <c r="AU172" s="44">
        <v>3.98</v>
      </c>
      <c r="AV172"/>
      <c r="AW172"/>
      <c r="AX172" s="44">
        <v>3.98</v>
      </c>
    </row>
    <row r="173" spans="1:50" x14ac:dyDescent="0.25">
      <c r="A173" s="31" t="s">
        <v>252</v>
      </c>
      <c r="B173" s="3" t="s">
        <v>473</v>
      </c>
      <c r="C173" s="3" t="s">
        <v>483</v>
      </c>
      <c r="D173" s="3" t="s">
        <v>521</v>
      </c>
      <c r="E173" s="32" t="s">
        <v>326</v>
      </c>
      <c r="F173" s="32" t="s">
        <v>95</v>
      </c>
      <c r="G173" s="44">
        <v>1</v>
      </c>
      <c r="I173" s="58"/>
      <c r="J173" s="44">
        <v>1</v>
      </c>
      <c r="K173" s="44">
        <v>1</v>
      </c>
      <c r="L173" s="44">
        <v>1</v>
      </c>
      <c r="M173" s="44">
        <v>1</v>
      </c>
      <c r="O173" s="44">
        <v>1</v>
      </c>
      <c r="P173" s="44"/>
      <c r="Q173" s="44">
        <v>1</v>
      </c>
      <c r="R173" s="44">
        <v>1</v>
      </c>
      <c r="S173" s="44">
        <v>1</v>
      </c>
      <c r="V173" s="44">
        <v>1</v>
      </c>
      <c r="W173" s="44">
        <v>1</v>
      </c>
      <c r="X173" s="44">
        <v>1</v>
      </c>
      <c r="Y173" s="44">
        <v>1</v>
      </c>
      <c r="Z173" s="44">
        <v>1</v>
      </c>
      <c r="AA173" s="44">
        <v>1</v>
      </c>
      <c r="AB173" s="44">
        <v>1</v>
      </c>
      <c r="AC173" s="44">
        <v>1</v>
      </c>
      <c r="AD173" s="44">
        <v>1</v>
      </c>
      <c r="AE173" s="44">
        <v>1</v>
      </c>
      <c r="AF173" s="44">
        <v>1</v>
      </c>
      <c r="AG173"/>
      <c r="AH173" s="44">
        <v>1</v>
      </c>
      <c r="AI173" s="44">
        <v>1</v>
      </c>
      <c r="AJ173" s="44">
        <v>1</v>
      </c>
      <c r="AK173" s="44">
        <v>1</v>
      </c>
      <c r="AL173" s="44">
        <v>1</v>
      </c>
      <c r="AM173" s="44">
        <v>1</v>
      </c>
      <c r="AN173" s="44">
        <v>1</v>
      </c>
      <c r="AO173"/>
      <c r="AP173" s="44">
        <v>1</v>
      </c>
      <c r="AQ173" s="44">
        <v>1</v>
      </c>
      <c r="AR173" s="44">
        <v>1</v>
      </c>
      <c r="AS173" s="44">
        <v>1</v>
      </c>
      <c r="AT173"/>
      <c r="AU173" s="44">
        <v>1</v>
      </c>
      <c r="AV173"/>
      <c r="AW173"/>
      <c r="AX173" s="44">
        <v>1</v>
      </c>
    </row>
    <row r="174" spans="1:50" x14ac:dyDescent="0.25">
      <c r="A174" s="31" t="s">
        <v>81</v>
      </c>
      <c r="B174" s="3" t="s">
        <v>473</v>
      </c>
      <c r="C174" s="3" t="s">
        <v>483</v>
      </c>
      <c r="D174" s="3" t="s">
        <v>521</v>
      </c>
      <c r="E174" s="32" t="s">
        <v>192</v>
      </c>
      <c r="F174" s="32" t="s">
        <v>198</v>
      </c>
      <c r="G174" s="44">
        <v>1.6666666666666666E-4</v>
      </c>
      <c r="I174" s="58"/>
      <c r="J174" s="44">
        <v>1.6666666666666666E-4</v>
      </c>
      <c r="K174" s="44">
        <v>1.6666666666666666E-4</v>
      </c>
      <c r="L174" s="44">
        <v>1.6666666666666666E-4</v>
      </c>
      <c r="M174" s="44">
        <v>1.6666666666666666E-4</v>
      </c>
      <c r="O174" s="44">
        <v>1.6666666666666666E-4</v>
      </c>
      <c r="P174" s="44"/>
      <c r="Q174" s="44">
        <v>1.6666666666666666E-4</v>
      </c>
      <c r="R174" s="44">
        <v>1.6666666666666666E-4</v>
      </c>
      <c r="S174" s="44">
        <v>1.6666666666666666E-4</v>
      </c>
      <c r="V174" s="44">
        <v>1.6666666666666666E-4</v>
      </c>
      <c r="W174" s="44">
        <v>1.6666666666666666E-4</v>
      </c>
      <c r="X174" s="44">
        <v>1.6666666666666666E-4</v>
      </c>
      <c r="Y174" s="44">
        <v>1.6666666666666666E-4</v>
      </c>
      <c r="Z174" s="44">
        <v>1.6666666666666666E-4</v>
      </c>
      <c r="AA174" s="44">
        <v>1.6666666666666666E-4</v>
      </c>
      <c r="AB174" s="44">
        <v>1.6666666666666666E-4</v>
      </c>
      <c r="AC174" s="44">
        <v>1.6666666666666666E-4</v>
      </c>
      <c r="AD174" s="44">
        <v>1.6666666666666666E-4</v>
      </c>
      <c r="AE174" s="44">
        <v>1.6666666666666666E-4</v>
      </c>
      <c r="AF174" s="44">
        <v>1.6666666666666666E-4</v>
      </c>
      <c r="AG174"/>
      <c r="AH174" s="44">
        <v>1.6666666666666666E-4</v>
      </c>
      <c r="AI174" s="44">
        <v>1.6666666666666666E-4</v>
      </c>
      <c r="AJ174" s="44">
        <v>1.6666666666666666E-4</v>
      </c>
      <c r="AK174" s="44">
        <v>1.6666666666666666E-4</v>
      </c>
      <c r="AL174" s="44">
        <v>1.6666666666666666E-4</v>
      </c>
      <c r="AM174" s="44">
        <v>1.6666666666666666E-4</v>
      </c>
      <c r="AN174" s="44">
        <v>1.6666666666666666E-4</v>
      </c>
      <c r="AO174"/>
      <c r="AP174" s="44">
        <v>1.6666666666666666E-4</v>
      </c>
      <c r="AQ174" s="44">
        <v>1.6666666666666666E-4</v>
      </c>
      <c r="AR174" s="44">
        <v>1.6666666666666666E-4</v>
      </c>
      <c r="AS174" s="44">
        <v>1.6666666666666666E-4</v>
      </c>
      <c r="AT174"/>
      <c r="AU174" s="44">
        <v>1.6666666666666666E-4</v>
      </c>
      <c r="AV174"/>
      <c r="AW174"/>
      <c r="AX174" s="44">
        <v>1.6666666666666666E-4</v>
      </c>
    </row>
    <row r="175" spans="1:50" x14ac:dyDescent="0.25">
      <c r="A175" s="11" t="s">
        <v>253</v>
      </c>
      <c r="B175" s="3" t="s">
        <v>473</v>
      </c>
      <c r="C175" s="3" t="s">
        <v>483</v>
      </c>
      <c r="D175" s="3" t="s">
        <v>521</v>
      </c>
      <c r="E175" s="12" t="s">
        <v>327</v>
      </c>
      <c r="F175" s="12" t="s">
        <v>328</v>
      </c>
      <c r="G175" s="44">
        <v>1E-8</v>
      </c>
      <c r="I175" s="58"/>
      <c r="J175" s="44">
        <v>1E-8</v>
      </c>
      <c r="K175" s="44">
        <v>1E-8</v>
      </c>
      <c r="L175" s="44">
        <v>1E-8</v>
      </c>
      <c r="M175" s="44">
        <v>1E-8</v>
      </c>
      <c r="O175" s="44">
        <v>1E-8</v>
      </c>
      <c r="P175" s="44"/>
      <c r="Q175" s="44">
        <v>1E-8</v>
      </c>
      <c r="R175" s="44">
        <v>1E-8</v>
      </c>
      <c r="S175" s="44">
        <v>1E-8</v>
      </c>
      <c r="V175" s="44">
        <v>1E-8</v>
      </c>
      <c r="W175" s="44">
        <v>1E-8</v>
      </c>
      <c r="X175" s="44">
        <v>1E-8</v>
      </c>
      <c r="Y175" s="44">
        <v>1E-8</v>
      </c>
      <c r="Z175" s="44">
        <v>1E-8</v>
      </c>
      <c r="AA175" s="44">
        <v>1E-8</v>
      </c>
      <c r="AB175" s="44">
        <v>1E-8</v>
      </c>
      <c r="AC175" s="44">
        <v>1E-8</v>
      </c>
      <c r="AD175" s="44">
        <v>1E-8</v>
      </c>
      <c r="AE175" s="44">
        <v>1E-8</v>
      </c>
      <c r="AF175" s="44">
        <v>1E-8</v>
      </c>
      <c r="AG175"/>
      <c r="AH175" s="44">
        <v>1E-8</v>
      </c>
      <c r="AI175" s="44">
        <v>1E-8</v>
      </c>
      <c r="AJ175" s="44">
        <v>1E-8</v>
      </c>
      <c r="AK175" s="44">
        <v>1E-8</v>
      </c>
      <c r="AL175" s="44">
        <v>1E-8</v>
      </c>
      <c r="AM175" s="44">
        <v>1E-8</v>
      </c>
      <c r="AN175" s="44">
        <v>1E-8</v>
      </c>
      <c r="AO175"/>
      <c r="AP175" s="44">
        <v>1E-8</v>
      </c>
      <c r="AQ175" s="44">
        <v>1E-8</v>
      </c>
      <c r="AR175" s="44">
        <v>1E-8</v>
      </c>
      <c r="AS175" s="44">
        <v>1E-8</v>
      </c>
      <c r="AT175"/>
      <c r="AU175" s="44">
        <v>1E-8</v>
      </c>
      <c r="AV175"/>
      <c r="AW175"/>
      <c r="AX175" s="44">
        <v>1E-8</v>
      </c>
    </row>
    <row r="176" spans="1:50" x14ac:dyDescent="0.25">
      <c r="A176" s="11" t="s">
        <v>254</v>
      </c>
      <c r="B176" s="3" t="s">
        <v>473</v>
      </c>
      <c r="C176" s="3" t="s">
        <v>483</v>
      </c>
      <c r="D176" s="3" t="s">
        <v>521</v>
      </c>
      <c r="E176" s="12" t="s">
        <v>329</v>
      </c>
      <c r="F176" s="12" t="s">
        <v>109</v>
      </c>
      <c r="G176" s="44">
        <v>20</v>
      </c>
      <c r="I176" s="58"/>
      <c r="J176" s="44">
        <v>20</v>
      </c>
      <c r="K176" s="44">
        <v>20</v>
      </c>
      <c r="L176" s="44">
        <v>20</v>
      </c>
      <c r="M176" s="44">
        <v>20</v>
      </c>
      <c r="O176" s="44">
        <v>20</v>
      </c>
      <c r="P176" s="44"/>
      <c r="Q176" s="44">
        <v>20</v>
      </c>
      <c r="R176" s="44">
        <v>20</v>
      </c>
      <c r="S176" s="44">
        <v>20</v>
      </c>
      <c r="V176" s="44">
        <v>20</v>
      </c>
      <c r="W176" s="44">
        <v>20</v>
      </c>
      <c r="X176" s="44">
        <v>20</v>
      </c>
      <c r="Y176" s="44">
        <v>20</v>
      </c>
      <c r="Z176" s="44">
        <v>20</v>
      </c>
      <c r="AA176" s="44">
        <v>20</v>
      </c>
      <c r="AB176" s="44">
        <v>20</v>
      </c>
      <c r="AC176" s="44">
        <v>20</v>
      </c>
      <c r="AD176" s="44">
        <v>20</v>
      </c>
      <c r="AE176" s="44">
        <v>20</v>
      </c>
      <c r="AF176" s="44">
        <v>20</v>
      </c>
      <c r="AG176"/>
      <c r="AH176" s="44">
        <v>20</v>
      </c>
      <c r="AI176" s="44">
        <v>20</v>
      </c>
      <c r="AJ176" s="44">
        <v>20</v>
      </c>
      <c r="AK176" s="44">
        <v>20</v>
      </c>
      <c r="AL176" s="44">
        <v>20</v>
      </c>
      <c r="AM176" s="44">
        <v>20</v>
      </c>
      <c r="AN176" s="44">
        <v>20</v>
      </c>
      <c r="AO176"/>
      <c r="AP176" s="44">
        <v>20</v>
      </c>
      <c r="AQ176" s="44">
        <v>20</v>
      </c>
      <c r="AR176" s="44">
        <v>20</v>
      </c>
      <c r="AS176" s="44">
        <v>20</v>
      </c>
      <c r="AT176"/>
      <c r="AU176" s="44">
        <v>20</v>
      </c>
      <c r="AV176"/>
      <c r="AW176"/>
      <c r="AX176" s="44">
        <v>20</v>
      </c>
    </row>
    <row r="177" spans="1:50" x14ac:dyDescent="0.25">
      <c r="A177" s="11" t="s">
        <v>255</v>
      </c>
      <c r="B177" s="3" t="s">
        <v>473</v>
      </c>
      <c r="C177" s="3" t="s">
        <v>483</v>
      </c>
      <c r="D177" s="3" t="s">
        <v>521</v>
      </c>
      <c r="E177" s="12" t="s">
        <v>330</v>
      </c>
      <c r="F177" s="12" t="s">
        <v>301</v>
      </c>
      <c r="G177" s="44">
        <v>0</v>
      </c>
      <c r="I177" s="58"/>
      <c r="J177" s="44">
        <v>0</v>
      </c>
      <c r="K177" s="44">
        <v>0</v>
      </c>
      <c r="L177" s="44">
        <v>0</v>
      </c>
      <c r="M177" s="44">
        <v>0</v>
      </c>
      <c r="O177" s="44">
        <v>0</v>
      </c>
      <c r="P177" s="44"/>
      <c r="Q177" s="44">
        <v>0</v>
      </c>
      <c r="R177" s="44">
        <v>0</v>
      </c>
      <c r="S177" s="44">
        <v>0</v>
      </c>
      <c r="V177" s="44">
        <v>0</v>
      </c>
      <c r="W177" s="44">
        <v>0</v>
      </c>
      <c r="X177" s="44">
        <v>0</v>
      </c>
      <c r="Y177" s="44">
        <v>0</v>
      </c>
      <c r="Z177" s="44">
        <v>0</v>
      </c>
      <c r="AA177" s="44">
        <v>0</v>
      </c>
      <c r="AB177" s="44">
        <v>0</v>
      </c>
      <c r="AC177" s="44">
        <v>0</v>
      </c>
      <c r="AD177" s="44">
        <v>0</v>
      </c>
      <c r="AE177" s="44">
        <v>0</v>
      </c>
      <c r="AF177" s="44">
        <v>0</v>
      </c>
      <c r="AG177"/>
      <c r="AH177" s="44">
        <v>0</v>
      </c>
      <c r="AI177" s="44">
        <v>0</v>
      </c>
      <c r="AJ177" s="44">
        <v>0</v>
      </c>
      <c r="AK177" s="44">
        <v>0</v>
      </c>
      <c r="AL177" s="44">
        <v>0</v>
      </c>
      <c r="AM177" s="44">
        <v>0</v>
      </c>
      <c r="AN177" s="44">
        <v>0</v>
      </c>
      <c r="AO177"/>
      <c r="AP177" s="44">
        <v>0</v>
      </c>
      <c r="AQ177" s="44">
        <v>0</v>
      </c>
      <c r="AR177" s="44">
        <v>0</v>
      </c>
      <c r="AS177" s="44">
        <v>0</v>
      </c>
      <c r="AT177"/>
      <c r="AU177" s="44">
        <v>0</v>
      </c>
      <c r="AV177"/>
      <c r="AW177"/>
      <c r="AX177" s="44">
        <v>0</v>
      </c>
    </row>
    <row r="178" spans="1:50" x14ac:dyDescent="0.25">
      <c r="A178" s="11" t="s">
        <v>256</v>
      </c>
      <c r="B178" s="3" t="s">
        <v>473</v>
      </c>
      <c r="C178" s="3" t="s">
        <v>483</v>
      </c>
      <c r="D178" s="3" t="s">
        <v>521</v>
      </c>
      <c r="E178" s="12" t="s">
        <v>331</v>
      </c>
      <c r="F178" s="12" t="s">
        <v>100</v>
      </c>
      <c r="G178" s="44">
        <v>2</v>
      </c>
      <c r="I178" s="58"/>
      <c r="J178" s="44">
        <v>2</v>
      </c>
      <c r="K178" s="44">
        <v>2</v>
      </c>
      <c r="L178" s="44">
        <v>2</v>
      </c>
      <c r="M178" s="44">
        <v>2</v>
      </c>
      <c r="O178" s="44">
        <v>2</v>
      </c>
      <c r="P178" s="44"/>
      <c r="Q178" s="44">
        <v>2</v>
      </c>
      <c r="R178" s="44">
        <v>2</v>
      </c>
      <c r="S178" s="44">
        <v>2</v>
      </c>
      <c r="V178" s="44">
        <v>2</v>
      </c>
      <c r="W178" s="44">
        <v>2</v>
      </c>
      <c r="X178" s="44">
        <v>2</v>
      </c>
      <c r="Y178" s="44">
        <v>2</v>
      </c>
      <c r="Z178" s="44">
        <v>2</v>
      </c>
      <c r="AA178" s="44">
        <v>2</v>
      </c>
      <c r="AB178" s="44">
        <v>2</v>
      </c>
      <c r="AC178" s="44">
        <v>2</v>
      </c>
      <c r="AD178" s="44">
        <v>2</v>
      </c>
      <c r="AE178" s="44">
        <v>2</v>
      </c>
      <c r="AF178" s="44">
        <v>2</v>
      </c>
      <c r="AG178"/>
      <c r="AH178" s="44">
        <v>2</v>
      </c>
      <c r="AI178" s="44">
        <v>2</v>
      </c>
      <c r="AJ178" s="44">
        <v>2</v>
      </c>
      <c r="AK178" s="44">
        <v>2</v>
      </c>
      <c r="AL178" s="44">
        <v>2</v>
      </c>
      <c r="AM178" s="44">
        <v>2</v>
      </c>
      <c r="AN178" s="44">
        <v>2</v>
      </c>
      <c r="AO178"/>
      <c r="AP178" s="44">
        <v>2</v>
      </c>
      <c r="AQ178" s="44">
        <v>2</v>
      </c>
      <c r="AR178" s="44">
        <v>2</v>
      </c>
      <c r="AS178" s="44">
        <v>2</v>
      </c>
      <c r="AT178"/>
      <c r="AU178" s="44">
        <v>2</v>
      </c>
      <c r="AV178"/>
      <c r="AW178"/>
      <c r="AX178" s="44">
        <v>2</v>
      </c>
    </row>
    <row r="179" spans="1:50" x14ac:dyDescent="0.25">
      <c r="A179" s="11" t="s">
        <v>257</v>
      </c>
      <c r="B179" s="3" t="s">
        <v>473</v>
      </c>
      <c r="C179" s="3" t="s">
        <v>483</v>
      </c>
      <c r="D179" s="3" t="s">
        <v>521</v>
      </c>
      <c r="E179" s="12" t="s">
        <v>332</v>
      </c>
      <c r="F179" s="12" t="s">
        <v>95</v>
      </c>
      <c r="G179" s="44">
        <v>1</v>
      </c>
      <c r="I179" s="58"/>
      <c r="J179" s="44">
        <v>1</v>
      </c>
      <c r="K179" s="44">
        <v>1</v>
      </c>
      <c r="L179" s="44">
        <v>1</v>
      </c>
      <c r="M179" s="44">
        <v>1</v>
      </c>
      <c r="O179" s="44">
        <v>1</v>
      </c>
      <c r="P179" s="44"/>
      <c r="Q179" s="44">
        <v>1</v>
      </c>
      <c r="R179" s="44">
        <v>1</v>
      </c>
      <c r="S179" s="44">
        <v>1</v>
      </c>
      <c r="V179" s="44">
        <v>1</v>
      </c>
      <c r="W179" s="44">
        <v>1</v>
      </c>
      <c r="X179" s="44">
        <v>1</v>
      </c>
      <c r="Y179" s="44">
        <v>1</v>
      </c>
      <c r="Z179" s="44">
        <v>1</v>
      </c>
      <c r="AA179" s="44">
        <v>1</v>
      </c>
      <c r="AB179" s="44">
        <v>1</v>
      </c>
      <c r="AC179" s="44">
        <v>1</v>
      </c>
      <c r="AD179" s="44">
        <v>1</v>
      </c>
      <c r="AE179" s="44">
        <v>1</v>
      </c>
      <c r="AF179" s="44">
        <v>1</v>
      </c>
      <c r="AG179"/>
      <c r="AH179" s="44">
        <v>1</v>
      </c>
      <c r="AI179" s="44">
        <v>1</v>
      </c>
      <c r="AJ179" s="44">
        <v>1</v>
      </c>
      <c r="AK179" s="44">
        <v>1</v>
      </c>
      <c r="AL179" s="44">
        <v>1</v>
      </c>
      <c r="AM179" s="44">
        <v>1</v>
      </c>
      <c r="AN179" s="44">
        <v>1</v>
      </c>
      <c r="AO179"/>
      <c r="AP179" s="44">
        <v>1</v>
      </c>
      <c r="AQ179" s="44">
        <v>1</v>
      </c>
      <c r="AR179" s="44">
        <v>1</v>
      </c>
      <c r="AS179" s="44">
        <v>1</v>
      </c>
      <c r="AT179"/>
      <c r="AU179" s="44">
        <v>1</v>
      </c>
      <c r="AV179"/>
      <c r="AW179"/>
      <c r="AX179" s="44">
        <v>1</v>
      </c>
    </row>
    <row r="180" spans="1:50" x14ac:dyDescent="0.25">
      <c r="A180" s="11" t="s">
        <v>258</v>
      </c>
      <c r="B180" s="3" t="s">
        <v>473</v>
      </c>
      <c r="C180" s="3" t="s">
        <v>483</v>
      </c>
      <c r="D180" s="3" t="s">
        <v>521</v>
      </c>
      <c r="E180" s="12" t="s">
        <v>349</v>
      </c>
      <c r="F180" s="12" t="s">
        <v>198</v>
      </c>
      <c r="G180" s="44">
        <v>8.3333333333333331E-5</v>
      </c>
      <c r="I180" s="58"/>
      <c r="J180" s="44">
        <v>8.3333333333333331E-5</v>
      </c>
      <c r="K180" s="44">
        <v>8.3333333333333331E-5</v>
      </c>
      <c r="L180" s="44">
        <v>8.3333333333333331E-5</v>
      </c>
      <c r="M180" s="44">
        <v>8.3333333333333331E-5</v>
      </c>
      <c r="O180" s="44">
        <v>8.3333333333333331E-5</v>
      </c>
      <c r="P180" s="44"/>
      <c r="Q180" s="44">
        <v>8.3333333333333331E-5</v>
      </c>
      <c r="R180" s="44">
        <v>8.3333333333333331E-5</v>
      </c>
      <c r="S180" s="44">
        <v>8.3333333333333331E-5</v>
      </c>
      <c r="V180" s="44">
        <v>8.3333333333333331E-5</v>
      </c>
      <c r="W180" s="44">
        <v>8.3333333333333331E-5</v>
      </c>
      <c r="X180" s="44">
        <v>8.3333333333333331E-5</v>
      </c>
      <c r="Y180" s="44">
        <v>8.3333333333333331E-5</v>
      </c>
      <c r="Z180" s="44">
        <v>8.3333333333333331E-5</v>
      </c>
      <c r="AA180" s="44">
        <v>8.3333333333333331E-5</v>
      </c>
      <c r="AB180" s="44">
        <v>8.3333333333333331E-5</v>
      </c>
      <c r="AC180" s="44">
        <v>8.3333333333333331E-5</v>
      </c>
      <c r="AD180" s="44">
        <v>8.3333333333333331E-5</v>
      </c>
      <c r="AE180" s="44">
        <v>8.3333333333333331E-5</v>
      </c>
      <c r="AF180" s="44">
        <v>8.3333333333333331E-5</v>
      </c>
      <c r="AG180"/>
      <c r="AH180" s="44">
        <v>8.3333333333333331E-5</v>
      </c>
      <c r="AI180" s="44">
        <v>8.3333333333333331E-5</v>
      </c>
      <c r="AJ180" s="44">
        <v>8.3333333333333331E-5</v>
      </c>
      <c r="AK180" s="44">
        <v>8.3333333333333331E-5</v>
      </c>
      <c r="AL180" s="44">
        <v>8.3333333333333331E-5</v>
      </c>
      <c r="AM180" s="44">
        <v>8.3333333333333331E-5</v>
      </c>
      <c r="AN180" s="44">
        <v>8.3333333333333331E-5</v>
      </c>
      <c r="AO180"/>
      <c r="AP180" s="44">
        <v>8.3333333333333331E-5</v>
      </c>
      <c r="AQ180" s="44">
        <v>8.3333333333333331E-5</v>
      </c>
      <c r="AR180" s="44">
        <v>8.3333333333333331E-5</v>
      </c>
      <c r="AS180" s="44">
        <v>8.3333333333333331E-5</v>
      </c>
      <c r="AT180"/>
      <c r="AU180" s="44">
        <v>8.3333333333333331E-5</v>
      </c>
      <c r="AV180"/>
      <c r="AW180"/>
      <c r="AX180" s="44">
        <v>8.3333333333333331E-5</v>
      </c>
    </row>
    <row r="181" spans="1:50" x14ac:dyDescent="0.25">
      <c r="A181" s="11" t="s">
        <v>259</v>
      </c>
      <c r="B181" s="3" t="s">
        <v>473</v>
      </c>
      <c r="C181" s="3" t="s">
        <v>483</v>
      </c>
      <c r="D181" s="3" t="s">
        <v>521</v>
      </c>
      <c r="E181" s="12" t="s">
        <v>350</v>
      </c>
      <c r="F181" s="12" t="s">
        <v>100</v>
      </c>
      <c r="G181" s="44">
        <v>1</v>
      </c>
      <c r="I181" s="58"/>
      <c r="J181" s="44">
        <v>1</v>
      </c>
      <c r="K181" s="44">
        <v>1</v>
      </c>
      <c r="L181" s="44">
        <v>1</v>
      </c>
      <c r="M181" s="44">
        <v>1</v>
      </c>
      <c r="O181" s="44">
        <v>1</v>
      </c>
      <c r="P181" s="44"/>
      <c r="Q181" s="44">
        <v>1</v>
      </c>
      <c r="R181" s="44">
        <v>1</v>
      </c>
      <c r="S181" s="44">
        <v>1</v>
      </c>
      <c r="V181" s="44">
        <v>1</v>
      </c>
      <c r="W181" s="44">
        <v>1</v>
      </c>
      <c r="X181" s="44">
        <v>1</v>
      </c>
      <c r="Y181" s="44">
        <v>1</v>
      </c>
      <c r="Z181" s="44">
        <v>1</v>
      </c>
      <c r="AA181" s="44">
        <v>1</v>
      </c>
      <c r="AB181" s="44">
        <v>1</v>
      </c>
      <c r="AC181" s="44">
        <v>1</v>
      </c>
      <c r="AD181" s="44">
        <v>1</v>
      </c>
      <c r="AE181" s="44">
        <v>1</v>
      </c>
      <c r="AF181" s="44">
        <v>1</v>
      </c>
      <c r="AG181"/>
      <c r="AH181" s="44">
        <v>1</v>
      </c>
      <c r="AI181" s="44">
        <v>1</v>
      </c>
      <c r="AJ181" s="44">
        <v>1</v>
      </c>
      <c r="AK181" s="44">
        <v>1</v>
      </c>
      <c r="AL181" s="44">
        <v>1</v>
      </c>
      <c r="AM181" s="44">
        <v>1</v>
      </c>
      <c r="AN181" s="44">
        <v>1</v>
      </c>
      <c r="AO181"/>
      <c r="AP181" s="44">
        <v>1</v>
      </c>
      <c r="AQ181" s="44">
        <v>1</v>
      </c>
      <c r="AR181" s="44">
        <v>1</v>
      </c>
      <c r="AS181" s="44">
        <v>1</v>
      </c>
      <c r="AT181"/>
      <c r="AU181" s="44">
        <v>1</v>
      </c>
      <c r="AV181"/>
      <c r="AW181"/>
      <c r="AX181" s="44">
        <v>1</v>
      </c>
    </row>
    <row r="182" spans="1:50" x14ac:dyDescent="0.25">
      <c r="A182" s="27" t="s">
        <v>260</v>
      </c>
      <c r="B182" s="3" t="s">
        <v>473</v>
      </c>
      <c r="C182" s="3" t="s">
        <v>483</v>
      </c>
      <c r="D182" s="3" t="s">
        <v>521</v>
      </c>
      <c r="E182" s="28" t="s">
        <v>351</v>
      </c>
      <c r="F182" s="28" t="s">
        <v>352</v>
      </c>
      <c r="G182" s="44">
        <v>2.3533050791148895E-8</v>
      </c>
      <c r="I182" s="58"/>
      <c r="J182" s="44">
        <v>2.3533050791148899E-8</v>
      </c>
      <c r="K182" s="44">
        <v>2.3533050791148899E-8</v>
      </c>
      <c r="L182" s="44">
        <v>2.3533050791148899E-8</v>
      </c>
      <c r="M182" s="44">
        <v>2.3533050791148899E-8</v>
      </c>
      <c r="O182" s="44">
        <v>2.3533050791148899E-8</v>
      </c>
      <c r="P182" s="44"/>
      <c r="Q182" s="44">
        <v>2.3533050791148899E-8</v>
      </c>
      <c r="R182" s="44">
        <v>2.3533050791148899E-8</v>
      </c>
      <c r="S182" s="44">
        <v>2.3533050791148899E-8</v>
      </c>
      <c r="V182" s="44">
        <v>2.3533050791148899E-8</v>
      </c>
      <c r="W182" s="44">
        <v>2.3533050791148899E-8</v>
      </c>
      <c r="X182" s="44">
        <v>2.3533050791148899E-8</v>
      </c>
      <c r="Y182" s="44">
        <v>2.3533050791148899E-8</v>
      </c>
      <c r="Z182" s="44">
        <v>2.3533050791148899E-8</v>
      </c>
      <c r="AA182" s="44">
        <v>2.3533050791148899E-8</v>
      </c>
      <c r="AB182" s="44">
        <v>2.3533050791148899E-8</v>
      </c>
      <c r="AC182" s="44">
        <v>2.3533050791148899E-8</v>
      </c>
      <c r="AD182" s="44">
        <v>2.3533050791148899E-8</v>
      </c>
      <c r="AE182" s="44">
        <v>2.3533050791148899E-8</v>
      </c>
      <c r="AF182" s="44">
        <v>2.3533050791148899E-8</v>
      </c>
      <c r="AG182"/>
      <c r="AH182" s="44">
        <v>2.3533050791148899E-8</v>
      </c>
      <c r="AI182" s="44">
        <v>2.3533050791148899E-8</v>
      </c>
      <c r="AJ182" s="44">
        <v>2.3533050791148899E-8</v>
      </c>
      <c r="AK182" s="44">
        <v>2.3533050791148899E-8</v>
      </c>
      <c r="AL182" s="44">
        <v>2.3533050791148899E-8</v>
      </c>
      <c r="AM182" s="44">
        <v>2.3533050791148899E-8</v>
      </c>
      <c r="AN182" s="44">
        <v>2.3533050791148899E-8</v>
      </c>
      <c r="AO182"/>
      <c r="AP182" s="44">
        <v>2.3533050791148899E-8</v>
      </c>
      <c r="AQ182" s="44">
        <v>2.3533050791148899E-8</v>
      </c>
      <c r="AR182" s="44">
        <v>2.3533050791148899E-8</v>
      </c>
      <c r="AS182" s="44">
        <v>2.3533050791148899E-8</v>
      </c>
      <c r="AT182"/>
      <c r="AU182" s="44">
        <v>2.3533050791148899E-8</v>
      </c>
      <c r="AV182"/>
      <c r="AW182"/>
      <c r="AX182" s="44">
        <v>2.3533050791148899E-8</v>
      </c>
    </row>
    <row r="183" spans="1:50" x14ac:dyDescent="0.25">
      <c r="A183" s="27" t="s">
        <v>261</v>
      </c>
      <c r="B183" s="3" t="s">
        <v>473</v>
      </c>
      <c r="C183" s="3" t="s">
        <v>483</v>
      </c>
      <c r="D183" s="3" t="s">
        <v>521</v>
      </c>
      <c r="E183" s="28" t="s">
        <v>333</v>
      </c>
      <c r="F183" s="28" t="s">
        <v>109</v>
      </c>
      <c r="G183" s="44">
        <v>20</v>
      </c>
      <c r="I183" s="58"/>
      <c r="J183" s="44">
        <v>20</v>
      </c>
      <c r="K183" s="44">
        <v>20</v>
      </c>
      <c r="L183" s="44">
        <v>20</v>
      </c>
      <c r="M183" s="44">
        <v>20</v>
      </c>
      <c r="O183" s="44">
        <v>20</v>
      </c>
      <c r="P183" s="44"/>
      <c r="Q183" s="44">
        <v>20</v>
      </c>
      <c r="R183" s="44">
        <v>20</v>
      </c>
      <c r="S183" s="44">
        <v>20</v>
      </c>
      <c r="V183" s="44">
        <v>20</v>
      </c>
      <c r="W183" s="44">
        <v>20</v>
      </c>
      <c r="X183" s="44">
        <v>20</v>
      </c>
      <c r="Y183" s="44">
        <v>20</v>
      </c>
      <c r="Z183" s="44">
        <v>20</v>
      </c>
      <c r="AA183" s="44">
        <v>20</v>
      </c>
      <c r="AB183" s="44">
        <v>20</v>
      </c>
      <c r="AC183" s="44">
        <v>20</v>
      </c>
      <c r="AD183" s="44">
        <v>20</v>
      </c>
      <c r="AE183" s="44">
        <v>20</v>
      </c>
      <c r="AF183" s="44">
        <v>20</v>
      </c>
      <c r="AG183"/>
      <c r="AH183" s="44">
        <v>20</v>
      </c>
      <c r="AI183" s="44">
        <v>20</v>
      </c>
      <c r="AJ183" s="44">
        <v>20</v>
      </c>
      <c r="AK183" s="44">
        <v>20</v>
      </c>
      <c r="AL183" s="44">
        <v>20</v>
      </c>
      <c r="AM183" s="44">
        <v>20</v>
      </c>
      <c r="AN183" s="44">
        <v>20</v>
      </c>
      <c r="AO183"/>
      <c r="AP183" s="44">
        <v>20</v>
      </c>
      <c r="AQ183" s="44">
        <v>20</v>
      </c>
      <c r="AR183" s="44">
        <v>20</v>
      </c>
      <c r="AS183" s="44">
        <v>20</v>
      </c>
      <c r="AT183"/>
      <c r="AU183" s="44">
        <v>20</v>
      </c>
      <c r="AV183"/>
      <c r="AW183"/>
      <c r="AX183" s="44">
        <v>20</v>
      </c>
    </row>
    <row r="184" spans="1:50" x14ac:dyDescent="0.25">
      <c r="A184" s="27" t="s">
        <v>262</v>
      </c>
      <c r="B184" s="3" t="s">
        <v>473</v>
      </c>
      <c r="C184" s="3" t="s">
        <v>483</v>
      </c>
      <c r="D184" s="3" t="s">
        <v>521</v>
      </c>
      <c r="E184" s="28" t="s">
        <v>334</v>
      </c>
      <c r="F184" s="28" t="s">
        <v>301</v>
      </c>
      <c r="G184" s="44">
        <v>-0.187</v>
      </c>
      <c r="I184" s="58"/>
      <c r="J184" s="44">
        <v>-0.187</v>
      </c>
      <c r="K184" s="44">
        <v>-0.187</v>
      </c>
      <c r="L184" s="44">
        <v>-0.187</v>
      </c>
      <c r="M184" s="44">
        <v>-0.187</v>
      </c>
      <c r="O184" s="44">
        <v>-0.187</v>
      </c>
      <c r="P184" s="44"/>
      <c r="Q184" s="44">
        <v>-0.187</v>
      </c>
      <c r="R184" s="44">
        <v>-0.187</v>
      </c>
      <c r="S184" s="44">
        <v>-0.187</v>
      </c>
      <c r="V184" s="44">
        <v>-0.187</v>
      </c>
      <c r="W184" s="44">
        <v>-0.187</v>
      </c>
      <c r="X184" s="44">
        <v>-0.187</v>
      </c>
      <c r="Y184" s="44">
        <v>-0.187</v>
      </c>
      <c r="Z184" s="44">
        <v>-0.187</v>
      </c>
      <c r="AA184" s="44">
        <v>-0.187</v>
      </c>
      <c r="AB184" s="44">
        <v>-0.187</v>
      </c>
      <c r="AC184" s="44">
        <v>-0.187</v>
      </c>
      <c r="AD184" s="44">
        <v>-0.187</v>
      </c>
      <c r="AE184" s="44">
        <v>-0.187</v>
      </c>
      <c r="AF184" s="44">
        <v>-0.187</v>
      </c>
      <c r="AG184"/>
      <c r="AH184" s="44">
        <v>-0.187</v>
      </c>
      <c r="AI184" s="44">
        <v>-0.187</v>
      </c>
      <c r="AJ184" s="44">
        <v>-0.187</v>
      </c>
      <c r="AK184" s="44">
        <v>-0.187</v>
      </c>
      <c r="AL184" s="44">
        <v>-0.187</v>
      </c>
      <c r="AM184" s="44">
        <v>-0.187</v>
      </c>
      <c r="AN184" s="44">
        <v>-0.187</v>
      </c>
      <c r="AO184"/>
      <c r="AP184" s="44">
        <v>-0.187</v>
      </c>
      <c r="AQ184" s="44">
        <v>-0.187</v>
      </c>
      <c r="AR184" s="44">
        <v>-0.187</v>
      </c>
      <c r="AS184" s="44">
        <v>-0.187</v>
      </c>
      <c r="AT184"/>
      <c r="AU184" s="44">
        <v>-0.187</v>
      </c>
      <c r="AV184"/>
      <c r="AW184"/>
      <c r="AX184" s="44">
        <v>-0.187</v>
      </c>
    </row>
    <row r="185" spans="1:50" x14ac:dyDescent="0.25">
      <c r="A185" s="27" t="s">
        <v>263</v>
      </c>
      <c r="B185" s="3" t="s">
        <v>473</v>
      </c>
      <c r="C185" s="3" t="s">
        <v>483</v>
      </c>
      <c r="D185" s="3" t="s">
        <v>521</v>
      </c>
      <c r="E185" s="28" t="s">
        <v>335</v>
      </c>
      <c r="F185" s="28" t="s">
        <v>100</v>
      </c>
      <c r="G185" s="44">
        <v>2.48</v>
      </c>
      <c r="I185" s="58"/>
      <c r="J185" s="44">
        <v>2.48</v>
      </c>
      <c r="K185" s="44">
        <v>2.48</v>
      </c>
      <c r="L185" s="44">
        <v>2.48</v>
      </c>
      <c r="M185" s="44">
        <v>2.48</v>
      </c>
      <c r="O185" s="44">
        <v>2.48</v>
      </c>
      <c r="P185" s="44"/>
      <c r="Q185" s="44">
        <v>2.48</v>
      </c>
      <c r="R185" s="44">
        <v>2.48</v>
      </c>
      <c r="S185" s="44">
        <v>2.48</v>
      </c>
      <c r="V185" s="44">
        <v>2.48</v>
      </c>
      <c r="W185" s="44">
        <v>2.48</v>
      </c>
      <c r="X185" s="44">
        <v>2.48</v>
      </c>
      <c r="Y185" s="44">
        <v>2.48</v>
      </c>
      <c r="Z185" s="44">
        <v>2.48</v>
      </c>
      <c r="AA185" s="44">
        <v>2.48</v>
      </c>
      <c r="AB185" s="44">
        <v>2.48</v>
      </c>
      <c r="AC185" s="44">
        <v>2.48</v>
      </c>
      <c r="AD185" s="44">
        <v>2.48</v>
      </c>
      <c r="AE185" s="44">
        <v>2.48</v>
      </c>
      <c r="AF185" s="44">
        <v>2.48</v>
      </c>
      <c r="AG185"/>
      <c r="AH185" s="44">
        <v>2.48</v>
      </c>
      <c r="AI185" s="44">
        <v>2.48</v>
      </c>
      <c r="AJ185" s="44">
        <v>2.48</v>
      </c>
      <c r="AK185" s="44">
        <v>2.48</v>
      </c>
      <c r="AL185" s="44">
        <v>2.48</v>
      </c>
      <c r="AM185" s="44">
        <v>2.48</v>
      </c>
      <c r="AN185" s="44">
        <v>2.48</v>
      </c>
      <c r="AO185"/>
      <c r="AP185" s="44">
        <v>2.48</v>
      </c>
      <c r="AQ185" s="44">
        <v>2.48</v>
      </c>
      <c r="AR185" s="44">
        <v>2.48</v>
      </c>
      <c r="AS185" s="44">
        <v>2.48</v>
      </c>
      <c r="AT185"/>
      <c r="AU185" s="44">
        <v>2.48</v>
      </c>
      <c r="AV185"/>
      <c r="AW185"/>
      <c r="AX185" s="44">
        <v>2.48</v>
      </c>
    </row>
    <row r="186" spans="1:50" x14ac:dyDescent="0.25">
      <c r="A186" s="27" t="s">
        <v>264</v>
      </c>
      <c r="B186" s="3" t="s">
        <v>473</v>
      </c>
      <c r="C186" s="3" t="s">
        <v>483</v>
      </c>
      <c r="D186" s="3" t="s">
        <v>521</v>
      </c>
      <c r="E186" s="28" t="s">
        <v>336</v>
      </c>
      <c r="F186" s="28" t="s">
        <v>95</v>
      </c>
      <c r="G186" s="44">
        <v>1</v>
      </c>
      <c r="I186" s="58"/>
      <c r="J186" s="44">
        <v>1</v>
      </c>
      <c r="K186" s="44">
        <v>1</v>
      </c>
      <c r="L186" s="44">
        <v>1</v>
      </c>
      <c r="M186" s="44">
        <v>1</v>
      </c>
      <c r="O186" s="44">
        <v>1</v>
      </c>
      <c r="P186" s="44"/>
      <c r="Q186" s="44">
        <v>1</v>
      </c>
      <c r="R186" s="44">
        <v>1</v>
      </c>
      <c r="S186" s="44">
        <v>1</v>
      </c>
      <c r="V186" s="44">
        <v>1</v>
      </c>
      <c r="W186" s="44">
        <v>1</v>
      </c>
      <c r="X186" s="44">
        <v>1</v>
      </c>
      <c r="Y186" s="44">
        <v>1</v>
      </c>
      <c r="Z186" s="44">
        <v>1</v>
      </c>
      <c r="AA186" s="44">
        <v>1</v>
      </c>
      <c r="AB186" s="44">
        <v>1</v>
      </c>
      <c r="AC186" s="44">
        <v>1</v>
      </c>
      <c r="AD186" s="44">
        <v>1</v>
      </c>
      <c r="AE186" s="44">
        <v>1</v>
      </c>
      <c r="AF186" s="44">
        <v>1</v>
      </c>
      <c r="AG186"/>
      <c r="AH186" s="44">
        <v>1</v>
      </c>
      <c r="AI186" s="44">
        <v>1</v>
      </c>
      <c r="AJ186" s="44">
        <v>1</v>
      </c>
      <c r="AK186" s="44">
        <v>1</v>
      </c>
      <c r="AL186" s="44">
        <v>1</v>
      </c>
      <c r="AM186" s="44">
        <v>1</v>
      </c>
      <c r="AN186" s="44">
        <v>1</v>
      </c>
      <c r="AO186"/>
      <c r="AP186" s="44">
        <v>1</v>
      </c>
      <c r="AQ186" s="44">
        <v>1</v>
      </c>
      <c r="AR186" s="44">
        <v>1</v>
      </c>
      <c r="AS186" s="44">
        <v>1</v>
      </c>
      <c r="AT186"/>
      <c r="AU186" s="44">
        <v>1</v>
      </c>
      <c r="AV186"/>
      <c r="AW186"/>
      <c r="AX186" s="44">
        <v>1</v>
      </c>
    </row>
    <row r="187" spans="1:50" x14ac:dyDescent="0.25">
      <c r="A187" s="27" t="s">
        <v>265</v>
      </c>
      <c r="B187" s="3" t="s">
        <v>473</v>
      </c>
      <c r="C187" s="3" t="s">
        <v>483</v>
      </c>
      <c r="D187" s="3" t="s">
        <v>521</v>
      </c>
      <c r="E187" s="28" t="s">
        <v>353</v>
      </c>
      <c r="F187" s="28" t="s">
        <v>354</v>
      </c>
      <c r="G187" s="44">
        <v>6.1060227588121015E-4</v>
      </c>
      <c r="I187" s="58"/>
      <c r="J187" s="44">
        <v>6.1060227588121015E-4</v>
      </c>
      <c r="K187" s="44">
        <v>6.1060227588121015E-4</v>
      </c>
      <c r="L187" s="44">
        <v>6.1060227588121015E-4</v>
      </c>
      <c r="M187" s="44">
        <v>6.1060227588121015E-4</v>
      </c>
      <c r="O187" s="44">
        <v>6.1060227588121015E-4</v>
      </c>
      <c r="P187" s="44"/>
      <c r="Q187" s="44">
        <v>6.1060227588121015E-4</v>
      </c>
      <c r="R187" s="44">
        <v>6.1060227588121015E-4</v>
      </c>
      <c r="S187" s="44">
        <v>6.1060227588121015E-4</v>
      </c>
      <c r="V187" s="44">
        <v>6.1060227588121015E-4</v>
      </c>
      <c r="W187" s="44">
        <v>6.1060227588121015E-4</v>
      </c>
      <c r="X187" s="44">
        <v>6.1060227588121015E-4</v>
      </c>
      <c r="Y187" s="44">
        <v>6.1060227588121015E-4</v>
      </c>
      <c r="Z187" s="44">
        <v>6.1060227588121015E-4</v>
      </c>
      <c r="AA187" s="44">
        <v>6.1060227588121015E-4</v>
      </c>
      <c r="AB187" s="44">
        <v>6.1060227588121015E-4</v>
      </c>
      <c r="AC187" s="44">
        <v>6.1060227588121015E-4</v>
      </c>
      <c r="AD187" s="44">
        <v>6.1060227588121015E-4</v>
      </c>
      <c r="AE187" s="44">
        <v>6.1060227588121015E-4</v>
      </c>
      <c r="AF187" s="44">
        <v>6.1060227588121015E-4</v>
      </c>
      <c r="AG187"/>
      <c r="AH187" s="44">
        <v>6.1060227588121015E-4</v>
      </c>
      <c r="AI187" s="44">
        <v>6.1060227588121015E-4</v>
      </c>
      <c r="AJ187" s="44">
        <v>6.1060227588121015E-4</v>
      </c>
      <c r="AK187" s="44">
        <v>6.1060227588121015E-4</v>
      </c>
      <c r="AL187" s="44">
        <v>6.1060227588121015E-4</v>
      </c>
      <c r="AM187" s="44">
        <v>6.1060227588121015E-4</v>
      </c>
      <c r="AN187" s="44">
        <v>6.1060227588121015E-4</v>
      </c>
      <c r="AO187"/>
      <c r="AP187" s="44">
        <v>6.1060227588121015E-4</v>
      </c>
      <c r="AQ187" s="44">
        <v>6.1060227588121015E-4</v>
      </c>
      <c r="AR187" s="44">
        <v>6.1060227588121015E-4</v>
      </c>
      <c r="AS187" s="44">
        <v>6.1060227588121015E-4</v>
      </c>
      <c r="AT187"/>
      <c r="AU187" s="44">
        <v>6.1060227588121015E-4</v>
      </c>
      <c r="AV187"/>
      <c r="AW187"/>
      <c r="AX187" s="44">
        <v>6.1060227588121015E-4</v>
      </c>
    </row>
    <row r="188" spans="1:50" x14ac:dyDescent="0.25">
      <c r="A188" s="23" t="s">
        <v>266</v>
      </c>
      <c r="B188" s="3" t="s">
        <v>473</v>
      </c>
      <c r="C188" s="3" t="s">
        <v>483</v>
      </c>
      <c r="D188" s="3" t="s">
        <v>521</v>
      </c>
      <c r="E188" s="24" t="s">
        <v>193</v>
      </c>
      <c r="F188" s="24" t="s">
        <v>200</v>
      </c>
      <c r="G188" s="44">
        <v>6.41E-9</v>
      </c>
      <c r="I188" s="58"/>
      <c r="J188" s="44">
        <v>3.9999999999999998E-7</v>
      </c>
      <c r="K188" s="44">
        <v>3.9999999999999998E-7</v>
      </c>
      <c r="L188" s="44">
        <v>3.9999999999999998E-7</v>
      </c>
      <c r="M188" s="44">
        <v>3.9999999999999998E-7</v>
      </c>
      <c r="O188" s="44">
        <v>3.9999999999999998E-7</v>
      </c>
      <c r="P188" s="44"/>
      <c r="Q188" s="44">
        <v>3.9999999999999998E-7</v>
      </c>
      <c r="R188" s="44">
        <v>3.9999999999999998E-7</v>
      </c>
      <c r="S188" s="44">
        <v>3.9999999999999998E-7</v>
      </c>
      <c r="V188" s="44">
        <v>3.9999999999999998E-7</v>
      </c>
      <c r="W188" s="44">
        <v>3.9999999999999998E-7</v>
      </c>
      <c r="X188" s="44">
        <v>3.9999999999999998E-7</v>
      </c>
      <c r="Y188" s="44">
        <v>3.9999999999999998E-7</v>
      </c>
      <c r="Z188" s="44">
        <v>3.9999999999999998E-7</v>
      </c>
      <c r="AA188" s="44">
        <v>3.9999999999999998E-7</v>
      </c>
      <c r="AB188" s="44">
        <v>3.9999999999999998E-7</v>
      </c>
      <c r="AC188" s="44">
        <v>3.9999999999999998E-7</v>
      </c>
      <c r="AD188" s="44">
        <v>3.9999999999999998E-7</v>
      </c>
      <c r="AE188" s="44">
        <v>3.9999999999999998E-7</v>
      </c>
      <c r="AF188" s="44">
        <v>3.9999999999999998E-7</v>
      </c>
      <c r="AG188"/>
      <c r="AH188" s="44">
        <v>3.9999999999999998E-7</v>
      </c>
      <c r="AI188" s="44">
        <v>3.9999999999999998E-7</v>
      </c>
      <c r="AJ188" s="44">
        <v>3.9999999999999998E-7</v>
      </c>
      <c r="AK188" s="44">
        <v>3.9999999999999998E-7</v>
      </c>
      <c r="AL188" s="44">
        <v>3.9999999999999998E-7</v>
      </c>
      <c r="AM188" s="44">
        <v>3.9999999999999998E-7</v>
      </c>
      <c r="AN188" s="44">
        <v>3.9999999999999998E-7</v>
      </c>
      <c r="AO188"/>
      <c r="AP188" s="44">
        <v>3.9999999999999998E-7</v>
      </c>
      <c r="AQ188" s="44">
        <v>3.9999999999999998E-7</v>
      </c>
      <c r="AR188" s="44">
        <v>3.9999999999999998E-7</v>
      </c>
      <c r="AS188" s="44">
        <v>3.9999999999999998E-7</v>
      </c>
      <c r="AT188"/>
      <c r="AU188" s="44">
        <v>3.9999999999999998E-7</v>
      </c>
      <c r="AV188"/>
      <c r="AW188"/>
      <c r="AX188" s="44">
        <v>3.9999999999999998E-7</v>
      </c>
    </row>
    <row r="189" spans="1:50" x14ac:dyDescent="0.25">
      <c r="A189" s="23" t="s">
        <v>267</v>
      </c>
      <c r="B189" s="3" t="s">
        <v>473</v>
      </c>
      <c r="C189" s="3" t="s">
        <v>483</v>
      </c>
      <c r="D189" s="3" t="s">
        <v>521</v>
      </c>
      <c r="E189" s="24" t="s">
        <v>337</v>
      </c>
      <c r="F189" s="24" t="s">
        <v>109</v>
      </c>
      <c r="G189" s="44">
        <v>25</v>
      </c>
      <c r="I189" s="58"/>
      <c r="J189" s="44">
        <v>25</v>
      </c>
      <c r="K189" s="44">
        <v>25</v>
      </c>
      <c r="L189" s="44">
        <v>25</v>
      </c>
      <c r="M189" s="44">
        <v>25</v>
      </c>
      <c r="O189" s="44">
        <v>25</v>
      </c>
      <c r="P189" s="44"/>
      <c r="Q189" s="44">
        <v>25</v>
      </c>
      <c r="R189" s="44">
        <v>25</v>
      </c>
      <c r="S189" s="44">
        <v>25</v>
      </c>
      <c r="V189" s="44">
        <v>25</v>
      </c>
      <c r="W189" s="44">
        <v>25</v>
      </c>
      <c r="X189" s="44">
        <v>25</v>
      </c>
      <c r="Y189" s="44">
        <v>25</v>
      </c>
      <c r="Z189" s="44">
        <v>25</v>
      </c>
      <c r="AA189" s="44">
        <v>25</v>
      </c>
      <c r="AB189" s="44">
        <v>25</v>
      </c>
      <c r="AC189" s="44">
        <v>25</v>
      </c>
      <c r="AD189" s="44">
        <v>25</v>
      </c>
      <c r="AE189" s="44">
        <v>25</v>
      </c>
      <c r="AF189" s="44">
        <v>25</v>
      </c>
      <c r="AG189"/>
      <c r="AH189" s="44">
        <v>25</v>
      </c>
      <c r="AI189" s="44">
        <v>25</v>
      </c>
      <c r="AJ189" s="44">
        <v>25</v>
      </c>
      <c r="AK189" s="44">
        <v>25</v>
      </c>
      <c r="AL189" s="44">
        <v>25</v>
      </c>
      <c r="AM189" s="44">
        <v>25</v>
      </c>
      <c r="AN189" s="44">
        <v>25</v>
      </c>
      <c r="AO189"/>
      <c r="AP189" s="44">
        <v>25</v>
      </c>
      <c r="AQ189" s="44">
        <v>25</v>
      </c>
      <c r="AR189" s="44">
        <v>25</v>
      </c>
      <c r="AS189" s="44">
        <v>25</v>
      </c>
      <c r="AT189"/>
      <c r="AU189" s="44">
        <v>25</v>
      </c>
      <c r="AV189"/>
      <c r="AW189"/>
      <c r="AX189" s="44">
        <v>25</v>
      </c>
    </row>
    <row r="190" spans="1:50" x14ac:dyDescent="0.25">
      <c r="A190" s="23" t="s">
        <v>268</v>
      </c>
      <c r="B190" s="3" t="s">
        <v>473</v>
      </c>
      <c r="C190" s="3" t="s">
        <v>483</v>
      </c>
      <c r="D190" s="3" t="s">
        <v>521</v>
      </c>
      <c r="E190" s="24" t="s">
        <v>338</v>
      </c>
      <c r="F190" s="24" t="s">
        <v>301</v>
      </c>
      <c r="G190" s="44">
        <v>0</v>
      </c>
      <c r="I190" s="58"/>
      <c r="J190" s="44">
        <v>0</v>
      </c>
      <c r="K190" s="44">
        <v>0</v>
      </c>
      <c r="L190" s="44">
        <v>0</v>
      </c>
      <c r="M190" s="44">
        <v>0</v>
      </c>
      <c r="O190" s="44">
        <v>0</v>
      </c>
      <c r="P190" s="44"/>
      <c r="Q190" s="44">
        <v>0</v>
      </c>
      <c r="R190" s="44">
        <v>0</v>
      </c>
      <c r="S190" s="44">
        <v>0</v>
      </c>
      <c r="V190" s="44">
        <v>0</v>
      </c>
      <c r="W190" s="44">
        <v>0</v>
      </c>
      <c r="X190" s="44">
        <v>0</v>
      </c>
      <c r="Y190" s="44">
        <v>0</v>
      </c>
      <c r="Z190" s="44">
        <v>0</v>
      </c>
      <c r="AA190" s="44">
        <v>0</v>
      </c>
      <c r="AB190" s="44">
        <v>0</v>
      </c>
      <c r="AC190" s="44">
        <v>0</v>
      </c>
      <c r="AD190" s="44">
        <v>0</v>
      </c>
      <c r="AE190" s="44">
        <v>0</v>
      </c>
      <c r="AF190" s="44">
        <v>0</v>
      </c>
      <c r="AG190"/>
      <c r="AH190" s="44">
        <v>0</v>
      </c>
      <c r="AI190" s="44">
        <v>0</v>
      </c>
      <c r="AJ190" s="44">
        <v>0</v>
      </c>
      <c r="AK190" s="44">
        <v>0</v>
      </c>
      <c r="AL190" s="44">
        <v>0</v>
      </c>
      <c r="AM190" s="44">
        <v>0</v>
      </c>
      <c r="AN190" s="44">
        <v>0</v>
      </c>
      <c r="AO190"/>
      <c r="AP190" s="44">
        <v>0</v>
      </c>
      <c r="AQ190" s="44">
        <v>0</v>
      </c>
      <c r="AR190" s="44">
        <v>0</v>
      </c>
      <c r="AS190" s="44">
        <v>0</v>
      </c>
      <c r="AT190"/>
      <c r="AU190" s="44">
        <v>0</v>
      </c>
      <c r="AV190"/>
      <c r="AW190"/>
      <c r="AX190" s="44">
        <v>0</v>
      </c>
    </row>
    <row r="191" spans="1:50" x14ac:dyDescent="0.25">
      <c r="A191" s="23" t="s">
        <v>269</v>
      </c>
      <c r="B191" s="3" t="s">
        <v>473</v>
      </c>
      <c r="C191" s="3" t="s">
        <v>483</v>
      </c>
      <c r="D191" s="3" t="s">
        <v>521</v>
      </c>
      <c r="E191" s="24" t="s">
        <v>339</v>
      </c>
      <c r="F191" s="24" t="s">
        <v>100</v>
      </c>
      <c r="G191" s="44">
        <v>3.98</v>
      </c>
      <c r="I191" s="58"/>
      <c r="J191" s="44">
        <v>3.98</v>
      </c>
      <c r="K191" s="44">
        <v>3.98</v>
      </c>
      <c r="L191" s="44">
        <v>3.98</v>
      </c>
      <c r="M191" s="44">
        <v>3.98</v>
      </c>
      <c r="O191" s="44">
        <v>3.98</v>
      </c>
      <c r="P191" s="44"/>
      <c r="Q191" s="44">
        <v>3.98</v>
      </c>
      <c r="R191" s="44">
        <v>3.98</v>
      </c>
      <c r="S191" s="44">
        <v>3.98</v>
      </c>
      <c r="V191" s="44">
        <v>3.98</v>
      </c>
      <c r="W191" s="44">
        <v>3.98</v>
      </c>
      <c r="X191" s="44">
        <v>3.98</v>
      </c>
      <c r="Y191" s="44">
        <v>3.98</v>
      </c>
      <c r="Z191" s="44">
        <v>3.98</v>
      </c>
      <c r="AA191" s="44">
        <v>3.98</v>
      </c>
      <c r="AB191" s="44">
        <v>3.98</v>
      </c>
      <c r="AC191" s="44">
        <v>3.98</v>
      </c>
      <c r="AD191" s="44">
        <v>3.98</v>
      </c>
      <c r="AE191" s="44">
        <v>3.98</v>
      </c>
      <c r="AF191" s="44">
        <v>3.98</v>
      </c>
      <c r="AG191"/>
      <c r="AH191" s="44">
        <v>3.98</v>
      </c>
      <c r="AI191" s="44">
        <v>3.98</v>
      </c>
      <c r="AJ191" s="44">
        <v>3.98</v>
      </c>
      <c r="AK191" s="44">
        <v>3.98</v>
      </c>
      <c r="AL191" s="44">
        <v>3.98</v>
      </c>
      <c r="AM191" s="44">
        <v>3.98</v>
      </c>
      <c r="AN191" s="44">
        <v>3.98</v>
      </c>
      <c r="AO191"/>
      <c r="AP191" s="44">
        <v>3.98</v>
      </c>
      <c r="AQ191" s="44">
        <v>3.98</v>
      </c>
      <c r="AR191" s="44">
        <v>3.98</v>
      </c>
      <c r="AS191" s="44">
        <v>3.98</v>
      </c>
      <c r="AT191"/>
      <c r="AU191" s="44">
        <v>3.98</v>
      </c>
      <c r="AV191"/>
      <c r="AW191"/>
      <c r="AX191" s="44">
        <v>3.98</v>
      </c>
    </row>
    <row r="192" spans="1:50" x14ac:dyDescent="0.25">
      <c r="A192" s="23" t="s">
        <v>270</v>
      </c>
      <c r="B192" s="3" t="s">
        <v>473</v>
      </c>
      <c r="C192" s="3" t="s">
        <v>483</v>
      </c>
      <c r="D192" s="3" t="s">
        <v>521</v>
      </c>
      <c r="E192" s="24" t="s">
        <v>340</v>
      </c>
      <c r="F192" s="24" t="s">
        <v>95</v>
      </c>
      <c r="G192" s="44">
        <v>1</v>
      </c>
      <c r="I192" s="58"/>
      <c r="J192" s="44">
        <v>1</v>
      </c>
      <c r="K192" s="44">
        <v>1</v>
      </c>
      <c r="L192" s="44">
        <v>1</v>
      </c>
      <c r="M192" s="44">
        <v>1</v>
      </c>
      <c r="O192" s="44">
        <v>1</v>
      </c>
      <c r="P192" s="44"/>
      <c r="Q192" s="44">
        <v>1</v>
      </c>
      <c r="R192" s="44">
        <v>1</v>
      </c>
      <c r="S192" s="44">
        <v>1</v>
      </c>
      <c r="V192" s="44">
        <v>1</v>
      </c>
      <c r="W192" s="44">
        <v>1</v>
      </c>
      <c r="X192" s="44">
        <v>1</v>
      </c>
      <c r="Y192" s="44">
        <v>1</v>
      </c>
      <c r="Z192" s="44">
        <v>1</v>
      </c>
      <c r="AA192" s="44">
        <v>1</v>
      </c>
      <c r="AB192" s="44">
        <v>1</v>
      </c>
      <c r="AC192" s="44">
        <v>1</v>
      </c>
      <c r="AD192" s="44">
        <v>1</v>
      </c>
      <c r="AE192" s="44">
        <v>1</v>
      </c>
      <c r="AF192" s="44">
        <v>1</v>
      </c>
      <c r="AG192"/>
      <c r="AH192" s="44">
        <v>1</v>
      </c>
      <c r="AI192" s="44">
        <v>1</v>
      </c>
      <c r="AJ192" s="44">
        <v>1</v>
      </c>
      <c r="AK192" s="44">
        <v>1</v>
      </c>
      <c r="AL192" s="44">
        <v>1</v>
      </c>
      <c r="AM192" s="44">
        <v>1</v>
      </c>
      <c r="AN192" s="44">
        <v>1</v>
      </c>
      <c r="AO192"/>
      <c r="AP192" s="44">
        <v>1</v>
      </c>
      <c r="AQ192" s="44">
        <v>1</v>
      </c>
      <c r="AR192" s="44">
        <v>1</v>
      </c>
      <c r="AS192" s="44">
        <v>1</v>
      </c>
      <c r="AT192"/>
      <c r="AU192" s="44">
        <v>1</v>
      </c>
      <c r="AV192"/>
      <c r="AW192"/>
      <c r="AX192" s="44">
        <v>1</v>
      </c>
    </row>
    <row r="193" spans="1:58" x14ac:dyDescent="0.25">
      <c r="A193" s="23" t="s">
        <v>271</v>
      </c>
      <c r="B193" s="3" t="s">
        <v>473</v>
      </c>
      <c r="C193" s="3" t="s">
        <v>483</v>
      </c>
      <c r="D193" s="3" t="s">
        <v>521</v>
      </c>
      <c r="E193" s="24" t="s">
        <v>194</v>
      </c>
      <c r="F193" s="24" t="s">
        <v>198</v>
      </c>
      <c r="G193" s="44">
        <v>8.3333333333333331E-5</v>
      </c>
      <c r="I193" s="58"/>
      <c r="J193" s="44">
        <v>8.3333333333333331E-5</v>
      </c>
      <c r="K193" s="44">
        <v>8.3333333333333331E-5</v>
      </c>
      <c r="L193" s="44">
        <v>8.3333333333333331E-5</v>
      </c>
      <c r="M193" s="44">
        <v>8.3333333333333331E-5</v>
      </c>
      <c r="O193" s="44">
        <v>8.3333333333333331E-5</v>
      </c>
      <c r="P193" s="44"/>
      <c r="Q193" s="44">
        <v>8.3333333333333331E-5</v>
      </c>
      <c r="R193" s="44">
        <v>8.3333333333333331E-5</v>
      </c>
      <c r="S193" s="44">
        <v>8.3333333333333331E-5</v>
      </c>
      <c r="V193" s="44">
        <v>8.3333333333333331E-5</v>
      </c>
      <c r="W193" s="44">
        <v>8.3333333333333331E-5</v>
      </c>
      <c r="X193" s="44">
        <v>8.3333333333333331E-5</v>
      </c>
      <c r="Y193" s="44">
        <v>8.3333333333333331E-5</v>
      </c>
      <c r="Z193" s="44">
        <v>8.3333333333333331E-5</v>
      </c>
      <c r="AA193" s="44">
        <v>8.3333333333333331E-5</v>
      </c>
      <c r="AB193" s="44">
        <v>8.3333333333333331E-5</v>
      </c>
      <c r="AC193" s="44">
        <v>8.3333333333333331E-5</v>
      </c>
      <c r="AD193" s="44">
        <v>8.3333333333333331E-5</v>
      </c>
      <c r="AE193" s="44">
        <v>8.3333333333333331E-5</v>
      </c>
      <c r="AF193" s="44">
        <v>8.3333333333333331E-5</v>
      </c>
      <c r="AG193"/>
      <c r="AH193" s="44">
        <v>8.3333333333333331E-5</v>
      </c>
      <c r="AI193" s="44">
        <v>8.3333333333333331E-5</v>
      </c>
      <c r="AJ193" s="44">
        <v>8.3333333333333331E-5</v>
      </c>
      <c r="AK193" s="44">
        <v>8.3333333333333331E-5</v>
      </c>
      <c r="AL193" s="44">
        <v>8.3333333333333331E-5</v>
      </c>
      <c r="AM193" s="44">
        <v>8.3333333333333331E-5</v>
      </c>
      <c r="AN193" s="44">
        <v>8.3333333333333331E-5</v>
      </c>
      <c r="AO193"/>
      <c r="AP193" s="44">
        <v>8.3333333333333331E-5</v>
      </c>
      <c r="AQ193" s="44">
        <v>8.3333333333333331E-5</v>
      </c>
      <c r="AR193" s="44">
        <v>8.3333333333333331E-5</v>
      </c>
      <c r="AS193" s="44">
        <v>8.3333333333333331E-5</v>
      </c>
      <c r="AT193"/>
      <c r="AU193" s="44">
        <v>8.3333333333333331E-5</v>
      </c>
      <c r="AV193"/>
      <c r="AW193"/>
      <c r="AX193" s="44">
        <v>8.3333333333333331E-5</v>
      </c>
    </row>
    <row r="194" spans="1:58" x14ac:dyDescent="0.25">
      <c r="A194" s="7" t="s">
        <v>272</v>
      </c>
      <c r="B194" s="3" t="s">
        <v>473</v>
      </c>
      <c r="C194" s="3" t="s">
        <v>483</v>
      </c>
      <c r="D194" s="3" t="s">
        <v>521</v>
      </c>
      <c r="E194" s="8" t="s">
        <v>355</v>
      </c>
      <c r="F194" s="8" t="s">
        <v>200</v>
      </c>
      <c r="G194" s="44">
        <v>6.41E-9</v>
      </c>
      <c r="I194" s="58"/>
      <c r="J194" s="44">
        <v>3.9999999999999998E-7</v>
      </c>
      <c r="K194" s="44">
        <v>3.9999999999999998E-7</v>
      </c>
      <c r="L194" s="44">
        <v>3.9999999999999998E-7</v>
      </c>
      <c r="M194" s="44">
        <v>3.9999999999999998E-7</v>
      </c>
      <c r="O194" s="44">
        <v>3.9999999999999998E-7</v>
      </c>
      <c r="P194" s="44"/>
      <c r="Q194" s="44">
        <v>3.9999999999999998E-7</v>
      </c>
      <c r="R194" s="44">
        <v>3.9999999999999998E-7</v>
      </c>
      <c r="S194" s="44">
        <v>3.9999999999999998E-7</v>
      </c>
      <c r="V194" s="44">
        <v>3.9999999999999998E-7</v>
      </c>
      <c r="W194" s="44">
        <v>3.9999999999999998E-7</v>
      </c>
      <c r="X194" s="44">
        <v>3.9999999999999998E-7</v>
      </c>
      <c r="Y194" s="44">
        <v>3.9999999999999998E-7</v>
      </c>
      <c r="Z194" s="44">
        <v>3.9999999999999998E-7</v>
      </c>
      <c r="AA194" s="44">
        <v>3.9999999999999998E-7</v>
      </c>
      <c r="AB194" s="44">
        <v>3.9999999999999998E-7</v>
      </c>
      <c r="AC194" s="44">
        <v>3.9999999999999998E-7</v>
      </c>
      <c r="AD194" s="44">
        <v>3.9999999999999998E-7</v>
      </c>
      <c r="AE194" s="44">
        <v>3.9999999999999998E-7</v>
      </c>
      <c r="AF194" s="44">
        <v>3.9999999999999998E-7</v>
      </c>
      <c r="AG194"/>
      <c r="AH194" s="44">
        <v>3.9999999999999998E-7</v>
      </c>
      <c r="AI194" s="44">
        <v>3.9999999999999998E-7</v>
      </c>
      <c r="AJ194" s="44">
        <v>3.9999999999999998E-7</v>
      </c>
      <c r="AK194" s="44">
        <v>3.9999999999999998E-7</v>
      </c>
      <c r="AL194" s="44">
        <v>3.9999999999999998E-7</v>
      </c>
      <c r="AM194" s="44">
        <v>3.9999999999999998E-7</v>
      </c>
      <c r="AN194" s="44">
        <v>3.9999999999999998E-7</v>
      </c>
      <c r="AO194"/>
      <c r="AP194" s="44">
        <v>3.9999999999999998E-7</v>
      </c>
      <c r="AQ194" s="44">
        <v>3.9999999999999998E-7</v>
      </c>
      <c r="AR194" s="44">
        <v>3.9999999999999998E-7</v>
      </c>
      <c r="AS194" s="44">
        <v>3.9999999999999998E-7</v>
      </c>
      <c r="AT194"/>
      <c r="AU194" s="44">
        <v>3.9999999999999998E-7</v>
      </c>
      <c r="AV194"/>
      <c r="AW194"/>
      <c r="AX194" s="44">
        <v>3.9999999999999998E-7</v>
      </c>
    </row>
    <row r="195" spans="1:58" x14ac:dyDescent="0.25">
      <c r="A195" s="7" t="s">
        <v>273</v>
      </c>
      <c r="B195" s="3" t="s">
        <v>473</v>
      </c>
      <c r="C195" s="3" t="s">
        <v>483</v>
      </c>
      <c r="D195" s="3" t="s">
        <v>521</v>
      </c>
      <c r="E195" s="8" t="s">
        <v>341</v>
      </c>
      <c r="F195" s="8" t="s">
        <v>109</v>
      </c>
      <c r="G195" s="44">
        <v>25</v>
      </c>
      <c r="I195" s="58"/>
      <c r="J195" s="44">
        <v>25</v>
      </c>
      <c r="K195" s="44">
        <v>25</v>
      </c>
      <c r="L195" s="44">
        <v>25</v>
      </c>
      <c r="M195" s="44">
        <v>25</v>
      </c>
      <c r="O195" s="44">
        <v>25</v>
      </c>
      <c r="P195" s="44"/>
      <c r="Q195" s="44">
        <v>25</v>
      </c>
      <c r="R195" s="44">
        <v>25</v>
      </c>
      <c r="S195" s="44">
        <v>25</v>
      </c>
      <c r="V195" s="44">
        <v>25</v>
      </c>
      <c r="W195" s="44">
        <v>25</v>
      </c>
      <c r="X195" s="44">
        <v>25</v>
      </c>
      <c r="Y195" s="44">
        <v>25</v>
      </c>
      <c r="Z195" s="44">
        <v>25</v>
      </c>
      <c r="AA195" s="44">
        <v>25</v>
      </c>
      <c r="AB195" s="44">
        <v>25</v>
      </c>
      <c r="AC195" s="44">
        <v>25</v>
      </c>
      <c r="AD195" s="44">
        <v>25</v>
      </c>
      <c r="AE195" s="44">
        <v>25</v>
      </c>
      <c r="AF195" s="44">
        <v>25</v>
      </c>
      <c r="AG195"/>
      <c r="AH195" s="44">
        <v>25</v>
      </c>
      <c r="AI195" s="44">
        <v>25</v>
      </c>
      <c r="AJ195" s="44">
        <v>25</v>
      </c>
      <c r="AK195" s="44">
        <v>25</v>
      </c>
      <c r="AL195" s="44">
        <v>25</v>
      </c>
      <c r="AM195" s="44">
        <v>25</v>
      </c>
      <c r="AN195" s="44">
        <v>25</v>
      </c>
      <c r="AO195"/>
      <c r="AP195" s="44">
        <v>25</v>
      </c>
      <c r="AQ195" s="44">
        <v>25</v>
      </c>
      <c r="AR195" s="44">
        <v>25</v>
      </c>
      <c r="AS195" s="44">
        <v>25</v>
      </c>
      <c r="AT195"/>
      <c r="AU195" s="44">
        <v>25</v>
      </c>
      <c r="AV195"/>
      <c r="AW195"/>
      <c r="AX195" s="44">
        <v>25</v>
      </c>
    </row>
    <row r="196" spans="1:58" x14ac:dyDescent="0.25">
      <c r="A196" s="7" t="s">
        <v>274</v>
      </c>
      <c r="B196" s="3" t="s">
        <v>473</v>
      </c>
      <c r="C196" s="3" t="s">
        <v>483</v>
      </c>
      <c r="D196" s="3" t="s">
        <v>521</v>
      </c>
      <c r="E196" s="8" t="s">
        <v>342</v>
      </c>
      <c r="F196" s="8" t="s">
        <v>301</v>
      </c>
      <c r="G196" s="44">
        <v>0</v>
      </c>
      <c r="I196" s="58"/>
      <c r="J196" s="44">
        <v>0</v>
      </c>
      <c r="K196" s="44">
        <v>0</v>
      </c>
      <c r="L196" s="44">
        <v>0</v>
      </c>
      <c r="M196" s="44">
        <v>0</v>
      </c>
      <c r="O196" s="44">
        <v>0</v>
      </c>
      <c r="P196" s="44"/>
      <c r="Q196" s="44">
        <v>0</v>
      </c>
      <c r="R196" s="44">
        <v>0</v>
      </c>
      <c r="S196" s="44">
        <v>0</v>
      </c>
      <c r="V196" s="44">
        <v>0</v>
      </c>
      <c r="W196" s="44">
        <v>0</v>
      </c>
      <c r="X196" s="44">
        <v>0</v>
      </c>
      <c r="Y196" s="44">
        <v>0</v>
      </c>
      <c r="Z196" s="44">
        <v>0</v>
      </c>
      <c r="AA196" s="44">
        <v>0</v>
      </c>
      <c r="AB196" s="44">
        <v>0</v>
      </c>
      <c r="AC196" s="44">
        <v>0</v>
      </c>
      <c r="AD196" s="44">
        <v>0</v>
      </c>
      <c r="AE196" s="44">
        <v>0</v>
      </c>
      <c r="AF196" s="44">
        <v>0</v>
      </c>
      <c r="AG196"/>
      <c r="AH196" s="44">
        <v>0</v>
      </c>
      <c r="AI196" s="44">
        <v>0</v>
      </c>
      <c r="AJ196" s="44">
        <v>0</v>
      </c>
      <c r="AK196" s="44">
        <v>0</v>
      </c>
      <c r="AL196" s="44">
        <v>0</v>
      </c>
      <c r="AM196" s="44">
        <v>0</v>
      </c>
      <c r="AN196" s="44">
        <v>0</v>
      </c>
      <c r="AO196"/>
      <c r="AP196" s="44">
        <v>0</v>
      </c>
      <c r="AQ196" s="44">
        <v>0</v>
      </c>
      <c r="AR196" s="44">
        <v>0</v>
      </c>
      <c r="AS196" s="44">
        <v>0</v>
      </c>
      <c r="AT196"/>
      <c r="AU196" s="44">
        <v>0</v>
      </c>
      <c r="AV196"/>
      <c r="AW196"/>
      <c r="AX196" s="44">
        <v>0</v>
      </c>
    </row>
    <row r="197" spans="1:58" x14ac:dyDescent="0.25">
      <c r="A197" s="7" t="s">
        <v>275</v>
      </c>
      <c r="B197" s="3" t="s">
        <v>473</v>
      </c>
      <c r="C197" s="3" t="s">
        <v>483</v>
      </c>
      <c r="D197" s="3" t="s">
        <v>521</v>
      </c>
      <c r="E197" s="8" t="s">
        <v>343</v>
      </c>
      <c r="F197" s="8" t="s">
        <v>100</v>
      </c>
      <c r="G197" s="44">
        <v>3.98</v>
      </c>
      <c r="I197" s="58"/>
      <c r="J197" s="44">
        <v>3.98</v>
      </c>
      <c r="K197" s="44">
        <v>3.98</v>
      </c>
      <c r="L197" s="44">
        <v>3.98</v>
      </c>
      <c r="M197" s="44">
        <v>3.98</v>
      </c>
      <c r="O197" s="44">
        <v>3.98</v>
      </c>
      <c r="P197" s="44"/>
      <c r="Q197" s="44">
        <v>3.98</v>
      </c>
      <c r="R197" s="44">
        <v>3.98</v>
      </c>
      <c r="S197" s="44">
        <v>3.98</v>
      </c>
      <c r="V197" s="44">
        <v>3.98</v>
      </c>
      <c r="W197" s="44">
        <v>3.98</v>
      </c>
      <c r="X197" s="44">
        <v>3.98</v>
      </c>
      <c r="Y197" s="44">
        <v>3.98</v>
      </c>
      <c r="Z197" s="44">
        <v>3.98</v>
      </c>
      <c r="AA197" s="44">
        <v>3.98</v>
      </c>
      <c r="AB197" s="44">
        <v>3.98</v>
      </c>
      <c r="AC197" s="44">
        <v>3.98</v>
      </c>
      <c r="AD197" s="44">
        <v>3.98</v>
      </c>
      <c r="AE197" s="44">
        <v>3.98</v>
      </c>
      <c r="AF197" s="44">
        <v>3.98</v>
      </c>
      <c r="AG197"/>
      <c r="AH197" s="44">
        <v>3.98</v>
      </c>
      <c r="AI197" s="44">
        <v>3.98</v>
      </c>
      <c r="AJ197" s="44">
        <v>3.98</v>
      </c>
      <c r="AK197" s="44">
        <v>3.98</v>
      </c>
      <c r="AL197" s="44">
        <v>3.98</v>
      </c>
      <c r="AM197" s="44">
        <v>3.98</v>
      </c>
      <c r="AN197" s="44">
        <v>3.98</v>
      </c>
      <c r="AO197"/>
      <c r="AP197" s="44">
        <v>3.98</v>
      </c>
      <c r="AQ197" s="44">
        <v>3.98</v>
      </c>
      <c r="AR197" s="44">
        <v>3.98</v>
      </c>
      <c r="AS197" s="44">
        <v>3.98</v>
      </c>
      <c r="AT197"/>
      <c r="AU197" s="44">
        <v>3.98</v>
      </c>
      <c r="AV197"/>
      <c r="AW197"/>
      <c r="AX197" s="44">
        <v>3.98</v>
      </c>
    </row>
    <row r="198" spans="1:58" x14ac:dyDescent="0.25">
      <c r="A198" s="7" t="s">
        <v>276</v>
      </c>
      <c r="B198" s="3" t="s">
        <v>473</v>
      </c>
      <c r="C198" s="3" t="s">
        <v>483</v>
      </c>
      <c r="D198" s="3" t="s">
        <v>521</v>
      </c>
      <c r="E198" s="8" t="s">
        <v>344</v>
      </c>
      <c r="F198" s="8" t="s">
        <v>95</v>
      </c>
      <c r="G198" s="44">
        <v>1</v>
      </c>
      <c r="I198" s="58"/>
      <c r="J198" s="44">
        <v>1</v>
      </c>
      <c r="K198" s="44">
        <v>1</v>
      </c>
      <c r="L198" s="44">
        <v>1</v>
      </c>
      <c r="M198" s="44">
        <v>1</v>
      </c>
      <c r="O198" s="44">
        <v>1</v>
      </c>
      <c r="P198" s="44"/>
      <c r="Q198" s="44">
        <v>1</v>
      </c>
      <c r="R198" s="44">
        <v>1</v>
      </c>
      <c r="S198" s="44">
        <v>1</v>
      </c>
      <c r="V198" s="44">
        <v>1</v>
      </c>
      <c r="W198" s="44">
        <v>1</v>
      </c>
      <c r="X198" s="44">
        <v>1</v>
      </c>
      <c r="Y198" s="44">
        <v>1</v>
      </c>
      <c r="Z198" s="44">
        <v>1</v>
      </c>
      <c r="AA198" s="44">
        <v>1</v>
      </c>
      <c r="AB198" s="44">
        <v>1</v>
      </c>
      <c r="AC198" s="44">
        <v>1</v>
      </c>
      <c r="AD198" s="44">
        <v>1</v>
      </c>
      <c r="AE198" s="44">
        <v>1</v>
      </c>
      <c r="AF198" s="44">
        <v>1</v>
      </c>
      <c r="AG198"/>
      <c r="AH198" s="44">
        <v>1</v>
      </c>
      <c r="AI198" s="44">
        <v>1</v>
      </c>
      <c r="AJ198" s="44">
        <v>1</v>
      </c>
      <c r="AK198" s="44">
        <v>1</v>
      </c>
      <c r="AL198" s="44">
        <v>1</v>
      </c>
      <c r="AM198" s="44">
        <v>1</v>
      </c>
      <c r="AN198" s="44">
        <v>1</v>
      </c>
      <c r="AO198"/>
      <c r="AP198" s="44">
        <v>1</v>
      </c>
      <c r="AQ198" s="44">
        <v>1</v>
      </c>
      <c r="AR198" s="44">
        <v>1</v>
      </c>
      <c r="AS198" s="44">
        <v>1</v>
      </c>
      <c r="AT198"/>
      <c r="AU198" s="44">
        <v>1</v>
      </c>
      <c r="AV198"/>
      <c r="AW198"/>
      <c r="AX198" s="44">
        <v>1</v>
      </c>
    </row>
    <row r="199" spans="1:58" x14ac:dyDescent="0.25">
      <c r="A199" s="7" t="s">
        <v>277</v>
      </c>
      <c r="B199" s="3" t="s">
        <v>473</v>
      </c>
      <c r="C199" s="3" t="s">
        <v>483</v>
      </c>
      <c r="D199" s="3" t="s">
        <v>521</v>
      </c>
      <c r="E199" s="8" t="s">
        <v>358</v>
      </c>
      <c r="F199" s="8" t="s">
        <v>198</v>
      </c>
      <c r="G199" s="44">
        <v>8.3333333333333331E-5</v>
      </c>
      <c r="I199" s="58"/>
      <c r="J199" s="44">
        <v>8.3333333333333331E-5</v>
      </c>
      <c r="K199" s="44">
        <v>8.3333333333333331E-5</v>
      </c>
      <c r="L199" s="44">
        <v>8.3333333333333331E-5</v>
      </c>
      <c r="M199" s="44">
        <v>8.3333333333333331E-5</v>
      </c>
      <c r="O199" s="44">
        <v>8.3333333333333331E-5</v>
      </c>
      <c r="P199" s="44"/>
      <c r="Q199" s="44">
        <v>8.3333333333333331E-5</v>
      </c>
      <c r="R199" s="44">
        <v>8.3333333333333331E-5</v>
      </c>
      <c r="S199" s="44">
        <v>8.3333333333333331E-5</v>
      </c>
      <c r="V199" s="44">
        <v>8.3333333333333331E-5</v>
      </c>
      <c r="W199" s="44">
        <v>8.3333333333333331E-5</v>
      </c>
      <c r="X199" s="44">
        <v>8.3333333333333331E-5</v>
      </c>
      <c r="Y199" s="44">
        <v>8.3333333333333331E-5</v>
      </c>
      <c r="Z199" s="44">
        <v>8.3333333333333331E-5</v>
      </c>
      <c r="AA199" s="44">
        <v>8.3333333333333331E-5</v>
      </c>
      <c r="AB199" s="44">
        <v>8.3333333333333331E-5</v>
      </c>
      <c r="AC199" s="44">
        <v>8.3333333333333331E-5</v>
      </c>
      <c r="AD199" s="44">
        <v>8.3333333333333331E-5</v>
      </c>
      <c r="AE199" s="44">
        <v>8.3333333333333331E-5</v>
      </c>
      <c r="AF199" s="44">
        <v>8.3333333333333331E-5</v>
      </c>
      <c r="AG199"/>
      <c r="AH199" s="44">
        <v>8.3333333333333331E-5</v>
      </c>
      <c r="AI199" s="44">
        <v>8.3333333333333331E-5</v>
      </c>
      <c r="AJ199" s="44">
        <v>8.3333333333333331E-5</v>
      </c>
      <c r="AK199" s="44">
        <v>8.3333333333333331E-5</v>
      </c>
      <c r="AL199" s="44">
        <v>8.3333333333333331E-5</v>
      </c>
      <c r="AM199" s="44">
        <v>8.3333333333333331E-5</v>
      </c>
      <c r="AN199" s="44">
        <v>8.3333333333333331E-5</v>
      </c>
      <c r="AO199"/>
      <c r="AP199" s="44">
        <v>8.3333333333333331E-5</v>
      </c>
      <c r="AQ199" s="44">
        <v>8.3333333333333331E-5</v>
      </c>
      <c r="AR199" s="44">
        <v>8.3333333333333331E-5</v>
      </c>
      <c r="AS199" s="44">
        <v>8.3333333333333331E-5</v>
      </c>
      <c r="AT199"/>
      <c r="AU199" s="44">
        <v>8.3333333333333331E-5</v>
      </c>
      <c r="AV199"/>
      <c r="AW199"/>
      <c r="AX199" s="44">
        <v>8.3333333333333331E-5</v>
      </c>
    </row>
    <row r="200" spans="1:58" x14ac:dyDescent="0.25">
      <c r="A200" s="29" t="s">
        <v>278</v>
      </c>
      <c r="B200" s="3" t="s">
        <v>473</v>
      </c>
      <c r="C200" s="3" t="s">
        <v>483</v>
      </c>
      <c r="D200" s="3" t="s">
        <v>521</v>
      </c>
      <c r="E200" s="30" t="s">
        <v>356</v>
      </c>
      <c r="F200" s="30" t="s">
        <v>357</v>
      </c>
      <c r="G200" s="44">
        <v>3.205E-9</v>
      </c>
      <c r="I200" s="58"/>
      <c r="J200" s="44">
        <v>1.9999999999999999E-7</v>
      </c>
      <c r="K200" s="44">
        <v>1.9999999999999999E-7</v>
      </c>
      <c r="L200" s="44">
        <v>1.9999999999999999E-7</v>
      </c>
      <c r="M200" s="44">
        <v>1.9999999999999999E-7</v>
      </c>
      <c r="O200" s="44">
        <v>1.9999999999999999E-7</v>
      </c>
      <c r="P200" s="44"/>
      <c r="Q200" s="44">
        <v>1.9999999999999999E-7</v>
      </c>
      <c r="R200" s="44">
        <v>1.9999999999999999E-7</v>
      </c>
      <c r="S200" s="44">
        <v>1.9999999999999999E-7</v>
      </c>
      <c r="V200" s="44">
        <v>1.9999999999999999E-7</v>
      </c>
      <c r="W200" s="44">
        <v>1.9999999999999999E-7</v>
      </c>
      <c r="X200" s="44">
        <v>1.9999999999999999E-7</v>
      </c>
      <c r="Y200" s="44">
        <v>1.9999999999999999E-7</v>
      </c>
      <c r="Z200" s="44">
        <v>1.9999999999999999E-7</v>
      </c>
      <c r="AA200" s="44">
        <v>1.9999999999999999E-7</v>
      </c>
      <c r="AB200" s="44">
        <v>1.9999999999999999E-7</v>
      </c>
      <c r="AC200" s="44">
        <v>1.9999999999999999E-7</v>
      </c>
      <c r="AD200" s="44">
        <v>1.9999999999999999E-7</v>
      </c>
      <c r="AE200" s="44">
        <v>1.9999999999999999E-7</v>
      </c>
      <c r="AF200" s="44">
        <v>1.9999999999999999E-7</v>
      </c>
      <c r="AG200"/>
      <c r="AH200" s="44">
        <v>1.9999999999999999E-7</v>
      </c>
      <c r="AI200" s="44">
        <v>1.9999999999999999E-7</v>
      </c>
      <c r="AJ200" s="44">
        <v>1.9999999999999999E-7</v>
      </c>
      <c r="AK200" s="44">
        <v>1.9999999999999999E-7</v>
      </c>
      <c r="AL200" s="44">
        <v>1.9999999999999999E-7</v>
      </c>
      <c r="AM200" s="44">
        <v>1.9999999999999999E-7</v>
      </c>
      <c r="AN200" s="44">
        <v>1.9999999999999999E-7</v>
      </c>
      <c r="AO200"/>
      <c r="AP200" s="44">
        <v>1.9999999999999999E-7</v>
      </c>
      <c r="AQ200" s="44">
        <v>1.9999999999999999E-7</v>
      </c>
      <c r="AR200" s="44">
        <v>1.9999999999999999E-7</v>
      </c>
      <c r="AS200" s="44">
        <v>1.9999999999999999E-7</v>
      </c>
      <c r="AT200"/>
      <c r="AU200" s="44">
        <v>1.9999999999999999E-7</v>
      </c>
      <c r="AV200"/>
      <c r="AW200"/>
      <c r="AX200" s="44">
        <v>1.9999999999999999E-7</v>
      </c>
    </row>
    <row r="201" spans="1:58" x14ac:dyDescent="0.25">
      <c r="A201" s="29" t="s">
        <v>279</v>
      </c>
      <c r="B201" s="3" t="s">
        <v>473</v>
      </c>
      <c r="C201" s="3" t="s">
        <v>483</v>
      </c>
      <c r="D201" s="3" t="s">
        <v>521</v>
      </c>
      <c r="E201" s="30" t="s">
        <v>345</v>
      </c>
      <c r="F201" s="30" t="s">
        <v>109</v>
      </c>
      <c r="G201" s="44">
        <v>25</v>
      </c>
      <c r="I201" s="58"/>
      <c r="J201" s="44">
        <v>25</v>
      </c>
      <c r="K201" s="44">
        <v>25</v>
      </c>
      <c r="L201" s="44">
        <v>25</v>
      </c>
      <c r="M201" s="44">
        <v>25</v>
      </c>
      <c r="O201" s="44">
        <v>25</v>
      </c>
      <c r="P201" s="44"/>
      <c r="Q201" s="44">
        <v>25</v>
      </c>
      <c r="R201" s="44">
        <v>25</v>
      </c>
      <c r="S201" s="44">
        <v>25</v>
      </c>
      <c r="V201" s="44">
        <v>25</v>
      </c>
      <c r="W201" s="44">
        <v>25</v>
      </c>
      <c r="X201" s="44">
        <v>25</v>
      </c>
      <c r="Y201" s="44">
        <v>25</v>
      </c>
      <c r="Z201" s="44">
        <v>25</v>
      </c>
      <c r="AA201" s="44">
        <v>25</v>
      </c>
      <c r="AB201" s="44">
        <v>25</v>
      </c>
      <c r="AC201" s="44">
        <v>25</v>
      </c>
      <c r="AD201" s="44">
        <v>25</v>
      </c>
      <c r="AE201" s="44">
        <v>25</v>
      </c>
      <c r="AF201" s="44">
        <v>25</v>
      </c>
      <c r="AG201"/>
      <c r="AH201" s="44">
        <v>25</v>
      </c>
      <c r="AI201" s="44">
        <v>25</v>
      </c>
      <c r="AJ201" s="44">
        <v>25</v>
      </c>
      <c r="AK201" s="44">
        <v>25</v>
      </c>
      <c r="AL201" s="44">
        <v>25</v>
      </c>
      <c r="AM201" s="44">
        <v>25</v>
      </c>
      <c r="AN201" s="44">
        <v>25</v>
      </c>
      <c r="AO201"/>
      <c r="AP201" s="44">
        <v>25</v>
      </c>
      <c r="AQ201" s="44">
        <v>25</v>
      </c>
      <c r="AR201" s="44">
        <v>25</v>
      </c>
      <c r="AS201" s="44">
        <v>25</v>
      </c>
      <c r="AT201"/>
      <c r="AU201" s="44">
        <v>25</v>
      </c>
      <c r="AV201"/>
      <c r="AW201"/>
      <c r="AX201" s="44">
        <v>25</v>
      </c>
    </row>
    <row r="202" spans="1:58" x14ac:dyDescent="0.25">
      <c r="A202" s="29" t="s">
        <v>280</v>
      </c>
      <c r="B202" s="3" t="s">
        <v>473</v>
      </c>
      <c r="C202" s="3" t="s">
        <v>483</v>
      </c>
      <c r="D202" s="3" t="s">
        <v>521</v>
      </c>
      <c r="E202" s="30" t="s">
        <v>346</v>
      </c>
      <c r="F202" s="30" t="s">
        <v>301</v>
      </c>
      <c r="G202" s="44">
        <v>0</v>
      </c>
      <c r="I202" s="58"/>
      <c r="J202" s="44">
        <v>0</v>
      </c>
      <c r="K202" s="44">
        <v>0</v>
      </c>
      <c r="L202" s="44">
        <v>0</v>
      </c>
      <c r="M202" s="44">
        <v>0</v>
      </c>
      <c r="O202" s="44">
        <v>0</v>
      </c>
      <c r="P202" s="44"/>
      <c r="Q202" s="44">
        <v>0</v>
      </c>
      <c r="R202" s="44">
        <v>0</v>
      </c>
      <c r="S202" s="44">
        <v>0</v>
      </c>
      <c r="V202" s="44">
        <v>0</v>
      </c>
      <c r="W202" s="44">
        <v>0</v>
      </c>
      <c r="X202" s="44">
        <v>0</v>
      </c>
      <c r="Y202" s="44">
        <v>0</v>
      </c>
      <c r="Z202" s="44">
        <v>0</v>
      </c>
      <c r="AA202" s="44">
        <v>0</v>
      </c>
      <c r="AB202" s="44">
        <v>0</v>
      </c>
      <c r="AC202" s="44">
        <v>0</v>
      </c>
      <c r="AD202" s="44">
        <v>0</v>
      </c>
      <c r="AE202" s="44">
        <v>0</v>
      </c>
      <c r="AF202" s="44">
        <v>0</v>
      </c>
      <c r="AG202"/>
      <c r="AH202" s="44">
        <v>0</v>
      </c>
      <c r="AI202" s="44">
        <v>0</v>
      </c>
      <c r="AJ202" s="44">
        <v>0</v>
      </c>
      <c r="AK202" s="44">
        <v>0</v>
      </c>
      <c r="AL202" s="44">
        <v>0</v>
      </c>
      <c r="AM202" s="44">
        <v>0</v>
      </c>
      <c r="AN202" s="44">
        <v>0</v>
      </c>
      <c r="AO202"/>
      <c r="AP202" s="44">
        <v>0</v>
      </c>
      <c r="AQ202" s="44">
        <v>0</v>
      </c>
      <c r="AR202" s="44">
        <v>0</v>
      </c>
      <c r="AS202" s="44">
        <v>0</v>
      </c>
      <c r="AT202"/>
      <c r="AU202" s="44">
        <v>0</v>
      </c>
      <c r="AV202"/>
      <c r="AW202"/>
      <c r="AX202" s="44">
        <v>0</v>
      </c>
    </row>
    <row r="203" spans="1:58" x14ac:dyDescent="0.25">
      <c r="A203" s="29" t="s">
        <v>281</v>
      </c>
      <c r="B203" s="3" t="s">
        <v>473</v>
      </c>
      <c r="C203" s="3" t="s">
        <v>483</v>
      </c>
      <c r="D203" s="3" t="s">
        <v>521</v>
      </c>
      <c r="E203" s="30" t="s">
        <v>347</v>
      </c>
      <c r="F203" s="30" t="s">
        <v>100</v>
      </c>
      <c r="G203" s="44">
        <v>3.98</v>
      </c>
      <c r="I203" s="58"/>
      <c r="J203" s="44">
        <v>3.98</v>
      </c>
      <c r="K203" s="44">
        <v>3.98</v>
      </c>
      <c r="L203" s="44">
        <v>3.98</v>
      </c>
      <c r="M203" s="44">
        <v>3.98</v>
      </c>
      <c r="O203" s="44">
        <v>3.98</v>
      </c>
      <c r="P203" s="44"/>
      <c r="Q203" s="44">
        <v>3.98</v>
      </c>
      <c r="R203" s="44">
        <v>3.98</v>
      </c>
      <c r="S203" s="44">
        <v>3.98</v>
      </c>
      <c r="V203" s="44">
        <v>3.98</v>
      </c>
      <c r="W203" s="44">
        <v>3.98</v>
      </c>
      <c r="X203" s="44">
        <v>3.98</v>
      </c>
      <c r="Y203" s="44">
        <v>3.98</v>
      </c>
      <c r="Z203" s="44">
        <v>3.98</v>
      </c>
      <c r="AA203" s="44">
        <v>3.98</v>
      </c>
      <c r="AB203" s="44">
        <v>3.98</v>
      </c>
      <c r="AC203" s="44">
        <v>3.98</v>
      </c>
      <c r="AD203" s="44">
        <v>3.98</v>
      </c>
      <c r="AE203" s="44">
        <v>3.98</v>
      </c>
      <c r="AF203" s="44">
        <v>3.98</v>
      </c>
      <c r="AG203"/>
      <c r="AH203" s="44">
        <v>3.98</v>
      </c>
      <c r="AI203" s="44">
        <v>3.98</v>
      </c>
      <c r="AJ203" s="44">
        <v>3.98</v>
      </c>
      <c r="AK203" s="44">
        <v>3.98</v>
      </c>
      <c r="AL203" s="44">
        <v>3.98</v>
      </c>
      <c r="AM203" s="44">
        <v>3.98</v>
      </c>
      <c r="AN203" s="44">
        <v>3.98</v>
      </c>
      <c r="AO203"/>
      <c r="AP203" s="44">
        <v>3.98</v>
      </c>
      <c r="AQ203" s="44">
        <v>3.98</v>
      </c>
      <c r="AR203" s="44">
        <v>3.98</v>
      </c>
      <c r="AS203" s="44">
        <v>3.98</v>
      </c>
      <c r="AT203"/>
      <c r="AU203" s="44">
        <v>3.98</v>
      </c>
      <c r="AV203"/>
      <c r="AW203"/>
      <c r="AX203" s="44">
        <v>3.98</v>
      </c>
    </row>
    <row r="204" spans="1:58" x14ac:dyDescent="0.25">
      <c r="A204" s="29" t="s">
        <v>282</v>
      </c>
      <c r="B204" s="3" t="s">
        <v>473</v>
      </c>
      <c r="C204" s="3" t="s">
        <v>483</v>
      </c>
      <c r="D204" s="3" t="s">
        <v>521</v>
      </c>
      <c r="E204" s="30" t="s">
        <v>348</v>
      </c>
      <c r="F204" s="30" t="s">
        <v>95</v>
      </c>
      <c r="G204" s="44">
        <v>1</v>
      </c>
      <c r="I204" s="58"/>
      <c r="J204" s="44">
        <v>1</v>
      </c>
      <c r="K204" s="44">
        <v>1</v>
      </c>
      <c r="L204" s="44">
        <v>1</v>
      </c>
      <c r="M204" s="44">
        <v>1</v>
      </c>
      <c r="O204" s="44">
        <v>1</v>
      </c>
      <c r="P204" s="44"/>
      <c r="Q204" s="44">
        <v>1</v>
      </c>
      <c r="R204" s="44">
        <v>1</v>
      </c>
      <c r="S204" s="44">
        <v>1</v>
      </c>
      <c r="V204" s="44">
        <v>1</v>
      </c>
      <c r="W204" s="44">
        <v>1</v>
      </c>
      <c r="X204" s="44">
        <v>1</v>
      </c>
      <c r="Y204" s="44">
        <v>1</v>
      </c>
      <c r="Z204" s="44">
        <v>1</v>
      </c>
      <c r="AA204" s="44">
        <v>1</v>
      </c>
      <c r="AB204" s="44">
        <v>1</v>
      </c>
      <c r="AC204" s="44">
        <v>1</v>
      </c>
      <c r="AD204" s="44">
        <v>1</v>
      </c>
      <c r="AE204" s="44">
        <v>1</v>
      </c>
      <c r="AF204" s="44">
        <v>1</v>
      </c>
      <c r="AG204"/>
      <c r="AH204" s="44">
        <v>1</v>
      </c>
      <c r="AI204" s="44">
        <v>1</v>
      </c>
      <c r="AJ204" s="44">
        <v>1</v>
      </c>
      <c r="AK204" s="44">
        <v>1</v>
      </c>
      <c r="AL204" s="44">
        <v>1</v>
      </c>
      <c r="AM204" s="44">
        <v>1</v>
      </c>
      <c r="AN204" s="44">
        <v>1</v>
      </c>
      <c r="AO204"/>
      <c r="AP204" s="44">
        <v>1</v>
      </c>
      <c r="AQ204" s="44">
        <v>1</v>
      </c>
      <c r="AR204" s="44">
        <v>1</v>
      </c>
      <c r="AS204" s="44">
        <v>1</v>
      </c>
      <c r="AT204"/>
      <c r="AU204" s="44">
        <v>1</v>
      </c>
      <c r="AV204"/>
      <c r="AW204"/>
      <c r="AX204" s="44">
        <v>1</v>
      </c>
    </row>
    <row r="205" spans="1:58" x14ac:dyDescent="0.25">
      <c r="A205" s="29" t="s">
        <v>283</v>
      </c>
      <c r="B205" s="3" t="s">
        <v>473</v>
      </c>
      <c r="C205" s="3" t="s">
        <v>483</v>
      </c>
      <c r="D205" s="3" t="s">
        <v>521</v>
      </c>
      <c r="E205" s="30" t="s">
        <v>360</v>
      </c>
      <c r="F205" s="30" t="s">
        <v>359</v>
      </c>
      <c r="G205" s="44">
        <v>8.3333333333333331E-5</v>
      </c>
      <c r="I205" s="58"/>
      <c r="J205" s="44">
        <v>8.3333333333333331E-5</v>
      </c>
      <c r="K205" s="44">
        <v>8.3333333333333331E-5</v>
      </c>
      <c r="L205" s="44">
        <v>8.3333333333333331E-5</v>
      </c>
      <c r="M205" s="44">
        <v>8.3333333333333331E-5</v>
      </c>
      <c r="O205" s="44">
        <v>8.3333333333333331E-5</v>
      </c>
      <c r="P205" s="44"/>
      <c r="Q205" s="44">
        <v>8.3333333333333331E-5</v>
      </c>
      <c r="R205" s="44">
        <v>8.3333333333333331E-5</v>
      </c>
      <c r="S205" s="44">
        <v>8.3333333333333331E-5</v>
      </c>
      <c r="V205" s="44">
        <v>8.3333333333333331E-5</v>
      </c>
      <c r="W205" s="44">
        <v>8.3333333333333331E-5</v>
      </c>
      <c r="X205" s="44">
        <v>8.3333333333333331E-5</v>
      </c>
      <c r="Y205" s="44">
        <v>8.3333333333333331E-5</v>
      </c>
      <c r="Z205" s="44">
        <v>8.3333333333333331E-5</v>
      </c>
      <c r="AA205" s="44">
        <v>8.3333333333333331E-5</v>
      </c>
      <c r="AB205" s="44">
        <v>8.3333333333333331E-5</v>
      </c>
      <c r="AC205" s="44">
        <v>8.3333333333333331E-5</v>
      </c>
      <c r="AD205" s="44">
        <v>8.3333333333333331E-5</v>
      </c>
      <c r="AE205" s="44">
        <v>8.3333333333333331E-5</v>
      </c>
      <c r="AF205" s="44">
        <v>8.3333333333333331E-5</v>
      </c>
      <c r="AG205"/>
      <c r="AH205" s="44">
        <v>8.3333333333333331E-5</v>
      </c>
      <c r="AI205" s="44">
        <v>8.3333333333333331E-5</v>
      </c>
      <c r="AJ205" s="44">
        <v>8.3333333333333331E-5</v>
      </c>
      <c r="AK205" s="44">
        <v>8.3333333333333331E-5</v>
      </c>
      <c r="AL205" s="44">
        <v>8.3333333333333331E-5</v>
      </c>
      <c r="AM205" s="44">
        <v>8.3333333333333331E-5</v>
      </c>
      <c r="AN205" s="44">
        <v>8.3333333333333331E-5</v>
      </c>
      <c r="AO205"/>
      <c r="AP205" s="44">
        <v>8.3333333333333331E-5</v>
      </c>
      <c r="AQ205" s="44">
        <v>8.3333333333333331E-5</v>
      </c>
      <c r="AR205" s="44">
        <v>8.3333333333333331E-5</v>
      </c>
      <c r="AS205" s="44">
        <v>8.3333333333333331E-5</v>
      </c>
      <c r="AT205"/>
      <c r="AU205" s="44">
        <v>8.3333333333333331E-5</v>
      </c>
      <c r="AV205"/>
      <c r="AW205"/>
      <c r="AX205" s="44">
        <v>8.3333333333333331E-5</v>
      </c>
    </row>
    <row r="206" spans="1:58" x14ac:dyDescent="0.25">
      <c r="A206" s="47" t="s">
        <v>361</v>
      </c>
      <c r="B206" s="48" t="s">
        <v>473</v>
      </c>
      <c r="C206" s="48" t="s">
        <v>483</v>
      </c>
      <c r="D206" s="3" t="s">
        <v>521</v>
      </c>
      <c r="E206" s="49" t="s">
        <v>203</v>
      </c>
      <c r="F206" s="49" t="s">
        <v>91</v>
      </c>
      <c r="G206" s="44" t="s">
        <v>89</v>
      </c>
      <c r="I206" s="58"/>
      <c r="J206" s="44" t="s">
        <v>89</v>
      </c>
      <c r="K206" s="44" t="s">
        <v>89</v>
      </c>
      <c r="L206" s="44" t="s">
        <v>89</v>
      </c>
      <c r="M206" s="44" t="s">
        <v>89</v>
      </c>
      <c r="O206" s="44" t="s">
        <v>89</v>
      </c>
      <c r="P206" s="44"/>
      <c r="Q206" s="44" t="s">
        <v>89</v>
      </c>
      <c r="R206" s="44" t="s">
        <v>89</v>
      </c>
      <c r="S206" s="44" t="s">
        <v>89</v>
      </c>
      <c r="V206" s="44" t="s">
        <v>89</v>
      </c>
      <c r="W206" s="44" t="s">
        <v>89</v>
      </c>
      <c r="X206" s="44" t="s">
        <v>89</v>
      </c>
      <c r="Y206" s="44" t="s">
        <v>89</v>
      </c>
      <c r="Z206" s="44" t="s">
        <v>89</v>
      </c>
      <c r="AA206" s="44" t="s">
        <v>89</v>
      </c>
      <c r="AB206" s="44" t="s">
        <v>89</v>
      </c>
      <c r="AC206" s="44" t="s">
        <v>89</v>
      </c>
      <c r="AD206" s="44" t="s">
        <v>89</v>
      </c>
      <c r="AE206" s="44" t="s">
        <v>89</v>
      </c>
      <c r="AF206" s="44" t="s">
        <v>89</v>
      </c>
      <c r="AG206"/>
      <c r="AH206" s="44" t="s">
        <v>89</v>
      </c>
      <c r="AI206" s="44" t="s">
        <v>89</v>
      </c>
      <c r="AJ206" s="44" t="s">
        <v>89</v>
      </c>
      <c r="AK206" s="44" t="s">
        <v>89</v>
      </c>
      <c r="AL206" s="44" t="s">
        <v>89</v>
      </c>
      <c r="AM206" s="44" t="s">
        <v>89</v>
      </c>
      <c r="AN206" s="44" t="s">
        <v>89</v>
      </c>
      <c r="AO206"/>
      <c r="AP206" s="44" t="s">
        <v>89</v>
      </c>
      <c r="AQ206" s="44" t="s">
        <v>89</v>
      </c>
      <c r="AR206" s="44" t="s">
        <v>89</v>
      </c>
      <c r="AS206" s="44" t="s">
        <v>89</v>
      </c>
      <c r="AT206"/>
      <c r="AU206" s="44" t="s">
        <v>89</v>
      </c>
      <c r="AV206"/>
      <c r="AW206"/>
      <c r="AX206" s="44" t="s">
        <v>89</v>
      </c>
    </row>
    <row r="207" spans="1:58" x14ac:dyDescent="0.25">
      <c r="A207" s="2" t="s">
        <v>534</v>
      </c>
      <c r="B207" s="3" t="s">
        <v>473</v>
      </c>
      <c r="C207" s="3" t="s">
        <v>580</v>
      </c>
      <c r="D207" s="3" t="s">
        <v>581</v>
      </c>
      <c r="E207" s="30" t="s">
        <v>537</v>
      </c>
      <c r="F207" s="30" t="s">
        <v>536</v>
      </c>
      <c r="G207" s="44">
        <f>0.00002</f>
        <v>2.0000000000000002E-5</v>
      </c>
      <c r="I207" s="58"/>
      <c r="J207" s="44">
        <f>0.0000005*0.4285*10/2.028*4</f>
        <v>4.2258382642998024E-6</v>
      </c>
      <c r="K207" s="44">
        <f>0.0000005*0.4285*10/2.028*4</f>
        <v>4.2258382642998024E-6</v>
      </c>
      <c r="L207" s="44">
        <f>0.0000005*0.4285*10/2.028*4</f>
        <v>4.2258382642998024E-6</v>
      </c>
      <c r="M207" s="44">
        <f>0.0000005*0.4285*10/2.028*4</f>
        <v>4.2258382642998024E-6</v>
      </c>
      <c r="O207" s="44">
        <f>0.0000005*0.4285*10/2.028*4</f>
        <v>4.2258382642998024E-6</v>
      </c>
      <c r="P207" s="44"/>
      <c r="Q207" s="44">
        <f t="shared" ref="Q207:AX207" si="13">0.00002</f>
        <v>2.0000000000000002E-5</v>
      </c>
      <c r="R207" s="44">
        <f t="shared" si="13"/>
        <v>2.0000000000000002E-5</v>
      </c>
      <c r="S207" s="44">
        <f t="shared" si="13"/>
        <v>2.0000000000000002E-5</v>
      </c>
      <c r="V207" s="44">
        <f t="shared" si="13"/>
        <v>2.0000000000000002E-5</v>
      </c>
      <c r="W207" s="44">
        <f t="shared" si="13"/>
        <v>2.0000000000000002E-5</v>
      </c>
      <c r="X207" s="44">
        <f t="shared" si="13"/>
        <v>2.0000000000000002E-5</v>
      </c>
      <c r="Y207" s="44">
        <f t="shared" si="13"/>
        <v>2.0000000000000002E-5</v>
      </c>
      <c r="Z207" s="44">
        <f t="shared" si="13"/>
        <v>2.0000000000000002E-5</v>
      </c>
      <c r="AA207" s="44">
        <f t="shared" si="13"/>
        <v>2.0000000000000002E-5</v>
      </c>
      <c r="AB207" s="44">
        <f t="shared" si="13"/>
        <v>2.0000000000000002E-5</v>
      </c>
      <c r="AC207" s="44">
        <f t="shared" si="13"/>
        <v>2.0000000000000002E-5</v>
      </c>
      <c r="AD207" s="44">
        <f t="shared" si="13"/>
        <v>2.0000000000000002E-5</v>
      </c>
      <c r="AE207" s="44">
        <f t="shared" si="13"/>
        <v>2.0000000000000002E-5</v>
      </c>
      <c r="AF207" s="44">
        <f t="shared" si="13"/>
        <v>2.0000000000000002E-5</v>
      </c>
      <c r="AG207"/>
      <c r="AH207" s="44">
        <f t="shared" si="13"/>
        <v>2.0000000000000002E-5</v>
      </c>
      <c r="AI207" s="44">
        <f t="shared" si="13"/>
        <v>2.0000000000000002E-5</v>
      </c>
      <c r="AJ207" s="44">
        <f t="shared" si="13"/>
        <v>2.0000000000000002E-5</v>
      </c>
      <c r="AK207" s="44">
        <f t="shared" si="13"/>
        <v>2.0000000000000002E-5</v>
      </c>
      <c r="AL207" s="44">
        <f t="shared" si="13"/>
        <v>2.0000000000000002E-5</v>
      </c>
      <c r="AM207" s="44">
        <f t="shared" si="13"/>
        <v>2.0000000000000002E-5</v>
      </c>
      <c r="AN207" s="44">
        <f t="shared" si="13"/>
        <v>2.0000000000000002E-5</v>
      </c>
      <c r="AO207"/>
      <c r="AP207" s="44">
        <f t="shared" si="13"/>
        <v>2.0000000000000002E-5</v>
      </c>
      <c r="AQ207" s="44">
        <f t="shared" si="13"/>
        <v>2.0000000000000002E-5</v>
      </c>
      <c r="AR207" s="44">
        <f t="shared" si="13"/>
        <v>2.0000000000000002E-5</v>
      </c>
      <c r="AS207" s="44">
        <f t="shared" si="13"/>
        <v>2.0000000000000002E-5</v>
      </c>
      <c r="AT207"/>
      <c r="AU207" s="44">
        <f t="shared" si="13"/>
        <v>2.0000000000000002E-5</v>
      </c>
      <c r="AV207"/>
      <c r="AW207"/>
      <c r="AX207" s="44">
        <f t="shared" si="13"/>
        <v>2.0000000000000002E-5</v>
      </c>
      <c r="AY207" s="1"/>
      <c r="AZ207" s="1"/>
      <c r="BA207" s="1"/>
      <c r="BB207" s="1"/>
      <c r="BC207" s="1"/>
      <c r="BD207" s="1"/>
      <c r="BE207" s="1"/>
      <c r="BF207" s="1"/>
    </row>
    <row r="208" spans="1:58" x14ac:dyDescent="0.25">
      <c r="A208" s="2" t="s">
        <v>533</v>
      </c>
      <c r="B208" s="3" t="s">
        <v>473</v>
      </c>
      <c r="C208" s="3" t="s">
        <v>580</v>
      </c>
      <c r="D208" s="3" t="s">
        <v>581</v>
      </c>
      <c r="E208" s="30" t="s">
        <v>538</v>
      </c>
      <c r="F208" s="30" t="s">
        <v>539</v>
      </c>
      <c r="G208" s="44">
        <v>0.3</v>
      </c>
      <c r="I208" s="58"/>
      <c r="J208" s="44">
        <v>0.25</v>
      </c>
      <c r="K208" s="44">
        <v>0.25</v>
      </c>
      <c r="L208" s="44">
        <v>0.25</v>
      </c>
      <c r="M208" s="44">
        <v>0.25</v>
      </c>
      <c r="O208" s="44">
        <v>0.25</v>
      </c>
      <c r="P208" s="44"/>
      <c r="Q208" s="44">
        <v>0.3</v>
      </c>
      <c r="R208" s="44">
        <v>0.3</v>
      </c>
      <c r="S208" s="44">
        <v>0.3</v>
      </c>
      <c r="V208" s="44">
        <v>0.3</v>
      </c>
      <c r="W208" s="44">
        <v>0.3</v>
      </c>
      <c r="X208" s="44">
        <v>0.3</v>
      </c>
      <c r="Y208" s="44">
        <v>0.3</v>
      </c>
      <c r="Z208" s="44">
        <v>0.3</v>
      </c>
      <c r="AA208" s="44">
        <v>0.3</v>
      </c>
      <c r="AB208" s="44">
        <v>0.3</v>
      </c>
      <c r="AC208" s="44">
        <v>0.3</v>
      </c>
      <c r="AD208" s="44">
        <v>0.3</v>
      </c>
      <c r="AE208" s="44">
        <v>0.3</v>
      </c>
      <c r="AF208" s="44">
        <v>0.3</v>
      </c>
      <c r="AG208"/>
      <c r="AH208" s="44">
        <v>0.3</v>
      </c>
      <c r="AI208" s="44">
        <v>0.3</v>
      </c>
      <c r="AJ208" s="44">
        <v>0.3</v>
      </c>
      <c r="AK208" s="44">
        <v>0.3</v>
      </c>
      <c r="AL208" s="44">
        <v>0.15</v>
      </c>
      <c r="AM208" s="44">
        <v>0.15</v>
      </c>
      <c r="AN208" s="44">
        <v>0.15</v>
      </c>
      <c r="AO208"/>
      <c r="AP208" s="44">
        <v>0.15</v>
      </c>
      <c r="AQ208" s="44">
        <v>0.15</v>
      </c>
      <c r="AR208" s="44">
        <v>0.15</v>
      </c>
      <c r="AS208" s="44">
        <v>0.15</v>
      </c>
      <c r="AT208"/>
      <c r="AU208" s="44">
        <v>0.15</v>
      </c>
      <c r="AV208"/>
      <c r="AW208"/>
      <c r="AX208" s="44">
        <v>0.3</v>
      </c>
      <c r="AY208" s="51"/>
      <c r="AZ208" s="51"/>
      <c r="BA208" s="51"/>
      <c r="BB208" s="51"/>
      <c r="BC208" s="51"/>
      <c r="BD208" s="51"/>
      <c r="BE208" s="51"/>
      <c r="BF208" s="51"/>
    </row>
    <row r="209" spans="1:58" x14ac:dyDescent="0.25">
      <c r="A209" s="2" t="s">
        <v>535</v>
      </c>
      <c r="B209" s="3" t="s">
        <v>473</v>
      </c>
      <c r="C209" s="3" t="s">
        <v>580</v>
      </c>
      <c r="D209" s="3" t="s">
        <v>581</v>
      </c>
      <c r="E209" s="50" t="s">
        <v>488</v>
      </c>
      <c r="F209" s="50" t="s">
        <v>487</v>
      </c>
      <c r="G209" s="44">
        <f t="shared" ref="G209:AX209" si="14">0.00002 / 14</f>
        <v>1.4285714285714286E-6</v>
      </c>
      <c r="I209" s="58"/>
      <c r="J209" s="44">
        <f t="shared" si="14"/>
        <v>1.4285714285714286E-6</v>
      </c>
      <c r="K209" s="44">
        <f t="shared" si="14"/>
        <v>1.4285714285714286E-6</v>
      </c>
      <c r="L209" s="44">
        <f t="shared" si="14"/>
        <v>1.4285714285714286E-6</v>
      </c>
      <c r="M209" s="44">
        <f t="shared" si="14"/>
        <v>1.4285714285714286E-6</v>
      </c>
      <c r="O209" s="44">
        <f t="shared" si="14"/>
        <v>1.4285714285714286E-6</v>
      </c>
      <c r="P209" s="44"/>
      <c r="Q209" s="44">
        <f t="shared" si="14"/>
        <v>1.4285714285714286E-6</v>
      </c>
      <c r="R209" s="44">
        <v>2E-3</v>
      </c>
      <c r="S209" s="44">
        <f t="shared" si="14"/>
        <v>1.4285714285714286E-6</v>
      </c>
      <c r="V209" s="44">
        <f t="shared" si="14"/>
        <v>1.4285714285714286E-6</v>
      </c>
      <c r="W209" s="44">
        <f t="shared" si="14"/>
        <v>1.4285714285714286E-6</v>
      </c>
      <c r="X209" s="44">
        <f t="shared" si="14"/>
        <v>1.4285714285714286E-6</v>
      </c>
      <c r="Y209" s="44">
        <f t="shared" si="14"/>
        <v>1.4285714285714286E-6</v>
      </c>
      <c r="Z209" s="44">
        <f t="shared" si="14"/>
        <v>1.4285714285714286E-6</v>
      </c>
      <c r="AA209" s="44">
        <f t="shared" si="14"/>
        <v>1.4285714285714286E-6</v>
      </c>
      <c r="AB209" s="44">
        <f t="shared" si="14"/>
        <v>1.4285714285714286E-6</v>
      </c>
      <c r="AC209" s="44">
        <f t="shared" si="14"/>
        <v>1.4285714285714286E-6</v>
      </c>
      <c r="AD209" s="44">
        <f t="shared" si="14"/>
        <v>1.4285714285714286E-6</v>
      </c>
      <c r="AE209" s="44">
        <f t="shared" si="14"/>
        <v>1.4285714285714286E-6</v>
      </c>
      <c r="AF209" s="44">
        <f t="shared" si="14"/>
        <v>1.4285714285714286E-6</v>
      </c>
      <c r="AG209"/>
      <c r="AH209" s="44">
        <f t="shared" si="14"/>
        <v>1.4285714285714286E-6</v>
      </c>
      <c r="AI209" s="44">
        <f t="shared" si="14"/>
        <v>1.4285714285714286E-6</v>
      </c>
      <c r="AJ209" s="44">
        <f t="shared" si="14"/>
        <v>1.4285714285714286E-6</v>
      </c>
      <c r="AK209" s="44">
        <f t="shared" si="14"/>
        <v>1.4285714285714286E-6</v>
      </c>
      <c r="AL209" s="44">
        <f t="shared" si="14"/>
        <v>1.4285714285714286E-6</v>
      </c>
      <c r="AM209" s="44">
        <f t="shared" si="14"/>
        <v>1.4285714285714286E-6</v>
      </c>
      <c r="AN209" s="44">
        <f t="shared" si="14"/>
        <v>1.4285714285714286E-6</v>
      </c>
      <c r="AO209"/>
      <c r="AP209" s="44">
        <f t="shared" si="14"/>
        <v>1.4285714285714286E-6</v>
      </c>
      <c r="AQ209" s="44">
        <f t="shared" si="14"/>
        <v>1.4285714285714286E-6</v>
      </c>
      <c r="AR209" s="44">
        <f t="shared" si="14"/>
        <v>1.4285714285714286E-6</v>
      </c>
      <c r="AS209" s="44">
        <f t="shared" si="14"/>
        <v>1.4285714285714286E-6</v>
      </c>
      <c r="AT209"/>
      <c r="AU209" s="44">
        <v>2E-3</v>
      </c>
      <c r="AV209"/>
      <c r="AW209"/>
      <c r="AX209" s="44">
        <f t="shared" si="14"/>
        <v>1.4285714285714286E-6</v>
      </c>
      <c r="AY209" s="37"/>
      <c r="AZ209" s="37"/>
      <c r="BA209" s="37"/>
      <c r="BB209" s="37"/>
      <c r="BC209" s="37"/>
      <c r="BD209" s="37"/>
      <c r="BE209" s="37"/>
      <c r="BF209" s="37"/>
    </row>
    <row r="210" spans="1:58" x14ac:dyDescent="0.25">
      <c r="A210" s="2" t="s">
        <v>489</v>
      </c>
      <c r="B210" s="3" t="s">
        <v>473</v>
      </c>
      <c r="C210" s="3" t="s">
        <v>580</v>
      </c>
      <c r="D210" s="3" t="s">
        <v>581</v>
      </c>
      <c r="E210" s="50" t="s">
        <v>490</v>
      </c>
      <c r="F210" s="50" t="s">
        <v>491</v>
      </c>
      <c r="G210" s="44" t="s">
        <v>485</v>
      </c>
      <c r="I210" s="58"/>
      <c r="J210" s="44" t="s">
        <v>485</v>
      </c>
      <c r="K210" s="44" t="s">
        <v>485</v>
      </c>
      <c r="L210" s="44" t="s">
        <v>485</v>
      </c>
      <c r="M210" s="44" t="s">
        <v>485</v>
      </c>
      <c r="O210" s="44" t="s">
        <v>485</v>
      </c>
      <c r="P210" s="44"/>
      <c r="Q210" s="44" t="s">
        <v>485</v>
      </c>
      <c r="R210" s="44">
        <v>0.1</v>
      </c>
      <c r="S210" s="44" t="s">
        <v>485</v>
      </c>
      <c r="V210" s="44" t="s">
        <v>485</v>
      </c>
      <c r="W210" s="44" t="s">
        <v>485</v>
      </c>
      <c r="X210" s="44" t="s">
        <v>485</v>
      </c>
      <c r="Y210" s="44" t="s">
        <v>485</v>
      </c>
      <c r="Z210" s="44" t="s">
        <v>485</v>
      </c>
      <c r="AA210" s="44" t="s">
        <v>485</v>
      </c>
      <c r="AB210" s="44" t="s">
        <v>485</v>
      </c>
      <c r="AC210" s="44" t="s">
        <v>485</v>
      </c>
      <c r="AD210" s="44" t="s">
        <v>485</v>
      </c>
      <c r="AE210" s="44" t="s">
        <v>485</v>
      </c>
      <c r="AF210" s="44" t="s">
        <v>485</v>
      </c>
      <c r="AG210"/>
      <c r="AH210" s="44" t="s">
        <v>485</v>
      </c>
      <c r="AI210" s="44" t="s">
        <v>485</v>
      </c>
      <c r="AJ210" s="44" t="s">
        <v>485</v>
      </c>
      <c r="AK210" s="44" t="s">
        <v>485</v>
      </c>
      <c r="AL210" s="44" t="s">
        <v>485</v>
      </c>
      <c r="AM210" s="44" t="s">
        <v>485</v>
      </c>
      <c r="AN210" s="44" t="s">
        <v>485</v>
      </c>
      <c r="AO210"/>
      <c r="AP210" s="44" t="s">
        <v>485</v>
      </c>
      <c r="AQ210" s="44" t="s">
        <v>485</v>
      </c>
      <c r="AR210" s="44" t="s">
        <v>485</v>
      </c>
      <c r="AS210" s="44" t="s">
        <v>485</v>
      </c>
      <c r="AT210"/>
      <c r="AU210" s="44">
        <v>0.1</v>
      </c>
      <c r="AV210"/>
      <c r="AW210"/>
      <c r="AX210" s="44" t="s">
        <v>485</v>
      </c>
      <c r="AY210" s="37"/>
      <c r="AZ210" s="37"/>
      <c r="BA210" s="37"/>
      <c r="BB210" s="37"/>
      <c r="BC210" s="37"/>
      <c r="BD210" s="37"/>
      <c r="BE210" s="37"/>
      <c r="BF210" s="37"/>
    </row>
    <row r="211" spans="1:58" x14ac:dyDescent="0.25">
      <c r="A211" s="2" t="s">
        <v>492</v>
      </c>
      <c r="B211" s="3" t="s">
        <v>473</v>
      </c>
      <c r="C211" s="3" t="s">
        <v>580</v>
      </c>
      <c r="D211" s="3" t="s">
        <v>581</v>
      </c>
      <c r="E211" s="50" t="s">
        <v>493</v>
      </c>
      <c r="F211" s="50" t="s">
        <v>491</v>
      </c>
      <c r="G211" s="44">
        <v>0</v>
      </c>
      <c r="I211" s="58"/>
      <c r="J211" s="44">
        <v>0</v>
      </c>
      <c r="K211" s="44">
        <v>0</v>
      </c>
      <c r="L211" s="44">
        <v>0</v>
      </c>
      <c r="M211" s="44">
        <v>0</v>
      </c>
      <c r="O211" s="44">
        <v>0</v>
      </c>
      <c r="P211" s="44"/>
      <c r="Q211" s="44">
        <v>0</v>
      </c>
      <c r="R211" s="44">
        <v>0.04</v>
      </c>
      <c r="S211" s="44">
        <v>0</v>
      </c>
      <c r="V211" s="44">
        <v>0</v>
      </c>
      <c r="W211" s="44">
        <v>0</v>
      </c>
      <c r="X211" s="44">
        <v>0</v>
      </c>
      <c r="Y211" s="44">
        <v>0</v>
      </c>
      <c r="Z211" s="44">
        <v>0</v>
      </c>
      <c r="AA211" s="44">
        <v>0</v>
      </c>
      <c r="AB211" s="44">
        <v>0</v>
      </c>
      <c r="AC211" s="44">
        <v>0</v>
      </c>
      <c r="AD211" s="44">
        <v>0</v>
      </c>
      <c r="AE211" s="44">
        <v>0</v>
      </c>
      <c r="AF211" s="44">
        <v>0</v>
      </c>
      <c r="AG211"/>
      <c r="AH211" s="44">
        <v>0</v>
      </c>
      <c r="AI211" s="44">
        <v>0</v>
      </c>
      <c r="AJ211" s="44">
        <v>0</v>
      </c>
      <c r="AK211" s="44">
        <v>0</v>
      </c>
      <c r="AL211" s="44">
        <v>0</v>
      </c>
      <c r="AM211" s="44">
        <v>0</v>
      </c>
      <c r="AN211" s="44">
        <v>0</v>
      </c>
      <c r="AO211"/>
      <c r="AP211" s="44">
        <v>0</v>
      </c>
      <c r="AQ211" s="44">
        <v>0</v>
      </c>
      <c r="AR211" s="44">
        <v>0</v>
      </c>
      <c r="AS211" s="44">
        <v>0</v>
      </c>
      <c r="AT211"/>
      <c r="AU211" s="44">
        <v>0.04</v>
      </c>
      <c r="AV211"/>
      <c r="AW211"/>
      <c r="AX211" s="44">
        <v>0</v>
      </c>
      <c r="AY211" s="37"/>
      <c r="AZ211" s="37"/>
      <c r="BA211" s="37"/>
      <c r="BB211" s="37"/>
      <c r="BC211" s="37"/>
      <c r="BD211" s="37"/>
      <c r="BE211" s="37"/>
      <c r="BF211" s="37"/>
    </row>
    <row r="212" spans="1:58" x14ac:dyDescent="0.25">
      <c r="A212" s="2" t="s">
        <v>494</v>
      </c>
      <c r="B212" s="3" t="s">
        <v>473</v>
      </c>
      <c r="C212" s="3" t="s">
        <v>580</v>
      </c>
      <c r="D212" s="3" t="s">
        <v>581</v>
      </c>
      <c r="E212" s="50" t="s">
        <v>495</v>
      </c>
      <c r="F212" s="50" t="s">
        <v>491</v>
      </c>
      <c r="G212" s="44">
        <v>1E-3</v>
      </c>
      <c r="I212" s="58"/>
      <c r="J212" s="44">
        <v>1E-3</v>
      </c>
      <c r="K212" s="44">
        <v>1E-3</v>
      </c>
      <c r="L212" s="44">
        <v>1E-3</v>
      </c>
      <c r="M212" s="44">
        <v>1E-3</v>
      </c>
      <c r="O212" s="44">
        <v>1E-3</v>
      </c>
      <c r="P212" s="44"/>
      <c r="Q212" s="44">
        <v>1E-3</v>
      </c>
      <c r="R212" s="44">
        <v>1E-3</v>
      </c>
      <c r="S212" s="44">
        <v>1E-3</v>
      </c>
      <c r="V212" s="44">
        <v>1E-3</v>
      </c>
      <c r="W212" s="44">
        <v>1E-3</v>
      </c>
      <c r="X212" s="44">
        <v>1E-3</v>
      </c>
      <c r="Y212" s="44">
        <v>1E-3</v>
      </c>
      <c r="Z212" s="44">
        <v>1E-3</v>
      </c>
      <c r="AA212" s="44">
        <v>1E-3</v>
      </c>
      <c r="AB212" s="44">
        <v>1E-3</v>
      </c>
      <c r="AC212" s="44">
        <v>1E-3</v>
      </c>
      <c r="AD212" s="44">
        <v>1E-3</v>
      </c>
      <c r="AE212" s="44">
        <v>1E-3</v>
      </c>
      <c r="AF212" s="44">
        <v>1E-3</v>
      </c>
      <c r="AG212"/>
      <c r="AH212" s="44">
        <v>1E-3</v>
      </c>
      <c r="AI212" s="44">
        <v>1E-3</v>
      </c>
      <c r="AJ212" s="44">
        <v>1E-3</v>
      </c>
      <c r="AK212" s="44">
        <v>1E-3</v>
      </c>
      <c r="AL212" s="44">
        <v>1E-3</v>
      </c>
      <c r="AM212" s="44">
        <v>1E-3</v>
      </c>
      <c r="AN212" s="44">
        <v>1E-3</v>
      </c>
      <c r="AO212"/>
      <c r="AP212" s="44">
        <v>1E-3</v>
      </c>
      <c r="AQ212" s="44">
        <v>1E-3</v>
      </c>
      <c r="AR212" s="44">
        <v>1E-3</v>
      </c>
      <c r="AS212" s="44">
        <v>1E-3</v>
      </c>
      <c r="AT212"/>
      <c r="AU212" s="44">
        <v>1E-3</v>
      </c>
      <c r="AV212"/>
      <c r="AW212"/>
      <c r="AX212" s="44">
        <v>1E-3</v>
      </c>
      <c r="AY212" s="37"/>
      <c r="AZ212" s="37"/>
      <c r="BA212" s="37"/>
      <c r="BB212" s="37"/>
      <c r="BC212" s="37"/>
      <c r="BD212" s="37"/>
      <c r="BE212" s="37"/>
      <c r="BF212" s="37"/>
    </row>
    <row r="213" spans="1:58" x14ac:dyDescent="0.25">
      <c r="A213" s="2" t="s">
        <v>496</v>
      </c>
      <c r="B213" s="3" t="s">
        <v>473</v>
      </c>
      <c r="C213" s="3" t="s">
        <v>483</v>
      </c>
      <c r="D213" s="3" t="s">
        <v>521</v>
      </c>
      <c r="E213" s="50" t="s">
        <v>497</v>
      </c>
      <c r="F213" s="50" t="s">
        <v>498</v>
      </c>
      <c r="G213" s="44">
        <f>1.25*0.000001</f>
        <v>1.2499999999999999E-6</v>
      </c>
      <c r="I213" s="58"/>
      <c r="J213" s="44">
        <f t="shared" ref="J213:AX213" si="15">1250*0.000001/5</f>
        <v>2.5000000000000001E-4</v>
      </c>
      <c r="K213" s="44">
        <f t="shared" si="15"/>
        <v>2.5000000000000001E-4</v>
      </c>
      <c r="L213" s="44">
        <f>1250*0.000001/5</f>
        <v>2.5000000000000001E-4</v>
      </c>
      <c r="M213" s="44">
        <f>1250*0.000001/5</f>
        <v>2.5000000000000001E-4</v>
      </c>
      <c r="O213" s="44">
        <f t="shared" si="15"/>
        <v>2.5000000000000001E-4</v>
      </c>
      <c r="P213" s="44"/>
      <c r="Q213" s="44">
        <f t="shared" si="15"/>
        <v>2.5000000000000001E-4</v>
      </c>
      <c r="R213" s="44">
        <f t="shared" si="15"/>
        <v>2.5000000000000001E-4</v>
      </c>
      <c r="S213" s="44">
        <f t="shared" si="15"/>
        <v>2.5000000000000001E-4</v>
      </c>
      <c r="V213" s="44">
        <f t="shared" si="15"/>
        <v>2.5000000000000001E-4</v>
      </c>
      <c r="W213" s="44">
        <f t="shared" si="15"/>
        <v>2.5000000000000001E-4</v>
      </c>
      <c r="X213" s="44">
        <f t="shared" si="15"/>
        <v>2.5000000000000001E-4</v>
      </c>
      <c r="Y213" s="44">
        <f t="shared" si="15"/>
        <v>2.5000000000000001E-4</v>
      </c>
      <c r="Z213" s="44">
        <f t="shared" si="15"/>
        <v>2.5000000000000001E-4</v>
      </c>
      <c r="AA213" s="44">
        <f t="shared" si="15"/>
        <v>2.5000000000000001E-4</v>
      </c>
      <c r="AB213" s="44">
        <f t="shared" si="15"/>
        <v>2.5000000000000001E-4</v>
      </c>
      <c r="AC213" s="44">
        <f t="shared" si="15"/>
        <v>2.5000000000000001E-4</v>
      </c>
      <c r="AD213" s="44">
        <f t="shared" si="15"/>
        <v>2.5000000000000001E-4</v>
      </c>
      <c r="AE213" s="44">
        <f t="shared" si="15"/>
        <v>2.5000000000000001E-4</v>
      </c>
      <c r="AF213" s="44">
        <f t="shared" si="15"/>
        <v>2.5000000000000001E-4</v>
      </c>
      <c r="AG213"/>
      <c r="AH213" s="44">
        <f t="shared" si="15"/>
        <v>2.5000000000000001E-4</v>
      </c>
      <c r="AI213" s="44">
        <f t="shared" si="15"/>
        <v>2.5000000000000001E-4</v>
      </c>
      <c r="AJ213" s="44">
        <f t="shared" si="15"/>
        <v>2.5000000000000001E-4</v>
      </c>
      <c r="AK213" s="44">
        <f t="shared" si="15"/>
        <v>2.5000000000000001E-4</v>
      </c>
      <c r="AL213" s="44">
        <f t="shared" si="15"/>
        <v>2.5000000000000001E-4</v>
      </c>
      <c r="AM213" s="44">
        <f t="shared" si="15"/>
        <v>2.5000000000000001E-4</v>
      </c>
      <c r="AN213" s="44">
        <f t="shared" si="15"/>
        <v>2.5000000000000001E-4</v>
      </c>
      <c r="AO213"/>
      <c r="AP213" s="44">
        <f t="shared" si="15"/>
        <v>2.5000000000000001E-4</v>
      </c>
      <c r="AQ213" s="44">
        <f t="shared" si="15"/>
        <v>2.5000000000000001E-4</v>
      </c>
      <c r="AR213" s="44">
        <f t="shared" si="15"/>
        <v>2.5000000000000001E-4</v>
      </c>
      <c r="AS213" s="44">
        <f t="shared" si="15"/>
        <v>2.5000000000000001E-4</v>
      </c>
      <c r="AT213"/>
      <c r="AU213" s="44">
        <f t="shared" si="15"/>
        <v>2.5000000000000001E-4</v>
      </c>
      <c r="AV213"/>
      <c r="AW213"/>
      <c r="AX213" s="44">
        <f t="shared" si="15"/>
        <v>2.5000000000000001E-4</v>
      </c>
      <c r="AY213" s="51"/>
      <c r="AZ213" s="51"/>
      <c r="BA213" s="51"/>
      <c r="BB213" s="51"/>
      <c r="BC213" s="51"/>
      <c r="BD213" s="51"/>
      <c r="BE213" s="51"/>
      <c r="BF213" s="51"/>
    </row>
    <row r="214" spans="1:58" x14ac:dyDescent="0.25">
      <c r="A214" s="2" t="s">
        <v>499</v>
      </c>
      <c r="B214" s="3" t="s">
        <v>473</v>
      </c>
      <c r="C214" s="3" t="s">
        <v>483</v>
      </c>
      <c r="D214" s="3" t="s">
        <v>521</v>
      </c>
      <c r="E214" s="50" t="s">
        <v>500</v>
      </c>
      <c r="F214" s="50" t="s">
        <v>501</v>
      </c>
      <c r="G214" s="44">
        <v>2.0000000000000001E-4</v>
      </c>
      <c r="I214" s="58"/>
      <c r="J214" s="44">
        <v>2.0000000000000001E-4</v>
      </c>
      <c r="K214" s="44">
        <v>2.0000000000000001E-4</v>
      </c>
      <c r="L214" s="44">
        <v>2.0000000000000001E-4</v>
      </c>
      <c r="M214" s="44">
        <v>2.0000000000000001E-4</v>
      </c>
      <c r="O214" s="44">
        <v>2.0000000000000001E-4</v>
      </c>
      <c r="P214" s="44"/>
      <c r="Q214" s="44">
        <v>2.0000000000000001E-4</v>
      </c>
      <c r="R214" s="44">
        <v>2.0000000000000001E-4</v>
      </c>
      <c r="S214" s="44">
        <v>2.0000000000000001E-4</v>
      </c>
      <c r="T214" s="1">
        <f>44.4365413894298/21.9053373</f>
        <v>2.0285714290019081</v>
      </c>
      <c r="V214" s="44">
        <v>2.0000000000000001E-4</v>
      </c>
      <c r="W214" s="44">
        <v>2.0000000000000001E-4</v>
      </c>
      <c r="X214" s="44">
        <v>2.0000000000000001E-4</v>
      </c>
      <c r="Y214" s="44">
        <v>2.0000000000000001E-4</v>
      </c>
      <c r="Z214" s="44">
        <v>2.0000000000000001E-4</v>
      </c>
      <c r="AA214" s="44">
        <v>2.0000000000000001E-4</v>
      </c>
      <c r="AB214" s="44">
        <v>2.0000000000000001E-4</v>
      </c>
      <c r="AC214" s="44">
        <v>2.0000000000000001E-4</v>
      </c>
      <c r="AD214" s="44">
        <v>2.0000000000000001E-4</v>
      </c>
      <c r="AE214" s="44">
        <v>2.0000000000000001E-4</v>
      </c>
      <c r="AF214" s="44">
        <v>2.0000000000000001E-4</v>
      </c>
      <c r="AG214"/>
      <c r="AH214" s="44">
        <v>2.0000000000000001E-4</v>
      </c>
      <c r="AI214" s="44">
        <v>2.0000000000000001E-4</v>
      </c>
      <c r="AJ214" s="44">
        <v>2.0000000000000001E-4</v>
      </c>
      <c r="AK214" s="44">
        <v>2.0000000000000001E-4</v>
      </c>
      <c r="AL214" s="44">
        <v>2.0000000000000001E-4</v>
      </c>
      <c r="AM214" s="44">
        <v>2.0000000000000001E-4</v>
      </c>
      <c r="AN214" s="44">
        <v>2.0000000000000001E-4</v>
      </c>
      <c r="AO214"/>
      <c r="AP214" s="44">
        <v>2.0000000000000001E-4</v>
      </c>
      <c r="AQ214" s="44">
        <v>2.0000000000000001E-4</v>
      </c>
      <c r="AR214" s="44">
        <v>2.0000000000000001E-4</v>
      </c>
      <c r="AS214" s="44">
        <v>2.0000000000000001E-4</v>
      </c>
      <c r="AT214"/>
      <c r="AU214" s="44">
        <v>2.0000000000000001E-4</v>
      </c>
      <c r="AV214"/>
      <c r="AW214"/>
      <c r="AX214" s="44">
        <v>2.0000000000000001E-4</v>
      </c>
      <c r="AY214" s="51"/>
      <c r="AZ214" s="51"/>
      <c r="BA214" s="51"/>
      <c r="BB214" s="51"/>
      <c r="BC214" s="51"/>
      <c r="BD214" s="51"/>
      <c r="BE214" s="51"/>
      <c r="BF214" s="51"/>
    </row>
    <row r="215" spans="1:58" x14ac:dyDescent="0.25">
      <c r="A215" s="2" t="s">
        <v>502</v>
      </c>
      <c r="B215" s="3" t="s">
        <v>473</v>
      </c>
      <c r="C215" s="3" t="s">
        <v>483</v>
      </c>
      <c r="D215" s="3" t="s">
        <v>521</v>
      </c>
      <c r="E215" s="50" t="s">
        <v>503</v>
      </c>
      <c r="F215" s="50" t="s">
        <v>504</v>
      </c>
      <c r="G215" s="44">
        <v>2.4999999999999998E-12</v>
      </c>
      <c r="I215" s="44">
        <f xml:space="preserve"> 0.0000000000025 * 10</f>
        <v>2.4999999999999998E-11</v>
      </c>
      <c r="J215" s="44">
        <f>0.0000000000025/50</f>
        <v>4.9999999999999995E-14</v>
      </c>
      <c r="K215" s="44">
        <f>0.0000000000025/50</f>
        <v>4.9999999999999995E-14</v>
      </c>
      <c r="L215" s="44">
        <f>0.0000000000025/50</f>
        <v>4.9999999999999995E-14</v>
      </c>
      <c r="M215" s="44">
        <f>0.0000000000025/50 * 10</f>
        <v>4.9999999999999999E-13</v>
      </c>
      <c r="N215" s="1" t="s">
        <v>609</v>
      </c>
      <c r="O215" s="44">
        <f>0.0000000000025/50</f>
        <v>4.9999999999999995E-14</v>
      </c>
      <c r="P215" s="44"/>
      <c r="Q215" s="44">
        <v>2.4999999999999999E-13</v>
      </c>
      <c r="R215" s="44">
        <v>2.4999999999999999E-13</v>
      </c>
      <c r="S215" s="44">
        <v>2.4999999999999999E-13</v>
      </c>
      <c r="V215" s="44">
        <v>2.4999999999999999E-13</v>
      </c>
      <c r="W215" s="44">
        <v>2.4999999999999999E-13</v>
      </c>
      <c r="X215" s="44">
        <v>2.4999999999999999E-13</v>
      </c>
      <c r="Y215" s="44">
        <v>2.4999999999999999E-13</v>
      </c>
      <c r="Z215" s="44">
        <v>2.4999999999999999E-13</v>
      </c>
      <c r="AA215" s="44">
        <v>2.4999999999999999E-13</v>
      </c>
      <c r="AB215" s="44">
        <v>2.4999999999999999E-13</v>
      </c>
      <c r="AC215" s="44">
        <v>2.4999999999999999E-13</v>
      </c>
      <c r="AD215" s="44">
        <v>2.4999999999999999E-13</v>
      </c>
      <c r="AE215" s="44">
        <v>2.4999999999999999E-13</v>
      </c>
      <c r="AF215" s="44">
        <v>2.4999999999999999E-13</v>
      </c>
      <c r="AG215"/>
      <c r="AH215" s="44">
        <v>2.4999999999999999E-13</v>
      </c>
      <c r="AI215" s="44">
        <v>2.4999999999999999E-13</v>
      </c>
      <c r="AJ215" s="44">
        <v>2.4999999999999999E-13</v>
      </c>
      <c r="AK215" s="44">
        <v>2.4999999999999999E-13</v>
      </c>
      <c r="AL215" s="44">
        <v>2.4999999999999999E-13</v>
      </c>
      <c r="AM215" s="44">
        <v>2.4999999999999999E-13</v>
      </c>
      <c r="AN215" s="44">
        <v>2.4999999999999999E-13</v>
      </c>
      <c r="AO215"/>
      <c r="AP215" s="44">
        <v>2.4999999999999999E-13</v>
      </c>
      <c r="AQ215" s="44">
        <v>2.4999999999999999E-13</v>
      </c>
      <c r="AR215" s="44">
        <v>2.4999999999999999E-13</v>
      </c>
      <c r="AS215" s="44">
        <v>2.4999999999999999E-13</v>
      </c>
      <c r="AT215"/>
      <c r="AU215" s="44">
        <v>2.4999999999999999E-13</v>
      </c>
      <c r="AV215"/>
      <c r="AW215"/>
      <c r="AX215" s="44">
        <v>2.4999999999999999E-13</v>
      </c>
      <c r="AY215" s="51"/>
      <c r="AZ215" s="51"/>
      <c r="BA215" s="51"/>
      <c r="BB215" s="51"/>
      <c r="BC215" s="51"/>
      <c r="BD215" s="51"/>
      <c r="BE215" s="51"/>
      <c r="BF215" s="51"/>
    </row>
    <row r="216" spans="1:58" x14ac:dyDescent="0.25">
      <c r="A216" s="2" t="s">
        <v>505</v>
      </c>
      <c r="B216" s="3" t="s">
        <v>473</v>
      </c>
      <c r="C216" s="3" t="s">
        <v>483</v>
      </c>
      <c r="D216" s="3" t="s">
        <v>521</v>
      </c>
      <c r="E216" s="50" t="s">
        <v>506</v>
      </c>
      <c r="F216" s="50" t="s">
        <v>504</v>
      </c>
      <c r="G216" s="44">
        <v>1.2E-8</v>
      </c>
      <c r="I216" s="58"/>
      <c r="J216" s="44">
        <f>0.00000000005 / 10</f>
        <v>5.0000000000000005E-12</v>
      </c>
      <c r="K216" s="44">
        <f>0.00000000005/ 10</f>
        <v>5.0000000000000005E-12</v>
      </c>
      <c r="L216" s="44">
        <f>0.00000000005</f>
        <v>5.0000000000000002E-11</v>
      </c>
      <c r="M216" s="44">
        <f>0.00000000005</f>
        <v>5.0000000000000002E-11</v>
      </c>
      <c r="O216" s="44">
        <f>0.00000000005*2 / 10 / 2</f>
        <v>5.0000000000000005E-12</v>
      </c>
      <c r="P216" s="44"/>
      <c r="Q216" s="44">
        <f t="shared" ref="Q216:AU217" si="16">0.00000012*100</f>
        <v>1.1999999999999999E-5</v>
      </c>
      <c r="R216" s="44">
        <f t="shared" si="16"/>
        <v>1.1999999999999999E-5</v>
      </c>
      <c r="S216" s="44">
        <f t="shared" si="16"/>
        <v>1.1999999999999999E-5</v>
      </c>
      <c r="V216" s="44">
        <f t="shared" si="16"/>
        <v>1.1999999999999999E-5</v>
      </c>
      <c r="W216" s="44">
        <f t="shared" si="16"/>
        <v>1.1999999999999999E-5</v>
      </c>
      <c r="X216" s="44">
        <f t="shared" si="16"/>
        <v>1.1999999999999999E-5</v>
      </c>
      <c r="Y216" s="44">
        <f t="shared" si="16"/>
        <v>1.1999999999999999E-5</v>
      </c>
      <c r="Z216" s="44">
        <f t="shared" si="16"/>
        <v>1.1999999999999999E-5</v>
      </c>
      <c r="AA216" s="44">
        <f t="shared" si="16"/>
        <v>1.1999999999999999E-5</v>
      </c>
      <c r="AB216" s="44">
        <f t="shared" si="16"/>
        <v>1.1999999999999999E-5</v>
      </c>
      <c r="AC216" s="44">
        <f t="shared" si="16"/>
        <v>1.1999999999999999E-5</v>
      </c>
      <c r="AD216" s="44">
        <f t="shared" si="16"/>
        <v>1.1999999999999999E-5</v>
      </c>
      <c r="AE216" s="44">
        <f t="shared" si="16"/>
        <v>1.1999999999999999E-5</v>
      </c>
      <c r="AF216" s="44">
        <f t="shared" si="16"/>
        <v>1.1999999999999999E-5</v>
      </c>
      <c r="AG216"/>
      <c r="AH216" s="44">
        <f t="shared" si="16"/>
        <v>1.1999999999999999E-5</v>
      </c>
      <c r="AI216" s="44">
        <f t="shared" si="16"/>
        <v>1.1999999999999999E-5</v>
      </c>
      <c r="AJ216" s="44">
        <f t="shared" si="16"/>
        <v>1.1999999999999999E-5</v>
      </c>
      <c r="AK216" s="44">
        <f t="shared" si="16"/>
        <v>1.1999999999999999E-5</v>
      </c>
      <c r="AL216" s="44">
        <f t="shared" si="16"/>
        <v>1.1999999999999999E-5</v>
      </c>
      <c r="AM216" s="44">
        <f t="shared" si="16"/>
        <v>1.1999999999999999E-5</v>
      </c>
      <c r="AN216" s="44">
        <f t="shared" si="16"/>
        <v>1.1999999999999999E-5</v>
      </c>
      <c r="AO216"/>
      <c r="AP216" s="44">
        <f t="shared" si="16"/>
        <v>1.1999999999999999E-5</v>
      </c>
      <c r="AQ216" s="44">
        <f t="shared" si="16"/>
        <v>1.1999999999999999E-5</v>
      </c>
      <c r="AR216" s="44">
        <f t="shared" si="16"/>
        <v>1.1999999999999999E-5</v>
      </c>
      <c r="AS216" s="44">
        <f t="shared" si="16"/>
        <v>1.1999999999999999E-5</v>
      </c>
      <c r="AT216"/>
      <c r="AU216" s="44">
        <f t="shared" si="16"/>
        <v>1.1999999999999999E-5</v>
      </c>
      <c r="AV216"/>
      <c r="AW216"/>
      <c r="AX216" s="44">
        <f>0.00000012*100</f>
        <v>1.1999999999999999E-5</v>
      </c>
      <c r="AY216" s="51"/>
      <c r="AZ216" s="51"/>
      <c r="BA216" s="51"/>
      <c r="BB216" s="51"/>
      <c r="BC216" s="51"/>
      <c r="BD216" s="51"/>
      <c r="BE216" s="51"/>
      <c r="BF216" s="51"/>
    </row>
    <row r="217" spans="1:58" x14ac:dyDescent="0.25">
      <c r="A217" s="2" t="s">
        <v>598</v>
      </c>
      <c r="B217" s="3" t="s">
        <v>473</v>
      </c>
      <c r="C217" s="3" t="s">
        <v>483</v>
      </c>
      <c r="D217" s="3" t="s">
        <v>521</v>
      </c>
      <c r="E217" s="50" t="s">
        <v>506</v>
      </c>
      <c r="F217" s="50" t="s">
        <v>504</v>
      </c>
      <c r="G217" s="44">
        <v>1.2E-8</v>
      </c>
      <c r="I217" s="58"/>
      <c r="J217" s="44">
        <f>0.00000000005*2 / 10 / 2</f>
        <v>5.0000000000000005E-12</v>
      </c>
      <c r="K217" s="44">
        <f>K216</f>
        <v>5.0000000000000005E-12</v>
      </c>
      <c r="L217" s="44">
        <f>L216/3</f>
        <v>1.6666666666666667E-11</v>
      </c>
      <c r="M217" s="44">
        <f>M216/3</f>
        <v>1.6666666666666667E-11</v>
      </c>
      <c r="N217" s="1" t="s">
        <v>605</v>
      </c>
      <c r="O217" s="44">
        <f>0.00000000005*2 / 10 / 2</f>
        <v>5.0000000000000005E-12</v>
      </c>
      <c r="P217" s="44"/>
      <c r="Q217" s="44">
        <f t="shared" si="16"/>
        <v>1.1999999999999999E-5</v>
      </c>
      <c r="R217" s="44">
        <f t="shared" si="16"/>
        <v>1.1999999999999999E-5</v>
      </c>
      <c r="S217" s="44">
        <f t="shared" si="16"/>
        <v>1.1999999999999999E-5</v>
      </c>
      <c r="V217" s="44">
        <f t="shared" si="16"/>
        <v>1.1999999999999999E-5</v>
      </c>
      <c r="W217" s="44">
        <f t="shared" si="16"/>
        <v>1.1999999999999999E-5</v>
      </c>
      <c r="X217" s="44">
        <f t="shared" si="16"/>
        <v>1.1999999999999999E-5</v>
      </c>
      <c r="Y217" s="44">
        <f t="shared" si="16"/>
        <v>1.1999999999999999E-5</v>
      </c>
      <c r="Z217" s="44">
        <f t="shared" si="16"/>
        <v>1.1999999999999999E-5</v>
      </c>
      <c r="AA217" s="44">
        <f t="shared" si="16"/>
        <v>1.1999999999999999E-5</v>
      </c>
      <c r="AB217" s="44">
        <f t="shared" si="16"/>
        <v>1.1999999999999999E-5</v>
      </c>
      <c r="AC217" s="44">
        <f t="shared" si="16"/>
        <v>1.1999999999999999E-5</v>
      </c>
      <c r="AD217" s="44">
        <f t="shared" si="16"/>
        <v>1.1999999999999999E-5</v>
      </c>
      <c r="AE217" s="44">
        <f t="shared" si="16"/>
        <v>1.1999999999999999E-5</v>
      </c>
      <c r="AF217" s="44">
        <f t="shared" si="16"/>
        <v>1.1999999999999999E-5</v>
      </c>
      <c r="AG217"/>
      <c r="AH217" s="44">
        <f t="shared" si="16"/>
        <v>1.1999999999999999E-5</v>
      </c>
      <c r="AI217" s="44">
        <f t="shared" si="16"/>
        <v>1.1999999999999999E-5</v>
      </c>
      <c r="AJ217" s="44">
        <f t="shared" si="16"/>
        <v>1.1999999999999999E-5</v>
      </c>
      <c r="AK217" s="44">
        <f t="shared" si="16"/>
        <v>1.1999999999999999E-5</v>
      </c>
      <c r="AL217" s="44">
        <f t="shared" si="16"/>
        <v>1.1999999999999999E-5</v>
      </c>
      <c r="AM217" s="44">
        <f t="shared" si="16"/>
        <v>1.1999999999999999E-5</v>
      </c>
      <c r="AN217" s="44">
        <f t="shared" si="16"/>
        <v>1.1999999999999999E-5</v>
      </c>
      <c r="AO217"/>
      <c r="AP217" s="44">
        <f t="shared" si="16"/>
        <v>1.1999999999999999E-5</v>
      </c>
      <c r="AQ217" s="44">
        <f t="shared" si="16"/>
        <v>1.1999999999999999E-5</v>
      </c>
      <c r="AR217" s="44">
        <f t="shared" si="16"/>
        <v>1.1999999999999999E-5</v>
      </c>
      <c r="AS217" s="44">
        <f t="shared" si="16"/>
        <v>1.1999999999999999E-5</v>
      </c>
      <c r="AT217"/>
      <c r="AU217" s="44">
        <f t="shared" si="16"/>
        <v>1.1999999999999999E-5</v>
      </c>
      <c r="AV217"/>
      <c r="AW217"/>
      <c r="AX217" s="44">
        <f>0.00000012*100</f>
        <v>1.1999999999999999E-5</v>
      </c>
      <c r="AY217" s="51"/>
      <c r="AZ217" s="51"/>
      <c r="BA217" s="51"/>
      <c r="BB217" s="51"/>
      <c r="BC217" s="51"/>
      <c r="BD217" s="51"/>
      <c r="BE217" s="51"/>
      <c r="BF217" s="51"/>
    </row>
    <row r="218" spans="1:58" x14ac:dyDescent="0.25">
      <c r="A218" s="2" t="s">
        <v>573</v>
      </c>
      <c r="B218" s="3" t="s">
        <v>473</v>
      </c>
      <c r="C218" s="3" t="s">
        <v>483</v>
      </c>
      <c r="D218" s="3" t="s">
        <v>521</v>
      </c>
      <c r="E218" s="50" t="s">
        <v>506</v>
      </c>
      <c r="F218" s="50" t="s">
        <v>511</v>
      </c>
      <c r="G218" s="44"/>
      <c r="I218" s="58"/>
      <c r="J218" s="44">
        <f>0</f>
        <v>0</v>
      </c>
      <c r="K218" s="44">
        <f>0</f>
        <v>0</v>
      </c>
      <c r="L218" s="44">
        <f>0</f>
        <v>0</v>
      </c>
      <c r="M218" s="44">
        <f>0</f>
        <v>0</v>
      </c>
      <c r="O218" s="44">
        <f>0</f>
        <v>0</v>
      </c>
      <c r="P218" s="44"/>
      <c r="Q218" s="44"/>
      <c r="R218" s="44"/>
      <c r="S218" s="44"/>
      <c r="V218" s="44"/>
      <c r="W218" s="44"/>
      <c r="X218" s="44"/>
      <c r="Y218" s="44"/>
      <c r="Z218" s="44"/>
      <c r="AA218" s="44"/>
      <c r="AB218" s="44"/>
      <c r="AC218" s="44"/>
      <c r="AD218" s="44"/>
      <c r="AE218" s="44"/>
      <c r="AF218" s="44"/>
      <c r="AG218"/>
      <c r="AH218" s="44"/>
      <c r="AI218" s="44"/>
      <c r="AJ218" s="44"/>
      <c r="AK218" s="44"/>
      <c r="AL218" s="44"/>
      <c r="AM218" s="44"/>
      <c r="AN218" s="44"/>
      <c r="AO218"/>
      <c r="AP218" s="44"/>
      <c r="AQ218" s="44"/>
      <c r="AR218" s="44"/>
      <c r="AS218" s="44"/>
      <c r="AT218"/>
      <c r="AU218" s="44"/>
      <c r="AV218"/>
      <c r="AW218"/>
      <c r="AX218" s="44"/>
      <c r="AY218" s="51"/>
      <c r="AZ218" s="51"/>
      <c r="BA218" s="51"/>
      <c r="BB218" s="51"/>
      <c r="BC218" s="51"/>
      <c r="BD218" s="51"/>
      <c r="BE218" s="51"/>
      <c r="BF218" s="51"/>
    </row>
    <row r="219" spans="1:58" x14ac:dyDescent="0.25">
      <c r="A219" s="2" t="s">
        <v>574</v>
      </c>
      <c r="B219" s="3" t="s">
        <v>473</v>
      </c>
      <c r="C219" s="3" t="s">
        <v>483</v>
      </c>
      <c r="D219" s="3" t="s">
        <v>521</v>
      </c>
      <c r="E219" s="50" t="s">
        <v>577</v>
      </c>
      <c r="F219" s="50" t="s">
        <v>487</v>
      </c>
      <c r="G219" s="44"/>
      <c r="I219" s="58"/>
      <c r="J219" s="44">
        <f>100</f>
        <v>100</v>
      </c>
      <c r="K219" s="44">
        <f>100</f>
        <v>100</v>
      </c>
      <c r="L219" s="44">
        <f>100</f>
        <v>100</v>
      </c>
      <c r="M219" s="44">
        <f>100</f>
        <v>100</v>
      </c>
      <c r="O219" s="44">
        <f>100</f>
        <v>100</v>
      </c>
      <c r="P219" s="44"/>
      <c r="Q219" s="44"/>
      <c r="R219" s="44"/>
      <c r="S219" s="44"/>
      <c r="V219" s="44"/>
      <c r="W219" s="44"/>
      <c r="X219" s="44"/>
      <c r="Y219" s="44"/>
      <c r="Z219" s="44"/>
      <c r="AA219" s="44"/>
      <c r="AB219" s="44"/>
      <c r="AC219" s="44"/>
      <c r="AD219" s="44"/>
      <c r="AE219" s="44"/>
      <c r="AF219" s="44"/>
      <c r="AG219"/>
      <c r="AH219" s="44"/>
      <c r="AI219" s="44"/>
      <c r="AJ219" s="44"/>
      <c r="AK219" s="44"/>
      <c r="AL219" s="44"/>
      <c r="AM219" s="44"/>
      <c r="AN219" s="44"/>
      <c r="AO219"/>
      <c r="AP219" s="44"/>
      <c r="AQ219" s="44"/>
      <c r="AR219" s="44"/>
      <c r="AS219" s="44"/>
      <c r="AT219"/>
      <c r="AU219" s="44"/>
      <c r="AV219"/>
      <c r="AW219"/>
      <c r="AX219" s="44"/>
      <c r="AY219" s="51"/>
      <c r="AZ219" s="51"/>
      <c r="BA219" s="51"/>
      <c r="BB219" s="51"/>
      <c r="BC219" s="51"/>
      <c r="BD219" s="51"/>
      <c r="BE219" s="51"/>
      <c r="BF219" s="51"/>
    </row>
    <row r="220" spans="1:58" x14ac:dyDescent="0.25">
      <c r="A220" s="2" t="s">
        <v>591</v>
      </c>
      <c r="B220" s="3" t="s">
        <v>473</v>
      </c>
      <c r="C220" s="3" t="s">
        <v>483</v>
      </c>
      <c r="D220" s="3" t="s">
        <v>521</v>
      </c>
      <c r="E220" s="50" t="s">
        <v>507</v>
      </c>
      <c r="F220" s="50" t="s">
        <v>508</v>
      </c>
      <c r="G220" s="44">
        <v>9.9999999999999995E-8</v>
      </c>
      <c r="I220" s="44">
        <f>0.000001 / 10000 / 4 / 10</f>
        <v>2.4999999999999998E-12</v>
      </c>
      <c r="J220" s="44">
        <f>0.000001 / 10000 *2 * 3</f>
        <v>6E-10</v>
      </c>
      <c r="K220" s="44">
        <f>0.000001 / 10000 *2 * 3/100/10/100</f>
        <v>6.0000000000000005E-15</v>
      </c>
      <c r="L220" s="44">
        <f>0.000001 / 10000 *2 * 3/10</f>
        <v>6E-11</v>
      </c>
      <c r="M220" s="44">
        <f>0.000001 / 10000 *2 * 3/10 * 2</f>
        <v>1.2E-10</v>
      </c>
      <c r="N220" s="1" t="s">
        <v>608</v>
      </c>
      <c r="O220" s="44">
        <f>0.000001 / 10000 *2 * 3</f>
        <v>6E-10</v>
      </c>
      <c r="P220" s="44"/>
      <c r="Q220" s="44">
        <v>9.9999999999999995E-7</v>
      </c>
      <c r="R220" s="44">
        <v>9.9999999999999995E-7</v>
      </c>
      <c r="S220" s="44">
        <v>9.9999999999999995E-7</v>
      </c>
      <c r="V220" s="44">
        <v>9.9999999999999995E-7</v>
      </c>
      <c r="W220" s="44">
        <v>9.9999999999999995E-7</v>
      </c>
      <c r="X220" s="44">
        <v>9.9999999999999995E-7</v>
      </c>
      <c r="Y220" s="44">
        <v>9.9999999999999995E-7</v>
      </c>
      <c r="Z220" s="44">
        <v>9.9999999999999995E-7</v>
      </c>
      <c r="AA220" s="44">
        <v>9.9999999999999995E-7</v>
      </c>
      <c r="AB220" s="44">
        <v>9.9999999999999995E-7</v>
      </c>
      <c r="AC220" s="44">
        <v>9.9999999999999995E-7</v>
      </c>
      <c r="AD220" s="44">
        <v>9.9999999999999995E-7</v>
      </c>
      <c r="AE220" s="44">
        <v>9.9999999999999995E-7</v>
      </c>
      <c r="AF220" s="44">
        <v>9.9999999999999995E-7</v>
      </c>
      <c r="AG220"/>
      <c r="AH220" s="44">
        <v>9.9999999999999995E-7</v>
      </c>
      <c r="AI220" s="44">
        <v>9.9999999999999995E-7</v>
      </c>
      <c r="AJ220" s="44">
        <v>9.9999999999999995E-7</v>
      </c>
      <c r="AK220" s="44">
        <v>9.9999999999999995E-7</v>
      </c>
      <c r="AL220" s="44">
        <v>9.9999999999999995E-7</v>
      </c>
      <c r="AM220" s="44">
        <v>9.9999999999999995E-7</v>
      </c>
      <c r="AN220" s="44">
        <v>9.9999999999999995E-7</v>
      </c>
      <c r="AO220"/>
      <c r="AP220" s="44">
        <v>9.9999999999999995E-7</v>
      </c>
      <c r="AQ220" s="44">
        <v>9.9999999999999995E-7</v>
      </c>
      <c r="AR220" s="44">
        <v>9.9999999999999995E-7</v>
      </c>
      <c r="AS220" s="44">
        <v>9.9999999999999995E-7</v>
      </c>
      <c r="AT220"/>
      <c r="AU220" s="44">
        <v>9.9999999999999995E-7</v>
      </c>
      <c r="AV220"/>
      <c r="AW220"/>
      <c r="AX220" s="44">
        <v>9.9999999999999995E-7</v>
      </c>
      <c r="AY220" s="51"/>
      <c r="AZ220" s="51"/>
      <c r="BA220" s="51"/>
      <c r="BB220" s="51"/>
      <c r="BC220" s="51"/>
      <c r="BD220" s="51"/>
      <c r="BE220" s="51"/>
      <c r="BF220" s="51"/>
    </row>
    <row r="221" spans="1:58" x14ac:dyDescent="0.25">
      <c r="A221" s="2" t="s">
        <v>592</v>
      </c>
      <c r="B221" s="3" t="s">
        <v>473</v>
      </c>
      <c r="C221" s="3" t="s">
        <v>483</v>
      </c>
      <c r="D221" s="3" t="s">
        <v>521</v>
      </c>
      <c r="E221" s="50" t="s">
        <v>507</v>
      </c>
      <c r="F221" s="50" t="s">
        <v>508</v>
      </c>
      <c r="G221" s="44">
        <v>9.9999999999999995E-8</v>
      </c>
      <c r="I221" s="44">
        <f>0.000001 / 10000 / 4 / 10</f>
        <v>2.4999999999999998E-12</v>
      </c>
      <c r="J221" s="44">
        <f>0.000001 / 10000 / 4 / 10</f>
        <v>2.4999999999999998E-12</v>
      </c>
      <c r="K221" s="44">
        <f>0.000001 / 10000 / 4 / 10/10/1000</f>
        <v>2.5000000000000002E-16</v>
      </c>
      <c r="L221" s="44">
        <f>0.000001 / 10000 / 4 /100</f>
        <v>2.4999999999999999E-13</v>
      </c>
      <c r="M221" s="44">
        <f>0.000001 / 10000 / 4 /10</f>
        <v>2.4999999999999998E-12</v>
      </c>
      <c r="N221" s="1" t="s">
        <v>607</v>
      </c>
      <c r="O221" s="44">
        <f>0.000001 / 10000 / 4 / 10</f>
        <v>2.4999999999999998E-12</v>
      </c>
      <c r="P221" s="44"/>
      <c r="Q221" s="44">
        <v>9.9999999999999995E-7</v>
      </c>
      <c r="R221" s="44">
        <v>9.9999999999999995E-7</v>
      </c>
      <c r="S221" s="44">
        <v>9.9999999999999995E-7</v>
      </c>
      <c r="V221" s="44">
        <v>9.9999999999999995E-7</v>
      </c>
      <c r="W221" s="44">
        <v>9.9999999999999995E-7</v>
      </c>
      <c r="X221" s="44">
        <v>9.9999999999999995E-7</v>
      </c>
      <c r="Y221" s="44">
        <v>9.9999999999999995E-7</v>
      </c>
      <c r="Z221" s="44">
        <v>9.9999999999999995E-7</v>
      </c>
      <c r="AA221" s="44">
        <v>9.9999999999999995E-7</v>
      </c>
      <c r="AB221" s="44">
        <v>9.9999999999999995E-7</v>
      </c>
      <c r="AC221" s="44">
        <v>9.9999999999999995E-7</v>
      </c>
      <c r="AD221" s="44">
        <v>9.9999999999999995E-7</v>
      </c>
      <c r="AE221" s="44">
        <v>9.9999999999999995E-7</v>
      </c>
      <c r="AF221" s="44">
        <v>9.9999999999999995E-7</v>
      </c>
      <c r="AG221"/>
      <c r="AH221" s="44">
        <v>9.9999999999999995E-7</v>
      </c>
      <c r="AI221" s="44">
        <v>9.9999999999999995E-7</v>
      </c>
      <c r="AJ221" s="44">
        <v>9.9999999999999995E-7</v>
      </c>
      <c r="AK221" s="44">
        <v>9.9999999999999995E-7</v>
      </c>
      <c r="AL221" s="44">
        <v>9.9999999999999995E-7</v>
      </c>
      <c r="AM221" s="44">
        <v>9.9999999999999995E-7</v>
      </c>
      <c r="AN221" s="44">
        <v>9.9999999999999995E-7</v>
      </c>
      <c r="AO221"/>
      <c r="AP221" s="44">
        <v>9.9999999999999995E-7</v>
      </c>
      <c r="AQ221" s="44">
        <v>9.9999999999999995E-7</v>
      </c>
      <c r="AR221" s="44">
        <v>9.9999999999999995E-7</v>
      </c>
      <c r="AS221" s="44">
        <v>9.9999999999999995E-7</v>
      </c>
      <c r="AT221"/>
      <c r="AU221" s="44">
        <v>9.9999999999999995E-7</v>
      </c>
      <c r="AV221"/>
      <c r="AW221"/>
      <c r="AX221" s="44">
        <v>9.9999999999999995E-7</v>
      </c>
      <c r="AY221" s="51"/>
      <c r="AZ221" s="51"/>
      <c r="BA221" s="51"/>
      <c r="BB221" s="51"/>
      <c r="BC221" s="51"/>
      <c r="BD221" s="51"/>
      <c r="BE221" s="51"/>
      <c r="BF221" s="51"/>
    </row>
    <row r="222" spans="1:58" x14ac:dyDescent="0.25">
      <c r="A222" s="2" t="s">
        <v>509</v>
      </c>
      <c r="B222" s="3" t="s">
        <v>473</v>
      </c>
      <c r="C222" s="3" t="s">
        <v>483</v>
      </c>
      <c r="D222" s="3" t="s">
        <v>521</v>
      </c>
      <c r="E222" s="50" t="s">
        <v>510</v>
      </c>
      <c r="F222" s="50" t="s">
        <v>511</v>
      </c>
      <c r="G222" s="44">
        <f>2*0.00001</f>
        <v>2.0000000000000002E-5</v>
      </c>
      <c r="I222" s="44">
        <f>0.00001</f>
        <v>1.0000000000000001E-5</v>
      </c>
      <c r="J222" s="44">
        <f>0.00001 / 10/2/4</f>
        <v>1.2500000000000002E-7</v>
      </c>
      <c r="K222" s="44">
        <v>0</v>
      </c>
      <c r="L222" s="44">
        <v>0</v>
      </c>
      <c r="M222" s="44">
        <v>0</v>
      </c>
      <c r="O222" s="44">
        <f>0.00001 / 10/2/4</f>
        <v>1.2500000000000002E-7</v>
      </c>
      <c r="P222" s="44"/>
      <c r="Q222" s="44">
        <v>2E-8</v>
      </c>
      <c r="R222" s="44">
        <v>2E-8</v>
      </c>
      <c r="S222" s="44">
        <v>2E-8</v>
      </c>
      <c r="V222" s="44">
        <v>5.0000000000000002E-5</v>
      </c>
      <c r="W222" s="44">
        <v>5.0000000000000002E-5</v>
      </c>
      <c r="X222" s="44">
        <v>5.0000000000000002E-5</v>
      </c>
      <c r="Y222" s="44">
        <v>5.0000000000000002E-5</v>
      </c>
      <c r="Z222" s="44">
        <v>2.0000000000000002E-5</v>
      </c>
      <c r="AA222" s="44">
        <v>1.0000000000000001E-5</v>
      </c>
      <c r="AB222" s="44">
        <v>5.0000000000000004E-6</v>
      </c>
      <c r="AC222" s="44">
        <v>1.9999999999999999E-6</v>
      </c>
      <c r="AD222" s="44">
        <v>9.9999999999999995E-7</v>
      </c>
      <c r="AE222" s="44">
        <v>4.9999999999999998E-7</v>
      </c>
      <c r="AF222" s="44">
        <v>1.9999999999999999E-7</v>
      </c>
      <c r="AG222"/>
      <c r="AH222" s="44">
        <v>2.0000000000000002E-5</v>
      </c>
      <c r="AI222" s="44">
        <v>1.0000000000000001E-5</v>
      </c>
      <c r="AJ222" s="44">
        <v>5.0000000000000004E-6</v>
      </c>
      <c r="AK222" s="44">
        <v>1.9999999999999999E-6</v>
      </c>
      <c r="AL222" s="44">
        <v>9.9999999999999995E-7</v>
      </c>
      <c r="AM222" s="44">
        <v>4.9999999999999998E-7</v>
      </c>
      <c r="AN222" s="44">
        <v>1.9999999999999999E-7</v>
      </c>
      <c r="AO222"/>
      <c r="AP222" s="44">
        <v>2E-8</v>
      </c>
      <c r="AQ222" s="44">
        <v>2E-8</v>
      </c>
      <c r="AR222" s="44">
        <v>2.0000000000000001E-9</v>
      </c>
      <c r="AS222" s="44">
        <v>2.0000000000000001E-9</v>
      </c>
      <c r="AT222"/>
      <c r="AU222" s="44">
        <v>9.9999999999999995E-7</v>
      </c>
      <c r="AV222"/>
      <c r="AW222"/>
      <c r="AX222" s="44">
        <v>5.0000000000000002E-5</v>
      </c>
      <c r="AY222" s="51"/>
      <c r="AZ222" s="51"/>
      <c r="BA222" s="51"/>
      <c r="BB222" s="51"/>
      <c r="BC222" s="51"/>
      <c r="BD222" s="51"/>
      <c r="BE222" s="51"/>
      <c r="BF222" s="51"/>
    </row>
    <row r="223" spans="1:58" x14ac:dyDescent="0.25">
      <c r="A223" s="2" t="s">
        <v>571</v>
      </c>
      <c r="B223" s="3" t="s">
        <v>473</v>
      </c>
      <c r="C223" s="3" t="s">
        <v>483</v>
      </c>
      <c r="D223" s="3" t="s">
        <v>521</v>
      </c>
      <c r="E223" s="50" t="s">
        <v>572</v>
      </c>
      <c r="F223" s="50" t="s">
        <v>511</v>
      </c>
      <c r="G223" s="44"/>
      <c r="I223" s="44">
        <f xml:space="preserve"> 0.001 * 10</f>
        <v>0.01</v>
      </c>
      <c r="J223" s="44">
        <f xml:space="preserve"> 0.001 / 10</f>
        <v>1E-4</v>
      </c>
      <c r="K223" s="44">
        <f xml:space="preserve"> 0.001 / 10</f>
        <v>1E-4</v>
      </c>
      <c r="L223" s="44">
        <f xml:space="preserve"> 0.001 / 10</f>
        <v>1E-4</v>
      </c>
      <c r="M223" s="44">
        <f xml:space="preserve"> 0.001 / 10</f>
        <v>1E-4</v>
      </c>
      <c r="O223" s="44">
        <f xml:space="preserve"> 0.001 / 10</f>
        <v>1E-4</v>
      </c>
      <c r="P223" s="44"/>
      <c r="Q223" s="44"/>
      <c r="R223" s="44"/>
      <c r="S223" s="44"/>
      <c r="V223" s="44"/>
      <c r="W223" s="44"/>
      <c r="X223" s="44"/>
      <c r="Y223" s="44"/>
      <c r="Z223" s="44"/>
      <c r="AA223" s="44"/>
      <c r="AB223" s="44"/>
      <c r="AC223" s="44"/>
      <c r="AD223" s="44"/>
      <c r="AE223" s="44"/>
      <c r="AF223" s="44"/>
      <c r="AG223"/>
      <c r="AH223" s="44"/>
      <c r="AI223" s="44"/>
      <c r="AJ223" s="44"/>
      <c r="AK223" s="44"/>
      <c r="AL223" s="44"/>
      <c r="AM223" s="44"/>
      <c r="AN223" s="44"/>
      <c r="AO223"/>
      <c r="AP223" s="44"/>
      <c r="AQ223" s="44"/>
      <c r="AR223" s="44"/>
      <c r="AS223" s="44"/>
      <c r="AT223"/>
      <c r="AU223" s="44"/>
      <c r="AV223"/>
      <c r="AW223"/>
      <c r="AX223" s="44"/>
      <c r="AY223" s="51"/>
      <c r="AZ223" s="51"/>
      <c r="BA223" s="51"/>
      <c r="BB223" s="51"/>
      <c r="BC223" s="51"/>
      <c r="BD223" s="51"/>
      <c r="BE223" s="51"/>
      <c r="BF223" s="51"/>
    </row>
    <row r="224" spans="1:58" x14ac:dyDescent="0.25">
      <c r="A224" s="2" t="s">
        <v>575</v>
      </c>
      <c r="B224" s="3" t="s">
        <v>473</v>
      </c>
      <c r="C224" s="3" t="s">
        <v>483</v>
      </c>
      <c r="D224" s="3" t="s">
        <v>521</v>
      </c>
      <c r="E224" s="50" t="s">
        <v>576</v>
      </c>
      <c r="F224" s="50" t="s">
        <v>511</v>
      </c>
      <c r="G224" s="56">
        <v>1.0000000000000001E-5</v>
      </c>
      <c r="I224" s="44">
        <f>0.00001 /10/4/2</f>
        <v>1.2500000000000002E-7</v>
      </c>
      <c r="J224" s="44">
        <f>0.00001 /5 /2/4</f>
        <v>2.5000000000000004E-7</v>
      </c>
      <c r="K224" s="44">
        <v>0</v>
      </c>
      <c r="L224" s="44">
        <v>0</v>
      </c>
      <c r="M224" s="44">
        <v>0</v>
      </c>
      <c r="O224" s="44">
        <f>0.00001 /5 /2/4</f>
        <v>2.5000000000000004E-7</v>
      </c>
      <c r="P224" s="44"/>
      <c r="Q224" s="44"/>
      <c r="R224" s="44"/>
      <c r="S224" s="44"/>
      <c r="V224" s="44"/>
      <c r="W224" s="44"/>
      <c r="X224" s="44"/>
      <c r="Y224" s="44"/>
      <c r="Z224" s="44"/>
      <c r="AA224" s="44"/>
      <c r="AB224" s="44"/>
      <c r="AC224" s="44"/>
      <c r="AD224" s="44"/>
      <c r="AE224" s="44"/>
      <c r="AF224" s="44"/>
      <c r="AG224"/>
      <c r="AH224" s="44"/>
      <c r="AI224" s="44"/>
      <c r="AJ224" s="44"/>
      <c r="AK224" s="44"/>
      <c r="AL224" s="44"/>
      <c r="AM224" s="44"/>
      <c r="AN224" s="44"/>
      <c r="AO224"/>
      <c r="AP224" s="44"/>
      <c r="AQ224" s="44"/>
      <c r="AR224" s="44"/>
      <c r="AS224" s="44"/>
      <c r="AT224"/>
      <c r="AU224" s="44"/>
      <c r="AV224"/>
      <c r="AW224"/>
      <c r="AX224" s="44"/>
      <c r="AY224" s="51"/>
      <c r="AZ224" s="51"/>
      <c r="BA224" s="51"/>
      <c r="BB224" s="51"/>
      <c r="BC224" s="51"/>
      <c r="BD224" s="51"/>
      <c r="BE224" s="51"/>
      <c r="BF224" s="51"/>
    </row>
    <row r="225" spans="1:73" ht="14.25" customHeight="1" x14ac:dyDescent="0.25">
      <c r="A225" s="53" t="s">
        <v>517</v>
      </c>
      <c r="B225" s="3" t="s">
        <v>473</v>
      </c>
      <c r="C225" s="3" t="s">
        <v>518</v>
      </c>
      <c r="D225" s="3" t="s">
        <v>521</v>
      </c>
      <c r="E225" s="50" t="s">
        <v>519</v>
      </c>
      <c r="F225" s="50" t="s">
        <v>520</v>
      </c>
      <c r="G225" s="44">
        <v>9.9999999999999995E-8</v>
      </c>
      <c r="I225" s="58"/>
      <c r="J225" s="44">
        <f>0.0000001</f>
        <v>9.9999999999999995E-8</v>
      </c>
      <c r="K225" s="44">
        <f>0.0000001</f>
        <v>9.9999999999999995E-8</v>
      </c>
      <c r="L225" s="44">
        <f>0.0000001</f>
        <v>9.9999999999999995E-8</v>
      </c>
      <c r="M225" s="44">
        <f>0.0000001</f>
        <v>9.9999999999999995E-8</v>
      </c>
      <c r="O225" s="44">
        <f>0.0000001</f>
        <v>9.9999999999999995E-8</v>
      </c>
      <c r="P225" s="44"/>
      <c r="Q225" s="44">
        <v>5.0000000000000003E-10</v>
      </c>
      <c r="R225" s="44">
        <v>5.0000000000000003E-10</v>
      </c>
      <c r="S225" s="44">
        <v>9.9999999999999995E-8</v>
      </c>
      <c r="V225" s="44">
        <v>4.9999999999999998E-8</v>
      </c>
      <c r="W225" s="44">
        <v>2E-8</v>
      </c>
      <c r="X225" s="44">
        <v>1E-8</v>
      </c>
      <c r="Y225" s="44">
        <v>1.0000000000000001E-9</v>
      </c>
      <c r="Z225" s="44">
        <v>1E-8</v>
      </c>
      <c r="AA225" s="44">
        <v>1E-8</v>
      </c>
      <c r="AB225" s="44">
        <v>1E-8</v>
      </c>
      <c r="AC225" s="44">
        <v>1E-8</v>
      </c>
      <c r="AD225" s="44">
        <v>1E-8</v>
      </c>
      <c r="AE225" s="44">
        <v>1E-8</v>
      </c>
      <c r="AF225" s="44">
        <v>1E-8</v>
      </c>
      <c r="AG225"/>
      <c r="AH225" s="44">
        <v>1.0000000000000001E-9</v>
      </c>
      <c r="AI225" s="44">
        <v>1.0000000000000001E-9</v>
      </c>
      <c r="AJ225" s="44">
        <v>1.0000000000000001E-9</v>
      </c>
      <c r="AK225" s="44">
        <v>1.0000000000000001E-9</v>
      </c>
      <c r="AL225" s="44">
        <v>1.0000000000000001E-9</v>
      </c>
      <c r="AM225" s="44">
        <v>1.0000000000000001E-9</v>
      </c>
      <c r="AN225" s="44">
        <v>1.0000000000000001E-9</v>
      </c>
      <c r="AO225"/>
      <c r="AP225" s="44">
        <v>1E-8</v>
      </c>
      <c r="AQ225" s="44">
        <v>1.0000000000000001E-9</v>
      </c>
      <c r="AR225" s="44">
        <v>1E-8</v>
      </c>
      <c r="AS225" s="44">
        <v>1.0000000000000001E-9</v>
      </c>
      <c r="AT225"/>
      <c r="AU225" s="44">
        <v>1.0000000000000001E-9</v>
      </c>
      <c r="AV225"/>
      <c r="AW225"/>
      <c r="AX225" s="44">
        <v>9.9999999999999995E-8</v>
      </c>
    </row>
    <row r="226" spans="1:73" x14ac:dyDescent="0.25">
      <c r="A226" s="2" t="s">
        <v>523</v>
      </c>
      <c r="B226" s="3" t="s">
        <v>473</v>
      </c>
      <c r="C226" s="3" t="s">
        <v>483</v>
      </c>
      <c r="D226" s="3" t="s">
        <v>521</v>
      </c>
      <c r="E226" s="50" t="s">
        <v>524</v>
      </c>
      <c r="F226" s="50" t="s">
        <v>487</v>
      </c>
      <c r="G226" s="44">
        <v>0.2</v>
      </c>
      <c r="I226" s="58"/>
      <c r="J226" s="44">
        <v>0.2</v>
      </c>
      <c r="K226" s="44">
        <v>0.2</v>
      </c>
      <c r="L226" s="44">
        <v>0.2</v>
      </c>
      <c r="M226" s="44">
        <v>0.2</v>
      </c>
      <c r="N226" s="1" t="s">
        <v>600</v>
      </c>
      <c r="O226" s="44">
        <v>0.2</v>
      </c>
      <c r="P226" s="44"/>
      <c r="Q226" s="44">
        <v>0.2</v>
      </c>
      <c r="R226" s="44">
        <v>0.2</v>
      </c>
      <c r="S226" s="44">
        <v>0.2</v>
      </c>
      <c r="V226" s="44">
        <v>0.2</v>
      </c>
      <c r="W226" s="44">
        <v>0.2</v>
      </c>
      <c r="X226" s="44">
        <v>0.2</v>
      </c>
      <c r="Y226" s="44">
        <v>0.2</v>
      </c>
      <c r="Z226" s="44">
        <v>0.2</v>
      </c>
      <c r="AA226" s="44">
        <v>0.2</v>
      </c>
      <c r="AB226" s="44">
        <v>0.2</v>
      </c>
      <c r="AC226" s="44">
        <v>0.2</v>
      </c>
      <c r="AD226" s="44">
        <v>0.2</v>
      </c>
      <c r="AE226" s="44">
        <v>0.2</v>
      </c>
      <c r="AF226" s="44">
        <v>0.2</v>
      </c>
      <c r="AG226"/>
      <c r="AH226" s="44">
        <v>0.2</v>
      </c>
      <c r="AI226" s="44">
        <v>0.2</v>
      </c>
      <c r="AJ226" s="44">
        <v>0.2</v>
      </c>
      <c r="AK226" s="44">
        <v>0.2</v>
      </c>
      <c r="AL226" s="44">
        <v>0.2</v>
      </c>
      <c r="AM226" s="44">
        <v>0.2</v>
      </c>
      <c r="AN226" s="44">
        <v>0.2</v>
      </c>
      <c r="AO226"/>
      <c r="AP226" s="44">
        <v>0.2</v>
      </c>
      <c r="AQ226" s="44">
        <v>0.2</v>
      </c>
      <c r="AR226" s="44">
        <v>0.2</v>
      </c>
      <c r="AS226" s="44">
        <v>0.2</v>
      </c>
      <c r="AT226"/>
      <c r="AU226" s="44">
        <v>0.2</v>
      </c>
      <c r="AV226"/>
      <c r="AW226"/>
      <c r="AX226" s="44">
        <v>0.2</v>
      </c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  <c r="BR226" s="37"/>
      <c r="BS226" s="37"/>
      <c r="BT226" s="37"/>
      <c r="BU226" s="37"/>
    </row>
    <row r="227" spans="1:73" x14ac:dyDescent="0.25">
      <c r="A227" s="2" t="s">
        <v>525</v>
      </c>
      <c r="B227" s="3" t="s">
        <v>473</v>
      </c>
      <c r="C227" s="3" t="s">
        <v>580</v>
      </c>
      <c r="D227" s="3" t="s">
        <v>581</v>
      </c>
      <c r="E227" s="50" t="s">
        <v>526</v>
      </c>
      <c r="F227" s="50" t="s">
        <v>491</v>
      </c>
      <c r="G227" s="44" t="s">
        <v>485</v>
      </c>
      <c r="I227" s="58"/>
      <c r="J227" s="44" t="s">
        <v>485</v>
      </c>
      <c r="K227" s="44" t="s">
        <v>485</v>
      </c>
      <c r="L227" s="44" t="s">
        <v>485</v>
      </c>
      <c r="M227" s="44" t="s">
        <v>485</v>
      </c>
      <c r="O227" s="44" t="s">
        <v>485</v>
      </c>
      <c r="P227" s="44"/>
      <c r="Q227" s="44" t="s">
        <v>485</v>
      </c>
      <c r="R227" s="44" t="s">
        <v>485</v>
      </c>
      <c r="S227" s="44" t="s">
        <v>485</v>
      </c>
      <c r="V227" s="44" t="s">
        <v>485</v>
      </c>
      <c r="W227" s="44" t="s">
        <v>485</v>
      </c>
      <c r="X227" s="44" t="s">
        <v>485</v>
      </c>
      <c r="Y227" s="44" t="s">
        <v>485</v>
      </c>
      <c r="Z227" s="44" t="s">
        <v>485</v>
      </c>
      <c r="AA227" s="44" t="s">
        <v>485</v>
      </c>
      <c r="AB227" s="44" t="s">
        <v>485</v>
      </c>
      <c r="AC227" s="44" t="s">
        <v>485</v>
      </c>
      <c r="AD227" s="44" t="s">
        <v>485</v>
      </c>
      <c r="AE227" s="44" t="s">
        <v>485</v>
      </c>
      <c r="AF227" s="44" t="s">
        <v>485</v>
      </c>
      <c r="AG227"/>
      <c r="AH227" s="44" t="s">
        <v>485</v>
      </c>
      <c r="AI227" s="44" t="s">
        <v>485</v>
      </c>
      <c r="AJ227" s="44" t="s">
        <v>485</v>
      </c>
      <c r="AK227" s="44" t="s">
        <v>485</v>
      </c>
      <c r="AL227" s="44" t="s">
        <v>485</v>
      </c>
      <c r="AM227" s="44" t="s">
        <v>485</v>
      </c>
      <c r="AN227" s="44" t="s">
        <v>485</v>
      </c>
      <c r="AO227"/>
      <c r="AP227" s="44" t="s">
        <v>485</v>
      </c>
      <c r="AQ227" s="44" t="s">
        <v>485</v>
      </c>
      <c r="AR227" s="44" t="s">
        <v>485</v>
      </c>
      <c r="AS227" s="44" t="s">
        <v>485</v>
      </c>
      <c r="AT227"/>
      <c r="AU227" s="44" t="s">
        <v>485</v>
      </c>
      <c r="AV227"/>
      <c r="AW227"/>
      <c r="AX227" s="44" t="s">
        <v>485</v>
      </c>
      <c r="AY227" s="37"/>
      <c r="AZ227" s="37"/>
      <c r="BA227" s="37"/>
      <c r="BB227" s="37"/>
      <c r="BC227" s="37"/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  <c r="BR227" s="37"/>
      <c r="BS227" s="37"/>
      <c r="BT227" s="37"/>
      <c r="BU227" s="37"/>
    </row>
    <row r="228" spans="1:73" x14ac:dyDescent="0.25">
      <c r="A228" s="2" t="s">
        <v>527</v>
      </c>
      <c r="B228" s="3" t="s">
        <v>473</v>
      </c>
      <c r="C228" s="3" t="s">
        <v>580</v>
      </c>
      <c r="D228" s="3" t="s">
        <v>581</v>
      </c>
      <c r="E228" s="50" t="s">
        <v>528</v>
      </c>
      <c r="F228" s="50" t="s">
        <v>491</v>
      </c>
      <c r="G228" s="44">
        <f t="shared" ref="G228:AX228" si="17">2*0.1</f>
        <v>0.2</v>
      </c>
      <c r="I228" s="58"/>
      <c r="J228" s="44">
        <f t="shared" si="17"/>
        <v>0.2</v>
      </c>
      <c r="K228" s="44">
        <f t="shared" si="17"/>
        <v>0.2</v>
      </c>
      <c r="L228" s="44">
        <f t="shared" si="17"/>
        <v>0.2</v>
      </c>
      <c r="M228" s="44">
        <f t="shared" si="17"/>
        <v>0.2</v>
      </c>
      <c r="O228" s="44">
        <f t="shared" si="17"/>
        <v>0.2</v>
      </c>
      <c r="P228" s="44"/>
      <c r="Q228" s="44">
        <f t="shared" si="17"/>
        <v>0.2</v>
      </c>
      <c r="R228" s="44">
        <f t="shared" si="17"/>
        <v>0.2</v>
      </c>
      <c r="S228" s="44">
        <f t="shared" si="17"/>
        <v>0.2</v>
      </c>
      <c r="V228" s="44">
        <f t="shared" si="17"/>
        <v>0.2</v>
      </c>
      <c r="W228" s="44">
        <f t="shared" si="17"/>
        <v>0.2</v>
      </c>
      <c r="X228" s="44">
        <f t="shared" si="17"/>
        <v>0.2</v>
      </c>
      <c r="Y228" s="44">
        <f t="shared" si="17"/>
        <v>0.2</v>
      </c>
      <c r="Z228" s="44">
        <f t="shared" si="17"/>
        <v>0.2</v>
      </c>
      <c r="AA228" s="44">
        <f t="shared" si="17"/>
        <v>0.2</v>
      </c>
      <c r="AB228" s="44">
        <f t="shared" si="17"/>
        <v>0.2</v>
      </c>
      <c r="AC228" s="44">
        <f t="shared" si="17"/>
        <v>0.2</v>
      </c>
      <c r="AD228" s="44">
        <f t="shared" si="17"/>
        <v>0.2</v>
      </c>
      <c r="AE228" s="44">
        <f t="shared" si="17"/>
        <v>0.2</v>
      </c>
      <c r="AF228" s="44">
        <f t="shared" si="17"/>
        <v>0.2</v>
      </c>
      <c r="AG228"/>
      <c r="AH228" s="44">
        <f t="shared" si="17"/>
        <v>0.2</v>
      </c>
      <c r="AI228" s="44">
        <f t="shared" si="17"/>
        <v>0.2</v>
      </c>
      <c r="AJ228" s="44">
        <f t="shared" si="17"/>
        <v>0.2</v>
      </c>
      <c r="AK228" s="44">
        <f t="shared" si="17"/>
        <v>0.2</v>
      </c>
      <c r="AL228" s="44">
        <f t="shared" si="17"/>
        <v>0.2</v>
      </c>
      <c r="AM228" s="44">
        <f t="shared" si="17"/>
        <v>0.2</v>
      </c>
      <c r="AN228" s="44">
        <f t="shared" si="17"/>
        <v>0.2</v>
      </c>
      <c r="AO228"/>
      <c r="AP228" s="44">
        <f t="shared" si="17"/>
        <v>0.2</v>
      </c>
      <c r="AQ228" s="44">
        <f t="shared" si="17"/>
        <v>0.2</v>
      </c>
      <c r="AR228" s="44">
        <f t="shared" si="17"/>
        <v>0.2</v>
      </c>
      <c r="AS228" s="44">
        <f t="shared" si="17"/>
        <v>0.2</v>
      </c>
      <c r="AT228"/>
      <c r="AU228" s="44">
        <f t="shared" si="17"/>
        <v>0.2</v>
      </c>
      <c r="AV228"/>
      <c r="AW228"/>
      <c r="AX228" s="44">
        <f t="shared" si="17"/>
        <v>0.2</v>
      </c>
      <c r="AY228" s="37"/>
      <c r="AZ228" s="37"/>
      <c r="BA228" s="37"/>
      <c r="BB228" s="37"/>
      <c r="BC228" s="37"/>
      <c r="BD228" s="37"/>
      <c r="BE228" s="37"/>
      <c r="BF228" s="37"/>
      <c r="BG228" s="37"/>
      <c r="BH228" s="37"/>
      <c r="BI228" s="37"/>
      <c r="BJ228" s="37"/>
      <c r="BK228" s="37"/>
      <c r="BL228" s="37"/>
      <c r="BM228" s="37"/>
      <c r="BN228" s="37"/>
      <c r="BO228" s="37"/>
      <c r="BP228" s="37"/>
      <c r="BQ228" s="37"/>
      <c r="BR228" s="37"/>
      <c r="BS228" s="37"/>
      <c r="BT228" s="37"/>
      <c r="BU228" s="37"/>
    </row>
    <row r="229" spans="1:73" x14ac:dyDescent="0.25">
      <c r="A229" s="2" t="s">
        <v>529</v>
      </c>
      <c r="B229" s="3" t="s">
        <v>473</v>
      </c>
      <c r="C229" s="3" t="s">
        <v>580</v>
      </c>
      <c r="D229" s="3" t="s">
        <v>581</v>
      </c>
      <c r="E229" s="50" t="s">
        <v>530</v>
      </c>
      <c r="F229" s="50" t="s">
        <v>491</v>
      </c>
      <c r="G229" s="44">
        <v>1E-3</v>
      </c>
      <c r="I229" s="58"/>
      <c r="J229" s="44">
        <v>1E-3</v>
      </c>
      <c r="K229" s="44">
        <v>1E-3</v>
      </c>
      <c r="L229" s="44">
        <v>1E-3</v>
      </c>
      <c r="M229" s="44">
        <v>1E-3</v>
      </c>
      <c r="O229" s="44">
        <v>1E-3</v>
      </c>
      <c r="P229" s="44"/>
      <c r="Q229" s="44">
        <v>1E-3</v>
      </c>
      <c r="R229" s="44">
        <v>1E-3</v>
      </c>
      <c r="S229" s="44">
        <v>1E-3</v>
      </c>
      <c r="V229" s="44">
        <v>1E-3</v>
      </c>
      <c r="W229" s="44">
        <v>1E-3</v>
      </c>
      <c r="X229" s="44">
        <v>1E-3</v>
      </c>
      <c r="Y229" s="44">
        <v>1E-3</v>
      </c>
      <c r="Z229" s="44">
        <v>1E-3</v>
      </c>
      <c r="AA229" s="44">
        <v>1E-3</v>
      </c>
      <c r="AB229" s="44">
        <v>1E-3</v>
      </c>
      <c r="AC229" s="44">
        <v>1E-3</v>
      </c>
      <c r="AD229" s="44">
        <v>1E-3</v>
      </c>
      <c r="AE229" s="44">
        <v>1E-3</v>
      </c>
      <c r="AF229" s="44">
        <v>1E-3</v>
      </c>
      <c r="AG229"/>
      <c r="AH229" s="44">
        <v>1E-3</v>
      </c>
      <c r="AI229" s="44">
        <v>1E-3</v>
      </c>
      <c r="AJ229" s="44">
        <v>1E-3</v>
      </c>
      <c r="AK229" s="44">
        <v>1E-3</v>
      </c>
      <c r="AL229" s="44">
        <v>1E-3</v>
      </c>
      <c r="AM229" s="44">
        <v>1E-3</v>
      </c>
      <c r="AN229" s="44">
        <v>1E-3</v>
      </c>
      <c r="AO229"/>
      <c r="AP229" s="44">
        <v>1E-3</v>
      </c>
      <c r="AQ229" s="44">
        <v>1E-3</v>
      </c>
      <c r="AR229" s="44">
        <v>1E-3</v>
      </c>
      <c r="AS229" s="44">
        <v>1E-3</v>
      </c>
      <c r="AT229"/>
      <c r="AU229" s="44">
        <v>1E-3</v>
      </c>
      <c r="AV229"/>
      <c r="AW229"/>
      <c r="AX229" s="44">
        <v>1E-3</v>
      </c>
      <c r="AY229" s="37"/>
      <c r="AZ229" s="37"/>
      <c r="BA229" s="37"/>
      <c r="BB229" s="37"/>
      <c r="BC229" s="37"/>
      <c r="BD229" s="37"/>
      <c r="BE229" s="37"/>
      <c r="BF229" s="37"/>
      <c r="BG229" s="37"/>
      <c r="BH229" s="37"/>
      <c r="BI229" s="37"/>
      <c r="BJ229" s="37"/>
      <c r="BK229" s="37"/>
      <c r="BL229" s="37"/>
      <c r="BM229" s="37"/>
      <c r="BN229" s="37"/>
      <c r="BO229" s="37"/>
      <c r="BP229" s="37"/>
      <c r="BQ229" s="37"/>
      <c r="BR229" s="37"/>
      <c r="BS229" s="37"/>
      <c r="BT229" s="37"/>
      <c r="BU229" s="37"/>
    </row>
    <row r="230" spans="1:73" x14ac:dyDescent="0.25">
      <c r="A230" s="2" t="s">
        <v>531</v>
      </c>
      <c r="B230" s="3" t="s">
        <v>473</v>
      </c>
      <c r="C230" s="3" t="s">
        <v>483</v>
      </c>
      <c r="D230" s="3" t="s">
        <v>521</v>
      </c>
      <c r="E230" s="50" t="s">
        <v>532</v>
      </c>
      <c r="F230" s="50" t="s">
        <v>561</v>
      </c>
      <c r="G230" s="44">
        <v>1.0000000000000001E-5</v>
      </c>
      <c r="I230" s="58"/>
      <c r="J230" s="44">
        <f>0.00001 / 2</f>
        <v>5.0000000000000004E-6</v>
      </c>
      <c r="K230" s="44">
        <f>0.00001 / 2</f>
        <v>5.0000000000000004E-6</v>
      </c>
      <c r="L230" s="44">
        <f>0.00001 / 2 * 10</f>
        <v>5.0000000000000002E-5</v>
      </c>
      <c r="M230" s="44">
        <f>0.00001 / 2</f>
        <v>5.0000000000000004E-6</v>
      </c>
      <c r="O230" s="44">
        <f>0.00001 / 2</f>
        <v>5.0000000000000004E-6</v>
      </c>
      <c r="P230" s="44"/>
      <c r="Q230" s="44">
        <v>1.0000000000000001E-5</v>
      </c>
      <c r="R230" s="44">
        <v>1.0000000000000001E-5</v>
      </c>
      <c r="S230" s="44">
        <v>1.0000000000000001E-5</v>
      </c>
      <c r="V230" s="44">
        <v>1.0000000000000001E-5</v>
      </c>
      <c r="W230" s="44">
        <v>1.0000000000000001E-5</v>
      </c>
      <c r="X230" s="44">
        <v>1.0000000000000001E-5</v>
      </c>
      <c r="Y230" s="44">
        <v>1.0000000000000001E-5</v>
      </c>
      <c r="Z230" s="44">
        <v>1.0000000000000001E-5</v>
      </c>
      <c r="AA230" s="44">
        <v>1.0000000000000001E-5</v>
      </c>
      <c r="AB230" s="44">
        <v>1.0000000000000001E-5</v>
      </c>
      <c r="AC230" s="44">
        <v>1.0000000000000001E-5</v>
      </c>
      <c r="AD230" s="44">
        <v>1.0000000000000001E-5</v>
      </c>
      <c r="AE230" s="44">
        <v>1.0000000000000001E-5</v>
      </c>
      <c r="AF230" s="44">
        <v>1.0000000000000001E-5</v>
      </c>
      <c r="AG230"/>
      <c r="AH230" s="44">
        <v>1.0000000000000001E-5</v>
      </c>
      <c r="AI230" s="44">
        <v>1.0000000000000001E-5</v>
      </c>
      <c r="AJ230" s="44">
        <v>1.0000000000000001E-5</v>
      </c>
      <c r="AK230" s="44">
        <v>1.0000000000000001E-5</v>
      </c>
      <c r="AL230" s="44">
        <v>1.0000000000000001E-5</v>
      </c>
      <c r="AM230" s="44">
        <v>1.0000000000000001E-5</v>
      </c>
      <c r="AN230" s="44">
        <v>1.0000000000000001E-5</v>
      </c>
      <c r="AO230"/>
      <c r="AP230" s="44">
        <v>1.0000000000000001E-5</v>
      </c>
      <c r="AQ230" s="44">
        <v>1.0000000000000001E-5</v>
      </c>
      <c r="AR230" s="44">
        <v>1.0000000000000001E-5</v>
      </c>
      <c r="AS230" s="44">
        <v>1.0000000000000001E-5</v>
      </c>
      <c r="AT230"/>
      <c r="AU230" s="44">
        <v>1.0000000000000001E-5</v>
      </c>
      <c r="AV230"/>
      <c r="AW230"/>
      <c r="AX230" s="44">
        <v>1.0000000000000001E-5</v>
      </c>
      <c r="AY230" s="52"/>
      <c r="AZ230" s="52"/>
      <c r="BA230" s="52"/>
      <c r="BB230" s="52"/>
      <c r="BC230" s="52"/>
      <c r="BD230" s="52"/>
      <c r="BE230" s="52"/>
      <c r="BF230" s="52"/>
      <c r="BG230" s="52"/>
      <c r="BH230" s="52"/>
      <c r="BI230" s="52"/>
      <c r="BJ230" s="1"/>
      <c r="BK230" s="52"/>
      <c r="BL230" s="52"/>
      <c r="BM230" s="52"/>
      <c r="BN230" s="52"/>
      <c r="BO230" s="52"/>
      <c r="BP230" s="52"/>
      <c r="BQ230" s="52"/>
      <c r="BR230" s="52"/>
      <c r="BS230" s="52"/>
      <c r="BT230" s="52"/>
      <c r="BU230" s="52"/>
    </row>
    <row r="231" spans="1:73" x14ac:dyDescent="0.25">
      <c r="A231" s="2" t="s">
        <v>578</v>
      </c>
      <c r="B231" s="3" t="s">
        <v>473</v>
      </c>
      <c r="C231" s="3" t="s">
        <v>483</v>
      </c>
      <c r="D231" s="3" t="s">
        <v>521</v>
      </c>
      <c r="E231" s="50" t="s">
        <v>579</v>
      </c>
      <c r="F231" s="50" t="s">
        <v>491</v>
      </c>
      <c r="G231" s="57">
        <v>1.0000000000000001E-5</v>
      </c>
      <c r="I231" s="58"/>
      <c r="J231" s="44">
        <f t="shared" ref="J231:O231" si="18">0.000000005 / 5</f>
        <v>1.0000000000000001E-9</v>
      </c>
      <c r="K231" s="44">
        <f t="shared" si="18"/>
        <v>1.0000000000000001E-9</v>
      </c>
      <c r="L231" s="44">
        <f>0.000000005 / 5 *10</f>
        <v>1E-8</v>
      </c>
      <c r="M231" s="44">
        <f>0.000000005 / 5</f>
        <v>1.0000000000000001E-9</v>
      </c>
      <c r="O231" s="44">
        <f t="shared" si="18"/>
        <v>1.0000000000000001E-9</v>
      </c>
      <c r="P231" s="44"/>
      <c r="Q231" s="44"/>
      <c r="R231" s="44"/>
      <c r="S231" s="44"/>
      <c r="V231" s="44"/>
      <c r="W231" s="44"/>
      <c r="X231" s="44"/>
      <c r="Y231" s="44"/>
      <c r="Z231" s="44"/>
      <c r="AA231" s="44"/>
      <c r="AB231" s="44"/>
      <c r="AC231" s="44"/>
      <c r="AD231" s="44"/>
      <c r="AE231" s="44"/>
      <c r="AF231" s="44"/>
      <c r="AG231"/>
      <c r="AH231" s="44"/>
      <c r="AI231" s="44"/>
      <c r="AJ231" s="44"/>
      <c r="AK231" s="44"/>
      <c r="AL231" s="44"/>
      <c r="AM231" s="44"/>
      <c r="AN231" s="44"/>
      <c r="AO231"/>
      <c r="AP231" s="44"/>
      <c r="AQ231" s="44"/>
      <c r="AR231" s="44"/>
      <c r="AS231" s="44"/>
      <c r="AT231"/>
      <c r="AU231" s="44"/>
      <c r="AV231"/>
      <c r="AW231"/>
      <c r="AX231" s="44"/>
      <c r="AY231" s="52"/>
      <c r="AZ231" s="52"/>
      <c r="BA231" s="52"/>
      <c r="BB231" s="52"/>
      <c r="BC231" s="52"/>
      <c r="BD231" s="52"/>
      <c r="BE231" s="52"/>
      <c r="BF231" s="52"/>
      <c r="BG231" s="52"/>
      <c r="BH231" s="52"/>
      <c r="BI231" s="52"/>
      <c r="BJ231" s="1"/>
      <c r="BK231" s="52"/>
      <c r="BL231" s="52"/>
      <c r="BM231" s="52"/>
      <c r="BN231" s="52"/>
      <c r="BO231" s="52"/>
      <c r="BP231" s="52"/>
      <c r="BQ231" s="52"/>
      <c r="BR231" s="52"/>
      <c r="BS231" s="52"/>
      <c r="BT231" s="52"/>
      <c r="BU231" s="52"/>
    </row>
    <row r="232" spans="1:73" x14ac:dyDescent="0.25">
      <c r="A232" s="2" t="s">
        <v>540</v>
      </c>
      <c r="B232" s="3" t="s">
        <v>473</v>
      </c>
      <c r="C232" s="3" t="s">
        <v>483</v>
      </c>
      <c r="D232" s="3" t="s">
        <v>521</v>
      </c>
      <c r="E232" s="30" t="s">
        <v>537</v>
      </c>
      <c r="F232" s="30" t="s">
        <v>536</v>
      </c>
      <c r="G232" s="44">
        <f t="shared" ref="G232:AX233" si="19">0.00002 / 14 / 5</f>
        <v>2.8571428571428575E-7</v>
      </c>
      <c r="I232" s="58"/>
      <c r="J232" s="44">
        <v>0</v>
      </c>
      <c r="K232" s="44">
        <v>0</v>
      </c>
      <c r="L232" s="44">
        <v>0</v>
      </c>
      <c r="M232" s="44">
        <v>0</v>
      </c>
      <c r="O232" s="44">
        <v>0</v>
      </c>
      <c r="P232" s="44"/>
      <c r="Q232" s="44">
        <f t="shared" si="19"/>
        <v>2.8571428571428575E-7</v>
      </c>
      <c r="R232" s="44">
        <f t="shared" si="19"/>
        <v>2.8571428571428575E-7</v>
      </c>
      <c r="S232" s="44">
        <f t="shared" si="19"/>
        <v>2.8571428571428575E-7</v>
      </c>
      <c r="V232" s="44">
        <f t="shared" si="19"/>
        <v>2.8571428571428575E-7</v>
      </c>
      <c r="W232" s="44">
        <f t="shared" si="19"/>
        <v>2.8571428571428575E-7</v>
      </c>
      <c r="X232" s="44">
        <f t="shared" si="19"/>
        <v>2.8571428571428575E-7</v>
      </c>
      <c r="Y232" s="44">
        <f t="shared" si="19"/>
        <v>2.8571428571428575E-7</v>
      </c>
      <c r="Z232" s="44">
        <f t="shared" si="19"/>
        <v>2.8571428571428575E-7</v>
      </c>
      <c r="AA232" s="44">
        <f t="shared" si="19"/>
        <v>2.8571428571428575E-7</v>
      </c>
      <c r="AB232" s="44">
        <f t="shared" si="19"/>
        <v>2.8571428571428575E-7</v>
      </c>
      <c r="AC232" s="44">
        <f t="shared" si="19"/>
        <v>2.8571428571428575E-7</v>
      </c>
      <c r="AD232" s="44">
        <f t="shared" si="19"/>
        <v>2.8571428571428575E-7</v>
      </c>
      <c r="AE232" s="44">
        <f t="shared" si="19"/>
        <v>2.8571428571428575E-7</v>
      </c>
      <c r="AF232" s="44">
        <f t="shared" si="19"/>
        <v>2.8571428571428575E-7</v>
      </c>
      <c r="AG232"/>
      <c r="AH232" s="44">
        <f t="shared" si="19"/>
        <v>2.8571428571428575E-7</v>
      </c>
      <c r="AI232" s="44">
        <f t="shared" si="19"/>
        <v>2.8571428571428575E-7</v>
      </c>
      <c r="AJ232" s="44">
        <f t="shared" si="19"/>
        <v>2.8571428571428575E-7</v>
      </c>
      <c r="AK232" s="44">
        <f t="shared" si="19"/>
        <v>2.8571428571428575E-7</v>
      </c>
      <c r="AL232" s="44">
        <f t="shared" si="19"/>
        <v>2.8571428571428575E-7</v>
      </c>
      <c r="AM232" s="44">
        <f t="shared" si="19"/>
        <v>2.8571428571428575E-7</v>
      </c>
      <c r="AN232" s="44">
        <f t="shared" si="19"/>
        <v>2.8571428571428575E-7</v>
      </c>
      <c r="AO232"/>
      <c r="AP232" s="44">
        <f t="shared" si="19"/>
        <v>2.8571428571428575E-7</v>
      </c>
      <c r="AQ232" s="44">
        <f t="shared" si="19"/>
        <v>2.8571428571428575E-7</v>
      </c>
      <c r="AR232" s="44">
        <f t="shared" si="19"/>
        <v>2.8571428571428575E-7</v>
      </c>
      <c r="AS232" s="44">
        <f t="shared" si="19"/>
        <v>2.8571428571428575E-7</v>
      </c>
      <c r="AT232"/>
      <c r="AU232" s="44">
        <f t="shared" si="19"/>
        <v>2.8571428571428575E-7</v>
      </c>
      <c r="AV232"/>
      <c r="AW232"/>
      <c r="AX232" s="44">
        <f t="shared" si="19"/>
        <v>2.8571428571428575E-7</v>
      </c>
      <c r="AY232" s="1"/>
      <c r="AZ232" s="1"/>
      <c r="BA232" s="1"/>
      <c r="BB232" s="1"/>
      <c r="BC232" s="1"/>
      <c r="BD232" s="1"/>
      <c r="BE232" s="1"/>
      <c r="BF232" s="1"/>
    </row>
    <row r="233" spans="1:73" x14ac:dyDescent="0.25">
      <c r="A233" s="2" t="s">
        <v>541</v>
      </c>
      <c r="B233" s="3" t="s">
        <v>473</v>
      </c>
      <c r="C233" s="3" t="s">
        <v>483</v>
      </c>
      <c r="D233" s="3" t="s">
        <v>521</v>
      </c>
      <c r="E233" s="30" t="s">
        <v>537</v>
      </c>
      <c r="F233" s="30" t="s">
        <v>536</v>
      </c>
      <c r="G233" s="44">
        <f t="shared" ref="G233:AU233" si="20">0.00002 / 14 / 5 /10</f>
        <v>2.8571428571428575E-8</v>
      </c>
      <c r="I233" s="58"/>
      <c r="J233" s="44">
        <v>0</v>
      </c>
      <c r="K233" s="44">
        <v>0</v>
      </c>
      <c r="L233" s="44">
        <v>0</v>
      </c>
      <c r="M233" s="44">
        <v>0</v>
      </c>
      <c r="O233" s="44">
        <v>0</v>
      </c>
      <c r="P233" s="44"/>
      <c r="Q233" s="44">
        <f t="shared" si="20"/>
        <v>2.8571428571428575E-8</v>
      </c>
      <c r="R233" s="44">
        <f t="shared" si="20"/>
        <v>2.8571428571428575E-8</v>
      </c>
      <c r="S233" s="44">
        <f t="shared" si="20"/>
        <v>2.8571428571428575E-8</v>
      </c>
      <c r="V233" s="44">
        <f t="shared" si="20"/>
        <v>2.8571428571428575E-8</v>
      </c>
      <c r="W233" s="44">
        <f t="shared" si="20"/>
        <v>2.8571428571428575E-8</v>
      </c>
      <c r="X233" s="44">
        <f t="shared" si="20"/>
        <v>2.8571428571428575E-8</v>
      </c>
      <c r="Y233" s="44">
        <f t="shared" si="20"/>
        <v>2.8571428571428575E-8</v>
      </c>
      <c r="Z233" s="44">
        <f t="shared" si="20"/>
        <v>2.8571428571428575E-8</v>
      </c>
      <c r="AA233" s="44">
        <f t="shared" si="20"/>
        <v>2.8571428571428575E-8</v>
      </c>
      <c r="AB233" s="44">
        <f t="shared" si="20"/>
        <v>2.8571428571428575E-8</v>
      </c>
      <c r="AC233" s="44">
        <f t="shared" si="20"/>
        <v>2.8571428571428575E-8</v>
      </c>
      <c r="AD233" s="44">
        <f t="shared" si="20"/>
        <v>2.8571428571428575E-8</v>
      </c>
      <c r="AE233" s="44">
        <f t="shared" si="20"/>
        <v>2.8571428571428575E-8</v>
      </c>
      <c r="AF233" s="44">
        <f t="shared" si="20"/>
        <v>2.8571428571428575E-8</v>
      </c>
      <c r="AG233"/>
      <c r="AH233" s="44">
        <f t="shared" si="20"/>
        <v>2.8571428571428575E-8</v>
      </c>
      <c r="AI233" s="44">
        <f t="shared" si="20"/>
        <v>2.8571428571428575E-8</v>
      </c>
      <c r="AJ233" s="44">
        <f t="shared" si="20"/>
        <v>2.8571428571428575E-8</v>
      </c>
      <c r="AK233" s="44">
        <f t="shared" si="20"/>
        <v>2.8571428571428575E-8</v>
      </c>
      <c r="AL233" s="44">
        <f t="shared" si="20"/>
        <v>2.8571428571428575E-8</v>
      </c>
      <c r="AM233" s="44">
        <f t="shared" si="20"/>
        <v>2.8571428571428575E-8</v>
      </c>
      <c r="AN233" s="44">
        <f t="shared" si="20"/>
        <v>2.8571428571428575E-8</v>
      </c>
      <c r="AO233"/>
      <c r="AP233" s="44">
        <f t="shared" si="20"/>
        <v>2.8571428571428575E-8</v>
      </c>
      <c r="AQ233" s="44">
        <f t="shared" si="20"/>
        <v>2.8571428571428575E-8</v>
      </c>
      <c r="AR233" s="44">
        <f t="shared" si="20"/>
        <v>2.8571428571428575E-8</v>
      </c>
      <c r="AS233" s="44">
        <f t="shared" si="20"/>
        <v>2.8571428571428575E-8</v>
      </c>
      <c r="AT233"/>
      <c r="AU233" s="44">
        <f t="shared" si="20"/>
        <v>2.8571428571428575E-8</v>
      </c>
      <c r="AV233"/>
      <c r="AW233"/>
      <c r="AX233" s="44">
        <f t="shared" si="19"/>
        <v>2.8571428571428575E-7</v>
      </c>
      <c r="AY233" s="1"/>
      <c r="AZ233" s="1"/>
      <c r="BA233" s="1"/>
      <c r="BB233" s="1"/>
      <c r="BC233" s="1"/>
      <c r="BD233" s="1"/>
      <c r="BE233" s="1"/>
      <c r="BF233" s="1"/>
    </row>
    <row r="234" spans="1:73" x14ac:dyDescent="0.25">
      <c r="A234" s="1" t="s">
        <v>583</v>
      </c>
      <c r="B234" s="3" t="s">
        <v>473</v>
      </c>
      <c r="C234" s="3" t="s">
        <v>483</v>
      </c>
      <c r="D234" s="3" t="s">
        <v>521</v>
      </c>
      <c r="E234" s="30" t="s">
        <v>584</v>
      </c>
      <c r="F234" s="30" t="s">
        <v>486</v>
      </c>
      <c r="G234" s="44">
        <v>-1</v>
      </c>
      <c r="I234" s="58"/>
      <c r="J234" s="44" t="s">
        <v>86</v>
      </c>
      <c r="K234" s="44" t="s">
        <v>86</v>
      </c>
      <c r="L234" s="44" t="s">
        <v>86</v>
      </c>
      <c r="M234" s="44" t="s">
        <v>86</v>
      </c>
      <c r="O234" s="44" t="s">
        <v>86</v>
      </c>
      <c r="P234" s="44"/>
      <c r="Q234" s="44">
        <v>-1</v>
      </c>
      <c r="R234" s="44">
        <v>-1</v>
      </c>
      <c r="S234" s="44">
        <v>-1</v>
      </c>
      <c r="V234" s="44">
        <v>-1</v>
      </c>
      <c r="W234" s="44">
        <v>-1</v>
      </c>
      <c r="X234" s="44">
        <v>-1</v>
      </c>
      <c r="Y234" s="44">
        <v>-1</v>
      </c>
      <c r="Z234" s="44">
        <v>-1</v>
      </c>
      <c r="AA234" s="44">
        <v>-1</v>
      </c>
      <c r="AB234" s="44">
        <v>-1</v>
      </c>
      <c r="AC234" s="44">
        <v>-1</v>
      </c>
      <c r="AD234" s="44">
        <v>-1</v>
      </c>
      <c r="AE234" s="44">
        <v>-1</v>
      </c>
      <c r="AF234" s="44">
        <v>-1</v>
      </c>
      <c r="AG234" s="44">
        <v>-1</v>
      </c>
      <c r="AH234" s="44">
        <v>-1</v>
      </c>
      <c r="AI234" s="44">
        <v>-1</v>
      </c>
      <c r="AJ234" s="44">
        <v>-1</v>
      </c>
      <c r="AK234" s="44">
        <v>-1</v>
      </c>
      <c r="AL234" s="44">
        <v>-1</v>
      </c>
      <c r="AM234" s="44">
        <v>-1</v>
      </c>
      <c r="AN234" s="44">
        <v>-1</v>
      </c>
      <c r="AO234" s="44">
        <v>-1</v>
      </c>
      <c r="AP234" s="44">
        <v>-1</v>
      </c>
      <c r="AQ234" s="44">
        <v>-1</v>
      </c>
      <c r="AR234" s="44">
        <v>-1</v>
      </c>
      <c r="AS234" s="44">
        <v>-1</v>
      </c>
      <c r="AT234" s="44">
        <v>-1</v>
      </c>
      <c r="AU234" s="44">
        <v>-1</v>
      </c>
      <c r="AV234" s="44">
        <v>-1</v>
      </c>
      <c r="AW234" s="44">
        <v>-1</v>
      </c>
      <c r="AX234" s="44">
        <v>-1</v>
      </c>
      <c r="AY234" s="1"/>
      <c r="AZ234" s="1"/>
      <c r="BA234" s="1"/>
      <c r="BB234" s="1"/>
      <c r="BC234" s="1"/>
      <c r="BD234" s="1"/>
      <c r="BE234" s="1"/>
      <c r="BF234" s="1"/>
    </row>
    <row r="235" spans="1:73" x14ac:dyDescent="0.25">
      <c r="A235" s="21" t="s">
        <v>588</v>
      </c>
      <c r="B235" s="3" t="s">
        <v>473</v>
      </c>
      <c r="C235" s="3" t="s">
        <v>483</v>
      </c>
      <c r="D235" s="3" t="s">
        <v>521</v>
      </c>
      <c r="E235" s="22" t="s">
        <v>589</v>
      </c>
      <c r="F235" s="22" t="s">
        <v>590</v>
      </c>
      <c r="G235" s="44">
        <v>1.0000000000000001E-9</v>
      </c>
      <c r="I235" s="58"/>
      <c r="J235" s="44">
        <f>J129* (6 * 12 / 0.44) * 0.015 / 14 / 1.4 /2/2/2</f>
        <v>5.8702458256029672E-17</v>
      </c>
      <c r="K235" s="44">
        <f>K129* (6 * 12 / 0.44) * 0.015 / 14 / 1.4</f>
        <v>4.6961966604823737E-16</v>
      </c>
      <c r="L235" s="44">
        <f>L128* (6 * 12 / 0.44) * 0.015 / 14 / 1.4</f>
        <v>6.2615955473098323E-16</v>
      </c>
      <c r="M235" s="44">
        <f>M128* (6 * 12 / 0.44) * 0.015 / 14 / 1.4</f>
        <v>6.2615955473098323E-16</v>
      </c>
      <c r="N235" s="1" t="s">
        <v>599</v>
      </c>
      <c r="O235" s="44">
        <f>O129* 6 * 12 / 0.44 * 0.015 / 14 / 1.4 /2/2/2</f>
        <v>5.8702458256029672E-17</v>
      </c>
      <c r="P235" s="44"/>
      <c r="Q235" s="44">
        <v>4.9999999999999999E-13</v>
      </c>
      <c r="R235" s="44">
        <v>4.9999999999999999E-13</v>
      </c>
      <c r="S235" s="44">
        <v>4.9999999999999999E-13</v>
      </c>
      <c r="V235" s="44">
        <v>4.9999999999999999E-13</v>
      </c>
      <c r="W235" s="44">
        <v>4.9999999999999999E-13</v>
      </c>
      <c r="X235" s="44">
        <v>4.9999999999999999E-13</v>
      </c>
      <c r="Y235" s="44">
        <v>4.9999999999999999E-13</v>
      </c>
      <c r="Z235" s="44">
        <v>4.9999999999999999E-13</v>
      </c>
      <c r="AA235" s="44">
        <v>4.9999999999999999E-13</v>
      </c>
      <c r="AB235" s="44">
        <v>4.9999999999999999E-13</v>
      </c>
      <c r="AC235" s="44">
        <v>4.9999999999999999E-13</v>
      </c>
      <c r="AD235" s="44">
        <v>4.9999999999999999E-13</v>
      </c>
      <c r="AE235" s="44">
        <v>4.9999999999999999E-13</v>
      </c>
      <c r="AF235" s="44">
        <v>4.9999999999999999E-13</v>
      </c>
      <c r="AG235"/>
      <c r="AH235" s="44">
        <v>4.9999999999999999E-13</v>
      </c>
      <c r="AI235" s="44">
        <v>4.9999999999999999E-13</v>
      </c>
      <c r="AJ235" s="44">
        <v>4.9999999999999999E-13</v>
      </c>
      <c r="AK235" s="44">
        <v>4.9999999999999999E-13</v>
      </c>
      <c r="AL235" s="44">
        <v>4.9999999999999999E-13</v>
      </c>
      <c r="AM235" s="44">
        <v>4.9999999999999999E-13</v>
      </c>
      <c r="AN235" s="44">
        <v>4.9999999999999999E-13</v>
      </c>
      <c r="AO235"/>
      <c r="AP235" s="44">
        <v>4.9999999999999999E-13</v>
      </c>
      <c r="AQ235" s="44">
        <v>4.9999999999999999E-13</v>
      </c>
      <c r="AR235" s="44">
        <v>4.9999999999999999E-13</v>
      </c>
      <c r="AS235" s="44">
        <v>4.9999999999999999E-13</v>
      </c>
      <c r="AT235"/>
      <c r="AU235" s="44">
        <v>4.9999999999999999E-13</v>
      </c>
      <c r="AV235"/>
      <c r="AW235"/>
      <c r="AX235" s="44">
        <v>4.9999999999999999E-13</v>
      </c>
    </row>
    <row r="236" spans="1:73" x14ac:dyDescent="0.25">
      <c r="A236" s="21" t="s">
        <v>603</v>
      </c>
      <c r="B236" s="3" t="s">
        <v>473</v>
      </c>
      <c r="C236" s="3" t="s">
        <v>483</v>
      </c>
      <c r="D236" s="3" t="s">
        <v>521</v>
      </c>
      <c r="E236" s="22" t="s">
        <v>589</v>
      </c>
      <c r="F236" s="22" t="s">
        <v>590</v>
      </c>
      <c r="G236" s="44">
        <v>1.0000000000000001E-9</v>
      </c>
      <c r="I236" s="58"/>
      <c r="J236" s="44">
        <f>J130* (6 * 12 / 0.44) * 0.015 / 14 / 1.4 /2/2/2</f>
        <v>0.15653988868274582</v>
      </c>
      <c r="K236" s="44">
        <f>K130* (6 * 12 / 0.44) * 0.015 / 14 / 1.4</f>
        <v>1.2523191094619666</v>
      </c>
      <c r="L236" s="44">
        <f>0.000001/3600</f>
        <v>2.7777777777777777E-10</v>
      </c>
      <c r="M236" s="44">
        <f>0.000001/3600</f>
        <v>2.7777777777777777E-10</v>
      </c>
      <c r="O236" s="44">
        <f>O130* 6 * 12 / 0.44 * 0.015 / 14 / 1.4 /2/2/2</f>
        <v>0.15653988868274582</v>
      </c>
      <c r="P236" s="44"/>
      <c r="Q236" s="44">
        <v>4.9999999999999999E-13</v>
      </c>
      <c r="R236" s="44">
        <v>4.9999999999999999E-13</v>
      </c>
      <c r="S236" s="44">
        <v>4.9999999999999999E-13</v>
      </c>
      <c r="V236" s="44">
        <v>4.9999999999999999E-13</v>
      </c>
      <c r="W236" s="44">
        <v>4.9999999999999999E-13</v>
      </c>
      <c r="X236" s="44">
        <v>4.9999999999999999E-13</v>
      </c>
      <c r="Y236" s="44">
        <v>4.9999999999999999E-13</v>
      </c>
      <c r="Z236" s="44">
        <v>4.9999999999999999E-13</v>
      </c>
      <c r="AA236" s="44">
        <v>4.9999999999999999E-13</v>
      </c>
      <c r="AB236" s="44">
        <v>4.9999999999999999E-13</v>
      </c>
      <c r="AC236" s="44">
        <v>4.9999999999999999E-13</v>
      </c>
      <c r="AD236" s="44">
        <v>4.9999999999999999E-13</v>
      </c>
      <c r="AE236" s="44">
        <v>4.9999999999999999E-13</v>
      </c>
      <c r="AF236" s="44">
        <v>4.9999999999999999E-13</v>
      </c>
      <c r="AG236"/>
      <c r="AH236" s="44">
        <v>4.9999999999999999E-13</v>
      </c>
      <c r="AI236" s="44">
        <v>4.9999999999999999E-13</v>
      </c>
      <c r="AJ236" s="44">
        <v>4.9999999999999999E-13</v>
      </c>
      <c r="AK236" s="44">
        <v>4.9999999999999999E-13</v>
      </c>
      <c r="AL236" s="44">
        <v>4.9999999999999999E-13</v>
      </c>
      <c r="AM236" s="44">
        <v>4.9999999999999999E-13</v>
      </c>
      <c r="AN236" s="44">
        <v>4.9999999999999999E-13</v>
      </c>
      <c r="AO236"/>
      <c r="AP236" s="44">
        <v>4.9999999999999999E-13</v>
      </c>
      <c r="AQ236" s="44">
        <v>4.9999999999999999E-13</v>
      </c>
      <c r="AR236" s="44">
        <v>4.9999999999999999E-13</v>
      </c>
      <c r="AS236" s="44">
        <v>4.9999999999999999E-13</v>
      </c>
      <c r="AT236"/>
      <c r="AU236" s="44">
        <v>4.9999999999999999E-13</v>
      </c>
      <c r="AV236"/>
      <c r="AW236"/>
      <c r="AX236" s="44">
        <v>4.9999999999999999E-13</v>
      </c>
    </row>
  </sheetData>
  <phoneticPr fontId="19" type="noConversion"/>
  <conditionalFormatting sqref="G225">
    <cfRule type="colorScale" priority="47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7:M127">
    <cfRule type="colorScale" priority="47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5:M135">
    <cfRule type="colorScale" priority="47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7:M207">
    <cfRule type="colorScale" priority="47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8:M208">
    <cfRule type="colorScale" priority="47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5:M215">
    <cfRule type="colorScale" priority="4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6:M217">
    <cfRule type="colorScale" priority="47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8:M219">
    <cfRule type="colorScale" priority="4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0:M221">
    <cfRule type="colorScale" priority="47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2:M222">
    <cfRule type="colorScale" priority="4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3:M223">
    <cfRule type="colorScale" priority="47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4:M224">
    <cfRule type="colorScale" priority="4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0:M230">
    <cfRule type="colorScale" priority="4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1:M231">
    <cfRule type="colorScale" priority="4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4:M234">
    <cfRule type="colorScale" priority="47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3:P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3:P2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27:P127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35:P13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7:P207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8:P208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3:P21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5:P21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6:P217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8:P219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0:P221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2:P222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3:P223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4:P224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6:P229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30:P230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31:P231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32:P23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34:P23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5:S225 AX225 I225:M225">
    <cfRule type="colorScale" priority="3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9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0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1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2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9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0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1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2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Y2 AX2 G2 O2:S2 I2:M2"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:Y4 AX3:AX4 G3:G4 Q3:S4 I3:M4"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:Y5 AX5 G5 O5:S5 I5:M5"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:Y6 AX6 G6 O6:S6 I6:M6"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:Y7 AX7 G7 O7:S7 I7:M7"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:Y8 AX8 G8 O8:S8 I8:M8"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:Y9 AX9 G9 O9:S9 I9:M9"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:Y10 AX10 G10 O10:S10 I10:M10"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:Y11 AX11 G11 O11:S11 I11:M11"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:Y12 AX12 G12 O12:S12 I12:M12"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:Y13 AX13 G13 O13:S13 I13:M13"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:Y14 AX14 G14 O14:S14 I14:M14"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:Y15 AX15 G15 O15:S15 I15:M15"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:Y16 AX16 G16 O16:S16 I16:M16"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:Y17 AX17 G17 O17:S17 I17:M17"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:Y18 AX18 G18 O18:S18 I18:M18"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:Y19 AX19 G19 O19:S19 I19:M19"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:Y20 AX20 G20 O20:S20 I20:M20"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:Y21 AX21 G21 O21:S21 I21:M21"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:Y22 AX22 G22 O22:S22 I22:M22"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5:Y25 AX25 G25 O25:S25 I25:M25"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6:Y26 AX26 G26 O26:S26 I26:M26"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7:Y27 AX27 G27 O27:S27 I27:M27"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8:Y28 AX28 G28 O28:S28 I28:M28"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9:Y29 AX29 G29 O29:S29 I29:M29"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0:Y30 AX30 G30 O30:S30 I30:M30"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1:Y31 AX31 G31 O31:S31 I31:M31"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2:Y32 AX32 G32 O32:S32 I32:M32"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3:Y33 AX33 G33 O33:S33 I33:M33"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4:Y34 AX34 G34 O34:S34 I34:M34"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5:Y35 AX35 G35 O35:S35 I35:M35"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6:Y36 AX36 G36 O36:S36 I36:M36"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7:Y37 AX37 G37 O37:S37 I37:M37"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8:Y38 AX38 G38 O38:S38 I38:M38"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9:Y39 AX39 G39 O39:S39 I39:M39"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0:Y40 AX40 G40 O40:S40 I40:M40"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1:Y41 AX41 G41 O41:S41 I41:M41"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2:Y42 AX42 G42 O42:S42 I42:M42"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3:Y43 AX43 G43 O43:S43 I43:M43"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4:Y44 AX44 G44 O44:S44 I44:M44"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5:Y45 AX45 G45 O45:S45 I45:M45"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6:Y46 AX46 G46 O46:S46 I46:M46"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7:Y47 AX47 G47 O47:S47 I47:M47"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8:Y48 AX48 G48 O48:S48 I48:M48"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9:Y49 AX49 G49 O49:S49 I49:M49"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0:Y50 AX50 G50 O50:S50 I50:M50"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1:Y51 AX51 G51 O51:S51 I51:M51"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2:Y52 AX52 G52 O52:S52 I52:M52"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3:Y53 AX53 G53 O53:S53 I53:M53"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4:Y54 AX54 G54 O54:S54 I54:M54"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5:Y55 AX55 G55 O55:S55 I55:M55"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6:Y56 AX56 G56 O56:S56 I56:M56"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7:Y57 AX57 G57 O57:S57 I57:M57"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8:Y58 AX58 G58 O58:S58 I58:M58"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9:Y59 AX59 G59 O59:S59 I59:M59"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0:Y60 AX60 G60 O60:S60 I60:M60"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1:Y61 AX61 G61 O61:S61 I61:M61"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2:Y62 AX62 G62 O62:S62 I62:M62"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3:Y63 AX63 G63 O63:S63 I63:M63"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4:Y64 AX64 G64 O64:S64 I64:M64"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5:Y65 AX65 G65 O65:S65 I65:M65"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6:Y66 AX66 G66 O66:S66 I66:M66"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7:Y67 AX67 G67 O67:S67 I67:M67"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8:Y68 AX68 G68 O68:S68 I68:M68"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9:Y69 AX69 G69 O69:S69 I69:M69"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0:Y70 AX70 G70 O70:S70 I70:M70"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1:Y71 AX71 G71 O71:S71 I71:M71"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2:Y72 AX72 G72 O72:S72 I72:M72"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3:Y73 AX73 G73 O73:S73 I73:M73"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4:Y74 AX74 G74 O74:S74 I74:M74"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5:Y75 AX75 G75 O75:S75 I75:M75"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6:Y76 AX76 G76 O76:S76 I76:M76"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7:Y77 AX77 G77 O77:S77 I77:M77"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8:Y78 AX78 G78 O78:S78 I78:M78"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9:Y79 AX79 G79 O79:S79 I79:M79"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0:Y80 AX80 G80 O80:S80 I80:M80"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1:Y81 AX81 G81 O81:S81 I81:M81"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2:Y82 AX82 G82 O82:S82 I82:M82"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3:Y83 AX83 G83 O83:S83 I83:M83"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4:Y84 AX84 G84 O84:S84 I84:M84"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5:Y85 AX85 G85 O85:S85 I85:M85"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6:Y86 AX86 G86 O86:S86 I86:M86"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7:Y87 AX87 G87 O87:S87 I87:M87"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8:Y88 AX88 G88 O88:S88 I88:M88"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9:Y89 AX89 G89 O89:S89 I89:M89"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0:Y90 AX90 G90 O90:S90 I90:M90"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1:Y91 AX91 G91 O91:S91 I91:M91"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2:Y92 AX92 G92 O92:S92 I92:M92"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3:Y93 AX93 G93 O93:S93 I93:M93"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4:Y94 AX94 G94 O94:S94 I94:M94"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5:Y95 AX95 G95 O95:S95 I95:M95"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6:Y96 AX96 G96 O96:S96 I96:M96"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7:Y97 AX97 G97 O97:S97 I97:M97"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8:Y98 AX98 G98 O98:S98 I98:M98"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9:Y99 AX99 G99 O99:S99 I99:M99"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0:Y100 AX100 G100 O100:S100 I100:M100"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1:Y101 AX101 G101 O101:S101 I101:M101"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2:Y102 AX102 G102 O102:S102 I102:M102"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3:Y103 AX103 G103 O103:S103 I103:M103"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4:Y104 AX104 G104 O104:S104 I104:M104"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5:Y105 AX105 G105 O105:S105 I105:M105"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6:Y106 AX106 G106 O106:S106 I106:M106"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7:Y107 AX107 G107 O107:S107 I107:M107"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8:Y108 AX108 G108 O108:S108 I108:M108"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9:Y109 AX109 G109 O109:S109 I109:M109"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0:Y110 AX110 G110 O110:S110 I110:M110"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1:Y111 AX111 G111 O111:S111 I111:M111"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2:Y112 AX112 G112 O112:S112 I112:M112"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3:Y113 AX113 G113 O113:S113 I113:M113"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4:Y114 AX114 G114 O114:S114 I114:M114"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5:Y115 AX115 G115 O115:S115 I115:M115"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6:Y116 AX116 G116 O116:S116 I116:M116"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7:Y117 AX117 G117 O117:S117 I117:M117"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8:Y118 AX118 G118 O118:S118 I118:M118"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9:Y119 AX119 G119 O119:S119 I119:M119"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0:Y120 AX120 G120 O120:S120 I120:M120"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1:Y121 AX121 G121 O121:S121 I121:M121"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2:Y122 AX122 G122 O122:S122 I122:M122"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3:Y123 AX123 G123 O123:S123 I123:M123"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4:Y124 AX124 G124 O124:S124 I124:M124"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5:Y125 AX125 G125 O125:S125 I125:M125"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6:Y126 AX126 G126 O126:S126 I126:M126"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7:Y127 AX127 G127 Q127:S127"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8:Y129 AX128:AX129 G128:G129 O128:S129 I128:M129"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0:Y130 AX130 G130 O130:S130 I130:M130"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1:Y131 AX131 G131 O131:S131 I131:M131"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2:Y132 AX132 G132 O132:S132 I132:M132"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3:Y133 AX133 G133 O133:S133 I133:M133"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4:Y134 AX134 G134 O134:S134 I134:M134"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5:Y135 AX135 G135 Q135:S135"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6:Y136 AX136 G136 O136:S136 I136:M136"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7:Y137 AX137 G137 O137:S137 I137:M137"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8:Y138 AX138 G138 O138:S138 I138:M138"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9:Y139 AX139 G139 O139:S139 I139:M139"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0:Y140 AX140 G140 O140:S140 I140:M140"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1:Y141 AX141 G141 O141:S141 I141:M141"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2:Y142 AX142 G142 O142:S142 I142:M142"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3:Y143 AX143 G143 O143:S143 I143:M143"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4:Y144 AX144 G144 O144:S144 I144:M144"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5:Y145 AX145 G145 O145:S145 I145:M145"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6:Y146 AX146 G146 O146:S146 I146:M146"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7:Y147 AX147 G147 O147:S147 I147:M147"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8:Y148 AX148 G148 O148:S148 I148:M148"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9:Y149 AX149 G149 O149:S149 I149:M149"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0:Y150 AX150 G150 O150:S150 I150:M150"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1:Y151 AX151 G151 O151:S151 I151:M151"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2:Y152 AX152 G152 O152:S152 I152:M152"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3:Y153 AX153 G153 O153:S153 I153:M153"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4:Y154 AX154 G154 O154:S154 I154:M154"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5:Y155 AX155 G155 O155:S155 I155:M155"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6:Y156 AX156 G156 O156:S156 I156:M156"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7:Y157 AX157 G157 O157:S157 I157:M157"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8:Y158 AX158 G158 O158:S158 I158:M158"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9:Y159 AX159 G159 O159:S159 I159:M159"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0:Y160 AX160 G160 O160:S160 I160:M160"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1:Y161 AX161 G161 O161:S161 I161:M161"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2:Y162 AX162 G162 O162:S162 I162:M162"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3:Y163 AX163 G163 O163:S163 I163:M163"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4:Y164 AX164 G164 O164:S164 I164:M164"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5:Y165 AX165 G165 O165:S165 I165:M165"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6:Y166 AX166 G166 O166:S166 I166:M166"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7:Y167 AX167 G167 O167:S167 I167:M167"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8:Y168 AX168 G168 O168:S168 I168:M168"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9:Y169 AX169 G169 O169:S169 I169:M169"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0:Y170 AX170 G170 O170:S170 I170:M170"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1:Y171 AX171 G171 O171:S171 I171:M171"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2:Y172 AX172 G172 O172:S172 I172:M172"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3:Y173 AX173 G173 O173:S173 I173:M173"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4:Y174 AX174 G174 O174:S174 I174:M174"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5:Y175 AX175 G175 O175:S175 I175:M175"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6:Y176 AX176 G176 O176:S176 I176:M176"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7:Y177 AX177 G177 O177:S177 I177:M177"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8:Y178 AX178 G178 O178:S178 I178:M178">
    <cfRule type="colorScale" priority="3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9:Y179 AX179 G179 O179:S179 I179:M179"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0:Y180 AX180 G180 O180:S180 I180:M180"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1:Y181 AX181 G181 O181:S181 I181:M181"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2:Y182 AX182 G182 O182:S182 I182:M182"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3:Y183 AX183 G183 O183:S183 I183:M183">
    <cfRule type="colorScale" priority="3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4:Y184 AX184 G184 O184:S184 I184:M184"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5:Y185 AX185 G185 O185:S185 I185:M185">
    <cfRule type="colorScale" priority="3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6:Y186 AX186 G186 O186:S186 I186:M186"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7:Y187 AX187 G187 O187:S187 I187:M187"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8:Y188 AX188 G188 O188:S188 I188:M188"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9:Y189 AX189 G189 O189:S189 I189:M189">
    <cfRule type="colorScale" priority="3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0:Y190 AX190 G190 O190:S190 I190:M190"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1:Y191 AX191 G191 O191:S191 I191:M191"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2:Y192 AX192 G192 O192:S192 I192:M192">
    <cfRule type="colorScale" priority="3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3:Y193 AX193 G193 O193:S193 I193:M193"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4:Y194 AX194 G194 O194:S194 I194:M194">
    <cfRule type="colorScale" priority="3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5:Y195 AX195 G195 O195:S195 I195:M195"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6:Y196 AX196 G196 O196:S196 I196:M196">
    <cfRule type="colorScale" priority="3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7:Y197 AX197 G197 O197:S197 I197:M197">
    <cfRule type="colorScale" priority="3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8:Y198 AX198 G198 O198:S198 I198:M198">
    <cfRule type="colorScale" priority="3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9:Y199 AX199 G199 O199:S199 I199:M199">
    <cfRule type="colorScale" priority="3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0:Y200 AX200 G200 O200:S200 I200:M200">
    <cfRule type="colorScale" priority="3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1:Y201 AX201 G201 O201:S201 I201:M201">
    <cfRule type="colorScale" priority="3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2:Y202 AX202 G202 O202:S202 I202:M202">
    <cfRule type="colorScale" priority="3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3:Y203 AX203 G203 O203:S203 I203:M203">
    <cfRule type="colorScale" priority="3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4:Y204 AX204 G204 O204:S204 I204:M204">
    <cfRule type="colorScale" priority="3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5:Y205 AX205 G205 O205:S205 I205:M205">
    <cfRule type="colorScale" priority="3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6:Y206 AX206 G206 O206:S206 I206:M206">
    <cfRule type="colorScale" priority="3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7:Y207 AX207 G207 Q207:S207">
    <cfRule type="colorScale" priority="3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8:Y208 AX208 G208 Q208:S208">
    <cfRule type="colorScale" priority="3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9:Y209 AX209 G209 O209:Q209 I209:M209">
    <cfRule type="colorScale" priority="3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0:Y210 AX210 G210 O210:Q210 I210:M210">
    <cfRule type="colorScale" priority="3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1:Y211 AX211 G211 O211:Q211 I211:M211">
    <cfRule type="colorScale" priority="3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2:Y212 AX212 G212 O212:Q212 I212:M212">
    <cfRule type="colorScale" priority="3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3:Y213">
    <cfRule type="colorScale" priority="3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4:Y214 AX214 G214 Q214:S214">
    <cfRule type="colorScale" priority="3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5:Y215 AX215 G215 Q215:S215">
    <cfRule type="colorScale" priority="3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6:Y219 AX216:AX219 G216:G219 Q216:S219">
    <cfRule type="colorScale" priority="3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0:Y221 AX220:AX221 G220:G221 Q220:S221">
    <cfRule type="colorScale" priority="3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2:Y224 AX222:AX224 G222:G223 Q222:S224">
    <cfRule type="colorScale" priority="3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5:Y225">
    <cfRule type="colorScale" priority="3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35:Y236 AX235:AX236 G235:G236 O235:S236 I235:M236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:Z24"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6:Z231">
    <cfRule type="colorScale" priority="15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2:Z233">
    <cfRule type="colorScale" priority="1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AF2"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:AF4"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:AF5"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AF6"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:AF7"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:AF8"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:AF9"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:AF10"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:AF11"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:AF12"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:AF13"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:AF14"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:AF15"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:AF16"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:AF17"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:AF18"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:AF19"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:AF20"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:AF21"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:AF22"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5:AF25"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6:AF26"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7:AF27"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8:AF28"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9:AF29"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0:AF30"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1:AF31"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2:AF32"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3:AF33"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4:AF34"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5:AF35"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6:AF36"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7:AF37"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8:AF38"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9:AF39"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0:AF40"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1:AF41"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2:AF42"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3:AF43"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4:AF44"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5:AF45"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6:AF46"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7:AF47"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8:AF48"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9:AF49"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0:AF50"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1:AF51"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2:AF52"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3:AF53"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4:AF54"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5:AF55"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6:AF56"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7:AF57"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8:AF58"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9:AF59"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0:AF60"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1:AF61"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2:AF62"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3:AF63"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4:AF64"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5:AF65"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6:AF66"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7:AF67"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8:AF68"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9:AF69"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0:AF70"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1:AF71"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2:AF72"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3:AF73"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4:AF74"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5:AF75"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6:AF76"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7:AF77"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8:AF78"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9:AF79"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0:AF80"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1:AF81"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2:AF82"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3:AF83"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4:AF84"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5:AF85"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6:AF86"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7:AF87"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8:AF88"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9:AF89"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0:AF90"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1:AF91"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2:AF92"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3:AF93"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4:AF94"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5:AF95"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6:AF96"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7:AF97"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8:AF98"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9:AF99"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0:AF100"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1:AF101"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2:AF102"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3:AF103"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4:AF104"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5:AF105"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6:AF106"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7:AF107"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8:AF108"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9:AF109"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0:AF110"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1:AF111"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2:AF112"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3:AF113"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4:AF114"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5:AF115"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6:AF116"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7:AF117"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8:AF118"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9:AF119"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0:AF120"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1:AF121"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2:AF122"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3:AF123"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4:AF124"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5:AF125"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6:AF126"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7:AF127"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8:AF12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9:AF129"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0:AF130"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1:AF131"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2:AF132"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3:AF133"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4:AF134"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5:AF135"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6:AF136"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7:AF137"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8:AF138"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9:AF139"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0:AF140"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1:AF141"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2:AF142"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3:AF143"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4:AF144"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5:AF145"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6:AF146"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7:AF147"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8:AF148"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9:AF149"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0:AF150"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1:AF151"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2:AF152"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3:AF153"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4:AF154"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5:AF155"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6:AF156"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7:AF157"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8:AF158"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9:AF159"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0:AF160"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1:AF161"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2:AF162"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3:AF163"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4:AF164"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5:AF165"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6:AF166"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7:AF167"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8:AF168"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9:AF169"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0:AF170"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1:AF171"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2:AF172"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3:AF173"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4:AF174"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5:AF175"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6:AF176"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7:AF177"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8:AF178">
    <cfRule type="colorScale" priority="1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9:AF179"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0:AF180"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1:AF181"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2:AF182"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3:AF183">
    <cfRule type="colorScale" priority="1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4:AF184"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5:AF185">
    <cfRule type="colorScale" priority="1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6:AF186"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7:AF187"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8:AF188">
    <cfRule type="colorScale" priority="1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9:AF189">
    <cfRule type="colorScale" priority="1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0:AF190">
    <cfRule type="colorScale" priority="1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1:AF191"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2:AF192"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3:AF193"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4:AF194">
    <cfRule type="colorScale" priority="1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5:AF195">
    <cfRule type="colorScale" priority="1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6:AF196">
    <cfRule type="colorScale" priority="1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7:AF197">
    <cfRule type="colorScale" priority="1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8:AF198">
    <cfRule type="colorScale" priority="1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9:AF199">
    <cfRule type="colorScale" priority="15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0:AF200"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1:AF201">
    <cfRule type="colorScale" priority="15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2:AF202">
    <cfRule type="colorScale" priority="1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3:AF203">
    <cfRule type="colorScale" priority="15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4:AF204">
    <cfRule type="colorScale" priority="1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5:AF205">
    <cfRule type="colorScale" priority="1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6:AF206">
    <cfRule type="colorScale" priority="1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7:AF207">
    <cfRule type="colorScale" priority="15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8:AF208">
    <cfRule type="colorScale" priority="1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9:AF209">
    <cfRule type="colorScale" priority="1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0:AF210">
    <cfRule type="colorScale" priority="1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1:AF211">
    <cfRule type="colorScale" priority="1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2:AF212">
    <cfRule type="colorScale" priority="15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3:AF213">
    <cfRule type="colorScale" priority="1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4:AF214">
    <cfRule type="colorScale" priority="1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5:AF215">
    <cfRule type="colorScale" priority="15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6:AF219">
    <cfRule type="colorScale" priority="1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0:AF221">
    <cfRule type="colorScale" priority="15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2:AF224">
    <cfRule type="colorScale" priority="15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5:AF225">
    <cfRule type="colorScale" priority="1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5:AF23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:AA24"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6:AA231"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2:AA233"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:AB24"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6:AB231"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2:AB233"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:AC24"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6:AC231"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2:AC233"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:AD24"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6:AD231"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2:AD233"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E24"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6:AE231"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2:AE233"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:AF24"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6:AF231"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2:AF233"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:AH24">
    <cfRule type="colorScale" priority="6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5">
    <cfRule type="colorScale" priority="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6:AH231"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2:AH233"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:AN2 AP2:AS2"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:AN4 AP3:AS4"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:AN5 AP5:AS5"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:AN6 AP6:AS6"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:AN7 AP7:AS7"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:AN8 AP8:AS8"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:AN9 AP9:AS9"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:AN10 AP10:AS10"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:AN11 AP11:AS11"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:AN12 AP12:AS12"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:AN13 AP13:AS13"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:AN14 AP14:AS14"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:AN15 AP15:AS15"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N16 AP16:AS16"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N17 AP17:AS17"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:AN18 AP18:AS18"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:AN19 AP19:AS19"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:AN20 AP20:AS20"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:AN21 AP21:AS21"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N22 AP22:AS22"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5:AN25 AP25:AS25"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6:AN26 AP26:AS26"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7:AN27 AP27:AS27"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8:AN28 AP28:AS28"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9:AN29 AP29:AS29"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0:AN30 AP30:AS30"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1:AN31 AP31:AS31"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2:AN32 AP32:AS32"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3:AN33 AP33:AS33"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4:AN34 AP34:AS34"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5:AN35 AP35:AS35"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6:AN36 AP36:AS36"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7:AN37 AP37:AS37"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8:AN38 AP38:AS38"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9:AN39 AP39:AS39"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0:AN40 AP40:AS40"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1:AN41 AP41:AS41"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2:AN42 AP42:AS42"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3:AN43 AP43:AS43"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4:AN44 AP44:AS44"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5:AN45 AP45:AS45"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6:AN46 AP46:AS46"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7:AN47 AP47:AS47"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8:AN48 AP48:AS48"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9:AN49 AP49:AS49"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0:AN50 AP50:AS50"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1:AN51 AP51:AS51"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2:AN52 AP52:AS52"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3:AN53 AP53:AS53"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4:AN54 AP54:AS54"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5:AN55 AP55:AS55"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6:AN56 AP56:AS56"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7:AN57 AP57:AS57"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8:AN58 AP58:AS58"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9:AN59 AP59:AS59"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0:AN60 AP60:AS60"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1:AN61 AP61:AS61"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2:AN62 AP62:AS62"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3:AN63 AP63:AS63"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4:AN64 AP64:AS64"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5:AN65 AP65:AS65"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6:AN66 AP66:AS66"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7:AN67 AP67:AS67"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8:AN68 AP68:AS68"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9:AN69 AP69:AS69"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0:AN70 AP70:AS70"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1:AN71 AP71:AS71"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2:AN72 AP72:AS72"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3:AN73 AP73:AS73"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4:AN74 AP74:AS74"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5:AN75 AP75:AS75"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6:AN76 AP76:AS76"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7:AN77 AP77:AS77"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8:AN78 AP78:AS78"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9:AN79 AP79:AS79"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0:AN80 AP80:AS80"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1:AN81 AP81:AS81"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2:AN82 AP82:AS82"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3:AN83 AP83:AS83"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4:AN84 AP84:AS84"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5:AN85 AP85:AS85"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6:AN86 AP86:AS86"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7:AN87 AP87:AS87"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8:AN88 AP88:AS88"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9:AN89 AP89:AS89"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0:AN90 AP90:AS90"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1:AN91 AP91:AS91"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2:AN92 AP92:AS92"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3:AN93 AP93:AS93"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4:AN94 AP94:AS94"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5:AN95 AP95:AS95"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6:AN96 AP96:AS96"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7:AN97 AP97:AS97"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8:AN98 AP98:AS98"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9:AN99 AP99:AS99"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0:AN100 AP100:AS100"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1:AN101 AP101:AS101"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2:AN102 AP102:AS102"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3:AN103 AP103:AS103"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4:AN104 AP104:AS104"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5:AN105 AP105:AS105"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6:AN106 AP106:AS106"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7:AN107 AP107:AS107"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8:AN108 AP108:AS108"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9:AN109 AP109:AS109"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0:AN110 AP110:AS110"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1:AN111 AP111:AS111"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2:AN112 AP112:AS112"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3:AN113 AP113:AS113"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4:AN114 AP114:AS114"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5:AN115 AP115:AS115"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6:AN116 AP116:AS116"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7:AN117 AP117:AS117"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8:AN118 AP118:AS118"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9:AN119 AP119:AS119"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0:AN120 AP120:AS120"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1:AN121 AP121:AS121"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2:AN122 AP122:AS122"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3:AN123 AP123:AS123"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4:AN124 AP124:AS124"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5:AN125 AP125:AS125"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6:AN126 AP126:AS126"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7:AN127 AP127:AS127"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8:AN128 AP128:AS12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9:AN129 AP129:AS129"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0:AN130 AP130:AS130"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1:AN131 AP131:AS131"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2:AN132 AP132:AS132"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3:AN133 AP133:AS133"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4:AN134 AP134:AS134"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5:AN135 AP135:AS135"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6:AN136 AP136:AS136"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7:AN137 AP137:AS137"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8:AN138 AP138:AS138"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9:AN139 AP139:AS139"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0:AN140 AP140:AS140"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1:AN141 AP141:AS141"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2:AN142 AP142:AS142"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3:AN143 AP143:AS143"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4:AN144 AP144:AS144"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5:AN145 AP145:AS145"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6:AN146 AP146:AS146"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7:AN147 AP147:AS147"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8:AN148 AP148:AS148"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9:AN149 AP149:AS149"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0:AN150 AP150:AS150"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1:AN151 AP151:AS151"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2:AN152 AP152:AS152"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3:AN153 AP153:AS153"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4:AN154 AP154:AS154"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5:AN155 AP155:AS155"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6:AN156 AP156:AS156"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7:AN157 AP157:AS157"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8:AN158 AP158:AS158"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9:AN159 AP159:AS159"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0:AN160 AP160:AS160"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1:AN161 AP161:AS161"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2:AN162 AP162:AS162"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3:AN163 AP163:AS163"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4:AN164 AP164:AS164"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5:AN165 AP165:AS165"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6:AN166 AP166:AS166"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7:AN167 AP167:AS167"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8:AN168 AP168:AS168"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9:AN169 AP169:AS169"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0:AN170 AP170:AS170"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1:AN171 AP171:AS171"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2:AN172 AP172:AS172"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3:AN173 AP173:AS173"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4:AN174 AP174:AS174"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5:AN175 AP175:AS175"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6:AN176 AP176:AS176"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7:AN177 AP177:AS177"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8:AN178 AP178:AS178"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9:AN179 AP179:AS179"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0:AN180 AP180:AS180"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1:AN181 AP181:AS181"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2:AN182 AP182:AS182"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3:AN183 AP183:AS183"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4:AN184 AP184:AS184"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5:AN185 AP185:AS185"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6:AN186 AP186:AS186"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7:AN187 AP187:AS187"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8:AN188 AP188:AS188"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9:AN189 AP189:AS189"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0:AN190 AP190:AS190"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1:AN191 AP191:AS191"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2:AN192 AP192:AS192"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3:AN193 AP193:AS193"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4:AN194 AP194:AS194"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5:AN195 AP195:AS195"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6:AN196 AP196:AS196"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7:AN197 AP197:AS197"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8:AN198 AP198:AS198"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9:AN199 AP199:AS199"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0:AN200 AP200:AS200"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1:AN201 AP201:AS201"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2:AN202 AP202:AS202"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3:AN203 AP203:AS203"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4:AN204 AP204:AS204"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5:AN205 AP205:AS205"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6:AN206 AP206:AS206"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7:AN207 AP207:AS207"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8:AN208 AP208:AS208">
    <cfRule type="colorScale" priority="46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9:AN209">
    <cfRule type="colorScale" priority="4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0:AN210 AP210:AS210">
    <cfRule type="colorScale" priority="4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1:AN211 AP211:AS211">
    <cfRule type="colorScale" priority="4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2:AN212 AP212:AS212">
    <cfRule type="colorScale" priority="46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3:AN213">
    <cfRule type="colorScale" priority="46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4:AN214 AP214:AS214">
    <cfRule type="colorScale" priority="46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5:AN215 AP215:AS215">
    <cfRule type="colorScale" priority="4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6:AN219 AP216:AS219">
    <cfRule type="colorScale" priority="46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0:AN221 AP220:AS221">
    <cfRule type="colorScale" priority="4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2:AN224 AP222:AS224">
    <cfRule type="colorScale" priority="46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5:AN225">
    <cfRule type="colorScale" priority="46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5:AN236 AP235:AS236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I24">
    <cfRule type="colorScale" priority="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5">
    <cfRule type="colorScale" priority="6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6:AI231">
    <cfRule type="colorScale" priority="6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2:AI233">
    <cfRule type="colorScale" priority="6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:AJ24">
    <cfRule type="colorScale" priority="6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5">
    <cfRule type="colorScale" priority="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6:AJ231">
    <cfRule type="colorScale" priority="6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2:AJ233">
    <cfRule type="colorScale" priority="6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:AK24">
    <cfRule type="colorScale" priority="6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5">
    <cfRule type="colorScale" priority="6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6:AK231">
    <cfRule type="colorScale" priority="6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2:AK233">
    <cfRule type="colorScale" priority="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:AL24">
    <cfRule type="colorScale" priority="6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5">
    <cfRule type="colorScale" priority="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6:AL231">
    <cfRule type="colorScale" priority="6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2:AL233">
    <cfRule type="colorScale" priority="6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:AM24">
    <cfRule type="colorScale" priority="6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5">
    <cfRule type="colorScale" priority="6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6:AM231">
    <cfRule type="colorScale" priority="6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2:AM233">
    <cfRule type="colorScale" priority="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3:AN24">
    <cfRule type="colorScale" priority="6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6:AN231">
    <cfRule type="colorScale" priority="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32:AN233">
    <cfRule type="colorScale" priority="6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3:AS24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09:AS209">
    <cfRule type="colorScale" priority="4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13:AS213">
    <cfRule type="colorScale" priority="4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5:AS225">
    <cfRule type="colorScale" priority="46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6:AS231"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32:AS233"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"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:AU4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"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"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"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"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"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"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3:AU24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5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6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7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8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9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0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1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2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3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4"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5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6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7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8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9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0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1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2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3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4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5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6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7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8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9"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0"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1"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2"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3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4"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5"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6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7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8"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9"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0"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1"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2"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3"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4"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5"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6"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7"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8"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9"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0"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1"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2"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3"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4"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5"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6"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7"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8"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9"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0"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1"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2"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3"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4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5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6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7"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8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9"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0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1"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2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3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4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5"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6"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7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8"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9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0"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1"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2"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3"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4"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5"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6"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7"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8"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9"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0"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1"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2"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3"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4"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5"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6"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7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8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9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0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1"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2"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3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4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5"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6"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7"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8:AU129"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0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1"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2"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3"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4"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5"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6"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7"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8"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9"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0"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1"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2"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3"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4"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5"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6"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7"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8"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9"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0"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1"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2"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3"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4"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5"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6"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7"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8"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9"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0"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1"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2"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3"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4"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5"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6"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7"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8"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9"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0"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1"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2"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3"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4"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5"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6"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7"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8"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9"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0"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1"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2"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3"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4"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5"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6"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7"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8"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9"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0"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1"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2"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3"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4">
    <cfRule type="colorScale" priority="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5">
    <cfRule type="colorScale" priority="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6">
    <cfRule type="colorScale" priority="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7">
    <cfRule type="colorScale" priority="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8">
    <cfRule type="colorScale" priority="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9">
    <cfRule type="colorScale" priority="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0">
    <cfRule type="colorScale" priority="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1">
    <cfRule type="colorScale" priority="5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2">
    <cfRule type="colorScale" priority="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3">
    <cfRule type="colorScale" priority="5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4">
    <cfRule type="colorScale" priority="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5">
    <cfRule type="colorScale" priority="5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6">
    <cfRule type="colorScale" priority="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7">
    <cfRule type="colorScale" priority="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8">
    <cfRule type="colorScale" priority="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9">
    <cfRule type="colorScale" priority="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0">
    <cfRule type="colorScale" priority="5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1">
    <cfRule type="colorScale" priority="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2">
    <cfRule type="colorScale" priority="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3">
    <cfRule type="colorScale" priority="5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4">
    <cfRule type="colorScale" priority="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5">
    <cfRule type="colorScale" priority="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6:AU219">
    <cfRule type="colorScale" priority="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0:AU221">
    <cfRule type="colorScale" priority="5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2:AU224">
    <cfRule type="colorScale" priority="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5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6:AU231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32:AU233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35:AU23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3:AX24 V23:Y24 G23:G24 Q23:S24 I23:M24"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13 G213 Q213:S213 I213:M214">
    <cfRule type="colorScale" priority="3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26:AX231 V226:Y231 G226:G230 Q226:S231 I226:M229">
    <cfRule type="colorScale" priority="46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32:AX233 V232:Y233 G232:G234 Q232:S234 V234:AX234 I234 I232:M233">
    <cfRule type="colorScale" priority="3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2025-10-17T12:25:25Z</dcterms:modified>
</cp:coreProperties>
</file>