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7484\home\torisuten\package\Wheat-BRIDGES\simulations\scene\inputs\"/>
    </mc:Choice>
  </mc:AlternateContent>
  <xr:revisionPtr revIDLastSave="0" documentId="13_ncr:1_{3B6944AF-FCA0-4B92-BBC8-AE5DBFF131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3" i="2" l="1"/>
  <c r="L229" i="2"/>
  <c r="L228" i="2"/>
  <c r="L226" i="2"/>
  <c r="L223" i="2"/>
  <c r="L222" i="2"/>
  <c r="L221" i="2"/>
  <c r="L220" i="2"/>
  <c r="L219" i="2"/>
  <c r="L218" i="2"/>
  <c r="L217" i="2"/>
  <c r="L216" i="2"/>
  <c r="L215" i="2"/>
  <c r="L214" i="2"/>
  <c r="L212" i="2"/>
  <c r="L208" i="2"/>
  <c r="L206" i="2"/>
  <c r="L128" i="2"/>
  <c r="L233" i="2" s="1"/>
  <c r="L125" i="2"/>
  <c r="L119" i="2"/>
  <c r="L115" i="2"/>
  <c r="L112" i="2"/>
  <c r="L109" i="2"/>
  <c r="L108" i="2"/>
  <c r="L107" i="2"/>
  <c r="L106" i="2"/>
  <c r="L105" i="2"/>
  <c r="L104" i="2"/>
  <c r="L103" i="2"/>
  <c r="L102" i="2"/>
  <c r="J214" i="2"/>
  <c r="J128" i="2"/>
  <c r="J119" i="2"/>
  <c r="I119" i="2"/>
  <c r="J222" i="2"/>
  <c r="J220" i="2"/>
  <c r="J218" i="2"/>
  <c r="J206" i="2" l="1"/>
  <c r="J221" i="2" l="1"/>
  <c r="J219" i="2"/>
  <c r="I221" i="2"/>
  <c r="I214" i="2" l="1"/>
  <c r="I219" i="2" l="1"/>
  <c r="I218" i="2" l="1"/>
  <c r="J215" i="2"/>
  <c r="Q213" i="2" l="1"/>
  <c r="J229" i="2"/>
  <c r="J228" i="2"/>
  <c r="J226" i="2"/>
  <c r="J223" i="2"/>
  <c r="J217" i="2"/>
  <c r="J216" i="2"/>
  <c r="J212" i="2"/>
  <c r="J208" i="2"/>
  <c r="J125" i="2"/>
  <c r="J115" i="2"/>
  <c r="J112" i="2"/>
  <c r="J109" i="2"/>
  <c r="J108" i="2"/>
  <c r="J107" i="2"/>
  <c r="J106" i="2"/>
  <c r="J105" i="2"/>
  <c r="J104" i="2"/>
  <c r="J103" i="2"/>
  <c r="J102" i="2"/>
  <c r="I222" i="2"/>
  <c r="I220" i="2"/>
  <c r="N231" i="2" l="1"/>
  <c r="N230" i="2"/>
  <c r="N226" i="2"/>
  <c r="N215" i="2"/>
  <c r="N212" i="2"/>
  <c r="N208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P231" i="2"/>
  <c r="P230" i="2"/>
  <c r="P226" i="2"/>
  <c r="P215" i="2"/>
  <c r="P212" i="2"/>
  <c r="P208" i="2"/>
  <c r="P206" i="2"/>
  <c r="P125" i="2"/>
  <c r="P115" i="2"/>
  <c r="P112" i="2"/>
  <c r="P109" i="2"/>
  <c r="P108" i="2"/>
  <c r="P107" i="2"/>
  <c r="P106" i="2"/>
  <c r="P105" i="2"/>
  <c r="P104" i="2"/>
  <c r="P103" i="2"/>
  <c r="P102" i="2"/>
  <c r="O231" i="2"/>
  <c r="O230" i="2"/>
  <c r="O226" i="2"/>
  <c r="O215" i="2"/>
  <c r="O212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AP231" i="2"/>
  <c r="AO231" i="2"/>
  <c r="AP230" i="2"/>
  <c r="AO230" i="2"/>
  <c r="AP226" i="2"/>
  <c r="AO226" i="2"/>
  <c r="AP215" i="2"/>
  <c r="AO215" i="2"/>
  <c r="AP212" i="2"/>
  <c r="AO212" i="2"/>
  <c r="AP208" i="2"/>
  <c r="AO208" i="2"/>
  <c r="AP206" i="2"/>
  <c r="AO206" i="2"/>
  <c r="AP125" i="2"/>
  <c r="AO125" i="2"/>
  <c r="AP115" i="2"/>
  <c r="AO115" i="2"/>
  <c r="AP112" i="2"/>
  <c r="AO112" i="2"/>
  <c r="AP109" i="2"/>
  <c r="AO109" i="2"/>
  <c r="AP108" i="2"/>
  <c r="AO108" i="2"/>
  <c r="AP107" i="2"/>
  <c r="AO107" i="2"/>
  <c r="AP106" i="2"/>
  <c r="AO106" i="2"/>
  <c r="AP105" i="2"/>
  <c r="AO105" i="2"/>
  <c r="AP104" i="2"/>
  <c r="AO104" i="2"/>
  <c r="AP103" i="2"/>
  <c r="AO103" i="2"/>
  <c r="AP102" i="2"/>
  <c r="AO102" i="2"/>
  <c r="AN231" i="2"/>
  <c r="AN230" i="2"/>
  <c r="AN226" i="2"/>
  <c r="AN215" i="2"/>
  <c r="AN212" i="2"/>
  <c r="AN208" i="2"/>
  <c r="AN206" i="2"/>
  <c r="AN125" i="2"/>
  <c r="AN115" i="2"/>
  <c r="AN112" i="2"/>
  <c r="AN109" i="2"/>
  <c r="AN108" i="2"/>
  <c r="AN107" i="2"/>
  <c r="AN106" i="2"/>
  <c r="AN105" i="2"/>
  <c r="AN104" i="2"/>
  <c r="AN103" i="2"/>
  <c r="AN102" i="2"/>
  <c r="AM231" i="2"/>
  <c r="AM230" i="2"/>
  <c r="AM226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R231" i="2"/>
  <c r="AR230" i="2"/>
  <c r="AR226" i="2"/>
  <c r="AR215" i="2"/>
  <c r="AR212" i="2"/>
  <c r="AR206" i="2"/>
  <c r="AR125" i="2"/>
  <c r="AR115" i="2"/>
  <c r="AR112" i="2"/>
  <c r="AR109" i="2"/>
  <c r="AR108" i="2"/>
  <c r="AR107" i="2"/>
  <c r="AR106" i="2"/>
  <c r="AR105" i="2"/>
  <c r="AR104" i="2"/>
  <c r="AR103" i="2"/>
  <c r="AR102" i="2"/>
  <c r="AK231" i="2"/>
  <c r="AJ231" i="2"/>
  <c r="AI231" i="2"/>
  <c r="AH231" i="2"/>
  <c r="AG231" i="2"/>
  <c r="AF231" i="2"/>
  <c r="AE231" i="2"/>
  <c r="AK230" i="2"/>
  <c r="AJ230" i="2"/>
  <c r="AI230" i="2"/>
  <c r="AH230" i="2"/>
  <c r="AG230" i="2"/>
  <c r="AF230" i="2"/>
  <c r="AE230" i="2"/>
  <c r="AK226" i="2"/>
  <c r="AJ226" i="2"/>
  <c r="AI226" i="2"/>
  <c r="AH226" i="2"/>
  <c r="AG226" i="2"/>
  <c r="AF226" i="2"/>
  <c r="AE226" i="2"/>
  <c r="AK215" i="2"/>
  <c r="AJ215" i="2"/>
  <c r="AI215" i="2"/>
  <c r="AH215" i="2"/>
  <c r="AG215" i="2"/>
  <c r="AF215" i="2"/>
  <c r="AE215" i="2"/>
  <c r="AK212" i="2"/>
  <c r="AJ212" i="2"/>
  <c r="AI212" i="2"/>
  <c r="AH212" i="2"/>
  <c r="AG212" i="2"/>
  <c r="AF212" i="2"/>
  <c r="AE212" i="2"/>
  <c r="AK208" i="2"/>
  <c r="AJ208" i="2"/>
  <c r="AI208" i="2"/>
  <c r="AH208" i="2"/>
  <c r="AG208" i="2"/>
  <c r="AF208" i="2"/>
  <c r="AE208" i="2"/>
  <c r="AK206" i="2"/>
  <c r="AJ206" i="2"/>
  <c r="AI206" i="2"/>
  <c r="AH206" i="2"/>
  <c r="AG206" i="2"/>
  <c r="AF206" i="2"/>
  <c r="AE206" i="2"/>
  <c r="AK125" i="2"/>
  <c r="AJ125" i="2"/>
  <c r="AI125" i="2"/>
  <c r="AH125" i="2"/>
  <c r="AG125" i="2"/>
  <c r="AF125" i="2"/>
  <c r="AE125" i="2"/>
  <c r="AK115" i="2"/>
  <c r="AJ115" i="2"/>
  <c r="AI115" i="2"/>
  <c r="AH115" i="2"/>
  <c r="AG115" i="2"/>
  <c r="AF115" i="2"/>
  <c r="AE115" i="2"/>
  <c r="AK112" i="2"/>
  <c r="AJ112" i="2"/>
  <c r="AI112" i="2"/>
  <c r="AH112" i="2"/>
  <c r="AG112" i="2"/>
  <c r="AF112" i="2"/>
  <c r="AE112" i="2"/>
  <c r="AK109" i="2"/>
  <c r="AJ109" i="2"/>
  <c r="AI109" i="2"/>
  <c r="AH109" i="2"/>
  <c r="AG109" i="2"/>
  <c r="AF109" i="2"/>
  <c r="AE109" i="2"/>
  <c r="AK108" i="2"/>
  <c r="AJ108" i="2"/>
  <c r="AI108" i="2"/>
  <c r="AH108" i="2"/>
  <c r="AG108" i="2"/>
  <c r="AF108" i="2"/>
  <c r="AE108" i="2"/>
  <c r="AK107" i="2"/>
  <c r="AJ107" i="2"/>
  <c r="AI107" i="2"/>
  <c r="AH107" i="2"/>
  <c r="AG107" i="2"/>
  <c r="AF107" i="2"/>
  <c r="AE107" i="2"/>
  <c r="AK106" i="2"/>
  <c r="AJ106" i="2"/>
  <c r="AI106" i="2"/>
  <c r="AH106" i="2"/>
  <c r="AG106" i="2"/>
  <c r="AF106" i="2"/>
  <c r="AE106" i="2"/>
  <c r="AK105" i="2"/>
  <c r="AJ105" i="2"/>
  <c r="AI105" i="2"/>
  <c r="AH105" i="2"/>
  <c r="AG105" i="2"/>
  <c r="AF105" i="2"/>
  <c r="AE105" i="2"/>
  <c r="AK104" i="2"/>
  <c r="AJ104" i="2"/>
  <c r="AI104" i="2"/>
  <c r="AH104" i="2"/>
  <c r="AG104" i="2"/>
  <c r="AF104" i="2"/>
  <c r="AE104" i="2"/>
  <c r="AK103" i="2"/>
  <c r="AJ103" i="2"/>
  <c r="AI103" i="2"/>
  <c r="AH103" i="2"/>
  <c r="AG103" i="2"/>
  <c r="AF103" i="2"/>
  <c r="AE103" i="2"/>
  <c r="AK102" i="2"/>
  <c r="AJ102" i="2"/>
  <c r="AI102" i="2"/>
  <c r="AH102" i="2"/>
  <c r="AG102" i="2"/>
  <c r="AF102" i="2"/>
  <c r="AE102" i="2"/>
  <c r="AC231" i="2"/>
  <c r="AC230" i="2"/>
  <c r="AC226" i="2"/>
  <c r="AC215" i="2"/>
  <c r="AC212" i="2"/>
  <c r="AC208" i="2"/>
  <c r="AC206" i="2"/>
  <c r="AC125" i="2"/>
  <c r="AC115" i="2"/>
  <c r="AC112" i="2"/>
  <c r="AC109" i="2"/>
  <c r="AC108" i="2"/>
  <c r="AC107" i="2"/>
  <c r="AC106" i="2"/>
  <c r="AC105" i="2"/>
  <c r="AC104" i="2"/>
  <c r="AC103" i="2"/>
  <c r="AC102" i="2"/>
  <c r="AB231" i="2"/>
  <c r="AB230" i="2"/>
  <c r="AB226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1" i="2"/>
  <c r="AA230" i="2"/>
  <c r="AA226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1" i="2"/>
  <c r="Z230" i="2"/>
  <c r="Z226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1" i="2"/>
  <c r="Y230" i="2"/>
  <c r="Y226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1" i="2"/>
  <c r="X230" i="2"/>
  <c r="X226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1" i="2"/>
  <c r="W230" i="2"/>
  <c r="W226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U231" i="2"/>
  <c r="T231" i="2"/>
  <c r="S231" i="2"/>
  <c r="G231" i="2"/>
  <c r="V230" i="2" l="1"/>
  <c r="V226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0" i="2"/>
  <c r="U226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30" i="2"/>
  <c r="T226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30" i="2"/>
  <c r="S226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AU231" i="2"/>
  <c r="AU230" i="2"/>
  <c r="AU226" i="2"/>
  <c r="AU215" i="2"/>
  <c r="AU212" i="2"/>
  <c r="AU208" i="2"/>
  <c r="AU206" i="2"/>
  <c r="AU125" i="2"/>
  <c r="AU115" i="2"/>
  <c r="AU112" i="2"/>
  <c r="AU109" i="2"/>
  <c r="AU108" i="2"/>
  <c r="AU107" i="2"/>
  <c r="AU106" i="2"/>
  <c r="AU105" i="2"/>
  <c r="AU104" i="2"/>
  <c r="AU103" i="2"/>
  <c r="AU102" i="2"/>
  <c r="G206" i="2" l="1"/>
  <c r="G230" i="2"/>
  <c r="G208" i="2" l="1"/>
  <c r="G226" i="2"/>
  <c r="G125" i="2" l="1"/>
  <c r="G105" i="2" l="1"/>
  <c r="G104" i="2"/>
  <c r="G103" i="2"/>
  <c r="G102" i="2"/>
  <c r="G220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<sst xmlns="http://schemas.openxmlformats.org/spreadsheetml/2006/main" count="2785" uniqueCount="604">
  <si>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</si>
  <si>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</si>
  <si>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</si>
  <si>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</si>
  <si>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</si>
  <si>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</si>
  <si>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</si>
  <si>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</si>
  <si>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</si>
  <si>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</si>
  <si>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</si>
  <si>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</si>
  <si>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</si>
  <si>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</si>
  <si>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</si>
  <si>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</si>
  <si>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</si>
  <si>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</si>
  <si>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</si>
  <si>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</si>
  <si>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</si>
  <si>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</si>
  <si>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</si>
  <si>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</si>
  <si>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</si>
  <si>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</si>
  <si>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</si>
  <si>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</si>
  <si>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</si>
  <si>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</si>
  <si>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</si>
  <si>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</si>
  <si>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</si>
  <si>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</si>
  <si>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</si>
  <si>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</si>
  <si>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</si>
  <si>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</si>
  <si>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</si>
  <si>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</si>
  <si>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</si>
  <si>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</si>
  <si>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</si>
  <si>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</si>
  <si>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</si>
  <si>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</si>
  <si>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</si>
  <si>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</si>
  <si>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</si>
  <si>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</si>
  <si>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</si>
  <si>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</si>
  <si>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</si>
  <si>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</si>
  <si>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</si>
  <si>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</si>
  <si>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</si>
  <si>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</si>
  <si>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</si>
  <si>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</si>
  <si>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</si>
  <si>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</si>
  <si>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</si>
  <si>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</si>
  <si>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</si>
  <si>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</si>
  <si>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</si>
  <si>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</si>
  <si>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</si>
  <si>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</si>
  <si>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</si>
  <si>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</si>
  <si>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</si>
  <si>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</si>
  <si>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</si>
  <si>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</si>
  <si>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</si>
  <si>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</si>
  <si>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</si>
  <si>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</si>
  <si>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</si>
  <si>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</si>
  <si>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</si>
  <si>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</si>
  <si>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</si>
  <si>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</si>
  <si>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</si>
  <si>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</si>
  <si>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</si>
  <si>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</si>
  <si>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</si>
  <si>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</si>
  <si>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</si>
  <si>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</si>
  <si>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</si>
  <si>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</si>
  <si>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</si>
  <si>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</si>
  <si>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</si>
  <si>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</si>
  <si>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</si>
  <si>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</si>
  <si>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</si>
  <si>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</si>
  <si>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</si>
  <si>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</si>
  <si>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</si>
  <si>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</si>
  <si>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</si>
  <si>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</si>
  <si>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</si>
  <si>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</si>
  <si>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</si>
  <si>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</si>
  <si>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</si>
  <si>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</si>
  <si>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</si>
  <si>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</si>
  <si>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</si>
  <si>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</si>
  <si>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</si>
  <si>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</si>
  <si>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</si>
  <si>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</si>
  <si>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</si>
  <si>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</si>
  <si>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</si>
  <si>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</si>
  <si>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</si>
  <si>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</si>
  <si>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</si>
  <si>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</si>
  <si>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</si>
  <si>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</si>
  <si>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</si>
  <si>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</si>
  <si>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</si>
  <si>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</si>
  <si>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</si>
  <si>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</si>
  <si>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</si>
  <si>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</si>
  <si>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</si>
  <si>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</si>
  <si>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</si>
  <si>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</si>
  <si>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</si>
  <si>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</si>
  <si>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</si>
  <si>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</si>
  <si>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</si>
  <si>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</si>
  <si>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</si>
  <si>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</si>
  <si>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</si>
  <si>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</si>
  <si>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</si>
  <si>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</si>
  <si>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</si>
  <si>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</si>
  <si>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</si>
  <si>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</si>
  <si>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</si>
  <si>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</si>
  <si>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</si>
  <si>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</si>
  <si>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</si>
  <si>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</si>
  <si>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</si>
  <si>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</si>
  <si>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</si>
  <si>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</si>
  <si>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</si>
  <si>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</si>
  <si>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</si>
  <si>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</si>
  <si>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</si>
  <si>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</si>
  <si>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</si>
  <si>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</si>
  <si>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</si>
  <si>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</si>
  <si>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</si>
  <si>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</si>
  <si>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</si>
  <si>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</si>
  <si>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</si>
  <si>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</si>
  <si>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</si>
  <si>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</si>
  <si>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</si>
  <si>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</si>
  <si>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</si>
  <si>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</si>
  <si>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</si>
  <si>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</si>
  <si>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</si>
  <si>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</si>
  <si>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</si>
  <si>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</si>
  <si>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</si>
  <si>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</si>
  <si>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</si>
  <si>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</si>
  <si>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</si>
  <si>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</si>
  <si>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</si>
  <si>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</si>
  <si>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</si>
  <si>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</si>
  <si>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</si>
  <si>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</si>
  <si>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</si>
  <si>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</si>
  <si>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</si>
  <si>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</si>
  <si>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</si>
  <si>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</si>
  <si>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</si>
  <si>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</si>
  <si>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</si>
  <si>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</si>
  <si>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</si>
  <si>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</si>
  <si>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</si>
  <si>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</si>
  <si>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</si>
  <si>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</si>
  <si>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</si>
  <si>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</si>
  <si>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</si>
  <si>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</si>
  <si>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</si>
  <si>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</si>
  <si>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</si>
  <si>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</si>
  <si>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</si>
  <si>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</si>
  <si>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</si>
  <si>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</si>
  <si>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</si>
  <si>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</si>
  <si>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</si>
  <si>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</si>
  <si>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</si>
  <si>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</si>
  <si>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</si>
  <si>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</si>
  <si>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</si>
  <si>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</si>
  <si>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</si>
  <si>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</si>
  <si>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</si>
  <si>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</si>
  <si>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</si>
  <si>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</si>
  <si>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</si>
  <si>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</si>
  <si>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</si>
  <si>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</si>
  <si>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</si>
  <si>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</si>
  <si>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</si>
  <si>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</si>
  <si>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</si>
  <si>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</si>
  <si>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</si>
  <si>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</si>
  <si>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</si>
  <si>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</si>
  <si>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</si>
  <si>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</si>
  <si>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</si>
  <si>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</si>
  <si>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</si>
  <si>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</si>
  <si>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</si>
  <si>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</si>
  <si>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</si>
  <si>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</si>
  <si>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</si>
  <si>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</si>
  <si>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</si>
  <si>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</si>
  <si>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</si>
  <si>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</si>
  <si>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</si>
  <si>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</si>
  <si>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</si>
  <si>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</si>
  <si>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</si>
  <si>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</si>
  <si>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</si>
  <si>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</si>
  <si>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</si>
  <si>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</si>
  <si>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</si>
  <si>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</si>
  <si>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</si>
  <si>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</si>
  <si>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</si>
  <si>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</si>
  <si>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</si>
  <si>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</si>
  <si>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</si>
  <si>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</si>
  <si>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</si>
  <si>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</si>
  <si>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</si>
  <si>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</si>
  <si>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</si>
  <si>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</si>
  <si>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</si>
  <si>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</si>
  <si>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</si>
  <si>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</si>
  <si>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</si>
  <si>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</si>
  <si>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</si>
  <si>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</si>
  <si>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</si>
  <si>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</si>
  <si>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</si>
  <si>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</si>
  <si>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</si>
  <si>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</si>
  <si>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</si>
  <si>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</si>
  <si>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</si>
  <si>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</si>
  <si>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</si>
  <si>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</si>
  <si>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</si>
  <si>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</si>
  <si>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</si>
  <si>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</si>
  <si>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</si>
  <si>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</si>
  <si>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</si>
  <si>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</si>
  <si>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</si>
  <si>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</si>
  <si>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</si>
  <si>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</si>
  <si>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</si>
  <si>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</si>
  <si>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</si>
  <si>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</si>
  <si>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</si>
  <si>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</si>
  <si>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</si>
  <si>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</si>
  <si>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</si>
  <si>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</si>
  <si>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</si>
  <si>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</si>
  <si>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</si>
  <si>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</si>
  <si>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</si>
  <si>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</si>
  <si>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</si>
  <si>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</si>
  <si>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</si>
  <si>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</si>
  <si>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</si>
  <si>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</si>
  <si>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</si>
  <si>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</si>
  <si>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</si>
  <si>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</si>
  <si>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</si>
  <si>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</si>
  <si>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</si>
  <si>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</si>
  <si>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</si>
  <si>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</si>
  <si>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</si>
  <si>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</si>
  <si>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</si>
  <si>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</si>
  <si>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</si>
  <si>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</si>
  <si>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</si>
  <si>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</si>
  <si>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</si>
  <si>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</si>
  <si>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</si>
  <si>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</si>
  <si>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</si>
  <si>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</si>
  <si>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</si>
  <si>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</si>
  <si>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</si>
  <si>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</si>
  <si>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</si>
  <si>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</si>
  <si>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</si>
  <si>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</si>
  <si>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</si>
  <si>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</si>
  <si>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</si>
  <si>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</si>
  <si>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</si>
  <si>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</si>
  <si>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</si>
  <si>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</si>
  <si>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</si>
  <si>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</si>
  <si>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</si>
  <si>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</si>
  <si>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</si>
  <si>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</si>
  <si>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</si>
  <si>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</si>
  <si>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</si>
  <si>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</si>
  <si>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</si>
  <si>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</si>
  <si>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</si>
  <si>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</si>
  <si>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</si>
  <si>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</si>
  <si>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</si>
  <si>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</si>
  <si>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</si>
  <si>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</si>
  <si>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</si>
  <si>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</si>
  <si>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</si>
  <si>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</si>
  <si>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</si>
  <si>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</si>
  <si>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</si>
  <si>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</si>
  <si>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</si>
  <si>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</si>
  <si>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</si>
  <si>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</si>
  <si>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</si>
  <si>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</si>
  <si>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</si>
  <si>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</si>
  <si>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</si>
  <si>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</si>
  <si>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</si>
  <si>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</si>
  <si>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</si>
  <si>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</si>
  <si>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</si>
  <si>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</si>
  <si>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</si>
  <si>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</si>
  <si>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</si>
  <si>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</si>
  <si>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</si>
  <si>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</si>
  <si>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</si>
  <si>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</si>
  <si>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</si>
  <si>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</si>
  <si>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</si>
  <si>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</si>
  <si>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</si>
  <si>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</si>
  <si>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</si>
  <si>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</si>
  <si>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</si>
  <si>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</si>
  <si>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</si>
  <si>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</si>
  <si>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</si>
  <si>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</si>
  <si>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</si>
  <si>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</si>
  <si>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</si>
  <si>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</si>
  <si>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</si>
  <si>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</si>
  <si>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</si>
  <si>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</si>
  <si>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</si>
  <si>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</si>
  <si>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</si>
  <si>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</si>
  <si>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</si>
  <si>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</si>
  <si>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</si>
  <si>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</si>
  <si>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</si>
  <si>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</si>
  <si>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</si>
  <si>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</si>
  <si>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</si>
  <si>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</si>
  <si>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</si>
  <si>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</si>
  <si>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</si>
  <si>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</si>
  <si>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</si>
  <si>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</si>
  <si>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</si>
  <si>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</si>
  <si>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</si>
  <si>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</si>
  <si>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</si>
  <si>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</si>
  <si>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</si>
  <si>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</si>
  <si>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</si>
  <si>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</si>
  <si>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</si>
  <si>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</si>
  <si>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</si>
  <si>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</si>
  <si>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</si>
  <si>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</si>
  <si>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</si>
  <si>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</si>
  <si>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</si>
  <si>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</si>
  <si>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</si>
  <si>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</si>
  <si>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</si>
  <si>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</si>
  <si>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</si>
  <si>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</si>
  <si>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</si>
  <si>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</si>
  <si>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</si>
  <si>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</si>
  <si>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</si>
  <si>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</si>
  <si>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</si>
  <si>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</si>
  <si>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</si>
  <si>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</si>
  <si>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</si>
  <si>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</si>
  <si>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</si>
  <si>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</si>
  <si>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</si>
  <si>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</si>
  <si>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</si>
  <si>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</si>
  <si>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</si>
  <si>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</si>
  <si>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</si>
  <si>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</si>
  <si>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</si>
  <si>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</si>
  <si>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</si>
  <si>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</si>
  <si>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</si>
  <si>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</si>
  <si>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</si>
  <si>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</si>
  <si>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</si>
  <si>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</si>
  <si>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</si>
  <si>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</si>
  <si>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</si>
  <si>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</si>
  <si>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</si>
  <si>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</si>
  <si>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</si>
  <si>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</si>
  <si>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</si>
  <si>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</si>
  <si>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</si>
  <si>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</si>
  <si>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</si>
  <si>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</si>
  <si>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</si>
  <si>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</si>
  <si>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</si>
  <si>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</si>
  <si>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</si>
  <si>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</si>
  <si>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</si>
  <si>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</si>
  <si>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</si>
  <si>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</si>
  <si>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</si>
  <si>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</si>
  <si>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</si>
  <si>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</si>
  <si>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</si>
  <si>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</si>
  <si>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</si>
  <si>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</si>
  <si>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</si>
  <si>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</si>
  <si>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</si>
  <si>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/4</t>
  </si>
  <si>
    <t>/10</t>
  </si>
  <si>
    <t>meteo_Ljutovac2002_soil.csv</t>
  </si>
  <si>
    <t>* 100 * 3</t>
  </si>
  <si>
    <t>/10 /2/4</t>
  </si>
  <si>
    <t>*16/2/4</t>
  </si>
  <si>
    <t>WB_ref</t>
  </si>
  <si>
    <t>/2</t>
  </si>
  <si>
    <t>/2/2/2</t>
  </si>
  <si>
    <t>Pmax/50</t>
  </si>
  <si>
    <t>WB_ref2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</si>
</sst>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233"/>
  <sheetViews>
    <sheetView tabSelected="1" zoomScale="79" zoomScaleNormal="100" workbookViewId="0">
      <pane xSplit="6" ySplit="1" topLeftCell="G123" activePane="bottomRight" state="frozen"/>
      <selection pane="topRight" activeCell="G1" sqref="G1"/>
      <selection pane="bottomLeft" activeCell="A2" sqref="A2"/>
      <selection pane="bottomRight" activeCell="H144" sqref="H144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7" width="21.5703125" style="1" customWidth="1"/>
  </cols>
  <sheetData>
    <row r="1" spans="1:47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599</v>
      </c>
      <c r="L1" s="54" t="s">
        <v>603</v>
      </c>
      <c r="M1" s="54"/>
      <c r="N1" s="54" t="s">
        <v>570</v>
      </c>
      <c r="O1" s="54" t="s">
        <v>568</v>
      </c>
      <c r="P1" s="54" t="s">
        <v>569</v>
      </c>
      <c r="R1" s="1" t="s">
        <v>567</v>
      </c>
      <c r="S1" s="36" t="s">
        <v>543</v>
      </c>
      <c r="T1" s="36" t="s">
        <v>544</v>
      </c>
      <c r="U1" s="36" t="s">
        <v>545</v>
      </c>
      <c r="V1" s="36" t="s">
        <v>546</v>
      </c>
      <c r="W1" s="36" t="s">
        <v>547</v>
      </c>
      <c r="X1" s="36" t="s">
        <v>548</v>
      </c>
      <c r="Y1" s="36" t="s">
        <v>549</v>
      </c>
      <c r="Z1" s="36" t="s">
        <v>550</v>
      </c>
      <c r="AA1" s="36" t="s">
        <v>551</v>
      </c>
      <c r="AB1" s="36" t="s">
        <v>552</v>
      </c>
      <c r="AC1" s="36" t="s">
        <v>553</v>
      </c>
      <c r="AD1"/>
      <c r="AE1" s="36" t="s">
        <v>554</v>
      </c>
      <c r="AF1" s="36" t="s">
        <v>555</v>
      </c>
      <c r="AG1" s="36" t="s">
        <v>556</v>
      </c>
      <c r="AH1" s="36" t="s">
        <v>557</v>
      </c>
      <c r="AI1" s="36" t="s">
        <v>558</v>
      </c>
      <c r="AJ1" s="36" t="s">
        <v>559</v>
      </c>
      <c r="AK1" s="36" t="s">
        <v>560</v>
      </c>
      <c r="AL1"/>
      <c r="AM1" s="36" t="s">
        <v>563</v>
      </c>
      <c r="AN1" s="36" t="s">
        <v>564</v>
      </c>
      <c r="AO1" s="36" t="s">
        <v>565</v>
      </c>
      <c r="AP1" s="36" t="s">
        <v>566</v>
      </c>
      <c r="AQ1"/>
      <c r="AR1" s="36" t="s">
        <v>562</v>
      </c>
      <c r="AS1"/>
      <c r="AT1"/>
      <c r="AU1" s="36" t="s">
        <v>542</v>
      </c>
    </row>
    <row r="2" spans="1:47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L2" s="44" t="s">
        <v>478</v>
      </c>
      <c r="M2" s="44"/>
      <c r="N2" s="44" t="s">
        <v>478</v>
      </c>
      <c r="O2" s="44" t="s">
        <v>478</v>
      </c>
      <c r="P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/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/>
      <c r="AR2" s="44" t="s">
        <v>478</v>
      </c>
      <c r="AS2"/>
      <c r="AT2"/>
      <c r="AU2" s="44" t="s">
        <v>478</v>
      </c>
    </row>
    <row r="3" spans="1:47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595</v>
      </c>
      <c r="L3" s="44" t="s">
        <v>476</v>
      </c>
      <c r="M3" s="44"/>
      <c r="N3" s="44" t="s">
        <v>476</v>
      </c>
      <c r="O3" s="44" t="s">
        <v>476</v>
      </c>
      <c r="P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/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/>
      <c r="AR3" s="44" t="s">
        <v>476</v>
      </c>
      <c r="AS3"/>
      <c r="AT3"/>
      <c r="AU3" s="44" t="s">
        <v>476</v>
      </c>
    </row>
    <row r="4" spans="1:47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L4" s="44" t="s">
        <v>476</v>
      </c>
      <c r="M4" s="44"/>
      <c r="N4" s="44" t="s">
        <v>476</v>
      </c>
      <c r="O4" s="44" t="s">
        <v>476</v>
      </c>
      <c r="P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/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/>
      <c r="AM4" s="44" t="s">
        <v>476</v>
      </c>
      <c r="AN4" s="44" t="s">
        <v>476</v>
      </c>
      <c r="AO4" s="44" t="s">
        <v>476</v>
      </c>
      <c r="AP4" s="44" t="s">
        <v>476</v>
      </c>
      <c r="AQ4"/>
      <c r="AR4" s="44" t="s">
        <v>476</v>
      </c>
      <c r="AS4"/>
      <c r="AT4"/>
      <c r="AU4" s="44" t="s">
        <v>476</v>
      </c>
    </row>
    <row r="5" spans="1:47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L5" s="44" t="s">
        <v>86</v>
      </c>
      <c r="M5" s="44"/>
      <c r="N5" s="44" t="s">
        <v>86</v>
      </c>
      <c r="O5" s="44" t="s">
        <v>86</v>
      </c>
      <c r="P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/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/>
      <c r="AM5" s="44" t="s">
        <v>86</v>
      </c>
      <c r="AN5" s="44" t="s">
        <v>86</v>
      </c>
      <c r="AO5" s="44" t="s">
        <v>86</v>
      </c>
      <c r="AP5" s="44" t="s">
        <v>86</v>
      </c>
      <c r="AQ5"/>
      <c r="AR5" s="44" t="s">
        <v>86</v>
      </c>
      <c r="AS5"/>
      <c r="AT5"/>
      <c r="AU5" s="44" t="s">
        <v>86</v>
      </c>
    </row>
    <row r="6" spans="1:47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L6" s="44">
        <v>1</v>
      </c>
      <c r="M6" s="44"/>
      <c r="N6" s="44">
        <v>1</v>
      </c>
      <c r="O6" s="44">
        <v>1</v>
      </c>
      <c r="P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/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/>
      <c r="AM6" s="44">
        <v>1</v>
      </c>
      <c r="AN6" s="44">
        <v>1</v>
      </c>
      <c r="AO6" s="44">
        <v>1</v>
      </c>
      <c r="AP6" s="44">
        <v>1</v>
      </c>
      <c r="AQ6"/>
      <c r="AR6" s="44">
        <v>1</v>
      </c>
      <c r="AS6"/>
      <c r="AT6"/>
      <c r="AU6" s="44">
        <v>1</v>
      </c>
    </row>
    <row r="7" spans="1:47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L7" s="44">
        <v>180</v>
      </c>
      <c r="M7" s="44"/>
      <c r="N7" s="44">
        <v>180</v>
      </c>
      <c r="O7" s="44">
        <v>180</v>
      </c>
      <c r="P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/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/>
      <c r="AM7" s="44">
        <v>180</v>
      </c>
      <c r="AN7" s="44">
        <v>180</v>
      </c>
      <c r="AO7" s="44">
        <v>180</v>
      </c>
      <c r="AP7" s="44">
        <v>180</v>
      </c>
      <c r="AQ7"/>
      <c r="AR7" s="44">
        <v>180</v>
      </c>
      <c r="AS7"/>
      <c r="AT7"/>
      <c r="AU7" s="44">
        <v>180</v>
      </c>
    </row>
    <row r="8" spans="1:47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L8" s="44">
        <v>4.1666666999999998E-2</v>
      </c>
      <c r="M8" s="44"/>
      <c r="N8" s="44">
        <v>4.1666666999999998E-2</v>
      </c>
      <c r="O8" s="44">
        <v>4.1666666999999998E-2</v>
      </c>
      <c r="P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/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/>
      <c r="AR8" s="44">
        <v>4.1666666999999998E-2</v>
      </c>
      <c r="AS8"/>
      <c r="AT8"/>
      <c r="AU8" s="44">
        <v>4.1666666999999998E-2</v>
      </c>
    </row>
    <row r="9" spans="1:47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L9" s="44">
        <v>4.1666666999999998E-2</v>
      </c>
      <c r="M9" s="44"/>
      <c r="N9" s="44">
        <v>4.1666666999999998E-2</v>
      </c>
      <c r="O9" s="44">
        <v>4.1666666999999998E-2</v>
      </c>
      <c r="P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/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/>
      <c r="AM9" s="44">
        <v>4.1666666999999998E-2</v>
      </c>
      <c r="AN9" s="44">
        <v>4.1666666999999998E-2</v>
      </c>
      <c r="AO9" s="44">
        <v>4.1666666999999998E-2</v>
      </c>
      <c r="AP9" s="44">
        <v>4.1666666999999998E-2</v>
      </c>
      <c r="AQ9"/>
      <c r="AR9" s="44">
        <v>4.1666666999999998E-2</v>
      </c>
      <c r="AS9"/>
      <c r="AT9"/>
      <c r="AU9" s="44">
        <v>4.1666666999999998E-2</v>
      </c>
    </row>
    <row r="10" spans="1:47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L10" s="44">
        <v>1</v>
      </c>
      <c r="M10" s="44"/>
      <c r="N10" s="44">
        <v>1</v>
      </c>
      <c r="O10" s="44">
        <v>1</v>
      </c>
      <c r="P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/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/>
      <c r="AM10" s="44">
        <v>1</v>
      </c>
      <c r="AN10" s="44">
        <v>1</v>
      </c>
      <c r="AO10" s="44">
        <v>1</v>
      </c>
      <c r="AP10" s="44">
        <v>1</v>
      </c>
      <c r="AQ10"/>
      <c r="AR10" s="44">
        <v>1</v>
      </c>
      <c r="AS10"/>
      <c r="AT10"/>
      <c r="AU10" s="44">
        <v>1</v>
      </c>
    </row>
    <row r="11" spans="1:47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L11" s="44">
        <v>0</v>
      </c>
      <c r="M11" s="44"/>
      <c r="N11" s="44">
        <v>0</v>
      </c>
      <c r="O11" s="44">
        <v>0</v>
      </c>
      <c r="P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/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/>
      <c r="AM11" s="44">
        <v>0</v>
      </c>
      <c r="AN11" s="44">
        <v>0</v>
      </c>
      <c r="AO11" s="44">
        <v>0</v>
      </c>
      <c r="AP11" s="44">
        <v>0</v>
      </c>
      <c r="AQ11"/>
      <c r="AR11" s="44">
        <v>0</v>
      </c>
      <c r="AS11"/>
      <c r="AT11"/>
      <c r="AU11" s="44">
        <v>0</v>
      </c>
    </row>
    <row r="12" spans="1:47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L12" s="44" t="s">
        <v>87</v>
      </c>
      <c r="M12" s="44"/>
      <c r="N12" s="44" t="s">
        <v>87</v>
      </c>
      <c r="O12" s="44" t="s">
        <v>87</v>
      </c>
      <c r="P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/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/>
      <c r="AM12" s="44" t="s">
        <v>87</v>
      </c>
      <c r="AN12" s="44" t="s">
        <v>87</v>
      </c>
      <c r="AO12" s="44" t="s">
        <v>87</v>
      </c>
      <c r="AP12" s="44" t="s">
        <v>87</v>
      </c>
      <c r="AQ12"/>
      <c r="AR12" s="44" t="s">
        <v>87</v>
      </c>
      <c r="AS12"/>
      <c r="AT12"/>
      <c r="AU12" s="44" t="s">
        <v>87</v>
      </c>
    </row>
    <row r="13" spans="1:47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L13" s="44">
        <v>5.0000000000000001E-9</v>
      </c>
      <c r="M13" s="44"/>
      <c r="N13" s="44">
        <v>5.0000000000000001E-9</v>
      </c>
      <c r="O13" s="44">
        <v>5.0000000000000001E-9</v>
      </c>
      <c r="P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/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/>
      <c r="AM13" s="44">
        <v>5.0000000000000001E-9</v>
      </c>
      <c r="AN13" s="44">
        <v>5.0000000000000001E-9</v>
      </c>
      <c r="AO13" s="44">
        <v>5.0000000000000001E-9</v>
      </c>
      <c r="AP13" s="44">
        <v>5.0000000000000001E-9</v>
      </c>
      <c r="AQ13"/>
      <c r="AR13" s="44">
        <v>5.0000000000000001E-9</v>
      </c>
      <c r="AS13"/>
      <c r="AT13"/>
      <c r="AU13" s="44">
        <v>5.0000000000000001E-9</v>
      </c>
    </row>
    <row r="14" spans="1:47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L14" s="44">
        <v>10</v>
      </c>
      <c r="M14" s="44"/>
      <c r="N14" s="44">
        <v>10</v>
      </c>
      <c r="O14" s="44">
        <v>10</v>
      </c>
      <c r="P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/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/>
      <c r="AM14" s="44">
        <v>10</v>
      </c>
      <c r="AN14" s="44">
        <v>10</v>
      </c>
      <c r="AO14" s="44">
        <v>10</v>
      </c>
      <c r="AP14" s="44">
        <v>10</v>
      </c>
      <c r="AQ14"/>
      <c r="AR14" s="44">
        <v>10</v>
      </c>
      <c r="AS14"/>
      <c r="AT14"/>
      <c r="AU14" s="44">
        <v>10</v>
      </c>
    </row>
    <row r="15" spans="1:47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L15" s="44" t="s">
        <v>87</v>
      </c>
      <c r="M15" s="44"/>
      <c r="N15" s="44" t="s">
        <v>87</v>
      </c>
      <c r="O15" s="44" t="s">
        <v>87</v>
      </c>
      <c r="P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/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/>
      <c r="AR15" s="44" t="s">
        <v>87</v>
      </c>
      <c r="AS15"/>
      <c r="AT15"/>
      <c r="AU15" s="44" t="s">
        <v>87</v>
      </c>
    </row>
    <row r="16" spans="1:47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L16" s="44" t="s">
        <v>87</v>
      </c>
      <c r="M16" s="44"/>
      <c r="N16" s="44" t="s">
        <v>87</v>
      </c>
      <c r="O16" s="44" t="s">
        <v>87</v>
      </c>
      <c r="P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/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/>
      <c r="AR16" s="44" t="s">
        <v>87</v>
      </c>
      <c r="AS16"/>
      <c r="AT16"/>
      <c r="AU16" s="44" t="s">
        <v>87</v>
      </c>
    </row>
    <row r="17" spans="1:47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L17" s="44" t="s">
        <v>87</v>
      </c>
      <c r="M17" s="44"/>
      <c r="N17" s="44" t="s">
        <v>87</v>
      </c>
      <c r="O17" s="44" t="s">
        <v>87</v>
      </c>
      <c r="P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/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/>
      <c r="AM17" s="44" t="s">
        <v>87</v>
      </c>
      <c r="AN17" s="44" t="s">
        <v>87</v>
      </c>
      <c r="AO17" s="44" t="s">
        <v>87</v>
      </c>
      <c r="AP17" s="44" t="s">
        <v>87</v>
      </c>
      <c r="AQ17"/>
      <c r="AR17" s="44" t="s">
        <v>87</v>
      </c>
      <c r="AS17"/>
      <c r="AT17"/>
      <c r="AU17" s="44" t="s">
        <v>87</v>
      </c>
    </row>
    <row r="18" spans="1:47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L18" s="44">
        <v>86400</v>
      </c>
      <c r="M18" s="44"/>
      <c r="N18" s="44">
        <v>86400</v>
      </c>
      <c r="O18" s="44">
        <v>86400</v>
      </c>
      <c r="P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/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/>
      <c r="AM18" s="44">
        <v>86400</v>
      </c>
      <c r="AN18" s="44">
        <v>86400</v>
      </c>
      <c r="AO18" s="44">
        <v>86400</v>
      </c>
      <c r="AP18" s="44">
        <v>86400</v>
      </c>
      <c r="AQ18"/>
      <c r="AR18" s="44">
        <v>86400</v>
      </c>
      <c r="AS18"/>
      <c r="AT18"/>
      <c r="AU18" s="44">
        <v>86400</v>
      </c>
    </row>
    <row r="19" spans="1:47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L19" s="44" t="s">
        <v>86</v>
      </c>
      <c r="M19" s="44"/>
      <c r="N19" s="44" t="s">
        <v>86</v>
      </c>
      <c r="O19" s="44" t="s">
        <v>86</v>
      </c>
      <c r="P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/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/>
      <c r="AM19" s="44" t="s">
        <v>86</v>
      </c>
      <c r="AN19" s="44" t="s">
        <v>86</v>
      </c>
      <c r="AO19" s="44" t="s">
        <v>86</v>
      </c>
      <c r="AP19" s="44" t="s">
        <v>86</v>
      </c>
      <c r="AQ19"/>
      <c r="AR19" s="44" t="s">
        <v>86</v>
      </c>
      <c r="AS19"/>
      <c r="AT19"/>
      <c r="AU19" s="44" t="s">
        <v>86</v>
      </c>
    </row>
    <row r="20" spans="1:47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L20" s="44">
        <v>3</v>
      </c>
      <c r="M20" s="44"/>
      <c r="N20" s="44">
        <v>3</v>
      </c>
      <c r="O20" s="44">
        <v>3</v>
      </c>
      <c r="P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/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/>
      <c r="AM20" s="44">
        <v>3</v>
      </c>
      <c r="AN20" s="44">
        <v>3</v>
      </c>
      <c r="AO20" s="44">
        <v>3</v>
      </c>
      <c r="AP20" s="44">
        <v>3</v>
      </c>
      <c r="AQ20"/>
      <c r="AR20" s="44">
        <v>3</v>
      </c>
      <c r="AS20"/>
      <c r="AT20"/>
      <c r="AU20" s="44">
        <v>3</v>
      </c>
    </row>
    <row r="21" spans="1:47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L21" s="44" t="s">
        <v>87</v>
      </c>
      <c r="M21" s="44"/>
      <c r="N21" s="44" t="s">
        <v>87</v>
      </c>
      <c r="O21" s="44" t="s">
        <v>87</v>
      </c>
      <c r="P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/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/>
      <c r="AR21" s="44" t="s">
        <v>87</v>
      </c>
      <c r="AS21"/>
      <c r="AT21"/>
      <c r="AU21" s="44" t="s">
        <v>87</v>
      </c>
    </row>
    <row r="22" spans="1:47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L22" s="44" t="s">
        <v>87</v>
      </c>
      <c r="M22" s="44"/>
      <c r="N22" s="44" t="s">
        <v>87</v>
      </c>
      <c r="O22" s="44" t="s">
        <v>87</v>
      </c>
      <c r="P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/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/>
      <c r="AR22" s="44" t="s">
        <v>87</v>
      </c>
      <c r="AS22"/>
      <c r="AT22"/>
      <c r="AU22" s="44" t="s">
        <v>87</v>
      </c>
    </row>
    <row r="23" spans="1:47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L23" s="44" t="s">
        <v>87</v>
      </c>
      <c r="M23" s="44"/>
      <c r="N23" s="44" t="s">
        <v>87</v>
      </c>
      <c r="O23" s="44" t="s">
        <v>87</v>
      </c>
      <c r="P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/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/>
      <c r="AR23" s="44" t="s">
        <v>87</v>
      </c>
      <c r="AS23"/>
      <c r="AT23"/>
      <c r="AU23" s="44" t="s">
        <v>87</v>
      </c>
    </row>
    <row r="24" spans="1:47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L24" s="44" t="s">
        <v>87</v>
      </c>
      <c r="M24" s="44"/>
      <c r="N24" s="44" t="s">
        <v>87</v>
      </c>
      <c r="O24" s="44" t="s">
        <v>87</v>
      </c>
      <c r="P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/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/>
      <c r="AR24" s="44" t="s">
        <v>87</v>
      </c>
      <c r="AS24"/>
      <c r="AT24"/>
      <c r="AU24" s="44" t="s">
        <v>87</v>
      </c>
    </row>
    <row r="25" spans="1:47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L25" s="44" t="s">
        <v>87</v>
      </c>
      <c r="M25" s="44"/>
      <c r="N25" s="44" t="s">
        <v>87</v>
      </c>
      <c r="O25" s="44" t="s">
        <v>87</v>
      </c>
      <c r="P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/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/>
      <c r="AR25" s="44" t="s">
        <v>87</v>
      </c>
      <c r="AS25"/>
      <c r="AT25"/>
      <c r="AU25" s="44" t="s">
        <v>87</v>
      </c>
    </row>
    <row r="26" spans="1:47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L26" s="44" t="s">
        <v>87</v>
      </c>
      <c r="M26" s="44"/>
      <c r="N26" s="44" t="s">
        <v>87</v>
      </c>
      <c r="O26" s="44" t="s">
        <v>87</v>
      </c>
      <c r="P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/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/>
      <c r="AM26" s="44" t="s">
        <v>87</v>
      </c>
      <c r="AN26" s="44" t="s">
        <v>87</v>
      </c>
      <c r="AO26" s="44" t="s">
        <v>87</v>
      </c>
      <c r="AP26" s="44" t="s">
        <v>87</v>
      </c>
      <c r="AQ26"/>
      <c r="AR26" s="44" t="s">
        <v>87</v>
      </c>
      <c r="AS26"/>
      <c r="AT26"/>
      <c r="AU26" s="44" t="s">
        <v>87</v>
      </c>
    </row>
    <row r="27" spans="1:47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L27" s="44">
        <v>0.33</v>
      </c>
      <c r="M27" s="44"/>
      <c r="N27" s="44">
        <v>0.33</v>
      </c>
      <c r="O27" s="44">
        <v>0.33</v>
      </c>
      <c r="P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/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/>
      <c r="AM27" s="44">
        <v>0.33</v>
      </c>
      <c r="AN27" s="44">
        <v>0.33</v>
      </c>
      <c r="AO27" s="44">
        <v>0.33</v>
      </c>
      <c r="AP27" s="44">
        <v>0.33</v>
      </c>
      <c r="AQ27"/>
      <c r="AR27" s="44">
        <v>0.33</v>
      </c>
      <c r="AS27"/>
      <c r="AT27"/>
      <c r="AU27" s="44">
        <v>0.33</v>
      </c>
    </row>
    <row r="28" spans="1:47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L28" s="44" t="s">
        <v>87</v>
      </c>
      <c r="M28" s="44"/>
      <c r="N28" s="44" t="s">
        <v>87</v>
      </c>
      <c r="O28" s="44" t="s">
        <v>87</v>
      </c>
      <c r="P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/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/>
      <c r="AR28" s="44" t="s">
        <v>87</v>
      </c>
      <c r="AS28"/>
      <c r="AT28"/>
      <c r="AU28" s="44" t="s">
        <v>87</v>
      </c>
    </row>
    <row r="29" spans="1:47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L29" s="44" t="s">
        <v>87</v>
      </c>
      <c r="M29" s="44"/>
      <c r="N29" s="44" t="s">
        <v>87</v>
      </c>
      <c r="O29" s="44" t="s">
        <v>87</v>
      </c>
      <c r="P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/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/>
      <c r="AR29" s="44" t="s">
        <v>87</v>
      </c>
      <c r="AS29"/>
      <c r="AT29"/>
      <c r="AU29" s="44" t="s">
        <v>87</v>
      </c>
    </row>
    <row r="30" spans="1:47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L30" s="44" t="s">
        <v>87</v>
      </c>
      <c r="M30" s="44"/>
      <c r="N30" s="44" t="s">
        <v>87</v>
      </c>
      <c r="O30" s="44" t="s">
        <v>87</v>
      </c>
      <c r="P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/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/>
      <c r="AM30" s="44" t="s">
        <v>87</v>
      </c>
      <c r="AN30" s="44" t="s">
        <v>87</v>
      </c>
      <c r="AO30" s="44" t="s">
        <v>87</v>
      </c>
      <c r="AP30" s="44" t="s">
        <v>87</v>
      </c>
      <c r="AQ30"/>
      <c r="AR30" s="44" t="s">
        <v>87</v>
      </c>
      <c r="AS30"/>
      <c r="AT30"/>
      <c r="AU30" s="44" t="s">
        <v>87</v>
      </c>
    </row>
    <row r="31" spans="1:47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L31" s="44" t="s">
        <v>86</v>
      </c>
      <c r="M31" s="44"/>
      <c r="N31" s="44" t="s">
        <v>86</v>
      </c>
      <c r="O31" s="44" t="s">
        <v>86</v>
      </c>
      <c r="P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/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/>
      <c r="AM31" s="44" t="s">
        <v>86</v>
      </c>
      <c r="AN31" s="44" t="s">
        <v>86</v>
      </c>
      <c r="AO31" s="44" t="s">
        <v>86</v>
      </c>
      <c r="AP31" s="44" t="s">
        <v>86</v>
      </c>
      <c r="AQ31"/>
      <c r="AR31" s="44" t="s">
        <v>86</v>
      </c>
      <c r="AS31"/>
      <c r="AT31"/>
      <c r="AU31" s="44" t="s">
        <v>86</v>
      </c>
    </row>
    <row r="32" spans="1:47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L32" s="45" t="s">
        <v>436</v>
      </c>
      <c r="M32" s="45"/>
      <c r="N32" s="45" t="s">
        <v>436</v>
      </c>
      <c r="O32" s="45" t="s">
        <v>436</v>
      </c>
      <c r="P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/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/>
      <c r="AM32" s="45" t="s">
        <v>436</v>
      </c>
      <c r="AN32" s="45" t="s">
        <v>436</v>
      </c>
      <c r="AO32" s="45" t="s">
        <v>436</v>
      </c>
      <c r="AP32" s="45" t="s">
        <v>436</v>
      </c>
      <c r="AQ32"/>
      <c r="AR32" s="45" t="s">
        <v>436</v>
      </c>
      <c r="AS32"/>
      <c r="AT32"/>
      <c r="AU32" s="45" t="s">
        <v>436</v>
      </c>
    </row>
    <row r="33" spans="1:47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L33" s="44">
        <v>9.9999999999999995E-7</v>
      </c>
      <c r="M33" s="44"/>
      <c r="N33" s="44">
        <v>9.9999999999999995E-7</v>
      </c>
      <c r="O33" s="44">
        <v>9.9999999999999995E-7</v>
      </c>
      <c r="P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/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/>
      <c r="AM33" s="44">
        <v>9.9999999999999995E-7</v>
      </c>
      <c r="AN33" s="44">
        <v>9.9999999999999995E-7</v>
      </c>
      <c r="AO33" s="44">
        <v>9.9999999999999995E-7</v>
      </c>
      <c r="AP33" s="44">
        <v>9.9999999999999995E-7</v>
      </c>
      <c r="AQ33"/>
      <c r="AR33" s="44">
        <v>9.9999999999999995E-7</v>
      </c>
      <c r="AS33"/>
      <c r="AT33"/>
      <c r="AU33" s="44">
        <v>9.9999999999999995E-7</v>
      </c>
    </row>
    <row r="34" spans="1:47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L34" s="44">
        <v>1E-3</v>
      </c>
      <c r="M34" s="44"/>
      <c r="N34" s="44">
        <v>1E-3</v>
      </c>
      <c r="O34" s="44">
        <v>1E-3</v>
      </c>
      <c r="P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/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/>
      <c r="AM34" s="44">
        <v>1E-3</v>
      </c>
      <c r="AN34" s="44">
        <v>1E-3</v>
      </c>
      <c r="AO34" s="44">
        <v>1E-3</v>
      </c>
      <c r="AP34" s="44">
        <v>1E-3</v>
      </c>
      <c r="AQ34"/>
      <c r="AR34" s="44">
        <v>1E-3</v>
      </c>
      <c r="AS34"/>
      <c r="AT34"/>
      <c r="AU34" s="44">
        <v>1E-3</v>
      </c>
    </row>
    <row r="35" spans="1:47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L35" s="44" t="s">
        <v>86</v>
      </c>
      <c r="M35" s="44"/>
      <c r="N35" s="44" t="s">
        <v>86</v>
      </c>
      <c r="O35" s="44" t="s">
        <v>86</v>
      </c>
      <c r="P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/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/>
      <c r="AM35" s="44" t="s">
        <v>86</v>
      </c>
      <c r="AN35" s="44" t="s">
        <v>86</v>
      </c>
      <c r="AO35" s="44" t="s">
        <v>86</v>
      </c>
      <c r="AP35" s="44" t="s">
        <v>86</v>
      </c>
      <c r="AQ35"/>
      <c r="AR35" s="44" t="s">
        <v>86</v>
      </c>
      <c r="AS35"/>
      <c r="AT35"/>
      <c r="AU35" s="44" t="s">
        <v>86</v>
      </c>
    </row>
    <row r="36" spans="1:47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L36" s="44" t="s">
        <v>88</v>
      </c>
      <c r="M36" s="44"/>
      <c r="N36" s="44" t="s">
        <v>88</v>
      </c>
      <c r="O36" s="44" t="s">
        <v>88</v>
      </c>
      <c r="P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/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/>
      <c r="AM36" s="44" t="s">
        <v>88</v>
      </c>
      <c r="AN36" s="44" t="s">
        <v>88</v>
      </c>
      <c r="AO36" s="44" t="s">
        <v>88</v>
      </c>
      <c r="AP36" s="44" t="s">
        <v>88</v>
      </c>
      <c r="AQ36"/>
      <c r="AR36" s="44" t="s">
        <v>88</v>
      </c>
      <c r="AS36"/>
      <c r="AT36"/>
      <c r="AU36" s="44" t="s">
        <v>88</v>
      </c>
    </row>
    <row r="37" spans="1:47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L37" s="44" t="s">
        <v>86</v>
      </c>
      <c r="M37" s="44"/>
      <c r="N37" s="44" t="s">
        <v>86</v>
      </c>
      <c r="O37" s="44" t="s">
        <v>86</v>
      </c>
      <c r="P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/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/>
      <c r="AM37" s="44" t="s">
        <v>86</v>
      </c>
      <c r="AN37" s="44" t="s">
        <v>86</v>
      </c>
      <c r="AO37" s="44" t="s">
        <v>86</v>
      </c>
      <c r="AP37" s="44" t="s">
        <v>86</v>
      </c>
      <c r="AQ37"/>
      <c r="AR37" s="44" t="s">
        <v>86</v>
      </c>
      <c r="AS37"/>
      <c r="AT37"/>
      <c r="AU37" s="44" t="s">
        <v>86</v>
      </c>
    </row>
    <row r="38" spans="1:47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L38" s="44" t="s">
        <v>87</v>
      </c>
      <c r="M38" s="44"/>
      <c r="N38" s="44" t="s">
        <v>87</v>
      </c>
      <c r="O38" s="44" t="s">
        <v>87</v>
      </c>
      <c r="P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/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/>
      <c r="AM38" s="44" t="s">
        <v>87</v>
      </c>
      <c r="AN38" s="44" t="s">
        <v>87</v>
      </c>
      <c r="AO38" s="44" t="s">
        <v>87</v>
      </c>
      <c r="AP38" s="44" t="s">
        <v>87</v>
      </c>
      <c r="AQ38"/>
      <c r="AR38" s="44" t="s">
        <v>87</v>
      </c>
      <c r="AS38"/>
      <c r="AT38"/>
      <c r="AU38" s="44" t="s">
        <v>87</v>
      </c>
    </row>
    <row r="39" spans="1:47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L39" s="44">
        <v>120</v>
      </c>
      <c r="M39" s="44"/>
      <c r="N39" s="44">
        <v>120</v>
      </c>
      <c r="O39" s="44">
        <v>120</v>
      </c>
      <c r="P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/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/>
      <c r="AM39" s="44">
        <v>120</v>
      </c>
      <c r="AN39" s="44">
        <v>120</v>
      </c>
      <c r="AO39" s="44">
        <v>120</v>
      </c>
      <c r="AP39" s="44">
        <v>120</v>
      </c>
      <c r="AQ39"/>
      <c r="AR39" s="44">
        <v>120</v>
      </c>
      <c r="AS39"/>
      <c r="AT39"/>
      <c r="AU39" s="44">
        <v>120</v>
      </c>
    </row>
    <row r="40" spans="1:47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L40" s="44">
        <v>0</v>
      </c>
      <c r="M40" s="44"/>
      <c r="N40" s="44">
        <v>0</v>
      </c>
      <c r="O40" s="44">
        <v>0</v>
      </c>
      <c r="P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/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/>
      <c r="AR40" s="44">
        <v>0</v>
      </c>
      <c r="AS40"/>
      <c r="AT40"/>
      <c r="AU40" s="44">
        <v>0</v>
      </c>
    </row>
    <row r="41" spans="1:47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L41" s="44">
        <v>0</v>
      </c>
      <c r="M41" s="44"/>
      <c r="N41" s="44">
        <v>0</v>
      </c>
      <c r="O41" s="44">
        <v>0</v>
      </c>
      <c r="P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/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/>
      <c r="AM41" s="44">
        <v>0</v>
      </c>
      <c r="AN41" s="44">
        <v>0</v>
      </c>
      <c r="AO41" s="44">
        <v>0</v>
      </c>
      <c r="AP41" s="44">
        <v>0</v>
      </c>
      <c r="AQ41"/>
      <c r="AR41" s="44">
        <v>0</v>
      </c>
      <c r="AS41"/>
      <c r="AT41"/>
      <c r="AU41" s="44">
        <v>0</v>
      </c>
    </row>
    <row r="42" spans="1:47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L42" s="44">
        <v>-0.1</v>
      </c>
      <c r="M42" s="44"/>
      <c r="N42" s="44">
        <v>-0.1</v>
      </c>
      <c r="O42" s="44">
        <v>-0.1</v>
      </c>
      <c r="P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/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/>
      <c r="AM42" s="44">
        <v>-0.1</v>
      </c>
      <c r="AN42" s="44">
        <v>-0.1</v>
      </c>
      <c r="AO42" s="44">
        <v>-0.1</v>
      </c>
      <c r="AP42" s="44">
        <v>-0.1</v>
      </c>
      <c r="AQ42"/>
      <c r="AR42" s="44">
        <v>-0.1</v>
      </c>
      <c r="AS42"/>
      <c r="AT42"/>
      <c r="AU42" s="44">
        <v>-0.1</v>
      </c>
    </row>
    <row r="43" spans="1:47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L43" s="44">
        <v>-0.2</v>
      </c>
      <c r="M43" s="44"/>
      <c r="N43" s="44">
        <v>-0.2</v>
      </c>
      <c r="O43" s="44">
        <v>-0.2</v>
      </c>
      <c r="P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/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/>
      <c r="AM43" s="44">
        <v>-0.2</v>
      </c>
      <c r="AN43" s="44">
        <v>-0.2</v>
      </c>
      <c r="AO43" s="44">
        <v>-0.2</v>
      </c>
      <c r="AP43" s="44">
        <v>-0.2</v>
      </c>
      <c r="AQ43"/>
      <c r="AR43" s="44">
        <v>-0.2</v>
      </c>
      <c r="AS43"/>
      <c r="AT43"/>
      <c r="AU43" s="44">
        <v>-0.2</v>
      </c>
    </row>
    <row r="44" spans="1:47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L44" s="44">
        <v>0.4</v>
      </c>
      <c r="M44" s="44"/>
      <c r="N44" s="44">
        <v>0.4</v>
      </c>
      <c r="O44" s="44">
        <v>0.4</v>
      </c>
      <c r="P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/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/>
      <c r="AM44" s="44">
        <v>0.4</v>
      </c>
      <c r="AN44" s="44">
        <v>0.4</v>
      </c>
      <c r="AO44" s="44">
        <v>0.4</v>
      </c>
      <c r="AP44" s="44">
        <v>0.4</v>
      </c>
      <c r="AQ44"/>
      <c r="AR44" s="44">
        <v>0.4</v>
      </c>
      <c r="AS44"/>
      <c r="AT44"/>
      <c r="AU44" s="44">
        <v>0.4</v>
      </c>
    </row>
    <row r="45" spans="1:47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L45" s="44">
        <v>0</v>
      </c>
      <c r="M45" s="44"/>
      <c r="N45" s="44">
        <v>0</v>
      </c>
      <c r="O45" s="44">
        <v>0</v>
      </c>
      <c r="P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/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/>
      <c r="AM45" s="44">
        <v>0</v>
      </c>
      <c r="AN45" s="44">
        <v>0</v>
      </c>
      <c r="AO45" s="44">
        <v>0</v>
      </c>
      <c r="AP45" s="44">
        <v>0</v>
      </c>
      <c r="AQ45"/>
      <c r="AR45" s="44">
        <v>0</v>
      </c>
      <c r="AS45"/>
      <c r="AT45"/>
      <c r="AU45" s="44">
        <v>0</v>
      </c>
    </row>
    <row r="46" spans="1:47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L46" s="44">
        <v>1200</v>
      </c>
      <c r="M46" s="44"/>
      <c r="N46" s="44">
        <v>1200</v>
      </c>
      <c r="O46" s="44">
        <v>1200</v>
      </c>
      <c r="P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/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/>
      <c r="AR46" s="44">
        <v>1200</v>
      </c>
      <c r="AS46"/>
      <c r="AT46"/>
      <c r="AU46" s="44">
        <v>1200</v>
      </c>
    </row>
    <row r="47" spans="1:47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L47" s="44">
        <v>1200</v>
      </c>
      <c r="M47" s="44"/>
      <c r="N47" s="44">
        <v>1200</v>
      </c>
      <c r="O47" s="44">
        <v>1200</v>
      </c>
      <c r="P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/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/>
      <c r="AM47" s="44">
        <v>1200</v>
      </c>
      <c r="AN47" s="44">
        <v>1200</v>
      </c>
      <c r="AO47" s="44">
        <v>1200</v>
      </c>
      <c r="AP47" s="44">
        <v>1200</v>
      </c>
      <c r="AQ47"/>
      <c r="AR47" s="44">
        <v>1200</v>
      </c>
      <c r="AS47"/>
      <c r="AT47"/>
      <c r="AU47" s="44">
        <v>1200</v>
      </c>
    </row>
    <row r="48" spans="1:47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L48" s="44" t="s">
        <v>462</v>
      </c>
      <c r="M48" s="44"/>
      <c r="N48" s="44" t="s">
        <v>462</v>
      </c>
      <c r="O48" s="44" t="s">
        <v>462</v>
      </c>
      <c r="P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/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/>
      <c r="AM48" s="44" t="s">
        <v>462</v>
      </c>
      <c r="AN48" s="44" t="s">
        <v>462</v>
      </c>
      <c r="AO48" s="44" t="s">
        <v>462</v>
      </c>
      <c r="AP48" s="44" t="s">
        <v>462</v>
      </c>
      <c r="AQ48"/>
      <c r="AR48" s="44" t="s">
        <v>462</v>
      </c>
      <c r="AS48"/>
      <c r="AT48"/>
      <c r="AU48" s="44" t="s">
        <v>462</v>
      </c>
    </row>
    <row r="49" spans="1:47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L49" s="44" t="s">
        <v>86</v>
      </c>
      <c r="M49" s="44"/>
      <c r="N49" s="44" t="s">
        <v>86</v>
      </c>
      <c r="O49" s="44" t="s">
        <v>86</v>
      </c>
      <c r="P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/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/>
      <c r="AR49" s="44" t="s">
        <v>86</v>
      </c>
      <c r="AS49"/>
      <c r="AT49"/>
      <c r="AU49" s="44" t="s">
        <v>86</v>
      </c>
    </row>
    <row r="50" spans="1:47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L50" s="44" t="s">
        <v>86</v>
      </c>
      <c r="M50" s="44"/>
      <c r="N50" s="44" t="s">
        <v>86</v>
      </c>
      <c r="O50" s="44" t="s">
        <v>86</v>
      </c>
      <c r="P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/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/>
      <c r="AM50" s="44" t="s">
        <v>86</v>
      </c>
      <c r="AN50" s="44" t="s">
        <v>86</v>
      </c>
      <c r="AO50" s="44" t="s">
        <v>86</v>
      </c>
      <c r="AP50" s="44" t="s">
        <v>86</v>
      </c>
      <c r="AQ50"/>
      <c r="AR50" s="44" t="s">
        <v>86</v>
      </c>
      <c r="AS50"/>
      <c r="AT50"/>
      <c r="AU50" s="44" t="s">
        <v>86</v>
      </c>
    </row>
    <row r="51" spans="1:47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L51" s="44">
        <v>0</v>
      </c>
      <c r="M51" s="44"/>
      <c r="N51" s="44">
        <v>0</v>
      </c>
      <c r="O51" s="44">
        <v>0</v>
      </c>
      <c r="P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/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/>
      <c r="AM51" s="44">
        <v>0</v>
      </c>
      <c r="AN51" s="44">
        <v>0</v>
      </c>
      <c r="AO51" s="44">
        <v>0</v>
      </c>
      <c r="AP51" s="44">
        <v>0</v>
      </c>
      <c r="AQ51"/>
      <c r="AR51" s="44">
        <v>0</v>
      </c>
      <c r="AS51"/>
      <c r="AT51"/>
      <c r="AU51" s="44">
        <v>0</v>
      </c>
    </row>
    <row r="52" spans="1:47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L52" s="44">
        <v>0.5</v>
      </c>
      <c r="M52" s="44"/>
      <c r="N52" s="44">
        <v>0.5</v>
      </c>
      <c r="O52" s="44">
        <v>0.5</v>
      </c>
      <c r="P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/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/>
      <c r="AM52" s="44">
        <v>0.5</v>
      </c>
      <c r="AN52" s="44">
        <v>0.5</v>
      </c>
      <c r="AO52" s="44">
        <v>0.5</v>
      </c>
      <c r="AP52" s="44">
        <v>0.5</v>
      </c>
      <c r="AQ52"/>
      <c r="AR52" s="44">
        <v>0.5</v>
      </c>
      <c r="AS52"/>
      <c r="AT52"/>
      <c r="AU52" s="44">
        <v>0.5</v>
      </c>
    </row>
    <row r="53" spans="1:47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L53" s="44">
        <v>0.05</v>
      </c>
      <c r="M53" s="44"/>
      <c r="N53" s="44">
        <v>0.05</v>
      </c>
      <c r="O53" s="44">
        <v>0.05</v>
      </c>
      <c r="P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/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/>
      <c r="AM53" s="44">
        <v>0.05</v>
      </c>
      <c r="AN53" s="44">
        <v>0.05</v>
      </c>
      <c r="AO53" s="44">
        <v>0.05</v>
      </c>
      <c r="AP53" s="44">
        <v>0.05</v>
      </c>
      <c r="AQ53"/>
      <c r="AR53" s="44">
        <v>0.05</v>
      </c>
      <c r="AS53"/>
      <c r="AT53"/>
      <c r="AU53" s="44">
        <v>0.05</v>
      </c>
    </row>
    <row r="54" spans="1:47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L54" s="44">
        <v>1E-3</v>
      </c>
      <c r="M54" s="44"/>
      <c r="N54" s="44">
        <v>1E-3</v>
      </c>
      <c r="O54" s="44">
        <v>1E-3</v>
      </c>
      <c r="P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/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/>
      <c r="AM54" s="44">
        <v>1E-3</v>
      </c>
      <c r="AN54" s="44">
        <v>1E-3</v>
      </c>
      <c r="AO54" s="44">
        <v>1E-3</v>
      </c>
      <c r="AP54" s="44">
        <v>1E-3</v>
      </c>
      <c r="AQ54"/>
      <c r="AR54" s="44">
        <v>1E-3</v>
      </c>
      <c r="AS54"/>
      <c r="AT54"/>
      <c r="AU54" s="44">
        <v>1E-3</v>
      </c>
    </row>
    <row r="55" spans="1:47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L55" s="44">
        <v>0</v>
      </c>
      <c r="M55" s="44"/>
      <c r="N55" s="44">
        <v>0</v>
      </c>
      <c r="O55" s="44">
        <v>0</v>
      </c>
      <c r="P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/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/>
      <c r="AM55" s="44">
        <v>0</v>
      </c>
      <c r="AN55" s="44">
        <v>0</v>
      </c>
      <c r="AO55" s="44">
        <v>0</v>
      </c>
      <c r="AP55" s="44">
        <v>0</v>
      </c>
      <c r="AQ55"/>
      <c r="AR55" s="44">
        <v>0</v>
      </c>
      <c r="AS55"/>
      <c r="AT55"/>
      <c r="AU55" s="44">
        <v>0</v>
      </c>
    </row>
    <row r="56" spans="1:47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L56" s="44">
        <v>1E-4</v>
      </c>
      <c r="M56" s="44"/>
      <c r="N56" s="44">
        <v>1E-4</v>
      </c>
      <c r="O56" s="44">
        <v>1E-4</v>
      </c>
      <c r="P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/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/>
      <c r="AR56" s="44">
        <v>1E-4</v>
      </c>
      <c r="AS56"/>
      <c r="AT56"/>
      <c r="AU56" s="44">
        <v>1E-4</v>
      </c>
    </row>
    <row r="57" spans="1:47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L57" s="44">
        <v>1E-4</v>
      </c>
      <c r="M57" s="44"/>
      <c r="N57" s="44">
        <v>1E-4</v>
      </c>
      <c r="O57" s="44">
        <v>1E-4</v>
      </c>
      <c r="P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/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/>
      <c r="AM57" s="44">
        <v>1E-4</v>
      </c>
      <c r="AN57" s="44">
        <v>1E-4</v>
      </c>
      <c r="AO57" s="44">
        <v>1E-4</v>
      </c>
      <c r="AP57" s="44">
        <v>1E-4</v>
      </c>
      <c r="AQ57"/>
      <c r="AR57" s="44">
        <v>1E-4</v>
      </c>
      <c r="AS57"/>
      <c r="AT57"/>
      <c r="AU57" s="44">
        <v>1E-4</v>
      </c>
    </row>
    <row r="58" spans="1:47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L58" s="44">
        <v>6.9999999999999999E-4</v>
      </c>
      <c r="M58" s="44"/>
      <c r="N58" s="44">
        <v>6.9999999999999999E-4</v>
      </c>
      <c r="O58" s="44">
        <v>6.9999999999999999E-4</v>
      </c>
      <c r="P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/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/>
      <c r="AM58" s="44">
        <v>6.9999999999999999E-4</v>
      </c>
      <c r="AN58" s="44">
        <v>6.9999999999999999E-4</v>
      </c>
      <c r="AO58" s="44">
        <v>6.9999999999999999E-4</v>
      </c>
      <c r="AP58" s="44">
        <v>6.9999999999999999E-4</v>
      </c>
      <c r="AQ58"/>
      <c r="AR58" s="44">
        <v>6.9999999999999999E-4</v>
      </c>
      <c r="AS58"/>
      <c r="AT58"/>
      <c r="AU58" s="44">
        <v>6.9999999999999999E-4</v>
      </c>
    </row>
    <row r="59" spans="1:47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L59" s="44">
        <v>1.22E-4</v>
      </c>
      <c r="M59" s="44"/>
      <c r="N59" s="44">
        <v>1.22E-4</v>
      </c>
      <c r="O59" s="44">
        <v>1.22E-4</v>
      </c>
      <c r="P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/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/>
      <c r="AM59" s="44">
        <v>1.22E-4</v>
      </c>
      <c r="AN59" s="44">
        <v>1.22E-4</v>
      </c>
      <c r="AO59" s="44">
        <v>1.22E-4</v>
      </c>
      <c r="AP59" s="44">
        <v>1.22E-4</v>
      </c>
      <c r="AQ59"/>
      <c r="AR59" s="44">
        <v>1.22E-4</v>
      </c>
      <c r="AS59"/>
      <c r="AT59"/>
      <c r="AU59" s="44">
        <v>1.22E-4</v>
      </c>
    </row>
    <row r="60" spans="1:47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L60" s="44">
        <v>1</v>
      </c>
      <c r="M60" s="44"/>
      <c r="N60" s="44">
        <v>1</v>
      </c>
      <c r="O60" s="44">
        <v>1</v>
      </c>
      <c r="P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/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/>
      <c r="AM60" s="44">
        <v>1</v>
      </c>
      <c r="AN60" s="44">
        <v>1</v>
      </c>
      <c r="AO60" s="44">
        <v>1</v>
      </c>
      <c r="AP60" s="44">
        <v>1</v>
      </c>
      <c r="AQ60"/>
      <c r="AR60" s="44">
        <v>1</v>
      </c>
      <c r="AS60"/>
      <c r="AT60"/>
      <c r="AU60" s="44">
        <v>1</v>
      </c>
    </row>
    <row r="61" spans="1:47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L61" s="44">
        <v>0.95</v>
      </c>
      <c r="M61" s="44"/>
      <c r="N61" s="44">
        <v>0.95</v>
      </c>
      <c r="O61" s="44">
        <v>0.95</v>
      </c>
      <c r="P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/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/>
      <c r="AM61" s="44">
        <v>0.95</v>
      </c>
      <c r="AN61" s="44">
        <v>0.95</v>
      </c>
      <c r="AO61" s="44">
        <v>0.95</v>
      </c>
      <c r="AP61" s="44">
        <v>0.95</v>
      </c>
      <c r="AQ61"/>
      <c r="AR61" s="44">
        <v>0.95</v>
      </c>
      <c r="AS61"/>
      <c r="AT61"/>
      <c r="AU61" s="44">
        <v>0.95</v>
      </c>
    </row>
    <row r="62" spans="1:47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L62" s="44" t="s">
        <v>87</v>
      </c>
      <c r="M62" s="44"/>
      <c r="N62" s="44" t="s">
        <v>87</v>
      </c>
      <c r="O62" s="44" t="s">
        <v>87</v>
      </c>
      <c r="P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/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/>
      <c r="AM62" s="44" t="s">
        <v>87</v>
      </c>
      <c r="AN62" s="44" t="s">
        <v>87</v>
      </c>
      <c r="AO62" s="44" t="s">
        <v>87</v>
      </c>
      <c r="AP62" s="44" t="s">
        <v>87</v>
      </c>
      <c r="AQ62"/>
      <c r="AR62" s="44" t="s">
        <v>87</v>
      </c>
      <c r="AS62"/>
      <c r="AT62"/>
      <c r="AU62" s="44" t="s">
        <v>87</v>
      </c>
    </row>
    <row r="63" spans="1:47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L63" s="44">
        <v>5</v>
      </c>
      <c r="M63" s="44"/>
      <c r="N63" s="44">
        <v>5</v>
      </c>
      <c r="O63" s="44">
        <v>5</v>
      </c>
      <c r="P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/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/>
      <c r="AM63" s="44">
        <v>5</v>
      </c>
      <c r="AN63" s="44">
        <v>5</v>
      </c>
      <c r="AO63" s="44">
        <v>5</v>
      </c>
      <c r="AP63" s="44">
        <v>5</v>
      </c>
      <c r="AQ63"/>
      <c r="AR63" s="44">
        <v>5</v>
      </c>
      <c r="AS63"/>
      <c r="AT63"/>
      <c r="AU63" s="44">
        <v>5</v>
      </c>
    </row>
    <row r="64" spans="1:47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L64" s="44" t="s">
        <v>87</v>
      </c>
      <c r="M64" s="44"/>
      <c r="N64" s="44" t="s">
        <v>87</v>
      </c>
      <c r="O64" s="44" t="s">
        <v>87</v>
      </c>
      <c r="P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/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/>
      <c r="AM64" s="44" t="s">
        <v>87</v>
      </c>
      <c r="AN64" s="44" t="s">
        <v>87</v>
      </c>
      <c r="AO64" s="44" t="s">
        <v>87</v>
      </c>
      <c r="AP64" s="44" t="s">
        <v>87</v>
      </c>
      <c r="AQ64"/>
      <c r="AR64" s="44" t="s">
        <v>87</v>
      </c>
      <c r="AS64"/>
      <c r="AT64"/>
      <c r="AU64" s="44" t="s">
        <v>87</v>
      </c>
    </row>
    <row r="65" spans="1:47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L65" s="44">
        <v>50</v>
      </c>
      <c r="M65" s="44"/>
      <c r="N65" s="44">
        <v>50</v>
      </c>
      <c r="O65" s="44">
        <v>50</v>
      </c>
      <c r="P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/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/>
      <c r="AM65" s="44">
        <v>50</v>
      </c>
      <c r="AN65" s="44">
        <v>50</v>
      </c>
      <c r="AO65" s="44">
        <v>50</v>
      </c>
      <c r="AP65" s="44">
        <v>50</v>
      </c>
      <c r="AQ65"/>
      <c r="AR65" s="44">
        <v>50</v>
      </c>
      <c r="AS65"/>
      <c r="AT65"/>
      <c r="AU65" s="44">
        <v>50</v>
      </c>
    </row>
    <row r="66" spans="1:47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L66" s="44">
        <v>1453890.8941884842</v>
      </c>
      <c r="M66" s="44"/>
      <c r="N66" s="44">
        <v>1453890.8941884842</v>
      </c>
      <c r="O66" s="44">
        <v>1453890.8941884842</v>
      </c>
      <c r="P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/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/>
      <c r="AM66" s="44">
        <v>1453890.8941884842</v>
      </c>
      <c r="AN66" s="44">
        <v>1453890.8941884842</v>
      </c>
      <c r="AO66" s="44">
        <v>1453890.8941884842</v>
      </c>
      <c r="AP66" s="44">
        <v>1453890.8941884842</v>
      </c>
      <c r="AQ66"/>
      <c r="AR66" s="44">
        <v>1453890.8941884842</v>
      </c>
      <c r="AS66"/>
      <c r="AT66"/>
      <c r="AU66" s="44">
        <v>1453890.8941884842</v>
      </c>
    </row>
    <row r="67" spans="1:47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L67" s="44">
        <v>1.3888888888888888E-5</v>
      </c>
      <c r="M67" s="44"/>
      <c r="N67" s="44">
        <v>1.3888888888888888E-5</v>
      </c>
      <c r="O67" s="44">
        <v>1.3888888888888888E-5</v>
      </c>
      <c r="P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/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/>
      <c r="AM67" s="44">
        <v>1.3888888888888888E-5</v>
      </c>
      <c r="AN67" s="44">
        <v>1.3888888888888888E-5</v>
      </c>
      <c r="AO67" s="44">
        <v>1.3888888888888888E-5</v>
      </c>
      <c r="AP67" s="44">
        <v>1.3888888888888888E-5</v>
      </c>
      <c r="AQ67"/>
      <c r="AR67" s="44">
        <v>1.3888888888888888E-5</v>
      </c>
      <c r="AS67"/>
      <c r="AT67"/>
      <c r="AU67" s="44">
        <v>1.3888888888888888E-5</v>
      </c>
    </row>
    <row r="68" spans="1:47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L68" s="44">
        <v>6.5011574074074071E-4</v>
      </c>
      <c r="M68" s="44"/>
      <c r="N68" s="44">
        <v>6.5011574074074071E-4</v>
      </c>
      <c r="O68" s="44">
        <v>6.5011574074074071E-4</v>
      </c>
      <c r="P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/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/>
      <c r="AM68" s="44">
        <v>6.5011574074074071E-4</v>
      </c>
      <c r="AN68" s="44">
        <v>6.5011574074074071E-4</v>
      </c>
      <c r="AO68" s="44">
        <v>6.5011574074074071E-4</v>
      </c>
      <c r="AP68" s="44">
        <v>6.5011574074074071E-4</v>
      </c>
      <c r="AQ68"/>
      <c r="AR68" s="44">
        <v>6.5011574074074071E-4</v>
      </c>
      <c r="AS68"/>
      <c r="AT68"/>
      <c r="AU68" s="44">
        <v>6.5011574074074071E-4</v>
      </c>
    </row>
    <row r="69" spans="1:47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L69" s="44">
        <v>4.7400000000000003E-3</v>
      </c>
      <c r="M69" s="44"/>
      <c r="N69" s="44">
        <v>4.7400000000000003E-3</v>
      </c>
      <c r="O69" s="44">
        <v>4.7400000000000003E-3</v>
      </c>
      <c r="P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/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/>
      <c r="AM69" s="44">
        <v>4.7400000000000003E-3</v>
      </c>
      <c r="AN69" s="44">
        <v>4.7400000000000003E-3</v>
      </c>
      <c r="AO69" s="44">
        <v>4.7400000000000003E-3</v>
      </c>
      <c r="AP69" s="44">
        <v>4.7400000000000003E-3</v>
      </c>
      <c r="AQ69"/>
      <c r="AR69" s="44">
        <v>4.7400000000000003E-3</v>
      </c>
      <c r="AS69"/>
      <c r="AT69"/>
      <c r="AU69" s="44">
        <v>4.7400000000000003E-3</v>
      </c>
    </row>
    <row r="70" spans="1:47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L70" s="44">
        <v>282528</v>
      </c>
      <c r="M70" s="44"/>
      <c r="N70" s="44">
        <v>282528</v>
      </c>
      <c r="O70" s="44">
        <v>282528</v>
      </c>
      <c r="P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/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/>
      <c r="AM70" s="44">
        <v>282528</v>
      </c>
      <c r="AN70" s="44">
        <v>282528</v>
      </c>
      <c r="AO70" s="44">
        <v>282528</v>
      </c>
      <c r="AP70" s="44">
        <v>282528</v>
      </c>
      <c r="AQ70"/>
      <c r="AR70" s="44">
        <v>282528</v>
      </c>
      <c r="AS70"/>
      <c r="AT70"/>
      <c r="AU70" s="44">
        <v>282528</v>
      </c>
    </row>
    <row r="71" spans="1:47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L71" s="44">
        <v>0.56999999999999995</v>
      </c>
      <c r="M71" s="44"/>
      <c r="N71" s="44">
        <v>0.56999999999999995</v>
      </c>
      <c r="O71" s="44">
        <v>0.56999999999999995</v>
      </c>
      <c r="P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/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/>
      <c r="AM71" s="44">
        <v>0.56999999999999995</v>
      </c>
      <c r="AN71" s="44">
        <v>0.56999999999999995</v>
      </c>
      <c r="AO71" s="44">
        <v>0.56999999999999995</v>
      </c>
      <c r="AP71" s="44">
        <v>0.56999999999999995</v>
      </c>
      <c r="AQ71"/>
      <c r="AR71" s="44">
        <v>0.56999999999999995</v>
      </c>
      <c r="AS71"/>
      <c r="AT71"/>
      <c r="AU71" s="44">
        <v>0.56999999999999995</v>
      </c>
    </row>
    <row r="72" spans="1:47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L72" s="44">
        <v>0.16</v>
      </c>
      <c r="M72" s="44"/>
      <c r="N72" s="44">
        <v>0.16</v>
      </c>
      <c r="O72" s="44">
        <v>0.16</v>
      </c>
      <c r="P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/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/>
      <c r="AM72" s="44">
        <v>0.16</v>
      </c>
      <c r="AN72" s="44">
        <v>0.16</v>
      </c>
      <c r="AO72" s="44">
        <v>0.16</v>
      </c>
      <c r="AP72" s="44">
        <v>0.16</v>
      </c>
      <c r="AQ72"/>
      <c r="AR72" s="44">
        <v>0.16</v>
      </c>
      <c r="AS72"/>
      <c r="AT72"/>
      <c r="AU72" s="44">
        <v>0.16</v>
      </c>
    </row>
    <row r="73" spans="1:47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L73" s="44">
        <v>0</v>
      </c>
      <c r="M73" s="44"/>
      <c r="N73" s="44">
        <v>0</v>
      </c>
      <c r="O73" s="44">
        <v>0</v>
      </c>
      <c r="P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/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/>
      <c r="AM73" s="44">
        <v>0</v>
      </c>
      <c r="AN73" s="44">
        <v>0</v>
      </c>
      <c r="AO73" s="44">
        <v>0</v>
      </c>
      <c r="AP73" s="44">
        <v>0</v>
      </c>
      <c r="AQ73"/>
      <c r="AR73" s="44">
        <v>0</v>
      </c>
      <c r="AS73"/>
      <c r="AT73"/>
      <c r="AU73" s="44">
        <v>0</v>
      </c>
    </row>
    <row r="74" spans="1:47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L74" s="44">
        <v>745476480000</v>
      </c>
      <c r="M74" s="44"/>
      <c r="N74" s="44">
        <v>745476480000</v>
      </c>
      <c r="O74" s="44">
        <v>745476480000</v>
      </c>
      <c r="P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/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/>
      <c r="AM74" s="44">
        <v>745476480000</v>
      </c>
      <c r="AN74" s="44">
        <v>745476480000</v>
      </c>
      <c r="AO74" s="44">
        <v>745476480000</v>
      </c>
      <c r="AP74" s="44">
        <v>745476480000</v>
      </c>
      <c r="AQ74"/>
      <c r="AR74" s="44">
        <v>745476480000</v>
      </c>
      <c r="AS74"/>
      <c r="AT74"/>
      <c r="AU74" s="44">
        <v>745476480000</v>
      </c>
    </row>
    <row r="75" spans="1:47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L75" s="44">
        <v>100</v>
      </c>
      <c r="M75" s="44"/>
      <c r="N75" s="44">
        <v>100</v>
      </c>
      <c r="O75" s="44">
        <v>100</v>
      </c>
      <c r="P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/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/>
      <c r="AM75" s="44">
        <v>100</v>
      </c>
      <c r="AN75" s="44">
        <v>100</v>
      </c>
      <c r="AO75" s="44">
        <v>100</v>
      </c>
      <c r="AP75" s="44">
        <v>100</v>
      </c>
      <c r="AQ75"/>
      <c r="AR75" s="44">
        <v>100</v>
      </c>
      <c r="AS75"/>
      <c r="AT75"/>
      <c r="AU75" s="44">
        <v>100</v>
      </c>
    </row>
    <row r="76" spans="1:47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L76" s="44" t="s">
        <v>86</v>
      </c>
      <c r="M76" s="44"/>
      <c r="N76" s="44" t="s">
        <v>86</v>
      </c>
      <c r="O76" s="44" t="s">
        <v>86</v>
      </c>
      <c r="P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/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/>
      <c r="AM76" s="44" t="s">
        <v>86</v>
      </c>
      <c r="AN76" s="44" t="s">
        <v>86</v>
      </c>
      <c r="AO76" s="44" t="s">
        <v>86</v>
      </c>
      <c r="AP76" s="44" t="s">
        <v>86</v>
      </c>
      <c r="AQ76"/>
      <c r="AR76" s="44" t="s">
        <v>86</v>
      </c>
      <c r="AS76"/>
      <c r="AT76"/>
      <c r="AU76" s="44" t="s">
        <v>86</v>
      </c>
    </row>
    <row r="77" spans="1:47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L77" s="44">
        <v>21600</v>
      </c>
      <c r="M77" s="44"/>
      <c r="N77" s="44">
        <v>21600</v>
      </c>
      <c r="O77" s="44">
        <v>21600</v>
      </c>
      <c r="P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/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/>
      <c r="AM77" s="44">
        <v>21600</v>
      </c>
      <c r="AN77" s="44">
        <v>21600</v>
      </c>
      <c r="AO77" s="44">
        <v>21600</v>
      </c>
      <c r="AP77" s="44">
        <v>21600</v>
      </c>
      <c r="AQ77"/>
      <c r="AR77" s="44">
        <v>21600</v>
      </c>
      <c r="AS77"/>
      <c r="AT77"/>
      <c r="AU77" s="44">
        <v>21600</v>
      </c>
    </row>
    <row r="78" spans="1:47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L78" s="44">
        <v>0.5</v>
      </c>
      <c r="M78" s="44"/>
      <c r="N78" s="44">
        <v>0.5</v>
      </c>
      <c r="O78" s="44">
        <v>0.5</v>
      </c>
      <c r="P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/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/>
      <c r="AM78" s="44">
        <v>0.5</v>
      </c>
      <c r="AN78" s="44">
        <v>0.5</v>
      </c>
      <c r="AO78" s="44">
        <v>0.5</v>
      </c>
      <c r="AP78" s="44">
        <v>0.5</v>
      </c>
      <c r="AQ78"/>
      <c r="AR78" s="44">
        <v>0.5</v>
      </c>
      <c r="AS78"/>
      <c r="AT78"/>
      <c r="AU78" s="44">
        <v>0.5</v>
      </c>
    </row>
    <row r="79" spans="1:47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L79" s="44">
        <v>60479.999999999993</v>
      </c>
      <c r="M79" s="44"/>
      <c r="N79" s="44">
        <v>60479.999999999993</v>
      </c>
      <c r="O79" s="44">
        <v>60479.999999999993</v>
      </c>
      <c r="P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/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/>
      <c r="AM79" s="44">
        <v>60479.999999999993</v>
      </c>
      <c r="AN79" s="44">
        <v>60479.999999999993</v>
      </c>
      <c r="AO79" s="44">
        <v>60479.999999999993</v>
      </c>
      <c r="AP79" s="44">
        <v>60479.999999999993</v>
      </c>
      <c r="AQ79"/>
      <c r="AR79" s="44">
        <v>60479.999999999993</v>
      </c>
      <c r="AS79"/>
      <c r="AT79"/>
      <c r="AU79" s="44">
        <v>60479.999999999993</v>
      </c>
    </row>
    <row r="80" spans="1:47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L80" s="44">
        <v>0.85</v>
      </c>
      <c r="M80" s="44"/>
      <c r="N80" s="44">
        <v>0.85</v>
      </c>
      <c r="O80" s="44">
        <v>0.85</v>
      </c>
      <c r="P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/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/>
      <c r="AM80" s="44">
        <v>0.85</v>
      </c>
      <c r="AN80" s="44">
        <v>0.85</v>
      </c>
      <c r="AO80" s="44">
        <v>0.85</v>
      </c>
      <c r="AP80" s="44">
        <v>0.85</v>
      </c>
      <c r="AQ80"/>
      <c r="AR80" s="44">
        <v>0.85</v>
      </c>
      <c r="AS80"/>
      <c r="AT80"/>
      <c r="AU80" s="44">
        <v>0.85</v>
      </c>
    </row>
    <row r="81" spans="1:47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L81" s="44">
        <v>518400</v>
      </c>
      <c r="M81" s="44"/>
      <c r="N81" s="44">
        <v>518400</v>
      </c>
      <c r="O81" s="44">
        <v>518400</v>
      </c>
      <c r="P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/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/>
      <c r="AM81" s="44">
        <v>518400</v>
      </c>
      <c r="AN81" s="44">
        <v>518400</v>
      </c>
      <c r="AO81" s="44">
        <v>518400</v>
      </c>
      <c r="AP81" s="44">
        <v>518400</v>
      </c>
      <c r="AQ81"/>
      <c r="AR81" s="44">
        <v>518400</v>
      </c>
      <c r="AS81"/>
      <c r="AT81"/>
      <c r="AU81" s="44">
        <v>518400</v>
      </c>
    </row>
    <row r="82" spans="1:47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L82" s="44">
        <v>5184000</v>
      </c>
      <c r="M82" s="44"/>
      <c r="N82" s="44">
        <v>5184000</v>
      </c>
      <c r="O82" s="44">
        <v>5184000</v>
      </c>
      <c r="P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/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/>
      <c r="AM82" s="44">
        <v>5184000</v>
      </c>
      <c r="AN82" s="44">
        <v>5184000</v>
      </c>
      <c r="AO82" s="44">
        <v>5184000</v>
      </c>
      <c r="AP82" s="44">
        <v>5184000</v>
      </c>
      <c r="AQ82"/>
      <c r="AR82" s="44">
        <v>5184000</v>
      </c>
      <c r="AS82"/>
      <c r="AT82"/>
      <c r="AU82" s="44">
        <v>5184000</v>
      </c>
    </row>
    <row r="83" spans="1:47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L83" s="44">
        <v>50000</v>
      </c>
      <c r="M83" s="44"/>
      <c r="N83" s="44">
        <v>50000</v>
      </c>
      <c r="O83" s="44">
        <v>50000</v>
      </c>
      <c r="P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/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/>
      <c r="AM83" s="44">
        <v>50000</v>
      </c>
      <c r="AN83" s="44">
        <v>50000</v>
      </c>
      <c r="AO83" s="44">
        <v>50000</v>
      </c>
      <c r="AP83" s="44">
        <v>50000</v>
      </c>
      <c r="AQ83"/>
      <c r="AR83" s="44">
        <v>50000</v>
      </c>
      <c r="AS83"/>
      <c r="AT83"/>
      <c r="AU83" s="44">
        <v>50000</v>
      </c>
    </row>
    <row r="84" spans="1:47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L84" s="44">
        <v>140000</v>
      </c>
      <c r="M84" s="44"/>
      <c r="N84" s="44">
        <v>140000</v>
      </c>
      <c r="O84" s="44">
        <v>140000</v>
      </c>
      <c r="P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/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/>
      <c r="AM84" s="44">
        <v>140000</v>
      </c>
      <c r="AN84" s="44">
        <v>140000</v>
      </c>
      <c r="AO84" s="44">
        <v>140000</v>
      </c>
      <c r="AP84" s="44">
        <v>140000</v>
      </c>
      <c r="AQ84"/>
      <c r="AR84" s="44">
        <v>140000</v>
      </c>
      <c r="AS84"/>
      <c r="AT84"/>
      <c r="AU84" s="44">
        <v>140000</v>
      </c>
    </row>
    <row r="85" spans="1:47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L85" s="44">
        <v>3.6636136999999999E-2</v>
      </c>
      <c r="M85" s="44"/>
      <c r="N85" s="44">
        <v>3.6636136999999999E-2</v>
      </c>
      <c r="O85" s="44">
        <v>3.6636136999999999E-2</v>
      </c>
      <c r="P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/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/>
      <c r="AM85" s="44">
        <v>3.6636136999999999E-2</v>
      </c>
      <c r="AN85" s="44">
        <v>3.6636136999999999E-2</v>
      </c>
      <c r="AO85" s="44">
        <v>3.6636136999999999E-2</v>
      </c>
      <c r="AP85" s="44">
        <v>3.6636136999999999E-2</v>
      </c>
      <c r="AQ85"/>
      <c r="AR85" s="44">
        <v>3.6636136999999999E-2</v>
      </c>
      <c r="AS85"/>
      <c r="AT85"/>
      <c r="AU85" s="44">
        <v>3.6636136999999999E-2</v>
      </c>
    </row>
    <row r="86" spans="1:47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L86" s="44">
        <v>4.4999999999999997E-3</v>
      </c>
      <c r="M86" s="44"/>
      <c r="N86" s="44">
        <v>4.4999999999999997E-3</v>
      </c>
      <c r="O86" s="44">
        <v>4.4999999999999997E-3</v>
      </c>
      <c r="P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/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/>
      <c r="AM86" s="44">
        <v>4.4999999999999997E-3</v>
      </c>
      <c r="AN86" s="44">
        <v>4.4999999999999997E-3</v>
      </c>
      <c r="AO86" s="44">
        <v>4.4999999999999997E-3</v>
      </c>
      <c r="AP86" s="44">
        <v>4.4999999999999997E-3</v>
      </c>
      <c r="AQ86"/>
      <c r="AR86" s="44">
        <v>4.4999999999999997E-3</v>
      </c>
      <c r="AS86"/>
      <c r="AT86"/>
      <c r="AU86" s="44">
        <v>4.4999999999999997E-3</v>
      </c>
    </row>
    <row r="87" spans="1:47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L87" s="44">
        <v>0.05</v>
      </c>
      <c r="M87" s="44"/>
      <c r="N87" s="44">
        <v>0.05</v>
      </c>
      <c r="O87" s="44">
        <v>0.05</v>
      </c>
      <c r="P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/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/>
      <c r="AM87" s="44">
        <v>0.05</v>
      </c>
      <c r="AN87" s="44">
        <v>0.05</v>
      </c>
      <c r="AO87" s="44">
        <v>0.05</v>
      </c>
      <c r="AP87" s="44">
        <v>0.05</v>
      </c>
      <c r="AQ87"/>
      <c r="AR87" s="44">
        <v>0.05</v>
      </c>
      <c r="AS87"/>
      <c r="AT87"/>
      <c r="AU87" s="44">
        <v>0.05</v>
      </c>
    </row>
    <row r="88" spans="1:47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L88" s="44">
        <v>6.0000000000000002E-6</v>
      </c>
      <c r="M88" s="44"/>
      <c r="N88" s="44">
        <v>6.0000000000000002E-6</v>
      </c>
      <c r="O88" s="44">
        <v>6.0000000000000002E-6</v>
      </c>
      <c r="P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/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/>
      <c r="AM88" s="44">
        <v>6.0000000000000002E-6</v>
      </c>
      <c r="AN88" s="44">
        <v>6.0000000000000002E-6</v>
      </c>
      <c r="AO88" s="44">
        <v>6.0000000000000002E-6</v>
      </c>
      <c r="AP88" s="44">
        <v>6.0000000000000002E-6</v>
      </c>
      <c r="AQ88"/>
      <c r="AR88" s="44">
        <v>6.0000000000000002E-6</v>
      </c>
      <c r="AS88"/>
      <c r="AT88"/>
      <c r="AU88" s="44">
        <v>6.0000000000000002E-6</v>
      </c>
    </row>
    <row r="89" spans="1:47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L89" s="44">
        <v>1E-3</v>
      </c>
      <c r="M89" s="44"/>
      <c r="N89" s="44">
        <v>1E-3</v>
      </c>
      <c r="O89" s="44">
        <v>1E-3</v>
      </c>
      <c r="P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/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/>
      <c r="AM89" s="44">
        <v>1E-3</v>
      </c>
      <c r="AN89" s="44">
        <v>1E-3</v>
      </c>
      <c r="AO89" s="44">
        <v>1E-3</v>
      </c>
      <c r="AP89" s="44">
        <v>1E-3</v>
      </c>
      <c r="AQ89"/>
      <c r="AR89" s="44">
        <v>1E-3</v>
      </c>
      <c r="AS89"/>
      <c r="AT89"/>
      <c r="AU89" s="44">
        <v>1E-3</v>
      </c>
    </row>
    <row r="90" spans="1:47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L90" s="44">
        <v>374999999.99999994</v>
      </c>
      <c r="M90" s="44"/>
      <c r="N90" s="44">
        <v>374999999.99999994</v>
      </c>
      <c r="O90" s="44">
        <v>374999999.99999994</v>
      </c>
      <c r="P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/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/>
      <c r="AM90" s="44">
        <v>374999999.99999994</v>
      </c>
      <c r="AN90" s="44">
        <v>374999999.99999994</v>
      </c>
      <c r="AO90" s="44">
        <v>374999999.99999994</v>
      </c>
      <c r="AP90" s="44">
        <v>374999999.99999994</v>
      </c>
      <c r="AQ90"/>
      <c r="AR90" s="44">
        <v>374999999.99999994</v>
      </c>
      <c r="AS90"/>
      <c r="AT90"/>
      <c r="AU90" s="44">
        <v>374999999.99999994</v>
      </c>
    </row>
    <row r="91" spans="1:47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L91" s="44">
        <v>3.7037037037037038E-3</v>
      </c>
      <c r="M91" s="44"/>
      <c r="N91" s="44">
        <v>3.7037037037037038E-3</v>
      </c>
      <c r="O91" s="44">
        <v>3.7037037037037038E-3</v>
      </c>
      <c r="P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/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/>
      <c r="AM91" s="44">
        <v>3.7037037037037038E-3</v>
      </c>
      <c r="AN91" s="44">
        <v>3.7037037037037038E-3</v>
      </c>
      <c r="AO91" s="44">
        <v>3.7037037037037038E-3</v>
      </c>
      <c r="AP91" s="44">
        <v>3.7037037037037038E-3</v>
      </c>
      <c r="AQ91"/>
      <c r="AR91" s="44">
        <v>3.7037037037037038E-3</v>
      </c>
      <c r="AS91"/>
      <c r="AT91"/>
      <c r="AU91" s="44">
        <v>3.7037037037037038E-3</v>
      </c>
    </row>
    <row r="92" spans="1:47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L92" s="44">
        <v>165600</v>
      </c>
      <c r="M92" s="44"/>
      <c r="N92" s="44">
        <v>165600</v>
      </c>
      <c r="O92" s="44">
        <v>165600</v>
      </c>
      <c r="P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/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/>
      <c r="AM92" s="44">
        <v>165600</v>
      </c>
      <c r="AN92" s="44">
        <v>165600</v>
      </c>
      <c r="AO92" s="44">
        <v>165600</v>
      </c>
      <c r="AP92" s="44">
        <v>165600</v>
      </c>
      <c r="AQ92"/>
      <c r="AR92" s="44">
        <v>165600</v>
      </c>
      <c r="AS92"/>
      <c r="AT92"/>
      <c r="AU92" s="44">
        <v>165600</v>
      </c>
    </row>
    <row r="93" spans="1:47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L93" s="44">
        <v>20</v>
      </c>
      <c r="M93" s="44"/>
      <c r="N93" s="44">
        <v>20</v>
      </c>
      <c r="O93" s="44">
        <v>20</v>
      </c>
      <c r="P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/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/>
      <c r="AM93" s="44">
        <v>20</v>
      </c>
      <c r="AN93" s="44">
        <v>20</v>
      </c>
      <c r="AO93" s="44">
        <v>20</v>
      </c>
      <c r="AP93" s="44">
        <v>20</v>
      </c>
      <c r="AQ93"/>
      <c r="AR93" s="44">
        <v>20</v>
      </c>
      <c r="AS93"/>
      <c r="AT93"/>
      <c r="AU93" s="44">
        <v>20</v>
      </c>
    </row>
    <row r="94" spans="1:47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L94" s="44">
        <v>1</v>
      </c>
      <c r="M94" s="44"/>
      <c r="N94" s="44">
        <v>1</v>
      </c>
      <c r="O94" s="44">
        <v>1</v>
      </c>
      <c r="P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/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/>
      <c r="AM94" s="44">
        <v>1</v>
      </c>
      <c r="AN94" s="44">
        <v>1</v>
      </c>
      <c r="AO94" s="44">
        <v>1</v>
      </c>
      <c r="AP94" s="44">
        <v>1</v>
      </c>
      <c r="AQ94"/>
      <c r="AR94" s="44">
        <v>1</v>
      </c>
      <c r="AS94"/>
      <c r="AT94"/>
      <c r="AU94" s="44">
        <v>1</v>
      </c>
    </row>
    <row r="95" spans="1:47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L95" s="44">
        <v>21</v>
      </c>
      <c r="M95" s="44"/>
      <c r="N95" s="44">
        <v>21</v>
      </c>
      <c r="O95" s="44">
        <v>21</v>
      </c>
      <c r="P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/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/>
      <c r="AM95" s="44">
        <v>21</v>
      </c>
      <c r="AN95" s="44">
        <v>21</v>
      </c>
      <c r="AO95" s="44">
        <v>21</v>
      </c>
      <c r="AP95" s="44">
        <v>21</v>
      </c>
      <c r="AQ95"/>
      <c r="AR95" s="44">
        <v>21</v>
      </c>
      <c r="AS95"/>
      <c r="AT95"/>
      <c r="AU95" s="44">
        <v>21</v>
      </c>
    </row>
    <row r="96" spans="1:47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L96" s="44">
        <v>0.64</v>
      </c>
      <c r="M96" s="44"/>
      <c r="N96" s="44">
        <v>0.64</v>
      </c>
      <c r="O96" s="44">
        <v>0.64</v>
      </c>
      <c r="P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/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/>
      <c r="AM96" s="44">
        <v>0.64</v>
      </c>
      <c r="AN96" s="44">
        <v>0.64</v>
      </c>
      <c r="AO96" s="44">
        <v>0.64</v>
      </c>
      <c r="AP96" s="44">
        <v>0.64</v>
      </c>
      <c r="AQ96"/>
      <c r="AR96" s="44">
        <v>0.64</v>
      </c>
      <c r="AS96"/>
      <c r="AT96"/>
      <c r="AU96" s="44">
        <v>0.64</v>
      </c>
    </row>
    <row r="97" spans="1:47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L97" s="44">
        <v>8</v>
      </c>
      <c r="M97" s="44"/>
      <c r="N97" s="44">
        <v>8</v>
      </c>
      <c r="O97" s="44">
        <v>8</v>
      </c>
      <c r="P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/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/>
      <c r="AM97" s="44">
        <v>8</v>
      </c>
      <c r="AN97" s="44">
        <v>8</v>
      </c>
      <c r="AO97" s="44">
        <v>8</v>
      </c>
      <c r="AP97" s="44">
        <v>8</v>
      </c>
      <c r="AQ97"/>
      <c r="AR97" s="44">
        <v>8</v>
      </c>
      <c r="AS97"/>
      <c r="AT97"/>
      <c r="AU97" s="44">
        <v>8</v>
      </c>
    </row>
    <row r="98" spans="1:47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L98" s="44">
        <v>10</v>
      </c>
      <c r="M98" s="44"/>
      <c r="N98" s="44">
        <v>10</v>
      </c>
      <c r="O98" s="44">
        <v>10</v>
      </c>
      <c r="P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/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/>
      <c r="AM98" s="44">
        <v>10</v>
      </c>
      <c r="AN98" s="44">
        <v>10</v>
      </c>
      <c r="AO98" s="44">
        <v>10</v>
      </c>
      <c r="AP98" s="44">
        <v>10</v>
      </c>
      <c r="AQ98"/>
      <c r="AR98" s="44">
        <v>10</v>
      </c>
      <c r="AS98"/>
      <c r="AT98"/>
      <c r="AU98" s="44">
        <v>10</v>
      </c>
    </row>
    <row r="99" spans="1:47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L99" s="44">
        <v>8</v>
      </c>
      <c r="M99" s="44"/>
      <c r="N99" s="44">
        <v>8</v>
      </c>
      <c r="O99" s="44">
        <v>8</v>
      </c>
      <c r="P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/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/>
      <c r="AM99" s="44">
        <v>8</v>
      </c>
      <c r="AN99" s="44">
        <v>8</v>
      </c>
      <c r="AO99" s="44">
        <v>8</v>
      </c>
      <c r="AP99" s="44">
        <v>8</v>
      </c>
      <c r="AQ99"/>
      <c r="AR99" s="44">
        <v>8</v>
      </c>
      <c r="AS99"/>
      <c r="AT99"/>
      <c r="AU99" s="44">
        <v>8</v>
      </c>
    </row>
    <row r="100" spans="1:47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L100" s="44">
        <v>1</v>
      </c>
      <c r="M100" s="44"/>
      <c r="N100" s="44">
        <v>1</v>
      </c>
      <c r="O100" s="44">
        <v>1</v>
      </c>
      <c r="P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/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/>
      <c r="AM100" s="44">
        <v>1</v>
      </c>
      <c r="AN100" s="44">
        <v>1</v>
      </c>
      <c r="AO100" s="44">
        <v>1</v>
      </c>
      <c r="AP100" s="44">
        <v>1</v>
      </c>
      <c r="AQ100"/>
      <c r="AR100" s="44">
        <v>1</v>
      </c>
      <c r="AS100"/>
      <c r="AT100"/>
      <c r="AU100" s="44">
        <v>1</v>
      </c>
    </row>
    <row r="101" spans="1:47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L101" s="44">
        <v>0.5</v>
      </c>
      <c r="M101" s="44"/>
      <c r="N101" s="44">
        <v>0.5</v>
      </c>
      <c r="O101" s="44">
        <v>0.5</v>
      </c>
      <c r="P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/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/>
      <c r="AM101" s="44">
        <v>0.5</v>
      </c>
      <c r="AN101" s="44">
        <v>0.5</v>
      </c>
      <c r="AO101" s="44">
        <v>0.5</v>
      </c>
      <c r="AP101" s="44">
        <v>0.5</v>
      </c>
      <c r="AQ101"/>
      <c r="AR101" s="44">
        <v>0.5</v>
      </c>
      <c r="AS101"/>
      <c r="AT101"/>
      <c r="AU101" s="44">
        <v>0.5</v>
      </c>
    </row>
    <row r="102" spans="1:47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U102" si="1">10/0.1</f>
        <v>100</v>
      </c>
      <c r="L102" s="44">
        <f t="shared" si="1"/>
        <v>100</v>
      </c>
      <c r="M102" s="44"/>
      <c r="N102" s="44">
        <f t="shared" si="1"/>
        <v>100</v>
      </c>
      <c r="O102" s="44">
        <f t="shared" si="1"/>
        <v>100</v>
      </c>
      <c r="P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/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/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/>
      <c r="AR102" s="44">
        <f t="shared" si="1"/>
        <v>100</v>
      </c>
      <c r="AS102"/>
      <c r="AT102"/>
      <c r="AU102" s="44">
        <f t="shared" si="1"/>
        <v>100</v>
      </c>
    </row>
    <row r="103" spans="1:47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U103" si="2">150/0.1</f>
        <v>1500</v>
      </c>
      <c r="L103" s="44">
        <f t="shared" si="2"/>
        <v>1500</v>
      </c>
      <c r="M103" s="44"/>
      <c r="N103" s="44">
        <f t="shared" si="2"/>
        <v>1500</v>
      </c>
      <c r="O103" s="44">
        <f t="shared" si="2"/>
        <v>1500</v>
      </c>
      <c r="P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/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/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/>
      <c r="AR103" s="44">
        <f t="shared" si="2"/>
        <v>1500</v>
      </c>
      <c r="AS103"/>
      <c r="AT103"/>
      <c r="AU103" s="44">
        <f t="shared" si="2"/>
        <v>1500</v>
      </c>
    </row>
    <row r="104" spans="1:47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U104" si="4">20/0.1</f>
        <v>200</v>
      </c>
      <c r="L104" s="44">
        <f t="shared" si="4"/>
        <v>200</v>
      </c>
      <c r="M104" s="44"/>
      <c r="N104" s="44">
        <f t="shared" si="4"/>
        <v>200</v>
      </c>
      <c r="O104" s="44">
        <f t="shared" si="4"/>
        <v>200</v>
      </c>
      <c r="P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/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/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/>
      <c r="AR104" s="44">
        <f t="shared" si="4"/>
        <v>200</v>
      </c>
      <c r="AS104"/>
      <c r="AT104"/>
      <c r="AU104" s="44">
        <f t="shared" si="4"/>
        <v>200</v>
      </c>
    </row>
    <row r="105" spans="1:47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U105" si="5">400/0.1</f>
        <v>4000</v>
      </c>
      <c r="L105" s="44">
        <f t="shared" si="5"/>
        <v>4000</v>
      </c>
      <c r="M105" s="44"/>
      <c r="N105" s="44">
        <f t="shared" si="5"/>
        <v>4000</v>
      </c>
      <c r="O105" s="44">
        <f t="shared" si="5"/>
        <v>4000</v>
      </c>
      <c r="P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/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/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/>
      <c r="AR105" s="44">
        <f t="shared" si="5"/>
        <v>4000</v>
      </c>
      <c r="AS105"/>
      <c r="AT105"/>
      <c r="AU105" s="44">
        <f t="shared" si="5"/>
        <v>4000</v>
      </c>
    </row>
    <row r="106" spans="1:47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U106" si="6">10/0.1</f>
        <v>100</v>
      </c>
      <c r="L106" s="44">
        <f t="shared" si="6"/>
        <v>100</v>
      </c>
      <c r="M106" s="44"/>
      <c r="N106" s="44">
        <f t="shared" si="6"/>
        <v>100</v>
      </c>
      <c r="O106" s="44">
        <f t="shared" si="6"/>
        <v>100</v>
      </c>
      <c r="P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/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/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/>
      <c r="AR106" s="44">
        <f t="shared" si="6"/>
        <v>100</v>
      </c>
      <c r="AS106"/>
      <c r="AT106"/>
      <c r="AU106" s="44">
        <f t="shared" si="6"/>
        <v>100</v>
      </c>
    </row>
    <row r="107" spans="1:47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U107" si="7">150/0.1</f>
        <v>1500</v>
      </c>
      <c r="L107" s="44">
        <f t="shared" si="7"/>
        <v>1500</v>
      </c>
      <c r="M107" s="44"/>
      <c r="N107" s="44">
        <f t="shared" si="7"/>
        <v>1500</v>
      </c>
      <c r="O107" s="44">
        <f t="shared" si="7"/>
        <v>1500</v>
      </c>
      <c r="P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/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/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/>
      <c r="AR107" s="44">
        <f t="shared" si="7"/>
        <v>1500</v>
      </c>
      <c r="AS107"/>
      <c r="AT107"/>
      <c r="AU107" s="44">
        <f t="shared" si="7"/>
        <v>1500</v>
      </c>
    </row>
    <row r="108" spans="1:47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U108" si="8">20/0.1</f>
        <v>200</v>
      </c>
      <c r="L108" s="44">
        <f t="shared" si="8"/>
        <v>200</v>
      </c>
      <c r="M108" s="44"/>
      <c r="N108" s="44">
        <f t="shared" si="8"/>
        <v>200</v>
      </c>
      <c r="O108" s="44">
        <f t="shared" si="8"/>
        <v>200</v>
      </c>
      <c r="P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/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/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/>
      <c r="AR108" s="44">
        <f t="shared" si="8"/>
        <v>200</v>
      </c>
      <c r="AS108"/>
      <c r="AT108"/>
      <c r="AU108" s="44">
        <f t="shared" si="8"/>
        <v>200</v>
      </c>
    </row>
    <row r="109" spans="1:47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U109" si="9">400/0.1</f>
        <v>4000</v>
      </c>
      <c r="L109" s="44">
        <f t="shared" si="9"/>
        <v>4000</v>
      </c>
      <c r="M109" s="44"/>
      <c r="N109" s="44">
        <f t="shared" si="9"/>
        <v>4000</v>
      </c>
      <c r="O109" s="44">
        <f t="shared" si="9"/>
        <v>4000</v>
      </c>
      <c r="P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/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/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/>
      <c r="AR109" s="44">
        <f t="shared" si="9"/>
        <v>4000</v>
      </c>
      <c r="AS109"/>
      <c r="AT109"/>
      <c r="AU109" s="44">
        <f t="shared" si="9"/>
        <v>4000</v>
      </c>
    </row>
    <row r="110" spans="1:47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L110" s="44">
        <v>100</v>
      </c>
      <c r="M110" s="44"/>
      <c r="N110" s="44">
        <v>100</v>
      </c>
      <c r="O110" s="44">
        <v>100</v>
      </c>
      <c r="P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/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/>
      <c r="AM110" s="44">
        <v>100</v>
      </c>
      <c r="AN110" s="44">
        <v>100</v>
      </c>
      <c r="AO110" s="44">
        <v>100</v>
      </c>
      <c r="AP110" s="44">
        <v>100</v>
      </c>
      <c r="AQ110"/>
      <c r="AR110" s="44">
        <v>100</v>
      </c>
      <c r="AS110"/>
      <c r="AT110"/>
      <c r="AU110" s="44">
        <v>100</v>
      </c>
    </row>
    <row r="111" spans="1:47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L111" s="44">
        <v>280800</v>
      </c>
      <c r="M111" s="44"/>
      <c r="N111" s="44">
        <v>280800</v>
      </c>
      <c r="O111" s="44">
        <v>280800</v>
      </c>
      <c r="P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/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/>
      <c r="AM111" s="44">
        <v>280800</v>
      </c>
      <c r="AN111" s="44">
        <v>280800</v>
      </c>
      <c r="AO111" s="44">
        <v>280800</v>
      </c>
      <c r="AP111" s="44">
        <v>280800</v>
      </c>
      <c r="AQ111"/>
      <c r="AR111" s="44">
        <v>280800</v>
      </c>
      <c r="AS111"/>
      <c r="AT111"/>
      <c r="AU111" s="44">
        <v>280800</v>
      </c>
    </row>
    <row r="112" spans="1:47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U112" si="10">1.11 / 10</f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O112" s="44">
        <f t="shared" si="10"/>
        <v>0.11100000000000002</v>
      </c>
      <c r="P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/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/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/>
      <c r="AR112" s="44">
        <f t="shared" si="10"/>
        <v>0.11100000000000002</v>
      </c>
      <c r="AS112"/>
      <c r="AT112"/>
      <c r="AU112" s="44">
        <f t="shared" si="10"/>
        <v>0.11100000000000002</v>
      </c>
    </row>
    <row r="113" spans="1:47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L113" s="44">
        <v>100</v>
      </c>
      <c r="M113" s="44"/>
      <c r="N113" s="44">
        <v>100</v>
      </c>
      <c r="O113" s="44">
        <v>100</v>
      </c>
      <c r="P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/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/>
      <c r="AM113" s="44">
        <v>100</v>
      </c>
      <c r="AN113" s="44">
        <v>100</v>
      </c>
      <c r="AO113" s="44">
        <v>100</v>
      </c>
      <c r="AP113" s="44">
        <v>100</v>
      </c>
      <c r="AQ113"/>
      <c r="AR113" s="44">
        <v>100</v>
      </c>
      <c r="AS113"/>
      <c r="AT113"/>
      <c r="AU113" s="44">
        <v>100</v>
      </c>
    </row>
    <row r="114" spans="1:47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L114" s="44">
        <v>459648</v>
      </c>
      <c r="M114" s="44"/>
      <c r="N114" s="44">
        <v>459648</v>
      </c>
      <c r="O114" s="44">
        <v>459648</v>
      </c>
      <c r="P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/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/>
      <c r="AM114" s="44">
        <v>459648</v>
      </c>
      <c r="AN114" s="44">
        <v>459648</v>
      </c>
      <c r="AO114" s="44">
        <v>459648</v>
      </c>
      <c r="AP114" s="44">
        <v>459648</v>
      </c>
      <c r="AQ114"/>
      <c r="AR114" s="44">
        <v>459648</v>
      </c>
      <c r="AS114"/>
      <c r="AT114"/>
      <c r="AU114" s="44">
        <v>459648</v>
      </c>
    </row>
    <row r="115" spans="1:47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U115" si="11">1.11/8</f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O115" s="44">
        <f t="shared" si="11"/>
        <v>0.13875000000000001</v>
      </c>
      <c r="P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/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/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/>
      <c r="AR115" s="44">
        <f t="shared" si="11"/>
        <v>0.13875000000000001</v>
      </c>
      <c r="AS115"/>
      <c r="AT115"/>
      <c r="AU115" s="44">
        <f t="shared" si="11"/>
        <v>0.13875000000000001</v>
      </c>
    </row>
    <row r="116" spans="1:47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L116" s="44">
        <v>21600</v>
      </c>
      <c r="M116" s="44"/>
      <c r="N116" s="44">
        <v>21600</v>
      </c>
      <c r="O116" s="44">
        <v>21600</v>
      </c>
      <c r="P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/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/>
      <c r="AM116" s="44">
        <v>21600</v>
      </c>
      <c r="AN116" s="44">
        <v>21600</v>
      </c>
      <c r="AO116" s="44">
        <v>21600</v>
      </c>
      <c r="AP116" s="44">
        <v>21600</v>
      </c>
      <c r="AQ116"/>
      <c r="AR116" s="44">
        <v>21600</v>
      </c>
      <c r="AS116"/>
      <c r="AT116"/>
      <c r="AU116" s="44">
        <v>21600</v>
      </c>
    </row>
    <row r="117" spans="1:47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L117" s="44">
        <v>43200</v>
      </c>
      <c r="M117" s="44"/>
      <c r="N117" s="44">
        <v>43200</v>
      </c>
      <c r="O117" s="44">
        <v>43200</v>
      </c>
      <c r="P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/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/>
      <c r="AM117" s="44">
        <v>43200</v>
      </c>
      <c r="AN117" s="44">
        <v>43200</v>
      </c>
      <c r="AO117" s="44">
        <v>43200</v>
      </c>
      <c r="AP117" s="44">
        <v>43200</v>
      </c>
      <c r="AQ117"/>
      <c r="AR117" s="44">
        <v>43200</v>
      </c>
      <c r="AS117"/>
      <c r="AT117"/>
      <c r="AU117" s="44">
        <v>43200</v>
      </c>
    </row>
    <row r="118" spans="1:47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L118" s="44">
        <v>0.8</v>
      </c>
      <c r="M118" s="44"/>
      <c r="N118" s="44">
        <v>0.8</v>
      </c>
      <c r="O118" s="44">
        <v>0.8</v>
      </c>
      <c r="P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/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/>
      <c r="AM118" s="44">
        <v>0.8</v>
      </c>
      <c r="AN118" s="44">
        <v>0.8</v>
      </c>
      <c r="AO118" s="44">
        <v>0.8</v>
      </c>
      <c r="AP118" s="44">
        <v>0.8</v>
      </c>
      <c r="AQ118"/>
      <c r="AR118" s="44">
        <v>0.8</v>
      </c>
      <c r="AS118"/>
      <c r="AT118"/>
      <c r="AU118" s="44">
        <v>0.8</v>
      </c>
    </row>
    <row r="119" spans="1:47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1" t="s">
        <v>600</v>
      </c>
      <c r="L119" s="44">
        <f>0.000208333333333333 / 2</f>
        <v>1.041666666666665E-4</v>
      </c>
      <c r="M119" s="44"/>
      <c r="N119" s="44">
        <v>2.0833333333333335E-4</v>
      </c>
      <c r="O119" s="44">
        <v>2.0833333333333335E-4</v>
      </c>
      <c r="P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/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/>
      <c r="AM119" s="44">
        <v>2.0833333333333335E-4</v>
      </c>
      <c r="AN119" s="44">
        <v>2.0833333333333335E-4</v>
      </c>
      <c r="AO119" s="44">
        <v>2.0833333333333335E-4</v>
      </c>
      <c r="AP119" s="44">
        <v>2.0833333333333335E-4</v>
      </c>
      <c r="AQ119"/>
      <c r="AR119" s="44">
        <v>2.0833333333333335E-4</v>
      </c>
      <c r="AS119"/>
      <c r="AT119"/>
      <c r="AU119" s="44">
        <v>2.0833333333333335E-4</v>
      </c>
    </row>
    <row r="120" spans="1:47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L120" s="44">
        <v>5.7899999999999998E-7</v>
      </c>
      <c r="M120" s="44"/>
      <c r="N120" s="44">
        <v>5.7899999999999998E-7</v>
      </c>
      <c r="O120" s="44">
        <v>5.7899999999999998E-7</v>
      </c>
      <c r="P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/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/>
      <c r="AM120" s="44">
        <v>5.7899999999999998E-7</v>
      </c>
      <c r="AN120" s="44">
        <v>5.7899999999999998E-7</v>
      </c>
      <c r="AO120" s="44">
        <v>5.7899999999999998E-7</v>
      </c>
      <c r="AP120" s="44">
        <v>5.7899999999999998E-7</v>
      </c>
      <c r="AQ120"/>
      <c r="AR120" s="44">
        <v>5.7899999999999998E-7</v>
      </c>
      <c r="AS120"/>
      <c r="AT120"/>
      <c r="AU120" s="44">
        <v>5.7899999999999998E-7</v>
      </c>
    </row>
    <row r="121" spans="1:47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L121" s="44">
        <v>2.0833333333333335E-4</v>
      </c>
      <c r="M121" s="44"/>
      <c r="N121" s="44">
        <v>2.0833333333333335E-4</v>
      </c>
      <c r="O121" s="44">
        <v>2.0833333333333335E-4</v>
      </c>
      <c r="P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/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/>
      <c r="AM121" s="44">
        <v>2.0833333333333335E-4</v>
      </c>
      <c r="AN121" s="44">
        <v>2.0833333333333335E-4</v>
      </c>
      <c r="AO121" s="44">
        <v>2.0833333333333335E-4</v>
      </c>
      <c r="AP121" s="44">
        <v>2.0833333333333335E-4</v>
      </c>
      <c r="AQ121"/>
      <c r="AR121" s="44">
        <v>2.0833333333333335E-4</v>
      </c>
      <c r="AS121"/>
      <c r="AT121"/>
      <c r="AU121" s="44">
        <v>2.0833333333333335E-4</v>
      </c>
    </row>
    <row r="122" spans="1:47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L122" s="44">
        <v>0</v>
      </c>
      <c r="M122" s="44"/>
      <c r="N122" s="44">
        <v>0</v>
      </c>
      <c r="O122" s="44">
        <v>0</v>
      </c>
      <c r="P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/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/>
      <c r="AR122" s="44">
        <v>0</v>
      </c>
      <c r="AS122"/>
      <c r="AT122"/>
      <c r="AU122" s="44">
        <v>0</v>
      </c>
    </row>
    <row r="123" spans="1:47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L123" s="44">
        <v>0</v>
      </c>
      <c r="M123" s="44"/>
      <c r="N123" s="44">
        <v>0</v>
      </c>
      <c r="O123" s="44">
        <v>0</v>
      </c>
      <c r="P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/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/>
      <c r="AM123" s="44">
        <v>0</v>
      </c>
      <c r="AN123" s="44">
        <v>0</v>
      </c>
      <c r="AO123" s="44">
        <v>0</v>
      </c>
      <c r="AP123" s="44">
        <v>0</v>
      </c>
      <c r="AQ123"/>
      <c r="AR123" s="44">
        <v>0</v>
      </c>
      <c r="AS123"/>
      <c r="AT123"/>
      <c r="AU123" s="44">
        <v>0</v>
      </c>
    </row>
    <row r="124" spans="1:47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L124" s="44">
        <v>0</v>
      </c>
      <c r="M124" s="44"/>
      <c r="N124" s="44">
        <v>5.9999999999999997E-7</v>
      </c>
      <c r="O124" s="44">
        <v>5.9999999999999997E-7</v>
      </c>
      <c r="P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/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/>
      <c r="AM124" s="44">
        <v>5.9999999999999997E-7</v>
      </c>
      <c r="AN124" s="44">
        <v>5.9999999999999997E-7</v>
      </c>
      <c r="AO124" s="44">
        <v>5.9999999999999997E-7</v>
      </c>
      <c r="AP124" s="44">
        <v>5.9999999999999997E-7</v>
      </c>
      <c r="AQ124"/>
      <c r="AR124" s="44">
        <v>5.9999999999999997E-7</v>
      </c>
      <c r="AS124"/>
      <c r="AT124"/>
      <c r="AU124" s="44">
        <v>9.9999999999999995E-8</v>
      </c>
    </row>
    <row r="125" spans="1:47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U125" si="12">1000 * 0.000001 / 12</f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O125" s="44">
        <f t="shared" si="12"/>
        <v>8.3333333333333331E-5</v>
      </c>
      <c r="P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/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/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/>
      <c r="AR125" s="44">
        <f t="shared" si="12"/>
        <v>8.3333333333333331E-5</v>
      </c>
      <c r="AS125"/>
      <c r="AT125"/>
      <c r="AU125" s="44">
        <f t="shared" si="12"/>
        <v>8.3333333333333331E-5</v>
      </c>
    </row>
    <row r="126" spans="1:47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L126" s="44" t="s">
        <v>86</v>
      </c>
      <c r="M126" s="44"/>
      <c r="N126" s="44" t="s">
        <v>86</v>
      </c>
      <c r="O126" s="44" t="s">
        <v>86</v>
      </c>
      <c r="P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/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/>
      <c r="AM126" s="44" t="s">
        <v>86</v>
      </c>
      <c r="AN126" s="44" t="s">
        <v>86</v>
      </c>
      <c r="AO126" s="44" t="s">
        <v>86</v>
      </c>
      <c r="AP126" s="44" t="s">
        <v>86</v>
      </c>
      <c r="AQ126"/>
      <c r="AR126" s="44" t="s">
        <v>86</v>
      </c>
      <c r="AS126"/>
      <c r="AT126"/>
      <c r="AU126" s="44" t="s">
        <v>86</v>
      </c>
    </row>
    <row r="127" spans="1:47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L127" s="44">
        <v>5.0000000000000001E-4</v>
      </c>
      <c r="M127" s="44"/>
      <c r="N127" s="44">
        <v>5.0000000000000001E-4</v>
      </c>
      <c r="O127" s="44">
        <v>5.0000000000000001E-4</v>
      </c>
      <c r="P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/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/>
      <c r="AM127" s="44">
        <v>5.0000000000000001E-4</v>
      </c>
      <c r="AN127" s="44">
        <v>5.0000000000000001E-4</v>
      </c>
      <c r="AO127" s="44">
        <v>5.0000000000000001E-4</v>
      </c>
      <c r="AP127" s="44">
        <v>5.0000000000000001E-4</v>
      </c>
      <c r="AQ127"/>
      <c r="AR127" s="44">
        <v>5.0000000000000001E-4</v>
      </c>
      <c r="AS127"/>
      <c r="AT127"/>
      <c r="AU127" s="44">
        <v>5.0000000000000001E-4</v>
      </c>
    </row>
    <row r="128" spans="1:47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1" t="s">
        <v>601</v>
      </c>
      <c r="L128" s="44">
        <f>0.00000000000003/2/2/2</f>
        <v>3.7499999999999998E-15</v>
      </c>
      <c r="M128" s="44"/>
      <c r="N128" s="44">
        <v>4.9999999999999999E-13</v>
      </c>
      <c r="O128" s="44">
        <v>4.9999999999999999E-13</v>
      </c>
      <c r="P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/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/>
      <c r="AM128" s="44">
        <v>4.9999999999999999E-13</v>
      </c>
      <c r="AN128" s="44">
        <v>4.9999999999999999E-13</v>
      </c>
      <c r="AO128" s="44">
        <v>4.9999999999999999E-13</v>
      </c>
      <c r="AP128" s="44">
        <v>4.9999999999999999E-13</v>
      </c>
      <c r="AQ128"/>
      <c r="AR128" s="44">
        <v>4.9999999999999999E-13</v>
      </c>
      <c r="AS128"/>
      <c r="AT128"/>
      <c r="AU128" s="44">
        <v>4.9999999999999999E-13</v>
      </c>
    </row>
    <row r="129" spans="1:47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58"/>
      <c r="J129" s="44">
        <v>10</v>
      </c>
      <c r="L129" s="44">
        <v>10</v>
      </c>
      <c r="M129" s="44"/>
      <c r="N129" s="44">
        <v>10</v>
      </c>
      <c r="O129" s="44">
        <v>10</v>
      </c>
      <c r="P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 s="44">
        <v>10</v>
      </c>
      <c r="AD129"/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 s="44">
        <v>10</v>
      </c>
      <c r="AL129"/>
      <c r="AM129" s="44">
        <v>10</v>
      </c>
      <c r="AN129" s="44">
        <v>10</v>
      </c>
      <c r="AO129" s="44">
        <v>10</v>
      </c>
      <c r="AP129" s="44">
        <v>10</v>
      </c>
      <c r="AQ129"/>
      <c r="AR129" s="44">
        <v>10</v>
      </c>
      <c r="AS129"/>
      <c r="AT129"/>
      <c r="AU129" s="44">
        <v>10</v>
      </c>
    </row>
    <row r="130" spans="1:47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58"/>
      <c r="J130" s="44">
        <v>-0.04</v>
      </c>
      <c r="L130" s="44">
        <v>-0.04</v>
      </c>
      <c r="M130" s="44"/>
      <c r="N130" s="44">
        <v>-0.04</v>
      </c>
      <c r="O130" s="44">
        <v>-0.04</v>
      </c>
      <c r="P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 s="44">
        <v>-0.04</v>
      </c>
      <c r="AD130"/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 s="44">
        <v>-0.04</v>
      </c>
      <c r="AL130"/>
      <c r="AM130" s="44">
        <v>-0.04</v>
      </c>
      <c r="AN130" s="44">
        <v>-0.04</v>
      </c>
      <c r="AO130" s="44">
        <v>-0.04</v>
      </c>
      <c r="AP130" s="44">
        <v>-0.04</v>
      </c>
      <c r="AQ130"/>
      <c r="AR130" s="44">
        <v>-0.04</v>
      </c>
      <c r="AS130"/>
      <c r="AT130"/>
      <c r="AU130" s="44">
        <v>-0.04</v>
      </c>
    </row>
    <row r="131" spans="1:47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58"/>
      <c r="J131" s="44">
        <v>2.9</v>
      </c>
      <c r="L131" s="44">
        <v>2.9</v>
      </c>
      <c r="M131" s="44"/>
      <c r="N131" s="44">
        <v>2.9</v>
      </c>
      <c r="O131" s="44">
        <v>2.9</v>
      </c>
      <c r="P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 s="44">
        <v>2.9</v>
      </c>
      <c r="AD131"/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 s="44">
        <v>2.9</v>
      </c>
      <c r="AL131"/>
      <c r="AM131" s="44">
        <v>2.9</v>
      </c>
      <c r="AN131" s="44">
        <v>2.9</v>
      </c>
      <c r="AO131" s="44">
        <v>2.9</v>
      </c>
      <c r="AP131" s="44">
        <v>2.9</v>
      </c>
      <c r="AQ131"/>
      <c r="AR131" s="44">
        <v>2.9</v>
      </c>
      <c r="AS131"/>
      <c r="AT131"/>
      <c r="AU131" s="44">
        <v>2.9</v>
      </c>
    </row>
    <row r="132" spans="1:47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58"/>
      <c r="J132" s="44">
        <v>1</v>
      </c>
      <c r="L132" s="44">
        <v>1</v>
      </c>
      <c r="M132" s="44"/>
      <c r="N132" s="44">
        <v>1</v>
      </c>
      <c r="O132" s="44">
        <v>1</v>
      </c>
      <c r="P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 s="44">
        <v>1</v>
      </c>
      <c r="AD132"/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 s="44">
        <v>1</v>
      </c>
      <c r="AL132"/>
      <c r="AM132" s="44">
        <v>1</v>
      </c>
      <c r="AN132" s="44">
        <v>1</v>
      </c>
      <c r="AO132" s="44">
        <v>1</v>
      </c>
      <c r="AP132" s="44">
        <v>1</v>
      </c>
      <c r="AQ132"/>
      <c r="AR132" s="44">
        <v>1</v>
      </c>
      <c r="AS132"/>
      <c r="AT132"/>
      <c r="AU132" s="44">
        <v>1</v>
      </c>
    </row>
    <row r="133" spans="1:47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58"/>
      <c r="J133" s="44">
        <v>1.9999999999999999E-7</v>
      </c>
      <c r="L133" s="44">
        <v>1.9999999999999999E-7</v>
      </c>
      <c r="M133" s="44"/>
      <c r="N133" s="44">
        <v>1.9999999999999999E-7</v>
      </c>
      <c r="O133" s="44">
        <v>1.9999999999999999E-7</v>
      </c>
      <c r="P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/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/>
      <c r="AR133" s="44">
        <v>1.9999999999999999E-7</v>
      </c>
      <c r="AS133"/>
      <c r="AT133"/>
      <c r="AU133" s="44">
        <v>1.9999999999999999E-7</v>
      </c>
    </row>
    <row r="134" spans="1:47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60"/>
      <c r="J134" s="55">
        <v>0</v>
      </c>
      <c r="L134" s="55">
        <v>0</v>
      </c>
      <c r="M134" s="55"/>
      <c r="N134" s="44">
        <v>1.9999999999999999E-7</v>
      </c>
      <c r="O134" s="44">
        <v>1.9999999999999999E-7</v>
      </c>
      <c r="P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/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/>
      <c r="AM134" s="44">
        <v>1.9999999999999999E-7</v>
      </c>
      <c r="AN134" s="44">
        <v>1.9999999999999999E-7</v>
      </c>
      <c r="AO134" s="44">
        <v>1.9999999999999999E-7</v>
      </c>
      <c r="AP134" s="44">
        <v>1.9999999999999999E-7</v>
      </c>
      <c r="AQ134"/>
      <c r="AR134" s="44">
        <v>1.9999999999999999E-7</v>
      </c>
      <c r="AS134"/>
      <c r="AT134"/>
      <c r="AU134" s="44">
        <v>1.9999999999999999E-7</v>
      </c>
    </row>
    <row r="135" spans="1:47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58"/>
      <c r="J135" s="44">
        <v>10</v>
      </c>
      <c r="L135" s="44">
        <v>10</v>
      </c>
      <c r="M135" s="44"/>
      <c r="N135" s="44">
        <v>10</v>
      </c>
      <c r="O135" s="44">
        <v>10</v>
      </c>
      <c r="P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 s="44">
        <v>10</v>
      </c>
      <c r="AD135"/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 s="44">
        <v>10</v>
      </c>
      <c r="AL135"/>
      <c r="AM135" s="44">
        <v>10</v>
      </c>
      <c r="AN135" s="44">
        <v>10</v>
      </c>
      <c r="AO135" s="44">
        <v>10</v>
      </c>
      <c r="AP135" s="44">
        <v>10</v>
      </c>
      <c r="AQ135"/>
      <c r="AR135" s="44">
        <v>10</v>
      </c>
      <c r="AS135"/>
      <c r="AT135"/>
      <c r="AU135" s="44">
        <v>10</v>
      </c>
    </row>
    <row r="136" spans="1:47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58"/>
      <c r="J136" s="44">
        <v>-0.04</v>
      </c>
      <c r="L136" s="44">
        <v>-0.04</v>
      </c>
      <c r="M136" s="44"/>
      <c r="N136" s="44">
        <v>-0.04</v>
      </c>
      <c r="O136" s="44">
        <v>-0.04</v>
      </c>
      <c r="P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 s="44">
        <v>-0.04</v>
      </c>
      <c r="AD136"/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 s="44">
        <v>-0.04</v>
      </c>
      <c r="AL136"/>
      <c r="AM136" s="44">
        <v>-0.04</v>
      </c>
      <c r="AN136" s="44">
        <v>-0.04</v>
      </c>
      <c r="AO136" s="44">
        <v>-0.04</v>
      </c>
      <c r="AP136" s="44">
        <v>-0.04</v>
      </c>
      <c r="AQ136"/>
      <c r="AR136" s="44">
        <v>-0.04</v>
      </c>
      <c r="AS136"/>
      <c r="AT136"/>
      <c r="AU136" s="44">
        <v>-0.04</v>
      </c>
    </row>
    <row r="137" spans="1:47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58"/>
      <c r="J137" s="44">
        <v>2.9</v>
      </c>
      <c r="L137" s="44">
        <v>2.9</v>
      </c>
      <c r="M137" s="44"/>
      <c r="N137" s="44">
        <v>2.9</v>
      </c>
      <c r="O137" s="44">
        <v>2.9</v>
      </c>
      <c r="P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 s="44">
        <v>2.9</v>
      </c>
      <c r="AD137"/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 s="44">
        <v>2.9</v>
      </c>
      <c r="AL137"/>
      <c r="AM137" s="44">
        <v>2.9</v>
      </c>
      <c r="AN137" s="44">
        <v>2.9</v>
      </c>
      <c r="AO137" s="44">
        <v>2.9</v>
      </c>
      <c r="AP137" s="44">
        <v>2.9</v>
      </c>
      <c r="AQ137"/>
      <c r="AR137" s="44">
        <v>2.9</v>
      </c>
      <c r="AS137"/>
      <c r="AT137"/>
      <c r="AU137" s="44">
        <v>2.9</v>
      </c>
    </row>
    <row r="138" spans="1:47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58"/>
      <c r="J138" s="44">
        <v>1</v>
      </c>
      <c r="L138" s="44">
        <v>1</v>
      </c>
      <c r="M138" s="44"/>
      <c r="N138" s="44">
        <v>1</v>
      </c>
      <c r="O138" s="44">
        <v>1</v>
      </c>
      <c r="P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 s="44">
        <v>1</v>
      </c>
      <c r="AD138"/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 s="44">
        <v>1</v>
      </c>
      <c r="AL138"/>
      <c r="AM138" s="44">
        <v>1</v>
      </c>
      <c r="AN138" s="44">
        <v>1</v>
      </c>
      <c r="AO138" s="44">
        <v>1</v>
      </c>
      <c r="AP138" s="44">
        <v>1</v>
      </c>
      <c r="AQ138"/>
      <c r="AR138" s="44">
        <v>1</v>
      </c>
      <c r="AS138"/>
      <c r="AT138"/>
      <c r="AU138" s="44">
        <v>1</v>
      </c>
    </row>
    <row r="139" spans="1:47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58"/>
      <c r="J139" s="44">
        <v>0</v>
      </c>
      <c r="L139" s="44">
        <v>0</v>
      </c>
      <c r="M139" s="44"/>
      <c r="N139" s="44">
        <v>0</v>
      </c>
      <c r="O139" s="44">
        <v>0</v>
      </c>
      <c r="P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 s="44">
        <v>0</v>
      </c>
      <c r="AD139"/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 s="44">
        <v>0</v>
      </c>
      <c r="AL139"/>
      <c r="AM139" s="44">
        <v>0</v>
      </c>
      <c r="AN139" s="44">
        <v>0</v>
      </c>
      <c r="AO139" s="44">
        <v>0</v>
      </c>
      <c r="AP139" s="44">
        <v>0</v>
      </c>
      <c r="AQ139"/>
      <c r="AR139" s="44">
        <v>0</v>
      </c>
      <c r="AS139"/>
      <c r="AT139"/>
      <c r="AU139" s="44">
        <v>0</v>
      </c>
    </row>
    <row r="140" spans="1:47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58"/>
      <c r="J140" s="44">
        <v>5.0000000000000004E-6</v>
      </c>
      <c r="L140" s="44">
        <v>5.0000000000000004E-6</v>
      </c>
      <c r="M140" s="44"/>
      <c r="N140" s="44">
        <v>5.0000000000000004E-6</v>
      </c>
      <c r="O140" s="44">
        <v>5.0000000000000004E-6</v>
      </c>
      <c r="P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 s="44">
        <v>5.0000000000000004E-6</v>
      </c>
      <c r="AD140"/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 s="44">
        <v>5.0000000000000004E-6</v>
      </c>
      <c r="AL140"/>
      <c r="AM140" s="44">
        <v>5.0000000000000004E-6</v>
      </c>
      <c r="AN140" s="44">
        <v>5.0000000000000004E-6</v>
      </c>
      <c r="AO140" s="44">
        <v>5.0000000000000004E-6</v>
      </c>
      <c r="AP140" s="44">
        <v>5.0000000000000004E-6</v>
      </c>
      <c r="AQ140"/>
      <c r="AR140" s="44">
        <v>5.0000000000000004E-6</v>
      </c>
      <c r="AS140"/>
      <c r="AT140"/>
      <c r="AU140" s="44">
        <v>5.0000000000000004E-6</v>
      </c>
    </row>
    <row r="141" spans="1:47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58"/>
      <c r="J141" s="44">
        <v>0</v>
      </c>
      <c r="L141" s="44">
        <v>0</v>
      </c>
      <c r="M141" s="44"/>
      <c r="N141" s="44">
        <v>0</v>
      </c>
      <c r="O141" s="44">
        <v>0</v>
      </c>
      <c r="P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 s="44">
        <v>0</v>
      </c>
      <c r="AD141"/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 s="44">
        <v>0</v>
      </c>
      <c r="AL141"/>
      <c r="AM141" s="44">
        <v>0</v>
      </c>
      <c r="AN141" s="44">
        <v>0</v>
      </c>
      <c r="AO141" s="44">
        <v>0</v>
      </c>
      <c r="AP141" s="44">
        <v>0</v>
      </c>
      <c r="AQ141"/>
      <c r="AR141" s="44">
        <v>0</v>
      </c>
      <c r="AS141"/>
      <c r="AT141"/>
      <c r="AU141" s="44">
        <v>0</v>
      </c>
    </row>
    <row r="142" spans="1:47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58"/>
      <c r="J142" s="44">
        <v>2E-3</v>
      </c>
      <c r="L142" s="44">
        <v>2E-3</v>
      </c>
      <c r="M142" s="44"/>
      <c r="N142" s="44">
        <v>2E-3</v>
      </c>
      <c r="O142" s="44">
        <v>2E-3</v>
      </c>
      <c r="P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 s="44">
        <v>2E-3</v>
      </c>
      <c r="AD142"/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 s="44">
        <v>2E-3</v>
      </c>
      <c r="AL142"/>
      <c r="AM142" s="44">
        <v>2E-3</v>
      </c>
      <c r="AN142" s="44">
        <v>2E-3</v>
      </c>
      <c r="AO142" s="44">
        <v>2E-3</v>
      </c>
      <c r="AP142" s="44">
        <v>2E-3</v>
      </c>
      <c r="AQ142"/>
      <c r="AR142" s="44">
        <v>2E-3</v>
      </c>
      <c r="AS142"/>
      <c r="AT142"/>
      <c r="AU142" s="44">
        <v>2E-3</v>
      </c>
    </row>
    <row r="143" spans="1:47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58"/>
      <c r="J143" s="44">
        <v>3.9999999999999998E-6</v>
      </c>
      <c r="L143" s="44">
        <v>3.9999999999999998E-6</v>
      </c>
      <c r="M143" s="44"/>
      <c r="N143" s="44">
        <v>3.9999999999999998E-6</v>
      </c>
      <c r="O143" s="44">
        <v>3.9999999999999998E-6</v>
      </c>
      <c r="P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 s="44">
        <v>3.9999999999999998E-6</v>
      </c>
      <c r="AD143"/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 s="44">
        <v>3.9999999999999998E-6</v>
      </c>
      <c r="AL143"/>
      <c r="AM143" s="44">
        <v>3.9999999999999998E-6</v>
      </c>
      <c r="AN143" s="44">
        <v>3.9999999999999998E-6</v>
      </c>
      <c r="AO143" s="44">
        <v>3.9999999999999998E-6</v>
      </c>
      <c r="AP143" s="44">
        <v>3.9999999999999998E-6</v>
      </c>
      <c r="AQ143"/>
      <c r="AR143" s="44">
        <v>3.9999999999999998E-6</v>
      </c>
      <c r="AS143"/>
      <c r="AT143"/>
      <c r="AU143" s="44">
        <v>3.9999999999999998E-6</v>
      </c>
    </row>
    <row r="144" spans="1:47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58"/>
      <c r="J144" s="44">
        <v>3.7699999999999999E-10</v>
      </c>
      <c r="L144" s="44">
        <v>3.7699999999999999E-10</v>
      </c>
      <c r="M144" s="44"/>
      <c r="N144" s="44">
        <v>3.7699999999999999E-10</v>
      </c>
      <c r="O144" s="44">
        <v>3.7699999999999999E-10</v>
      </c>
      <c r="P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 s="44">
        <v>3.7699999999999999E-10</v>
      </c>
      <c r="AD144"/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 s="44">
        <v>3.7699999999999999E-10</v>
      </c>
      <c r="AL144"/>
      <c r="AM144" s="44">
        <v>3.7699999999999999E-10</v>
      </c>
      <c r="AN144" s="44">
        <v>3.7699999999999999E-10</v>
      </c>
      <c r="AO144" s="44">
        <v>3.7699999999999999E-10</v>
      </c>
      <c r="AP144" s="44">
        <v>3.7699999999999999E-10</v>
      </c>
      <c r="AQ144"/>
      <c r="AR144" s="44">
        <v>3.7699999999999999E-10</v>
      </c>
      <c r="AS144"/>
      <c r="AT144"/>
      <c r="AU144" s="44">
        <v>3.7699999999999999E-10</v>
      </c>
    </row>
    <row r="145" spans="1:47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58"/>
      <c r="J145" s="44">
        <v>20</v>
      </c>
      <c r="L145" s="44">
        <v>20</v>
      </c>
      <c r="M145" s="44"/>
      <c r="N145" s="44">
        <v>20</v>
      </c>
      <c r="O145" s="44">
        <v>20</v>
      </c>
      <c r="P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 s="44">
        <v>20</v>
      </c>
      <c r="AD145"/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 s="44">
        <v>20</v>
      </c>
      <c r="AL145"/>
      <c r="AM145" s="44">
        <v>20</v>
      </c>
      <c r="AN145" s="44">
        <v>20</v>
      </c>
      <c r="AO145" s="44">
        <v>20</v>
      </c>
      <c r="AP145" s="44">
        <v>20</v>
      </c>
      <c r="AQ145"/>
      <c r="AR145" s="44">
        <v>20</v>
      </c>
      <c r="AS145"/>
      <c r="AT145"/>
      <c r="AU145" s="44">
        <v>20</v>
      </c>
    </row>
    <row r="146" spans="1:47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58"/>
      <c r="J146" s="44">
        <v>-0.06</v>
      </c>
      <c r="L146" s="44">
        <v>-0.06</v>
      </c>
      <c r="M146" s="44"/>
      <c r="N146" s="44">
        <v>-0.06</v>
      </c>
      <c r="O146" s="44">
        <v>-0.06</v>
      </c>
      <c r="P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 s="44">
        <v>-0.06</v>
      </c>
      <c r="AD146"/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 s="44">
        <v>-0.06</v>
      </c>
      <c r="AL146"/>
      <c r="AM146" s="44">
        <v>-0.06</v>
      </c>
      <c r="AN146" s="44">
        <v>-0.06</v>
      </c>
      <c r="AO146" s="44">
        <v>-0.06</v>
      </c>
      <c r="AP146" s="44">
        <v>-0.06</v>
      </c>
      <c r="AQ146"/>
      <c r="AR146" s="44">
        <v>-0.06</v>
      </c>
      <c r="AS146"/>
      <c r="AT146"/>
      <c r="AU146" s="44">
        <v>-0.06</v>
      </c>
    </row>
    <row r="147" spans="1:47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58"/>
      <c r="J147" s="44">
        <v>0.89100000000000001</v>
      </c>
      <c r="L147" s="44">
        <v>0.89100000000000001</v>
      </c>
      <c r="M147" s="44"/>
      <c r="N147" s="44">
        <v>0.89100000000000001</v>
      </c>
      <c r="O147" s="44">
        <v>0.89100000000000001</v>
      </c>
      <c r="P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 s="44">
        <v>0.89100000000000001</v>
      </c>
      <c r="AD147"/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 s="44">
        <v>0.89100000000000001</v>
      </c>
      <c r="AL147"/>
      <c r="AM147" s="44">
        <v>0.89100000000000001</v>
      </c>
      <c r="AN147" s="44">
        <v>0.89100000000000001</v>
      </c>
      <c r="AO147" s="44">
        <v>0.89100000000000001</v>
      </c>
      <c r="AP147" s="44">
        <v>0.89100000000000001</v>
      </c>
      <c r="AQ147"/>
      <c r="AR147" s="44">
        <v>0.89100000000000001</v>
      </c>
      <c r="AS147"/>
      <c r="AT147"/>
      <c r="AU147" s="44">
        <v>0.89100000000000001</v>
      </c>
    </row>
    <row r="148" spans="1:47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58"/>
      <c r="J148" s="44">
        <v>1</v>
      </c>
      <c r="L148" s="44">
        <v>1</v>
      </c>
      <c r="M148" s="44"/>
      <c r="N148" s="44">
        <v>1</v>
      </c>
      <c r="O148" s="44">
        <v>1</v>
      </c>
      <c r="P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 s="44">
        <v>1</v>
      </c>
      <c r="AD148"/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 s="44">
        <v>1</v>
      </c>
      <c r="AL148"/>
      <c r="AM148" s="44">
        <v>1</v>
      </c>
      <c r="AN148" s="44">
        <v>1</v>
      </c>
      <c r="AO148" s="44">
        <v>1</v>
      </c>
      <c r="AP148" s="44">
        <v>1</v>
      </c>
      <c r="AQ148"/>
      <c r="AR148" s="44">
        <v>1</v>
      </c>
      <c r="AS148"/>
      <c r="AT148"/>
      <c r="AU148" s="44">
        <v>1</v>
      </c>
    </row>
    <row r="149" spans="1:47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58"/>
      <c r="J149" s="44">
        <v>4.0000000000000003E-5</v>
      </c>
      <c r="L149" s="44">
        <v>4.0000000000000003E-5</v>
      </c>
      <c r="M149" s="44"/>
      <c r="N149" s="44">
        <v>4.0000000000000003E-5</v>
      </c>
      <c r="O149" s="44">
        <v>4.0000000000000003E-5</v>
      </c>
      <c r="P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 s="44">
        <v>4.0000000000000003E-5</v>
      </c>
      <c r="AD149"/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 s="44">
        <v>4.0000000000000003E-5</v>
      </c>
      <c r="AL149"/>
      <c r="AM149" s="44">
        <v>4.0000000000000003E-5</v>
      </c>
      <c r="AN149" s="44">
        <v>4.0000000000000003E-5</v>
      </c>
      <c r="AO149" s="44">
        <v>4.0000000000000003E-5</v>
      </c>
      <c r="AP149" s="44">
        <v>4.0000000000000003E-5</v>
      </c>
      <c r="AQ149"/>
      <c r="AR149" s="44">
        <v>4.0000000000000003E-5</v>
      </c>
      <c r="AS149"/>
      <c r="AT149"/>
      <c r="AU149" s="44">
        <v>4.0000000000000003E-5</v>
      </c>
    </row>
    <row r="150" spans="1:47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58"/>
      <c r="J150" s="44">
        <v>5.8333333333333335E-9</v>
      </c>
      <c r="L150" s="44">
        <v>5.8333333333333335E-9</v>
      </c>
      <c r="M150" s="44"/>
      <c r="N150" s="44">
        <v>5.8333333333333335E-9</v>
      </c>
      <c r="O150" s="44">
        <v>5.8333333333333335E-9</v>
      </c>
      <c r="P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 s="44">
        <v>5.8333333333333335E-9</v>
      </c>
      <c r="AD150"/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 s="44">
        <v>5.8333333333333335E-9</v>
      </c>
      <c r="AL150"/>
      <c r="AM150" s="44">
        <v>5.8333333333333335E-9</v>
      </c>
      <c r="AN150" s="44">
        <v>5.8333333333333335E-9</v>
      </c>
      <c r="AO150" s="44">
        <v>5.8333333333333335E-9</v>
      </c>
      <c r="AP150" s="44">
        <v>5.8333333333333335E-9</v>
      </c>
      <c r="AQ150"/>
      <c r="AR150" s="44">
        <v>5.8333333333333335E-9</v>
      </c>
      <c r="AS150"/>
      <c r="AT150"/>
      <c r="AU150" s="44">
        <v>5.8333333333333335E-9</v>
      </c>
    </row>
    <row r="151" spans="1:47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58"/>
      <c r="J151" s="44">
        <v>20</v>
      </c>
      <c r="L151" s="44">
        <v>20</v>
      </c>
      <c r="M151" s="44"/>
      <c r="N151" s="44">
        <v>20</v>
      </c>
      <c r="O151" s="44">
        <v>20</v>
      </c>
      <c r="P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 s="44">
        <v>20</v>
      </c>
      <c r="AD151"/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 s="44">
        <v>20</v>
      </c>
      <c r="AL151"/>
      <c r="AM151" s="44">
        <v>20</v>
      </c>
      <c r="AN151" s="44">
        <v>20</v>
      </c>
      <c r="AO151" s="44">
        <v>20</v>
      </c>
      <c r="AP151" s="44">
        <v>20</v>
      </c>
      <c r="AQ151"/>
      <c r="AR151" s="44">
        <v>20</v>
      </c>
      <c r="AS151"/>
      <c r="AT151"/>
      <c r="AU151" s="44">
        <v>20</v>
      </c>
    </row>
    <row r="152" spans="1:47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58"/>
      <c r="J152" s="44">
        <v>-0.06</v>
      </c>
      <c r="L152" s="44">
        <v>-0.06</v>
      </c>
      <c r="M152" s="44"/>
      <c r="N152" s="44">
        <v>-0.06</v>
      </c>
      <c r="O152" s="44">
        <v>-0.06</v>
      </c>
      <c r="P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 s="44">
        <v>-0.06</v>
      </c>
      <c r="AD152"/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 s="44">
        <v>-0.06</v>
      </c>
      <c r="AL152"/>
      <c r="AM152" s="44">
        <v>-0.06</v>
      </c>
      <c r="AN152" s="44">
        <v>-0.06</v>
      </c>
      <c r="AO152" s="44">
        <v>-0.06</v>
      </c>
      <c r="AP152" s="44">
        <v>-0.06</v>
      </c>
      <c r="AQ152"/>
      <c r="AR152" s="44">
        <v>-0.06</v>
      </c>
      <c r="AS152"/>
      <c r="AT152"/>
      <c r="AU152" s="44">
        <v>-0.06</v>
      </c>
    </row>
    <row r="153" spans="1:47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58"/>
      <c r="J153" s="44">
        <v>0.89100000000000001</v>
      </c>
      <c r="L153" s="44">
        <v>0.89100000000000001</v>
      </c>
      <c r="M153" s="44"/>
      <c r="N153" s="44">
        <v>0.89100000000000001</v>
      </c>
      <c r="O153" s="44">
        <v>0.89100000000000001</v>
      </c>
      <c r="P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 s="44">
        <v>0.89100000000000001</v>
      </c>
      <c r="AD153"/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 s="44">
        <v>0.89100000000000001</v>
      </c>
      <c r="AL153"/>
      <c r="AM153" s="44">
        <v>0.89100000000000001</v>
      </c>
      <c r="AN153" s="44">
        <v>0.89100000000000001</v>
      </c>
      <c r="AO153" s="44">
        <v>0.89100000000000001</v>
      </c>
      <c r="AP153" s="44">
        <v>0.89100000000000001</v>
      </c>
      <c r="AQ153"/>
      <c r="AR153" s="44">
        <v>0.89100000000000001</v>
      </c>
      <c r="AS153"/>
      <c r="AT153"/>
      <c r="AU153" s="44">
        <v>0.89100000000000001</v>
      </c>
    </row>
    <row r="154" spans="1:47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58"/>
      <c r="J154" s="44">
        <v>1</v>
      </c>
      <c r="L154" s="44">
        <v>1</v>
      </c>
      <c r="M154" s="44"/>
      <c r="N154" s="44">
        <v>1</v>
      </c>
      <c r="O154" s="44">
        <v>1</v>
      </c>
      <c r="P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 s="44">
        <v>1</v>
      </c>
      <c r="AD154"/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 s="44">
        <v>1</v>
      </c>
      <c r="AL154"/>
      <c r="AM154" s="44">
        <v>1</v>
      </c>
      <c r="AN154" s="44">
        <v>1</v>
      </c>
      <c r="AO154" s="44">
        <v>1</v>
      </c>
      <c r="AP154" s="44">
        <v>1</v>
      </c>
      <c r="AQ154"/>
      <c r="AR154" s="44">
        <v>1</v>
      </c>
      <c r="AS154"/>
      <c r="AT154"/>
      <c r="AU154" s="44">
        <v>1</v>
      </c>
    </row>
    <row r="155" spans="1:47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58"/>
      <c r="J155" s="44">
        <v>4.0000000000000003E-5</v>
      </c>
      <c r="L155" s="44">
        <v>4.0000000000000003E-5</v>
      </c>
      <c r="M155" s="44"/>
      <c r="N155" s="44">
        <v>4.0000000000000003E-5</v>
      </c>
      <c r="O155" s="44">
        <v>4.0000000000000003E-5</v>
      </c>
      <c r="P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 s="44">
        <v>4.0000000000000003E-5</v>
      </c>
      <c r="AD155"/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 s="44">
        <v>4.0000000000000003E-5</v>
      </c>
      <c r="AL155"/>
      <c r="AM155" s="44">
        <v>4.0000000000000003E-5</v>
      </c>
      <c r="AN155" s="44">
        <v>4.0000000000000003E-5</v>
      </c>
      <c r="AO155" s="44">
        <v>4.0000000000000003E-5</v>
      </c>
      <c r="AP155" s="44">
        <v>4.0000000000000003E-5</v>
      </c>
      <c r="AQ155"/>
      <c r="AR155" s="44">
        <v>4.0000000000000003E-5</v>
      </c>
      <c r="AS155"/>
      <c r="AT155"/>
      <c r="AU155" s="44">
        <v>4.0000000000000003E-5</v>
      </c>
    </row>
    <row r="156" spans="1:47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58"/>
      <c r="J156" s="44">
        <v>4.0000000000000001E-8</v>
      </c>
      <c r="L156" s="44">
        <v>4.0000000000000001E-8</v>
      </c>
      <c r="M156" s="44"/>
      <c r="N156" s="44">
        <v>4.0000000000000001E-8</v>
      </c>
      <c r="O156" s="44">
        <v>4.0000000000000001E-8</v>
      </c>
      <c r="P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 s="44">
        <v>4.0000000000000001E-8</v>
      </c>
      <c r="AD156"/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 s="44">
        <v>4.0000000000000001E-8</v>
      </c>
      <c r="AL156"/>
      <c r="AM156" s="44">
        <v>4.0000000000000001E-8</v>
      </c>
      <c r="AN156" s="44">
        <v>4.0000000000000001E-8</v>
      </c>
      <c r="AO156" s="44">
        <v>4.0000000000000001E-8</v>
      </c>
      <c r="AP156" s="44">
        <v>4.0000000000000001E-8</v>
      </c>
      <c r="AQ156"/>
      <c r="AR156" s="44">
        <v>4.0000000000000001E-8</v>
      </c>
      <c r="AS156"/>
      <c r="AT156"/>
      <c r="AU156" s="44">
        <v>4.0000000000000001E-8</v>
      </c>
    </row>
    <row r="157" spans="1:47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58"/>
      <c r="J157" s="44">
        <v>20</v>
      </c>
      <c r="L157" s="44">
        <v>20</v>
      </c>
      <c r="M157" s="44"/>
      <c r="N157" s="44">
        <v>20</v>
      </c>
      <c r="O157" s="44">
        <v>20</v>
      </c>
      <c r="P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 s="44">
        <v>20</v>
      </c>
      <c r="AD157"/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 s="44">
        <v>20</v>
      </c>
      <c r="AL157"/>
      <c r="AM157" s="44">
        <v>20</v>
      </c>
      <c r="AN157" s="44">
        <v>20</v>
      </c>
      <c r="AO157" s="44">
        <v>20</v>
      </c>
      <c r="AP157" s="44">
        <v>20</v>
      </c>
      <c r="AQ157"/>
      <c r="AR157" s="44">
        <v>20</v>
      </c>
      <c r="AS157"/>
      <c r="AT157"/>
      <c r="AU157" s="44">
        <v>20</v>
      </c>
    </row>
    <row r="158" spans="1:47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58"/>
      <c r="J158" s="44">
        <v>-4.4200000000000003E-2</v>
      </c>
      <c r="L158" s="44">
        <v>-4.4200000000000003E-2</v>
      </c>
      <c r="M158" s="44"/>
      <c r="N158" s="44">
        <v>-4.4200000000000003E-2</v>
      </c>
      <c r="O158" s="44">
        <v>-4.4200000000000003E-2</v>
      </c>
      <c r="P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 s="44">
        <v>-4.4200000000000003E-2</v>
      </c>
      <c r="AD158"/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 s="44">
        <v>-4.4200000000000003E-2</v>
      </c>
      <c r="AL158"/>
      <c r="AM158" s="44">
        <v>-4.4200000000000003E-2</v>
      </c>
      <c r="AN158" s="44">
        <v>-4.4200000000000003E-2</v>
      </c>
      <c r="AO158" s="44">
        <v>-4.4200000000000003E-2</v>
      </c>
      <c r="AP158" s="44">
        <v>-4.4200000000000003E-2</v>
      </c>
      <c r="AQ158"/>
      <c r="AR158" s="44">
        <v>-4.4200000000000003E-2</v>
      </c>
      <c r="AS158"/>
      <c r="AT158"/>
      <c r="AU158" s="44">
        <v>-4.4200000000000003E-2</v>
      </c>
    </row>
    <row r="159" spans="1:47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58"/>
      <c r="J159" s="44">
        <v>1.55</v>
      </c>
      <c r="L159" s="44">
        <v>1.55</v>
      </c>
      <c r="M159" s="44"/>
      <c r="N159" s="44">
        <v>1.55</v>
      </c>
      <c r="O159" s="44">
        <v>1.55</v>
      </c>
      <c r="P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 s="44">
        <v>1.55</v>
      </c>
      <c r="AD159"/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 s="44">
        <v>1.55</v>
      </c>
      <c r="AL159"/>
      <c r="AM159" s="44">
        <v>1.55</v>
      </c>
      <c r="AN159" s="44">
        <v>1.55</v>
      </c>
      <c r="AO159" s="44">
        <v>1.55</v>
      </c>
      <c r="AP159" s="44">
        <v>1.55</v>
      </c>
      <c r="AQ159"/>
      <c r="AR159" s="44">
        <v>1.55</v>
      </c>
      <c r="AS159"/>
      <c r="AT159"/>
      <c r="AU159" s="44">
        <v>1.55</v>
      </c>
    </row>
    <row r="160" spans="1:47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58"/>
      <c r="J160" s="44">
        <v>1</v>
      </c>
      <c r="L160" s="44">
        <v>1</v>
      </c>
      <c r="M160" s="44"/>
      <c r="N160" s="44">
        <v>1</v>
      </c>
      <c r="O160" s="44">
        <v>1</v>
      </c>
      <c r="P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 s="44">
        <v>1</v>
      </c>
      <c r="AD160"/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 s="44">
        <v>1</v>
      </c>
      <c r="AL160"/>
      <c r="AM160" s="44">
        <v>1</v>
      </c>
      <c r="AN160" s="44">
        <v>1</v>
      </c>
      <c r="AO160" s="44">
        <v>1</v>
      </c>
      <c r="AP160" s="44">
        <v>1</v>
      </c>
      <c r="AQ160"/>
      <c r="AR160" s="44">
        <v>1</v>
      </c>
      <c r="AS160"/>
      <c r="AT160"/>
      <c r="AU160" s="44">
        <v>1</v>
      </c>
    </row>
    <row r="161" spans="1:47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58"/>
      <c r="J161" s="44">
        <v>2.7799999999999998E-4</v>
      </c>
      <c r="L161" s="44">
        <v>2.7799999999999998E-4</v>
      </c>
      <c r="M161" s="44"/>
      <c r="N161" s="44">
        <v>2.7799999999999998E-4</v>
      </c>
      <c r="O161" s="44">
        <v>2.7799999999999998E-4</v>
      </c>
      <c r="P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 s="44">
        <v>2.7799999999999998E-4</v>
      </c>
      <c r="AD161"/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 s="44">
        <v>2.7799999999999998E-4</v>
      </c>
      <c r="AL161"/>
      <c r="AM161" s="44">
        <v>2.7799999999999998E-4</v>
      </c>
      <c r="AN161" s="44">
        <v>2.7799999999999998E-4</v>
      </c>
      <c r="AO161" s="44">
        <v>2.7799999999999998E-4</v>
      </c>
      <c r="AP161" s="44">
        <v>2.7799999999999998E-4</v>
      </c>
      <c r="AQ161"/>
      <c r="AR161" s="44">
        <v>2.7799999999999998E-4</v>
      </c>
      <c r="AS161"/>
      <c r="AT161"/>
      <c r="AU161" s="44">
        <v>2.7799999999999998E-4</v>
      </c>
    </row>
    <row r="162" spans="1:47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58"/>
      <c r="J162" s="44">
        <v>2.4999999999999998E-12</v>
      </c>
      <c r="L162" s="44">
        <v>2.4999999999999998E-12</v>
      </c>
      <c r="M162" s="44"/>
      <c r="N162" s="44">
        <v>2.4999999999999998E-12</v>
      </c>
      <c r="O162" s="44">
        <v>2.4999999999999998E-12</v>
      </c>
      <c r="P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 s="44">
        <v>2.4999999999999998E-12</v>
      </c>
      <c r="AD162"/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 s="44">
        <v>2.4999999999999998E-12</v>
      </c>
      <c r="AL162"/>
      <c r="AM162" s="44">
        <v>2.4999999999999998E-12</v>
      </c>
      <c r="AN162" s="44">
        <v>2.4999999999999998E-12</v>
      </c>
      <c r="AO162" s="44">
        <v>2.4999999999999998E-12</v>
      </c>
      <c r="AP162" s="44">
        <v>2.4999999999999998E-12</v>
      </c>
      <c r="AQ162"/>
      <c r="AR162" s="44">
        <v>2.4999999999999998E-12</v>
      </c>
      <c r="AS162"/>
      <c r="AT162"/>
      <c r="AU162" s="44">
        <v>2.4999999999999998E-12</v>
      </c>
    </row>
    <row r="163" spans="1:47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58"/>
      <c r="J163" s="44">
        <v>20</v>
      </c>
      <c r="L163" s="44">
        <v>20</v>
      </c>
      <c r="M163" s="44"/>
      <c r="N163" s="44">
        <v>20</v>
      </c>
      <c r="O163" s="44">
        <v>20</v>
      </c>
      <c r="P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 s="44">
        <v>20</v>
      </c>
      <c r="AD163"/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 s="44">
        <v>20</v>
      </c>
      <c r="AL163"/>
      <c r="AM163" s="44">
        <v>20</v>
      </c>
      <c r="AN163" s="44">
        <v>20</v>
      </c>
      <c r="AO163" s="44">
        <v>20</v>
      </c>
      <c r="AP163" s="44">
        <v>20</v>
      </c>
      <c r="AQ163"/>
      <c r="AR163" s="44">
        <v>20</v>
      </c>
      <c r="AS163"/>
      <c r="AT163"/>
      <c r="AU163" s="44">
        <v>20</v>
      </c>
    </row>
    <row r="164" spans="1:47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58"/>
      <c r="J164" s="44">
        <v>0</v>
      </c>
      <c r="L164" s="44">
        <v>0</v>
      </c>
      <c r="M164" s="44"/>
      <c r="N164" s="44">
        <v>0</v>
      </c>
      <c r="O164" s="44">
        <v>0</v>
      </c>
      <c r="P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 s="44">
        <v>0</v>
      </c>
      <c r="AD164"/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 s="44">
        <v>0</v>
      </c>
      <c r="AL164"/>
      <c r="AM164" s="44">
        <v>0</v>
      </c>
      <c r="AN164" s="44">
        <v>0</v>
      </c>
      <c r="AO164" s="44">
        <v>0</v>
      </c>
      <c r="AP164" s="44">
        <v>0</v>
      </c>
      <c r="AQ164"/>
      <c r="AR164" s="44">
        <v>0</v>
      </c>
      <c r="AS164"/>
      <c r="AT164"/>
      <c r="AU164" s="44">
        <v>0</v>
      </c>
    </row>
    <row r="165" spans="1:47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58"/>
      <c r="J165" s="44">
        <v>1</v>
      </c>
      <c r="L165" s="44">
        <v>1</v>
      </c>
      <c r="M165" s="44"/>
      <c r="N165" s="44">
        <v>1</v>
      </c>
      <c r="O165" s="44">
        <v>1</v>
      </c>
      <c r="P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 s="44">
        <v>1</v>
      </c>
      <c r="AD165"/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 s="44">
        <v>1</v>
      </c>
      <c r="AL165"/>
      <c r="AM165" s="44">
        <v>1</v>
      </c>
      <c r="AN165" s="44">
        <v>1</v>
      </c>
      <c r="AO165" s="44">
        <v>1</v>
      </c>
      <c r="AP165" s="44">
        <v>1</v>
      </c>
      <c r="AQ165"/>
      <c r="AR165" s="44">
        <v>1</v>
      </c>
      <c r="AS165"/>
      <c r="AT165"/>
      <c r="AU165" s="44">
        <v>1</v>
      </c>
    </row>
    <row r="166" spans="1:47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58"/>
      <c r="J166" s="44">
        <v>0</v>
      </c>
      <c r="L166" s="44">
        <v>0</v>
      </c>
      <c r="M166" s="44"/>
      <c r="N166" s="44">
        <v>0</v>
      </c>
      <c r="O166" s="44">
        <v>0</v>
      </c>
      <c r="P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 s="44">
        <v>0</v>
      </c>
      <c r="AD166"/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 s="44">
        <v>0</v>
      </c>
      <c r="AL166"/>
      <c r="AM166" s="44">
        <v>0</v>
      </c>
      <c r="AN166" s="44">
        <v>0</v>
      </c>
      <c r="AO166" s="44">
        <v>0</v>
      </c>
      <c r="AP166" s="44">
        <v>0</v>
      </c>
      <c r="AQ166"/>
      <c r="AR166" s="44">
        <v>0</v>
      </c>
      <c r="AS166"/>
      <c r="AT166"/>
      <c r="AU166" s="44">
        <v>0</v>
      </c>
    </row>
    <row r="167" spans="1:47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58"/>
      <c r="J167" s="44">
        <v>0.4</v>
      </c>
      <c r="L167" s="44">
        <v>0.4</v>
      </c>
      <c r="M167" s="44"/>
      <c r="N167" s="44">
        <v>0.4</v>
      </c>
      <c r="O167" s="44">
        <v>0.4</v>
      </c>
      <c r="P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 s="44">
        <v>0.4</v>
      </c>
      <c r="AD167"/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 s="44">
        <v>0.4</v>
      </c>
      <c r="AL167"/>
      <c r="AM167" s="44">
        <v>0.4</v>
      </c>
      <c r="AN167" s="44">
        <v>0.4</v>
      </c>
      <c r="AO167" s="44">
        <v>0.4</v>
      </c>
      <c r="AP167" s="44">
        <v>0.4</v>
      </c>
      <c r="AQ167"/>
      <c r="AR167" s="44">
        <v>0.4</v>
      </c>
      <c r="AS167"/>
      <c r="AT167"/>
      <c r="AU167" s="44">
        <v>0.4</v>
      </c>
    </row>
    <row r="168" spans="1:47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58"/>
      <c r="J168" s="44">
        <v>2.0000000000000001E-9</v>
      </c>
      <c r="L168" s="44">
        <v>2.0000000000000001E-9</v>
      </c>
      <c r="M168" s="44"/>
      <c r="N168" s="44">
        <v>2.0000000000000001E-9</v>
      </c>
      <c r="O168" s="44">
        <v>2.0000000000000001E-9</v>
      </c>
      <c r="P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 s="44">
        <v>2.0000000000000001E-9</v>
      </c>
      <c r="AD168"/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 s="44">
        <v>2.0000000000000001E-9</v>
      </c>
      <c r="AL168"/>
      <c r="AM168" s="44">
        <v>2.0000000000000001E-9</v>
      </c>
      <c r="AN168" s="44">
        <v>2.0000000000000001E-9</v>
      </c>
      <c r="AO168" s="44">
        <v>2.0000000000000001E-9</v>
      </c>
      <c r="AP168" s="44">
        <v>2.0000000000000001E-9</v>
      </c>
      <c r="AQ168"/>
      <c r="AR168" s="44">
        <v>2.0000000000000001E-9</v>
      </c>
      <c r="AS168"/>
      <c r="AT168"/>
      <c r="AU168" s="44">
        <v>2.0000000000000001E-9</v>
      </c>
    </row>
    <row r="169" spans="1:47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58"/>
      <c r="J169" s="44">
        <v>25</v>
      </c>
      <c r="L169" s="44">
        <v>25</v>
      </c>
      <c r="M169" s="44"/>
      <c r="N169" s="44">
        <v>25</v>
      </c>
      <c r="O169" s="44">
        <v>25</v>
      </c>
      <c r="P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 s="44">
        <v>25</v>
      </c>
      <c r="AD169"/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 s="44">
        <v>25</v>
      </c>
      <c r="AL169"/>
      <c r="AM169" s="44">
        <v>25</v>
      </c>
      <c r="AN169" s="44">
        <v>25</v>
      </c>
      <c r="AO169" s="44">
        <v>25</v>
      </c>
      <c r="AP169" s="44">
        <v>25</v>
      </c>
      <c r="AQ169"/>
      <c r="AR169" s="44">
        <v>25</v>
      </c>
      <c r="AS169"/>
      <c r="AT169"/>
      <c r="AU169" s="44">
        <v>25</v>
      </c>
    </row>
    <row r="170" spans="1:47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58"/>
      <c r="J170" s="44">
        <v>0</v>
      </c>
      <c r="L170" s="44">
        <v>0</v>
      </c>
      <c r="M170" s="44"/>
      <c r="N170" s="44">
        <v>0</v>
      </c>
      <c r="O170" s="44">
        <v>0</v>
      </c>
      <c r="P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 s="44">
        <v>0</v>
      </c>
      <c r="AD170"/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 s="44">
        <v>0</v>
      </c>
      <c r="AL170"/>
      <c r="AM170" s="44">
        <v>0</v>
      </c>
      <c r="AN170" s="44">
        <v>0</v>
      </c>
      <c r="AO170" s="44">
        <v>0</v>
      </c>
      <c r="AP170" s="44">
        <v>0</v>
      </c>
      <c r="AQ170"/>
      <c r="AR170" s="44">
        <v>0</v>
      </c>
      <c r="AS170"/>
      <c r="AT170"/>
      <c r="AU170" s="44">
        <v>0</v>
      </c>
    </row>
    <row r="171" spans="1:47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58"/>
      <c r="J171" s="44">
        <v>3.98</v>
      </c>
      <c r="L171" s="44">
        <v>3.98</v>
      </c>
      <c r="M171" s="44"/>
      <c r="N171" s="44">
        <v>3.98</v>
      </c>
      <c r="O171" s="44">
        <v>3.98</v>
      </c>
      <c r="P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 s="44">
        <v>3.98</v>
      </c>
      <c r="AD171"/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 s="44">
        <v>3.98</v>
      </c>
      <c r="AL171"/>
      <c r="AM171" s="44">
        <v>3.98</v>
      </c>
      <c r="AN171" s="44">
        <v>3.98</v>
      </c>
      <c r="AO171" s="44">
        <v>3.98</v>
      </c>
      <c r="AP171" s="44">
        <v>3.98</v>
      </c>
      <c r="AQ171"/>
      <c r="AR171" s="44">
        <v>3.98</v>
      </c>
      <c r="AS171"/>
      <c r="AT171"/>
      <c r="AU171" s="44">
        <v>3.98</v>
      </c>
    </row>
    <row r="172" spans="1:47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58"/>
      <c r="J172" s="44">
        <v>1</v>
      </c>
      <c r="L172" s="44">
        <v>1</v>
      </c>
      <c r="M172" s="44"/>
      <c r="N172" s="44">
        <v>1</v>
      </c>
      <c r="O172" s="44">
        <v>1</v>
      </c>
      <c r="P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 s="44">
        <v>1</v>
      </c>
      <c r="AD172"/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 s="44">
        <v>1</v>
      </c>
      <c r="AL172"/>
      <c r="AM172" s="44">
        <v>1</v>
      </c>
      <c r="AN172" s="44">
        <v>1</v>
      </c>
      <c r="AO172" s="44">
        <v>1</v>
      </c>
      <c r="AP172" s="44">
        <v>1</v>
      </c>
      <c r="AQ172"/>
      <c r="AR172" s="44">
        <v>1</v>
      </c>
      <c r="AS172"/>
      <c r="AT172"/>
      <c r="AU172" s="44">
        <v>1</v>
      </c>
    </row>
    <row r="173" spans="1:47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58"/>
      <c r="J173" s="44">
        <v>1.6666666666666666E-4</v>
      </c>
      <c r="L173" s="44">
        <v>1.6666666666666666E-4</v>
      </c>
      <c r="M173" s="44"/>
      <c r="N173" s="44">
        <v>1.6666666666666666E-4</v>
      </c>
      <c r="O173" s="44">
        <v>1.6666666666666666E-4</v>
      </c>
      <c r="P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 s="44">
        <v>1.6666666666666666E-4</v>
      </c>
      <c r="AD173"/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 s="44">
        <v>1.6666666666666666E-4</v>
      </c>
      <c r="AL173"/>
      <c r="AM173" s="44">
        <v>1.6666666666666666E-4</v>
      </c>
      <c r="AN173" s="44">
        <v>1.6666666666666666E-4</v>
      </c>
      <c r="AO173" s="44">
        <v>1.6666666666666666E-4</v>
      </c>
      <c r="AP173" s="44">
        <v>1.6666666666666666E-4</v>
      </c>
      <c r="AQ173"/>
      <c r="AR173" s="44">
        <v>1.6666666666666666E-4</v>
      </c>
      <c r="AS173"/>
      <c r="AT173"/>
      <c r="AU173" s="44">
        <v>1.6666666666666666E-4</v>
      </c>
    </row>
    <row r="174" spans="1:47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58"/>
      <c r="J174" s="44">
        <v>1E-8</v>
      </c>
      <c r="L174" s="44">
        <v>1E-8</v>
      </c>
      <c r="M174" s="44"/>
      <c r="N174" s="44">
        <v>1E-8</v>
      </c>
      <c r="O174" s="44">
        <v>1E-8</v>
      </c>
      <c r="P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 s="44">
        <v>1E-8</v>
      </c>
      <c r="AD174"/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 s="44">
        <v>1E-8</v>
      </c>
      <c r="AL174"/>
      <c r="AM174" s="44">
        <v>1E-8</v>
      </c>
      <c r="AN174" s="44">
        <v>1E-8</v>
      </c>
      <c r="AO174" s="44">
        <v>1E-8</v>
      </c>
      <c r="AP174" s="44">
        <v>1E-8</v>
      </c>
      <c r="AQ174"/>
      <c r="AR174" s="44">
        <v>1E-8</v>
      </c>
      <c r="AS174"/>
      <c r="AT174"/>
      <c r="AU174" s="44">
        <v>1E-8</v>
      </c>
    </row>
    <row r="175" spans="1:47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58"/>
      <c r="J175" s="44">
        <v>20</v>
      </c>
      <c r="L175" s="44">
        <v>20</v>
      </c>
      <c r="M175" s="44"/>
      <c r="N175" s="44">
        <v>20</v>
      </c>
      <c r="O175" s="44">
        <v>20</v>
      </c>
      <c r="P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 s="44">
        <v>20</v>
      </c>
      <c r="AD175"/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 s="44">
        <v>20</v>
      </c>
      <c r="AL175"/>
      <c r="AM175" s="44">
        <v>20</v>
      </c>
      <c r="AN175" s="44">
        <v>20</v>
      </c>
      <c r="AO175" s="44">
        <v>20</v>
      </c>
      <c r="AP175" s="44">
        <v>20</v>
      </c>
      <c r="AQ175"/>
      <c r="AR175" s="44">
        <v>20</v>
      </c>
      <c r="AS175"/>
      <c r="AT175"/>
      <c r="AU175" s="44">
        <v>20</v>
      </c>
    </row>
    <row r="176" spans="1:47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58"/>
      <c r="J176" s="44">
        <v>0</v>
      </c>
      <c r="L176" s="44">
        <v>0</v>
      </c>
      <c r="M176" s="44"/>
      <c r="N176" s="44">
        <v>0</v>
      </c>
      <c r="O176" s="44">
        <v>0</v>
      </c>
      <c r="P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 s="44">
        <v>0</v>
      </c>
      <c r="AD176"/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 s="44">
        <v>0</v>
      </c>
      <c r="AL176"/>
      <c r="AM176" s="44">
        <v>0</v>
      </c>
      <c r="AN176" s="44">
        <v>0</v>
      </c>
      <c r="AO176" s="44">
        <v>0</v>
      </c>
      <c r="AP176" s="44">
        <v>0</v>
      </c>
      <c r="AQ176"/>
      <c r="AR176" s="44">
        <v>0</v>
      </c>
      <c r="AS176"/>
      <c r="AT176"/>
      <c r="AU176" s="44">
        <v>0</v>
      </c>
    </row>
    <row r="177" spans="1:47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58"/>
      <c r="J177" s="44">
        <v>2</v>
      </c>
      <c r="L177" s="44">
        <v>2</v>
      </c>
      <c r="M177" s="44"/>
      <c r="N177" s="44">
        <v>2</v>
      </c>
      <c r="O177" s="44">
        <v>2</v>
      </c>
      <c r="P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 s="44">
        <v>2</v>
      </c>
      <c r="AD177"/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 s="44">
        <v>2</v>
      </c>
      <c r="AL177"/>
      <c r="AM177" s="44">
        <v>2</v>
      </c>
      <c r="AN177" s="44">
        <v>2</v>
      </c>
      <c r="AO177" s="44">
        <v>2</v>
      </c>
      <c r="AP177" s="44">
        <v>2</v>
      </c>
      <c r="AQ177"/>
      <c r="AR177" s="44">
        <v>2</v>
      </c>
      <c r="AS177"/>
      <c r="AT177"/>
      <c r="AU177" s="44">
        <v>2</v>
      </c>
    </row>
    <row r="178" spans="1:47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58"/>
      <c r="J178" s="44">
        <v>1</v>
      </c>
      <c r="L178" s="44">
        <v>1</v>
      </c>
      <c r="M178" s="44"/>
      <c r="N178" s="44">
        <v>1</v>
      </c>
      <c r="O178" s="44">
        <v>1</v>
      </c>
      <c r="P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 s="44">
        <v>1</v>
      </c>
      <c r="AD178"/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 s="44">
        <v>1</v>
      </c>
      <c r="AL178"/>
      <c r="AM178" s="44">
        <v>1</v>
      </c>
      <c r="AN178" s="44">
        <v>1</v>
      </c>
      <c r="AO178" s="44">
        <v>1</v>
      </c>
      <c r="AP178" s="44">
        <v>1</v>
      </c>
      <c r="AQ178"/>
      <c r="AR178" s="44">
        <v>1</v>
      </c>
      <c r="AS178"/>
      <c r="AT178"/>
      <c r="AU178" s="44">
        <v>1</v>
      </c>
    </row>
    <row r="179" spans="1:47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58"/>
      <c r="J179" s="44">
        <v>8.3333333333333331E-5</v>
      </c>
      <c r="L179" s="44">
        <v>8.3333333333333331E-5</v>
      </c>
      <c r="M179" s="44"/>
      <c r="N179" s="44">
        <v>8.3333333333333331E-5</v>
      </c>
      <c r="O179" s="44">
        <v>8.3333333333333331E-5</v>
      </c>
      <c r="P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 s="44">
        <v>8.3333333333333331E-5</v>
      </c>
      <c r="AD179"/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 s="44">
        <v>8.3333333333333331E-5</v>
      </c>
      <c r="AL179"/>
      <c r="AM179" s="44">
        <v>8.3333333333333331E-5</v>
      </c>
      <c r="AN179" s="44">
        <v>8.3333333333333331E-5</v>
      </c>
      <c r="AO179" s="44">
        <v>8.3333333333333331E-5</v>
      </c>
      <c r="AP179" s="44">
        <v>8.3333333333333331E-5</v>
      </c>
      <c r="AQ179"/>
      <c r="AR179" s="44">
        <v>8.3333333333333331E-5</v>
      </c>
      <c r="AS179"/>
      <c r="AT179"/>
      <c r="AU179" s="44">
        <v>8.3333333333333331E-5</v>
      </c>
    </row>
    <row r="180" spans="1:47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58"/>
      <c r="J180" s="44">
        <v>1</v>
      </c>
      <c r="L180" s="44">
        <v>1</v>
      </c>
      <c r="M180" s="44"/>
      <c r="N180" s="44">
        <v>1</v>
      </c>
      <c r="O180" s="44">
        <v>1</v>
      </c>
      <c r="P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 s="44">
        <v>1</v>
      </c>
      <c r="AD180"/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 s="44">
        <v>1</v>
      </c>
      <c r="AL180"/>
      <c r="AM180" s="44">
        <v>1</v>
      </c>
      <c r="AN180" s="44">
        <v>1</v>
      </c>
      <c r="AO180" s="44">
        <v>1</v>
      </c>
      <c r="AP180" s="44">
        <v>1</v>
      </c>
      <c r="AQ180"/>
      <c r="AR180" s="44">
        <v>1</v>
      </c>
      <c r="AS180"/>
      <c r="AT180"/>
      <c r="AU180" s="44">
        <v>1</v>
      </c>
    </row>
    <row r="181" spans="1:47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58"/>
      <c r="J181" s="44">
        <v>2.3533050791148899E-8</v>
      </c>
      <c r="L181" s="44">
        <v>2.3533050791148899E-8</v>
      </c>
      <c r="M181" s="44"/>
      <c r="N181" s="44">
        <v>2.3533050791148899E-8</v>
      </c>
      <c r="O181" s="44">
        <v>2.3533050791148899E-8</v>
      </c>
      <c r="P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 s="44">
        <v>2.3533050791148899E-8</v>
      </c>
      <c r="AD181"/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 s="44">
        <v>2.3533050791148899E-8</v>
      </c>
      <c r="AL181"/>
      <c r="AM181" s="44">
        <v>2.3533050791148899E-8</v>
      </c>
      <c r="AN181" s="44">
        <v>2.3533050791148899E-8</v>
      </c>
      <c r="AO181" s="44">
        <v>2.3533050791148899E-8</v>
      </c>
      <c r="AP181" s="44">
        <v>2.3533050791148899E-8</v>
      </c>
      <c r="AQ181"/>
      <c r="AR181" s="44">
        <v>2.3533050791148899E-8</v>
      </c>
      <c r="AS181"/>
      <c r="AT181"/>
      <c r="AU181" s="44">
        <v>2.3533050791148899E-8</v>
      </c>
    </row>
    <row r="182" spans="1:47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58"/>
      <c r="J182" s="44">
        <v>20</v>
      </c>
      <c r="L182" s="44">
        <v>20</v>
      </c>
      <c r="M182" s="44"/>
      <c r="N182" s="44">
        <v>20</v>
      </c>
      <c r="O182" s="44">
        <v>20</v>
      </c>
      <c r="P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 s="44">
        <v>20</v>
      </c>
      <c r="AD182"/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 s="44">
        <v>20</v>
      </c>
      <c r="AL182"/>
      <c r="AM182" s="44">
        <v>20</v>
      </c>
      <c r="AN182" s="44">
        <v>20</v>
      </c>
      <c r="AO182" s="44">
        <v>20</v>
      </c>
      <c r="AP182" s="44">
        <v>20</v>
      </c>
      <c r="AQ182"/>
      <c r="AR182" s="44">
        <v>20</v>
      </c>
      <c r="AS182"/>
      <c r="AT182"/>
      <c r="AU182" s="44">
        <v>20</v>
      </c>
    </row>
    <row r="183" spans="1:47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58"/>
      <c r="J183" s="44">
        <v>-0.187</v>
      </c>
      <c r="L183" s="44">
        <v>-0.187</v>
      </c>
      <c r="M183" s="44"/>
      <c r="N183" s="44">
        <v>-0.187</v>
      </c>
      <c r="O183" s="44">
        <v>-0.187</v>
      </c>
      <c r="P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 s="44">
        <v>-0.187</v>
      </c>
      <c r="AD183"/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 s="44">
        <v>-0.187</v>
      </c>
      <c r="AL183"/>
      <c r="AM183" s="44">
        <v>-0.187</v>
      </c>
      <c r="AN183" s="44">
        <v>-0.187</v>
      </c>
      <c r="AO183" s="44">
        <v>-0.187</v>
      </c>
      <c r="AP183" s="44">
        <v>-0.187</v>
      </c>
      <c r="AQ183"/>
      <c r="AR183" s="44">
        <v>-0.187</v>
      </c>
      <c r="AS183"/>
      <c r="AT183"/>
      <c r="AU183" s="44">
        <v>-0.187</v>
      </c>
    </row>
    <row r="184" spans="1:47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58"/>
      <c r="J184" s="44">
        <v>2.48</v>
      </c>
      <c r="L184" s="44">
        <v>2.48</v>
      </c>
      <c r="M184" s="44"/>
      <c r="N184" s="44">
        <v>2.48</v>
      </c>
      <c r="O184" s="44">
        <v>2.48</v>
      </c>
      <c r="P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 s="44">
        <v>2.48</v>
      </c>
      <c r="AD184"/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 s="44">
        <v>2.48</v>
      </c>
      <c r="AL184"/>
      <c r="AM184" s="44">
        <v>2.48</v>
      </c>
      <c r="AN184" s="44">
        <v>2.48</v>
      </c>
      <c r="AO184" s="44">
        <v>2.48</v>
      </c>
      <c r="AP184" s="44">
        <v>2.48</v>
      </c>
      <c r="AQ184"/>
      <c r="AR184" s="44">
        <v>2.48</v>
      </c>
      <c r="AS184"/>
      <c r="AT184"/>
      <c r="AU184" s="44">
        <v>2.48</v>
      </c>
    </row>
    <row r="185" spans="1:47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58"/>
      <c r="J185" s="44">
        <v>1</v>
      </c>
      <c r="L185" s="44">
        <v>1</v>
      </c>
      <c r="M185" s="44"/>
      <c r="N185" s="44">
        <v>1</v>
      </c>
      <c r="O185" s="44">
        <v>1</v>
      </c>
      <c r="P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 s="44">
        <v>1</v>
      </c>
      <c r="AD185"/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 s="44">
        <v>1</v>
      </c>
      <c r="AL185"/>
      <c r="AM185" s="44">
        <v>1</v>
      </c>
      <c r="AN185" s="44">
        <v>1</v>
      </c>
      <c r="AO185" s="44">
        <v>1</v>
      </c>
      <c r="AP185" s="44">
        <v>1</v>
      </c>
      <c r="AQ185"/>
      <c r="AR185" s="44">
        <v>1</v>
      </c>
      <c r="AS185"/>
      <c r="AT185"/>
      <c r="AU185" s="44">
        <v>1</v>
      </c>
    </row>
    <row r="186" spans="1:47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58"/>
      <c r="J186" s="44">
        <v>6.1060227588121015E-4</v>
      </c>
      <c r="L186" s="44">
        <v>6.1060227588121015E-4</v>
      </c>
      <c r="M186" s="44"/>
      <c r="N186" s="44">
        <v>6.1060227588121015E-4</v>
      </c>
      <c r="O186" s="44">
        <v>6.1060227588121015E-4</v>
      </c>
      <c r="P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 s="44">
        <v>6.1060227588121015E-4</v>
      </c>
      <c r="AD186"/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 s="44">
        <v>6.1060227588121015E-4</v>
      </c>
      <c r="AL186"/>
      <c r="AM186" s="44">
        <v>6.1060227588121015E-4</v>
      </c>
      <c r="AN186" s="44">
        <v>6.1060227588121015E-4</v>
      </c>
      <c r="AO186" s="44">
        <v>6.1060227588121015E-4</v>
      </c>
      <c r="AP186" s="44">
        <v>6.1060227588121015E-4</v>
      </c>
      <c r="AQ186"/>
      <c r="AR186" s="44">
        <v>6.1060227588121015E-4</v>
      </c>
      <c r="AS186"/>
      <c r="AT186"/>
      <c r="AU186" s="44">
        <v>6.1060227588121015E-4</v>
      </c>
    </row>
    <row r="187" spans="1:47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58"/>
      <c r="J187" s="44">
        <v>3.9999999999999998E-7</v>
      </c>
      <c r="L187" s="44">
        <v>3.9999999999999998E-7</v>
      </c>
      <c r="M187" s="44"/>
      <c r="N187" s="44">
        <v>3.9999999999999998E-7</v>
      </c>
      <c r="O187" s="44">
        <v>3.9999999999999998E-7</v>
      </c>
      <c r="P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 s="44">
        <v>3.9999999999999998E-7</v>
      </c>
      <c r="AD187"/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 s="44">
        <v>3.9999999999999998E-7</v>
      </c>
      <c r="AL187"/>
      <c r="AM187" s="44">
        <v>3.9999999999999998E-7</v>
      </c>
      <c r="AN187" s="44">
        <v>3.9999999999999998E-7</v>
      </c>
      <c r="AO187" s="44">
        <v>3.9999999999999998E-7</v>
      </c>
      <c r="AP187" s="44">
        <v>3.9999999999999998E-7</v>
      </c>
      <c r="AQ187"/>
      <c r="AR187" s="44">
        <v>3.9999999999999998E-7</v>
      </c>
      <c r="AS187"/>
      <c r="AT187"/>
      <c r="AU187" s="44">
        <v>3.9999999999999998E-7</v>
      </c>
    </row>
    <row r="188" spans="1:47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58"/>
      <c r="J188" s="44">
        <v>25</v>
      </c>
      <c r="L188" s="44">
        <v>25</v>
      </c>
      <c r="M188" s="44"/>
      <c r="N188" s="44">
        <v>25</v>
      </c>
      <c r="O188" s="44">
        <v>25</v>
      </c>
      <c r="P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 s="44">
        <v>25</v>
      </c>
      <c r="AD188"/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 s="44">
        <v>25</v>
      </c>
      <c r="AL188"/>
      <c r="AM188" s="44">
        <v>25</v>
      </c>
      <c r="AN188" s="44">
        <v>25</v>
      </c>
      <c r="AO188" s="44">
        <v>25</v>
      </c>
      <c r="AP188" s="44">
        <v>25</v>
      </c>
      <c r="AQ188"/>
      <c r="AR188" s="44">
        <v>25</v>
      </c>
      <c r="AS188"/>
      <c r="AT188"/>
      <c r="AU188" s="44">
        <v>25</v>
      </c>
    </row>
    <row r="189" spans="1:47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58"/>
      <c r="J189" s="44">
        <v>0</v>
      </c>
      <c r="L189" s="44">
        <v>0</v>
      </c>
      <c r="M189" s="44"/>
      <c r="N189" s="44">
        <v>0</v>
      </c>
      <c r="O189" s="44">
        <v>0</v>
      </c>
      <c r="P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 s="44">
        <v>0</v>
      </c>
      <c r="AD189"/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 s="44">
        <v>0</v>
      </c>
      <c r="AL189"/>
      <c r="AM189" s="44">
        <v>0</v>
      </c>
      <c r="AN189" s="44">
        <v>0</v>
      </c>
      <c r="AO189" s="44">
        <v>0</v>
      </c>
      <c r="AP189" s="44">
        <v>0</v>
      </c>
      <c r="AQ189"/>
      <c r="AR189" s="44">
        <v>0</v>
      </c>
      <c r="AS189"/>
      <c r="AT189"/>
      <c r="AU189" s="44">
        <v>0</v>
      </c>
    </row>
    <row r="190" spans="1:47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58"/>
      <c r="J190" s="44">
        <v>3.98</v>
      </c>
      <c r="L190" s="44">
        <v>3.98</v>
      </c>
      <c r="M190" s="44"/>
      <c r="N190" s="44">
        <v>3.98</v>
      </c>
      <c r="O190" s="44">
        <v>3.98</v>
      </c>
      <c r="P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 s="44">
        <v>3.98</v>
      </c>
      <c r="AD190"/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 s="44">
        <v>3.98</v>
      </c>
      <c r="AL190"/>
      <c r="AM190" s="44">
        <v>3.98</v>
      </c>
      <c r="AN190" s="44">
        <v>3.98</v>
      </c>
      <c r="AO190" s="44">
        <v>3.98</v>
      </c>
      <c r="AP190" s="44">
        <v>3.98</v>
      </c>
      <c r="AQ190"/>
      <c r="AR190" s="44">
        <v>3.98</v>
      </c>
      <c r="AS190"/>
      <c r="AT190"/>
      <c r="AU190" s="44">
        <v>3.98</v>
      </c>
    </row>
    <row r="191" spans="1:47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58"/>
      <c r="J191" s="44">
        <v>1</v>
      </c>
      <c r="L191" s="44">
        <v>1</v>
      </c>
      <c r="M191" s="44"/>
      <c r="N191" s="44">
        <v>1</v>
      </c>
      <c r="O191" s="44">
        <v>1</v>
      </c>
      <c r="P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 s="44">
        <v>1</v>
      </c>
      <c r="AD191"/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 s="44">
        <v>1</v>
      </c>
      <c r="AL191"/>
      <c r="AM191" s="44">
        <v>1</v>
      </c>
      <c r="AN191" s="44">
        <v>1</v>
      </c>
      <c r="AO191" s="44">
        <v>1</v>
      </c>
      <c r="AP191" s="44">
        <v>1</v>
      </c>
      <c r="AQ191"/>
      <c r="AR191" s="44">
        <v>1</v>
      </c>
      <c r="AS191"/>
      <c r="AT191"/>
      <c r="AU191" s="44">
        <v>1</v>
      </c>
    </row>
    <row r="192" spans="1:47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58"/>
      <c r="J192" s="44">
        <v>8.3333333333333331E-5</v>
      </c>
      <c r="L192" s="44">
        <v>8.3333333333333331E-5</v>
      </c>
      <c r="M192" s="44"/>
      <c r="N192" s="44">
        <v>8.3333333333333331E-5</v>
      </c>
      <c r="O192" s="44">
        <v>8.3333333333333331E-5</v>
      </c>
      <c r="P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 s="44">
        <v>8.3333333333333331E-5</v>
      </c>
      <c r="AD192"/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 s="44">
        <v>8.3333333333333331E-5</v>
      </c>
      <c r="AL192"/>
      <c r="AM192" s="44">
        <v>8.3333333333333331E-5</v>
      </c>
      <c r="AN192" s="44">
        <v>8.3333333333333331E-5</v>
      </c>
      <c r="AO192" s="44">
        <v>8.3333333333333331E-5</v>
      </c>
      <c r="AP192" s="44">
        <v>8.3333333333333331E-5</v>
      </c>
      <c r="AQ192"/>
      <c r="AR192" s="44">
        <v>8.3333333333333331E-5</v>
      </c>
      <c r="AS192"/>
      <c r="AT192"/>
      <c r="AU192" s="44">
        <v>8.3333333333333331E-5</v>
      </c>
    </row>
    <row r="193" spans="1:55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58"/>
      <c r="J193" s="44">
        <v>3.9999999999999998E-7</v>
      </c>
      <c r="L193" s="44">
        <v>3.9999999999999998E-7</v>
      </c>
      <c r="M193" s="44"/>
      <c r="N193" s="44">
        <v>3.9999999999999998E-7</v>
      </c>
      <c r="O193" s="44">
        <v>3.9999999999999998E-7</v>
      </c>
      <c r="P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 s="44">
        <v>3.9999999999999998E-7</v>
      </c>
      <c r="AD193"/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 s="44">
        <v>3.9999999999999998E-7</v>
      </c>
      <c r="AL193"/>
      <c r="AM193" s="44">
        <v>3.9999999999999998E-7</v>
      </c>
      <c r="AN193" s="44">
        <v>3.9999999999999998E-7</v>
      </c>
      <c r="AO193" s="44">
        <v>3.9999999999999998E-7</v>
      </c>
      <c r="AP193" s="44">
        <v>3.9999999999999998E-7</v>
      </c>
      <c r="AQ193"/>
      <c r="AR193" s="44">
        <v>3.9999999999999998E-7</v>
      </c>
      <c r="AS193"/>
      <c r="AT193"/>
      <c r="AU193" s="44">
        <v>3.9999999999999998E-7</v>
      </c>
    </row>
    <row r="194" spans="1:55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58"/>
      <c r="J194" s="44">
        <v>25</v>
      </c>
      <c r="L194" s="44">
        <v>25</v>
      </c>
      <c r="M194" s="44"/>
      <c r="N194" s="44">
        <v>25</v>
      </c>
      <c r="O194" s="44">
        <v>25</v>
      </c>
      <c r="P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 s="44">
        <v>25</v>
      </c>
      <c r="AD194"/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 s="44">
        <v>25</v>
      </c>
      <c r="AL194"/>
      <c r="AM194" s="44">
        <v>25</v>
      </c>
      <c r="AN194" s="44">
        <v>25</v>
      </c>
      <c r="AO194" s="44">
        <v>25</v>
      </c>
      <c r="AP194" s="44">
        <v>25</v>
      </c>
      <c r="AQ194"/>
      <c r="AR194" s="44">
        <v>25</v>
      </c>
      <c r="AS194"/>
      <c r="AT194"/>
      <c r="AU194" s="44">
        <v>25</v>
      </c>
    </row>
    <row r="195" spans="1:55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58"/>
      <c r="J195" s="44">
        <v>0</v>
      </c>
      <c r="L195" s="44">
        <v>0</v>
      </c>
      <c r="M195" s="44"/>
      <c r="N195" s="44">
        <v>0</v>
      </c>
      <c r="O195" s="44">
        <v>0</v>
      </c>
      <c r="P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 s="44">
        <v>0</v>
      </c>
      <c r="AD195"/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 s="44">
        <v>0</v>
      </c>
      <c r="AL195"/>
      <c r="AM195" s="44">
        <v>0</v>
      </c>
      <c r="AN195" s="44">
        <v>0</v>
      </c>
      <c r="AO195" s="44">
        <v>0</v>
      </c>
      <c r="AP195" s="44">
        <v>0</v>
      </c>
      <c r="AQ195"/>
      <c r="AR195" s="44">
        <v>0</v>
      </c>
      <c r="AS195"/>
      <c r="AT195"/>
      <c r="AU195" s="44">
        <v>0</v>
      </c>
    </row>
    <row r="196" spans="1:55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58"/>
      <c r="J196" s="44">
        <v>3.98</v>
      </c>
      <c r="L196" s="44">
        <v>3.98</v>
      </c>
      <c r="M196" s="44"/>
      <c r="N196" s="44">
        <v>3.98</v>
      </c>
      <c r="O196" s="44">
        <v>3.98</v>
      </c>
      <c r="P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 s="44">
        <v>3.98</v>
      </c>
      <c r="AD196"/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 s="44">
        <v>3.98</v>
      </c>
      <c r="AL196"/>
      <c r="AM196" s="44">
        <v>3.98</v>
      </c>
      <c r="AN196" s="44">
        <v>3.98</v>
      </c>
      <c r="AO196" s="44">
        <v>3.98</v>
      </c>
      <c r="AP196" s="44">
        <v>3.98</v>
      </c>
      <c r="AQ196"/>
      <c r="AR196" s="44">
        <v>3.98</v>
      </c>
      <c r="AS196"/>
      <c r="AT196"/>
      <c r="AU196" s="44">
        <v>3.98</v>
      </c>
    </row>
    <row r="197" spans="1:55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58"/>
      <c r="J197" s="44">
        <v>1</v>
      </c>
      <c r="L197" s="44">
        <v>1</v>
      </c>
      <c r="M197" s="44"/>
      <c r="N197" s="44">
        <v>1</v>
      </c>
      <c r="O197" s="44">
        <v>1</v>
      </c>
      <c r="P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 s="44">
        <v>1</v>
      </c>
      <c r="AD197"/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 s="44">
        <v>1</v>
      </c>
      <c r="AL197"/>
      <c r="AM197" s="44">
        <v>1</v>
      </c>
      <c r="AN197" s="44">
        <v>1</v>
      </c>
      <c r="AO197" s="44">
        <v>1</v>
      </c>
      <c r="AP197" s="44">
        <v>1</v>
      </c>
      <c r="AQ197"/>
      <c r="AR197" s="44">
        <v>1</v>
      </c>
      <c r="AS197"/>
      <c r="AT197"/>
      <c r="AU197" s="44">
        <v>1</v>
      </c>
    </row>
    <row r="198" spans="1:55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58"/>
      <c r="J198" s="44">
        <v>8.3333333333333331E-5</v>
      </c>
      <c r="L198" s="44">
        <v>8.3333333333333331E-5</v>
      </c>
      <c r="M198" s="44"/>
      <c r="N198" s="44">
        <v>8.3333333333333331E-5</v>
      </c>
      <c r="O198" s="44">
        <v>8.3333333333333331E-5</v>
      </c>
      <c r="P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 s="44">
        <v>8.3333333333333331E-5</v>
      </c>
      <c r="AD198"/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 s="44">
        <v>8.3333333333333331E-5</v>
      </c>
      <c r="AL198"/>
      <c r="AM198" s="44">
        <v>8.3333333333333331E-5</v>
      </c>
      <c r="AN198" s="44">
        <v>8.3333333333333331E-5</v>
      </c>
      <c r="AO198" s="44">
        <v>8.3333333333333331E-5</v>
      </c>
      <c r="AP198" s="44">
        <v>8.3333333333333331E-5</v>
      </c>
      <c r="AQ198"/>
      <c r="AR198" s="44">
        <v>8.3333333333333331E-5</v>
      </c>
      <c r="AS198"/>
      <c r="AT198"/>
      <c r="AU198" s="44">
        <v>8.3333333333333331E-5</v>
      </c>
    </row>
    <row r="199" spans="1:55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58"/>
      <c r="J199" s="44">
        <v>1.9999999999999999E-7</v>
      </c>
      <c r="L199" s="44">
        <v>1.9999999999999999E-7</v>
      </c>
      <c r="M199" s="44"/>
      <c r="N199" s="44">
        <v>1.9999999999999999E-7</v>
      </c>
      <c r="O199" s="44">
        <v>1.9999999999999999E-7</v>
      </c>
      <c r="P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 s="44">
        <v>1.9999999999999999E-7</v>
      </c>
      <c r="AD199"/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 s="44">
        <v>1.9999999999999999E-7</v>
      </c>
      <c r="AL199"/>
      <c r="AM199" s="44">
        <v>1.9999999999999999E-7</v>
      </c>
      <c r="AN199" s="44">
        <v>1.9999999999999999E-7</v>
      </c>
      <c r="AO199" s="44">
        <v>1.9999999999999999E-7</v>
      </c>
      <c r="AP199" s="44">
        <v>1.9999999999999999E-7</v>
      </c>
      <c r="AQ199"/>
      <c r="AR199" s="44">
        <v>1.9999999999999999E-7</v>
      </c>
      <c r="AS199"/>
      <c r="AT199"/>
      <c r="AU199" s="44">
        <v>1.9999999999999999E-7</v>
      </c>
    </row>
    <row r="200" spans="1:55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58"/>
      <c r="J200" s="44">
        <v>25</v>
      </c>
      <c r="L200" s="44">
        <v>25</v>
      </c>
      <c r="M200" s="44"/>
      <c r="N200" s="44">
        <v>25</v>
      </c>
      <c r="O200" s="44">
        <v>25</v>
      </c>
      <c r="P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 s="44">
        <v>25</v>
      </c>
      <c r="AD200"/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 s="44">
        <v>25</v>
      </c>
      <c r="AL200"/>
      <c r="AM200" s="44">
        <v>25</v>
      </c>
      <c r="AN200" s="44">
        <v>25</v>
      </c>
      <c r="AO200" s="44">
        <v>25</v>
      </c>
      <c r="AP200" s="44">
        <v>25</v>
      </c>
      <c r="AQ200"/>
      <c r="AR200" s="44">
        <v>25</v>
      </c>
      <c r="AS200"/>
      <c r="AT200"/>
      <c r="AU200" s="44">
        <v>25</v>
      </c>
    </row>
    <row r="201" spans="1:55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58"/>
      <c r="J201" s="44">
        <v>0</v>
      </c>
      <c r="L201" s="44">
        <v>0</v>
      </c>
      <c r="M201" s="44"/>
      <c r="N201" s="44">
        <v>0</v>
      </c>
      <c r="O201" s="44">
        <v>0</v>
      </c>
      <c r="P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 s="44">
        <v>0</v>
      </c>
      <c r="AD201"/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 s="44">
        <v>0</v>
      </c>
      <c r="AL201"/>
      <c r="AM201" s="44">
        <v>0</v>
      </c>
      <c r="AN201" s="44">
        <v>0</v>
      </c>
      <c r="AO201" s="44">
        <v>0</v>
      </c>
      <c r="AP201" s="44">
        <v>0</v>
      </c>
      <c r="AQ201"/>
      <c r="AR201" s="44">
        <v>0</v>
      </c>
      <c r="AS201"/>
      <c r="AT201"/>
      <c r="AU201" s="44">
        <v>0</v>
      </c>
    </row>
    <row r="202" spans="1:55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58"/>
      <c r="J202" s="44">
        <v>3.98</v>
      </c>
      <c r="L202" s="44">
        <v>3.98</v>
      </c>
      <c r="M202" s="44"/>
      <c r="N202" s="44">
        <v>3.98</v>
      </c>
      <c r="O202" s="44">
        <v>3.98</v>
      </c>
      <c r="P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 s="44">
        <v>3.98</v>
      </c>
      <c r="AD202"/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 s="44">
        <v>3.98</v>
      </c>
      <c r="AL202"/>
      <c r="AM202" s="44">
        <v>3.98</v>
      </c>
      <c r="AN202" s="44">
        <v>3.98</v>
      </c>
      <c r="AO202" s="44">
        <v>3.98</v>
      </c>
      <c r="AP202" s="44">
        <v>3.98</v>
      </c>
      <c r="AQ202"/>
      <c r="AR202" s="44">
        <v>3.98</v>
      </c>
      <c r="AS202"/>
      <c r="AT202"/>
      <c r="AU202" s="44">
        <v>3.98</v>
      </c>
    </row>
    <row r="203" spans="1:55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58"/>
      <c r="J203" s="44">
        <v>1</v>
      </c>
      <c r="L203" s="44">
        <v>1</v>
      </c>
      <c r="M203" s="44"/>
      <c r="N203" s="44">
        <v>1</v>
      </c>
      <c r="O203" s="44">
        <v>1</v>
      </c>
      <c r="P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 s="44">
        <v>1</v>
      </c>
      <c r="AD203"/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 s="44">
        <v>1</v>
      </c>
      <c r="AL203"/>
      <c r="AM203" s="44">
        <v>1</v>
      </c>
      <c r="AN203" s="44">
        <v>1</v>
      </c>
      <c r="AO203" s="44">
        <v>1</v>
      </c>
      <c r="AP203" s="44">
        <v>1</v>
      </c>
      <c r="AQ203"/>
      <c r="AR203" s="44">
        <v>1</v>
      </c>
      <c r="AS203"/>
      <c r="AT203"/>
      <c r="AU203" s="44">
        <v>1</v>
      </c>
    </row>
    <row r="204" spans="1:55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58"/>
      <c r="J204" s="44">
        <v>8.3333333333333331E-5</v>
      </c>
      <c r="L204" s="44">
        <v>8.3333333333333331E-5</v>
      </c>
      <c r="M204" s="44"/>
      <c r="N204" s="44">
        <v>8.3333333333333331E-5</v>
      </c>
      <c r="O204" s="44">
        <v>8.3333333333333331E-5</v>
      </c>
      <c r="P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 s="44">
        <v>8.3333333333333331E-5</v>
      </c>
      <c r="AD204"/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 s="44">
        <v>8.3333333333333331E-5</v>
      </c>
      <c r="AL204"/>
      <c r="AM204" s="44">
        <v>8.3333333333333331E-5</v>
      </c>
      <c r="AN204" s="44">
        <v>8.3333333333333331E-5</v>
      </c>
      <c r="AO204" s="44">
        <v>8.3333333333333331E-5</v>
      </c>
      <c r="AP204" s="44">
        <v>8.3333333333333331E-5</v>
      </c>
      <c r="AQ204"/>
      <c r="AR204" s="44">
        <v>8.3333333333333331E-5</v>
      </c>
      <c r="AS204"/>
      <c r="AT204"/>
      <c r="AU204" s="44">
        <v>8.3333333333333331E-5</v>
      </c>
    </row>
    <row r="205" spans="1:55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58"/>
      <c r="J205" s="44" t="s">
        <v>89</v>
      </c>
      <c r="L205" s="44" t="s">
        <v>89</v>
      </c>
      <c r="M205" s="44"/>
      <c r="N205" s="44" t="s">
        <v>89</v>
      </c>
      <c r="O205" s="44" t="s">
        <v>89</v>
      </c>
      <c r="P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 s="44" t="s">
        <v>89</v>
      </c>
      <c r="AD205"/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 s="44" t="s">
        <v>89</v>
      </c>
      <c r="AL205"/>
      <c r="AM205" s="44" t="s">
        <v>89</v>
      </c>
      <c r="AN205" s="44" t="s">
        <v>89</v>
      </c>
      <c r="AO205" s="44" t="s">
        <v>89</v>
      </c>
      <c r="AP205" s="44" t="s">
        <v>89</v>
      </c>
      <c r="AQ205"/>
      <c r="AR205" s="44" t="s">
        <v>89</v>
      </c>
      <c r="AS205"/>
      <c r="AT205"/>
      <c r="AU205" s="44" t="s">
        <v>89</v>
      </c>
    </row>
    <row r="206" spans="1:55" x14ac:dyDescent="0.25">
      <c r="A206" s="2" t="s">
        <v>534</v>
      </c>
      <c r="B206" s="3" t="s">
        <v>473</v>
      </c>
      <c r="C206" s="3" t="s">
        <v>580</v>
      </c>
      <c r="D206" s="3" t="s">
        <v>581</v>
      </c>
      <c r="E206" s="30" t="s">
        <v>537</v>
      </c>
      <c r="F206" s="30" t="s">
        <v>536</v>
      </c>
      <c r="G206" s="44">
        <f>0.00002</f>
        <v>2.0000000000000002E-5</v>
      </c>
      <c r="I206" s="58"/>
      <c r="J206" s="44">
        <f>0.0000005*0.4285*10/2.028*4</f>
        <v>4.2258382642998024E-6</v>
      </c>
      <c r="L206" s="44">
        <f>0.0000005*0.4285*10/2.028*4</f>
        <v>4.2258382642998024E-6</v>
      </c>
      <c r="M206" s="44"/>
      <c r="N206" s="44">
        <f t="shared" ref="N206:AU206" si="13">0.00002</f>
        <v>2.0000000000000002E-5</v>
      </c>
      <c r="O206" s="44">
        <f t="shared" si="13"/>
        <v>2.0000000000000002E-5</v>
      </c>
      <c r="P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 s="44">
        <f t="shared" si="13"/>
        <v>2.0000000000000002E-5</v>
      </c>
      <c r="AD206"/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 s="44">
        <f t="shared" si="13"/>
        <v>2.0000000000000002E-5</v>
      </c>
      <c r="AL206"/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 s="44">
        <f t="shared" si="13"/>
        <v>2.0000000000000002E-5</v>
      </c>
      <c r="AQ206"/>
      <c r="AR206" s="44">
        <f t="shared" si="13"/>
        <v>2.0000000000000002E-5</v>
      </c>
      <c r="AS206"/>
      <c r="AT206"/>
      <c r="AU206" s="44">
        <f t="shared" si="13"/>
        <v>2.0000000000000002E-5</v>
      </c>
      <c r="AV206" s="1"/>
      <c r="AW206" s="1"/>
      <c r="AX206" s="1"/>
      <c r="AY206" s="1"/>
      <c r="AZ206" s="1"/>
      <c r="BA206" s="1"/>
      <c r="BB206" s="1"/>
      <c r="BC206" s="1"/>
    </row>
    <row r="207" spans="1:55" x14ac:dyDescent="0.25">
      <c r="A207" s="2" t="s">
        <v>533</v>
      </c>
      <c r="B207" s="3" t="s">
        <v>473</v>
      </c>
      <c r="C207" s="3" t="s">
        <v>580</v>
      </c>
      <c r="D207" s="3" t="s">
        <v>581</v>
      </c>
      <c r="E207" s="30" t="s">
        <v>538</v>
      </c>
      <c r="F207" s="30" t="s">
        <v>539</v>
      </c>
      <c r="G207" s="44">
        <v>0.3</v>
      </c>
      <c r="I207" s="58"/>
      <c r="J207" s="44">
        <v>0.25</v>
      </c>
      <c r="L207" s="44">
        <v>0.25</v>
      </c>
      <c r="M207" s="44"/>
      <c r="N207" s="44">
        <v>0.3</v>
      </c>
      <c r="O207" s="44">
        <v>0.3</v>
      </c>
      <c r="P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 s="44">
        <v>0.3</v>
      </c>
      <c r="AD207"/>
      <c r="AE207" s="44">
        <v>0.3</v>
      </c>
      <c r="AF207" s="44">
        <v>0.3</v>
      </c>
      <c r="AG207" s="44">
        <v>0.3</v>
      </c>
      <c r="AH207" s="44">
        <v>0.3</v>
      </c>
      <c r="AI207" s="44">
        <v>0.15</v>
      </c>
      <c r="AJ207" s="44">
        <v>0.15</v>
      </c>
      <c r="AK207" s="44">
        <v>0.15</v>
      </c>
      <c r="AL207"/>
      <c r="AM207" s="44">
        <v>0.15</v>
      </c>
      <c r="AN207" s="44">
        <v>0.15</v>
      </c>
      <c r="AO207" s="44">
        <v>0.15</v>
      </c>
      <c r="AP207" s="44">
        <v>0.15</v>
      </c>
      <c r="AQ207"/>
      <c r="AR207" s="44">
        <v>0.15</v>
      </c>
      <c r="AS207"/>
      <c r="AT207"/>
      <c r="AU207" s="44">
        <v>0.3</v>
      </c>
      <c r="AV207" s="51"/>
      <c r="AW207" s="51"/>
      <c r="AX207" s="51"/>
      <c r="AY207" s="51"/>
      <c r="AZ207" s="51"/>
      <c r="BA207" s="51"/>
      <c r="BB207" s="51"/>
      <c r="BC207" s="51"/>
    </row>
    <row r="208" spans="1:55" x14ac:dyDescent="0.25">
      <c r="A208" s="2" t="s">
        <v>535</v>
      </c>
      <c r="B208" s="3" t="s">
        <v>473</v>
      </c>
      <c r="C208" s="3" t="s">
        <v>580</v>
      </c>
      <c r="D208" s="3" t="s">
        <v>581</v>
      </c>
      <c r="E208" s="50" t="s">
        <v>488</v>
      </c>
      <c r="F208" s="50" t="s">
        <v>487</v>
      </c>
      <c r="G208" s="44">
        <f t="shared" ref="G208:AU208" si="14">0.00002 / 14</f>
        <v>1.4285714285714286E-6</v>
      </c>
      <c r="I208" s="58"/>
      <c r="J208" s="44">
        <f t="shared" si="14"/>
        <v>1.4285714285714286E-6</v>
      </c>
      <c r="L208" s="44">
        <f t="shared" si="14"/>
        <v>1.4285714285714286E-6</v>
      </c>
      <c r="M208" s="44"/>
      <c r="N208" s="44">
        <f t="shared" si="14"/>
        <v>1.4285714285714286E-6</v>
      </c>
      <c r="O208" s="44">
        <v>2E-3</v>
      </c>
      <c r="P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 s="44">
        <f t="shared" si="14"/>
        <v>1.4285714285714286E-6</v>
      </c>
      <c r="AD208"/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 s="44">
        <f t="shared" si="14"/>
        <v>1.4285714285714286E-6</v>
      </c>
      <c r="AL208"/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 s="44">
        <f t="shared" si="14"/>
        <v>1.4285714285714286E-6</v>
      </c>
      <c r="AQ208"/>
      <c r="AR208" s="44">
        <v>2E-3</v>
      </c>
      <c r="AS208"/>
      <c r="AT208"/>
      <c r="AU208" s="44">
        <f t="shared" si="14"/>
        <v>1.4285714285714286E-6</v>
      </c>
      <c r="AV208" s="37"/>
      <c r="AW208" s="37"/>
      <c r="AX208" s="37"/>
      <c r="AY208" s="37"/>
      <c r="AZ208" s="37"/>
      <c r="BA208" s="37"/>
      <c r="BB208" s="37"/>
      <c r="BC208" s="37"/>
    </row>
    <row r="209" spans="1:70" x14ac:dyDescent="0.25">
      <c r="A209" s="2" t="s">
        <v>489</v>
      </c>
      <c r="B209" s="3" t="s">
        <v>473</v>
      </c>
      <c r="C209" s="3" t="s">
        <v>580</v>
      </c>
      <c r="D209" s="3" t="s">
        <v>581</v>
      </c>
      <c r="E209" s="50" t="s">
        <v>490</v>
      </c>
      <c r="F209" s="50" t="s">
        <v>491</v>
      </c>
      <c r="G209" s="44" t="s">
        <v>485</v>
      </c>
      <c r="I209" s="58"/>
      <c r="J209" s="44" t="s">
        <v>485</v>
      </c>
      <c r="L209" s="44" t="s">
        <v>485</v>
      </c>
      <c r="M209" s="44"/>
      <c r="N209" s="44" t="s">
        <v>485</v>
      </c>
      <c r="O209" s="44">
        <v>0.1</v>
      </c>
      <c r="P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/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 s="44" t="s">
        <v>485</v>
      </c>
      <c r="AL209"/>
      <c r="AM209" s="44" t="s">
        <v>485</v>
      </c>
      <c r="AN209" s="44" t="s">
        <v>485</v>
      </c>
      <c r="AO209" s="44" t="s">
        <v>485</v>
      </c>
      <c r="AP209" s="44" t="s">
        <v>485</v>
      </c>
      <c r="AQ209"/>
      <c r="AR209" s="44">
        <v>0.1</v>
      </c>
      <c r="AS209"/>
      <c r="AT209"/>
      <c r="AU209" s="44" t="s">
        <v>485</v>
      </c>
      <c r="AV209" s="37"/>
      <c r="AW209" s="37"/>
      <c r="AX209" s="37"/>
      <c r="AY209" s="37"/>
      <c r="AZ209" s="37"/>
      <c r="BA209" s="37"/>
      <c r="BB209" s="37"/>
      <c r="BC209" s="37"/>
    </row>
    <row r="210" spans="1:70" x14ac:dyDescent="0.25">
      <c r="A210" s="2" t="s">
        <v>492</v>
      </c>
      <c r="B210" s="3" t="s">
        <v>473</v>
      </c>
      <c r="C210" s="3" t="s">
        <v>580</v>
      </c>
      <c r="D210" s="3" t="s">
        <v>581</v>
      </c>
      <c r="E210" s="50" t="s">
        <v>493</v>
      </c>
      <c r="F210" s="50" t="s">
        <v>491</v>
      </c>
      <c r="G210" s="44">
        <v>0</v>
      </c>
      <c r="I210" s="58"/>
      <c r="J210" s="44">
        <v>0</v>
      </c>
      <c r="L210" s="44">
        <v>0</v>
      </c>
      <c r="M210" s="44"/>
      <c r="N210" s="44">
        <v>0</v>
      </c>
      <c r="O210" s="44">
        <v>0.04</v>
      </c>
      <c r="P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/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 s="44">
        <v>0</v>
      </c>
      <c r="AL210"/>
      <c r="AM210" s="44">
        <v>0</v>
      </c>
      <c r="AN210" s="44">
        <v>0</v>
      </c>
      <c r="AO210" s="44">
        <v>0</v>
      </c>
      <c r="AP210" s="44">
        <v>0</v>
      </c>
      <c r="AQ210"/>
      <c r="AR210" s="44">
        <v>0.04</v>
      </c>
      <c r="AS210"/>
      <c r="AT210"/>
      <c r="AU210" s="44">
        <v>0</v>
      </c>
      <c r="AV210" s="37"/>
      <c r="AW210" s="37"/>
      <c r="AX210" s="37"/>
      <c r="AY210" s="37"/>
      <c r="AZ210" s="37"/>
      <c r="BA210" s="37"/>
      <c r="BB210" s="37"/>
      <c r="BC210" s="37"/>
    </row>
    <row r="211" spans="1:70" x14ac:dyDescent="0.25">
      <c r="A211" s="2" t="s">
        <v>494</v>
      </c>
      <c r="B211" s="3" t="s">
        <v>473</v>
      </c>
      <c r="C211" s="3" t="s">
        <v>580</v>
      </c>
      <c r="D211" s="3" t="s">
        <v>581</v>
      </c>
      <c r="E211" s="50" t="s">
        <v>495</v>
      </c>
      <c r="F211" s="50" t="s">
        <v>491</v>
      </c>
      <c r="G211" s="44">
        <v>1E-3</v>
      </c>
      <c r="I211" s="58"/>
      <c r="J211" s="44">
        <v>1E-3</v>
      </c>
      <c r="L211" s="44">
        <v>1E-3</v>
      </c>
      <c r="M211" s="44"/>
      <c r="N211" s="44">
        <v>1E-3</v>
      </c>
      <c r="O211" s="44">
        <v>1E-3</v>
      </c>
      <c r="P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/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 s="44">
        <v>1E-3</v>
      </c>
      <c r="AL211"/>
      <c r="AM211" s="44">
        <v>1E-3</v>
      </c>
      <c r="AN211" s="44">
        <v>1E-3</v>
      </c>
      <c r="AO211" s="44">
        <v>1E-3</v>
      </c>
      <c r="AP211" s="44">
        <v>1E-3</v>
      </c>
      <c r="AQ211"/>
      <c r="AR211" s="44">
        <v>1E-3</v>
      </c>
      <c r="AS211"/>
      <c r="AT211"/>
      <c r="AU211" s="44">
        <v>1E-3</v>
      </c>
      <c r="AV211" s="37"/>
      <c r="AW211" s="37"/>
      <c r="AX211" s="37"/>
      <c r="AY211" s="37"/>
      <c r="AZ211" s="37"/>
      <c r="BA211" s="37"/>
      <c r="BB211" s="37"/>
      <c r="BC211" s="37"/>
    </row>
    <row r="212" spans="1:70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58"/>
      <c r="J212" s="44">
        <f t="shared" ref="J212:AU212" si="15">1250*0.000001/5</f>
        <v>2.5000000000000001E-4</v>
      </c>
      <c r="L212" s="44">
        <f t="shared" si="15"/>
        <v>2.5000000000000001E-4</v>
      </c>
      <c r="M212" s="44"/>
      <c r="N212" s="44">
        <f t="shared" si="15"/>
        <v>2.5000000000000001E-4</v>
      </c>
      <c r="O212" s="44">
        <f t="shared" si="15"/>
        <v>2.5000000000000001E-4</v>
      </c>
      <c r="P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 s="44">
        <f t="shared" si="15"/>
        <v>2.5000000000000001E-4</v>
      </c>
      <c r="AD212"/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 s="44">
        <f t="shared" si="15"/>
        <v>2.5000000000000001E-4</v>
      </c>
      <c r="AL212"/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 s="44">
        <f t="shared" si="15"/>
        <v>2.5000000000000001E-4</v>
      </c>
      <c r="AQ212"/>
      <c r="AR212" s="44">
        <f t="shared" si="15"/>
        <v>2.5000000000000001E-4</v>
      </c>
      <c r="AS212"/>
      <c r="AT212"/>
      <c r="AU212" s="44">
        <f t="shared" si="15"/>
        <v>2.5000000000000001E-4</v>
      </c>
      <c r="AV212" s="51"/>
      <c r="AW212" s="51"/>
      <c r="AX212" s="51"/>
      <c r="AY212" s="51"/>
      <c r="AZ212" s="51"/>
      <c r="BA212" s="51"/>
      <c r="BB212" s="51"/>
      <c r="BC212" s="51"/>
    </row>
    <row r="213" spans="1:70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58"/>
      <c r="J213" s="44">
        <v>2.0000000000000001E-4</v>
      </c>
      <c r="L213" s="44">
        <v>2.0000000000000001E-4</v>
      </c>
      <c r="M213" s="44"/>
      <c r="N213" s="44">
        <v>2.0000000000000001E-4</v>
      </c>
      <c r="O213" s="44">
        <v>2.0000000000000001E-4</v>
      </c>
      <c r="P213" s="44">
        <v>2.0000000000000001E-4</v>
      </c>
      <c r="Q213" s="1">
        <f>44.4365413894298/21.9053373</f>
        <v>2.0285714290019081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 s="44">
        <v>2.0000000000000001E-4</v>
      </c>
      <c r="AD213"/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 s="44">
        <v>2.0000000000000001E-4</v>
      </c>
      <c r="AL213"/>
      <c r="AM213" s="44">
        <v>2.0000000000000001E-4</v>
      </c>
      <c r="AN213" s="44">
        <v>2.0000000000000001E-4</v>
      </c>
      <c r="AO213" s="44">
        <v>2.0000000000000001E-4</v>
      </c>
      <c r="AP213" s="44">
        <v>2.0000000000000001E-4</v>
      </c>
      <c r="AQ213"/>
      <c r="AR213" s="44">
        <v>2.0000000000000001E-4</v>
      </c>
      <c r="AS213"/>
      <c r="AT213"/>
      <c r="AU213" s="44">
        <v>2.0000000000000001E-4</v>
      </c>
      <c r="AV213" s="51"/>
      <c r="AW213" s="51"/>
      <c r="AX213" s="51"/>
      <c r="AY213" s="51"/>
      <c r="AZ213" s="51"/>
      <c r="BA213" s="51"/>
      <c r="BB213" s="51"/>
      <c r="BC213" s="51"/>
    </row>
    <row r="214" spans="1:70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 * 10</f>
        <v>2.4999999999999998E-11</v>
      </c>
      <c r="J214" s="44">
        <f>0.0000000000025/50</f>
        <v>4.9999999999999995E-14</v>
      </c>
      <c r="K214" s="1" t="s">
        <v>602</v>
      </c>
      <c r="L214" s="44">
        <f>0.0000000000025/50</f>
        <v>4.9999999999999995E-14</v>
      </c>
      <c r="M214" s="44"/>
      <c r="N214" s="44">
        <v>2.4999999999999999E-13</v>
      </c>
      <c r="O214" s="44">
        <v>2.4999999999999999E-13</v>
      </c>
      <c r="P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 s="44">
        <v>2.4999999999999999E-13</v>
      </c>
      <c r="AD214"/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 s="44">
        <v>2.4999999999999999E-13</v>
      </c>
      <c r="AL214"/>
      <c r="AM214" s="44">
        <v>2.4999999999999999E-13</v>
      </c>
      <c r="AN214" s="44">
        <v>2.4999999999999999E-13</v>
      </c>
      <c r="AO214" s="44">
        <v>2.4999999999999999E-13</v>
      </c>
      <c r="AP214" s="44">
        <v>2.4999999999999999E-13</v>
      </c>
      <c r="AQ214"/>
      <c r="AR214" s="44">
        <v>2.4999999999999999E-13</v>
      </c>
      <c r="AS214"/>
      <c r="AT214"/>
      <c r="AU214" s="44">
        <v>2.4999999999999999E-13</v>
      </c>
      <c r="AV214" s="51"/>
      <c r="AW214" s="51"/>
      <c r="AX214" s="51"/>
      <c r="AY214" s="51"/>
      <c r="AZ214" s="51"/>
      <c r="BA214" s="51"/>
      <c r="BB214" s="51"/>
      <c r="BC214" s="51"/>
    </row>
    <row r="215" spans="1:70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58"/>
      <c r="J215" s="44">
        <f>0.00000000005*2 / 10 / 2</f>
        <v>5.0000000000000005E-12</v>
      </c>
      <c r="L215" s="44">
        <f>0.00000000005*2 / 10 / 2</f>
        <v>5.0000000000000005E-12</v>
      </c>
      <c r="M215" s="44"/>
      <c r="N215" s="44">
        <f t="shared" ref="N215:AR215" si="16">0.00000012*100</f>
        <v>1.1999999999999999E-5</v>
      </c>
      <c r="O215" s="44">
        <f t="shared" si="16"/>
        <v>1.1999999999999999E-5</v>
      </c>
      <c r="P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 s="44">
        <f t="shared" si="16"/>
        <v>1.1999999999999999E-5</v>
      </c>
      <c r="AD215"/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 s="44">
        <f t="shared" si="16"/>
        <v>1.1999999999999999E-5</v>
      </c>
      <c r="AL215"/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 s="44">
        <f t="shared" si="16"/>
        <v>1.1999999999999999E-5</v>
      </c>
      <c r="AQ215"/>
      <c r="AR215" s="44">
        <f t="shared" si="16"/>
        <v>1.1999999999999999E-5</v>
      </c>
      <c r="AS215"/>
      <c r="AT215"/>
      <c r="AU215" s="44">
        <f>0.00000012*100</f>
        <v>1.1999999999999999E-5</v>
      </c>
      <c r="AV215" s="51"/>
      <c r="AW215" s="51"/>
      <c r="AX215" s="51"/>
      <c r="AY215" s="51"/>
      <c r="AZ215" s="51"/>
      <c r="BA215" s="51"/>
      <c r="BB215" s="51"/>
      <c r="BC215" s="51"/>
    </row>
    <row r="216" spans="1:70" x14ac:dyDescent="0.25">
      <c r="A216" s="2" t="s">
        <v>573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511</v>
      </c>
      <c r="G216" s="44"/>
      <c r="I216" s="58"/>
      <c r="J216" s="44">
        <f>0</f>
        <v>0</v>
      </c>
      <c r="L216" s="44">
        <f>0</f>
        <v>0</v>
      </c>
      <c r="M216" s="44"/>
      <c r="N216" s="44"/>
      <c r="O216" s="44"/>
      <c r="P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/>
      <c r="AR216" s="44"/>
      <c r="AS216"/>
      <c r="AT216"/>
      <c r="AU216" s="44"/>
      <c r="AV216" s="51"/>
      <c r="AW216" s="51"/>
      <c r="AX216" s="51"/>
      <c r="AY216" s="51"/>
      <c r="AZ216" s="51"/>
      <c r="BA216" s="51"/>
      <c r="BB216" s="51"/>
      <c r="BC216" s="51"/>
    </row>
    <row r="217" spans="1:70" x14ac:dyDescent="0.25">
      <c r="A217" s="2" t="s">
        <v>574</v>
      </c>
      <c r="B217" s="3" t="s">
        <v>473</v>
      </c>
      <c r="C217" s="3" t="s">
        <v>483</v>
      </c>
      <c r="D217" s="3" t="s">
        <v>521</v>
      </c>
      <c r="E217" s="50" t="s">
        <v>577</v>
      </c>
      <c r="F217" s="50" t="s">
        <v>487</v>
      </c>
      <c r="G217" s="44"/>
      <c r="I217" s="58"/>
      <c r="J217" s="44">
        <f>100</f>
        <v>100</v>
      </c>
      <c r="L217" s="44">
        <f>100</f>
        <v>100</v>
      </c>
      <c r="M217" s="44"/>
      <c r="N217" s="44"/>
      <c r="O217" s="44"/>
      <c r="P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/>
      <c r="AE217" s="44"/>
      <c r="AF217" s="44"/>
      <c r="AG217" s="44"/>
      <c r="AH217" s="44"/>
      <c r="AI217" s="44"/>
      <c r="AJ217" s="44"/>
      <c r="AK217" s="44"/>
      <c r="AL217"/>
      <c r="AM217" s="44"/>
      <c r="AN217" s="44"/>
      <c r="AO217" s="44"/>
      <c r="AP217" s="44"/>
      <c r="AQ217"/>
      <c r="AR217" s="44"/>
      <c r="AS217"/>
      <c r="AT217"/>
      <c r="AU217" s="44"/>
      <c r="AV217" s="51"/>
      <c r="AW217" s="51"/>
      <c r="AX217" s="51"/>
      <c r="AY217" s="51"/>
      <c r="AZ217" s="51"/>
      <c r="BA217" s="51"/>
      <c r="BB217" s="51"/>
      <c r="BC217" s="51"/>
    </row>
    <row r="218" spans="1:70" x14ac:dyDescent="0.25">
      <c r="A218" s="2" t="s">
        <v>591</v>
      </c>
      <c r="B218" s="3" t="s">
        <v>473</v>
      </c>
      <c r="C218" s="3" t="s">
        <v>483</v>
      </c>
      <c r="D218" s="3" t="s">
        <v>521</v>
      </c>
      <c r="E218" s="50" t="s">
        <v>507</v>
      </c>
      <c r="F218" s="50" t="s">
        <v>508</v>
      </c>
      <c r="G218" s="44">
        <v>9.9999999999999995E-8</v>
      </c>
      <c r="I218" s="44">
        <f>0.000001 / 10000 / 4 / 10</f>
        <v>2.4999999999999998E-12</v>
      </c>
      <c r="J218" s="44">
        <f>0.000001 / 10000 *2 * 3</f>
        <v>6E-10</v>
      </c>
      <c r="K218" s="1" t="s">
        <v>596</v>
      </c>
      <c r="L218" s="44">
        <f>0.000001 / 10000 *2 * 3</f>
        <v>6E-10</v>
      </c>
      <c r="M218" s="44"/>
      <c r="N218" s="44">
        <v>9.9999999999999995E-7</v>
      </c>
      <c r="O218" s="44">
        <v>9.9999999999999995E-7</v>
      </c>
      <c r="P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 s="44">
        <v>9.9999999999999995E-7</v>
      </c>
      <c r="AD218"/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 s="44">
        <v>9.9999999999999995E-7</v>
      </c>
      <c r="AL218"/>
      <c r="AM218" s="44">
        <v>9.9999999999999995E-7</v>
      </c>
      <c r="AN218" s="44">
        <v>9.9999999999999995E-7</v>
      </c>
      <c r="AO218" s="44">
        <v>9.9999999999999995E-7</v>
      </c>
      <c r="AP218" s="44">
        <v>9.9999999999999995E-7</v>
      </c>
      <c r="AQ218"/>
      <c r="AR218" s="44">
        <v>9.9999999999999995E-7</v>
      </c>
      <c r="AS218"/>
      <c r="AT218"/>
      <c r="AU218" s="44">
        <v>9.9999999999999995E-7</v>
      </c>
      <c r="AV218" s="51"/>
      <c r="AW218" s="51"/>
      <c r="AX218" s="51"/>
      <c r="AY218" s="51"/>
      <c r="AZ218" s="51"/>
      <c r="BA218" s="51"/>
      <c r="BB218" s="51"/>
      <c r="BC218" s="51"/>
    </row>
    <row r="219" spans="1:70" x14ac:dyDescent="0.25">
      <c r="A219" s="2" t="s">
        <v>592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/ 4 / 10</f>
        <v>2.4999999999999998E-12</v>
      </c>
      <c r="K219" s="1" t="s">
        <v>593</v>
      </c>
      <c r="L219" s="44">
        <f>0.000001 / 10000 / 4 / 10</f>
        <v>2.4999999999999998E-12</v>
      </c>
      <c r="M219" s="44"/>
      <c r="N219" s="44">
        <v>9.9999999999999995E-7</v>
      </c>
      <c r="O219" s="44">
        <v>9.9999999999999995E-7</v>
      </c>
      <c r="P219" s="44">
        <v>9.9999999999999995E-7</v>
      </c>
      <c r="S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 s="44">
        <v>9.9999999999999995E-7</v>
      </c>
      <c r="AD219"/>
      <c r="AE219" s="44">
        <v>9.9999999999999995E-7</v>
      </c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 s="44">
        <v>9.9999999999999995E-7</v>
      </c>
      <c r="AL219"/>
      <c r="AM219" s="44">
        <v>9.9999999999999995E-7</v>
      </c>
      <c r="AN219" s="44">
        <v>9.9999999999999995E-7</v>
      </c>
      <c r="AO219" s="44">
        <v>9.9999999999999995E-7</v>
      </c>
      <c r="AP219" s="44">
        <v>9.9999999999999995E-7</v>
      </c>
      <c r="AQ219"/>
      <c r="AR219" s="44">
        <v>9.9999999999999995E-7</v>
      </c>
      <c r="AS219"/>
      <c r="AT219"/>
      <c r="AU219" s="44">
        <v>9.9999999999999995E-7</v>
      </c>
      <c r="AV219" s="51"/>
      <c r="AW219" s="51"/>
      <c r="AX219" s="51"/>
      <c r="AY219" s="51"/>
      <c r="AZ219" s="51"/>
      <c r="BA219" s="51"/>
      <c r="BB219" s="51"/>
      <c r="BC219" s="51"/>
    </row>
    <row r="220" spans="1:70" x14ac:dyDescent="0.25">
      <c r="A220" s="2" t="s">
        <v>509</v>
      </c>
      <c r="B220" s="3" t="s">
        <v>473</v>
      </c>
      <c r="C220" s="3" t="s">
        <v>483</v>
      </c>
      <c r="D220" s="3" t="s">
        <v>521</v>
      </c>
      <c r="E220" s="50" t="s">
        <v>510</v>
      </c>
      <c r="F220" s="50" t="s">
        <v>511</v>
      </c>
      <c r="G220" s="44">
        <f>2*0.00001</f>
        <v>2.0000000000000002E-5</v>
      </c>
      <c r="I220" s="44">
        <f>0.00001</f>
        <v>1.0000000000000001E-5</v>
      </c>
      <c r="J220" s="44">
        <f>0.00001 / 10/2/4</f>
        <v>1.2500000000000002E-7</v>
      </c>
      <c r="K220" s="1" t="s">
        <v>597</v>
      </c>
      <c r="L220" s="44">
        <f>0.00001 / 10/2/4</f>
        <v>1.2500000000000002E-7</v>
      </c>
      <c r="M220" s="44"/>
      <c r="N220" s="44">
        <v>2E-8</v>
      </c>
      <c r="O220" s="44">
        <v>2E-8</v>
      </c>
      <c r="P220" s="44">
        <v>2E-8</v>
      </c>
      <c r="S220" s="44">
        <v>5.0000000000000002E-5</v>
      </c>
      <c r="T220" s="44">
        <v>5.0000000000000002E-5</v>
      </c>
      <c r="U220" s="44">
        <v>5.0000000000000002E-5</v>
      </c>
      <c r="V220" s="44">
        <v>5.0000000000000002E-5</v>
      </c>
      <c r="W220" s="44">
        <v>2.0000000000000002E-5</v>
      </c>
      <c r="X220" s="44">
        <v>1.0000000000000001E-5</v>
      </c>
      <c r="Y220" s="44">
        <v>5.0000000000000004E-6</v>
      </c>
      <c r="Z220" s="44">
        <v>1.9999999999999999E-6</v>
      </c>
      <c r="AA220" s="44">
        <v>9.9999999999999995E-7</v>
      </c>
      <c r="AB220" s="44">
        <v>4.9999999999999998E-7</v>
      </c>
      <c r="AC220" s="44">
        <v>1.9999999999999999E-7</v>
      </c>
      <c r="AD220"/>
      <c r="AE220" s="44">
        <v>2.0000000000000002E-5</v>
      </c>
      <c r="AF220" s="44">
        <v>1.0000000000000001E-5</v>
      </c>
      <c r="AG220" s="44">
        <v>5.0000000000000004E-6</v>
      </c>
      <c r="AH220" s="44">
        <v>1.9999999999999999E-6</v>
      </c>
      <c r="AI220" s="44">
        <v>9.9999999999999995E-7</v>
      </c>
      <c r="AJ220" s="44">
        <v>4.9999999999999998E-7</v>
      </c>
      <c r="AK220" s="44">
        <v>1.9999999999999999E-7</v>
      </c>
      <c r="AL220"/>
      <c r="AM220" s="44">
        <v>2E-8</v>
      </c>
      <c r="AN220" s="44">
        <v>2E-8</v>
      </c>
      <c r="AO220" s="44">
        <v>2.0000000000000001E-9</v>
      </c>
      <c r="AP220" s="44">
        <v>2.0000000000000001E-9</v>
      </c>
      <c r="AQ220"/>
      <c r="AR220" s="44">
        <v>9.9999999999999995E-7</v>
      </c>
      <c r="AS220"/>
      <c r="AT220"/>
      <c r="AU220" s="44">
        <v>5.0000000000000002E-5</v>
      </c>
      <c r="AV220" s="51"/>
      <c r="AW220" s="51"/>
      <c r="AX220" s="51"/>
      <c r="AY220" s="51"/>
      <c r="AZ220" s="51"/>
      <c r="BA220" s="51"/>
      <c r="BB220" s="51"/>
      <c r="BC220" s="51"/>
    </row>
    <row r="221" spans="1:70" x14ac:dyDescent="0.25">
      <c r="A221" s="2" t="s">
        <v>571</v>
      </c>
      <c r="B221" s="3" t="s">
        <v>473</v>
      </c>
      <c r="C221" s="3" t="s">
        <v>483</v>
      </c>
      <c r="D221" s="3" t="s">
        <v>521</v>
      </c>
      <c r="E221" s="50" t="s">
        <v>572</v>
      </c>
      <c r="F221" s="50" t="s">
        <v>511</v>
      </c>
      <c r="G221" s="44"/>
      <c r="I221" s="44">
        <f xml:space="preserve"> 0.001 * 10</f>
        <v>0.01</v>
      </c>
      <c r="J221" s="44">
        <f xml:space="preserve"> 0.001 / 10</f>
        <v>1E-4</v>
      </c>
      <c r="K221" s="1" t="s">
        <v>594</v>
      </c>
      <c r="L221" s="44">
        <f xml:space="preserve"> 0.001 / 10</f>
        <v>1E-4</v>
      </c>
      <c r="M221" s="44"/>
      <c r="N221" s="44"/>
      <c r="O221" s="44"/>
      <c r="P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/>
      <c r="AE221" s="44"/>
      <c r="AF221" s="44"/>
      <c r="AG221" s="44"/>
      <c r="AH221" s="44"/>
      <c r="AI221" s="44"/>
      <c r="AJ221" s="44"/>
      <c r="AK221" s="44"/>
      <c r="AL221"/>
      <c r="AM221" s="44"/>
      <c r="AN221" s="44"/>
      <c r="AO221" s="44"/>
      <c r="AP221" s="44"/>
      <c r="AQ221"/>
      <c r="AR221" s="44"/>
      <c r="AS221"/>
      <c r="AT221"/>
      <c r="AU221" s="44"/>
      <c r="AV221" s="51"/>
      <c r="AW221" s="51"/>
      <c r="AX221" s="51"/>
      <c r="AY221" s="51"/>
      <c r="AZ221" s="51"/>
      <c r="BA221" s="51"/>
      <c r="BB221" s="51"/>
      <c r="BC221" s="51"/>
    </row>
    <row r="222" spans="1:70" x14ac:dyDescent="0.25">
      <c r="A222" s="2" t="s">
        <v>575</v>
      </c>
      <c r="B222" s="3" t="s">
        <v>473</v>
      </c>
      <c r="C222" s="3" t="s">
        <v>483</v>
      </c>
      <c r="D222" s="3" t="s">
        <v>521</v>
      </c>
      <c r="E222" s="50" t="s">
        <v>576</v>
      </c>
      <c r="F222" s="50" t="s">
        <v>511</v>
      </c>
      <c r="G222" s="56">
        <v>1.0000000000000001E-5</v>
      </c>
      <c r="I222" s="44">
        <f>0.00001 /10/4/2</f>
        <v>1.2500000000000002E-7</v>
      </c>
      <c r="J222" s="44">
        <f>0.00001 /5 /2/4</f>
        <v>2.5000000000000004E-7</v>
      </c>
      <c r="K222" s="1" t="s">
        <v>598</v>
      </c>
      <c r="L222" s="44">
        <f>0.00001 /5 /2/4</f>
        <v>2.5000000000000004E-7</v>
      </c>
      <c r="M222" s="44"/>
      <c r="N222" s="44"/>
      <c r="O222" s="44"/>
      <c r="P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/>
      <c r="AE222" s="44"/>
      <c r="AF222" s="44"/>
      <c r="AG222" s="44"/>
      <c r="AH222" s="44"/>
      <c r="AI222" s="44"/>
      <c r="AJ222" s="44"/>
      <c r="AK222" s="44"/>
      <c r="AL222"/>
      <c r="AM222" s="44"/>
      <c r="AN222" s="44"/>
      <c r="AO222" s="44"/>
      <c r="AP222" s="44"/>
      <c r="AQ222"/>
      <c r="AR222" s="44"/>
      <c r="AS222"/>
      <c r="AT222"/>
      <c r="AU222" s="44"/>
      <c r="AV222" s="51"/>
      <c r="AW222" s="51"/>
      <c r="AX222" s="51"/>
      <c r="AY222" s="51"/>
      <c r="AZ222" s="51"/>
      <c r="BA222" s="51"/>
      <c r="BB222" s="51"/>
      <c r="BC222" s="51"/>
    </row>
    <row r="223" spans="1:70" ht="14.25" customHeight="1" x14ac:dyDescent="0.25">
      <c r="A223" s="53" t="s">
        <v>517</v>
      </c>
      <c r="B223" s="3" t="s">
        <v>473</v>
      </c>
      <c r="C223" s="3" t="s">
        <v>518</v>
      </c>
      <c r="D223" s="3" t="s">
        <v>521</v>
      </c>
      <c r="E223" s="50" t="s">
        <v>519</v>
      </c>
      <c r="F223" s="50" t="s">
        <v>520</v>
      </c>
      <c r="G223" s="44">
        <v>9.9999999999999995E-8</v>
      </c>
      <c r="I223" s="58"/>
      <c r="J223" s="44">
        <f>0.0000001</f>
        <v>9.9999999999999995E-8</v>
      </c>
      <c r="L223" s="44">
        <f>0.0000001</f>
        <v>9.9999999999999995E-8</v>
      </c>
      <c r="M223" s="44"/>
      <c r="N223" s="44">
        <v>5.0000000000000003E-10</v>
      </c>
      <c r="O223" s="44">
        <v>5.0000000000000003E-10</v>
      </c>
      <c r="P223" s="44">
        <v>9.9999999999999995E-8</v>
      </c>
      <c r="S223" s="44">
        <v>4.9999999999999998E-8</v>
      </c>
      <c r="T223" s="44">
        <v>2E-8</v>
      </c>
      <c r="U223" s="44">
        <v>1E-8</v>
      </c>
      <c r="V223" s="44">
        <v>1.0000000000000001E-9</v>
      </c>
      <c r="W223" s="44">
        <v>1E-8</v>
      </c>
      <c r="X223" s="44">
        <v>1E-8</v>
      </c>
      <c r="Y223" s="44">
        <v>1E-8</v>
      </c>
      <c r="Z223" s="44">
        <v>1E-8</v>
      </c>
      <c r="AA223" s="44">
        <v>1E-8</v>
      </c>
      <c r="AB223" s="44">
        <v>1E-8</v>
      </c>
      <c r="AC223" s="44">
        <v>1E-8</v>
      </c>
      <c r="AD223"/>
      <c r="AE223" s="44">
        <v>1.0000000000000001E-9</v>
      </c>
      <c r="AF223" s="44">
        <v>1.0000000000000001E-9</v>
      </c>
      <c r="AG223" s="44">
        <v>1.0000000000000001E-9</v>
      </c>
      <c r="AH223" s="44">
        <v>1.0000000000000001E-9</v>
      </c>
      <c r="AI223" s="44">
        <v>1.0000000000000001E-9</v>
      </c>
      <c r="AJ223" s="44">
        <v>1.0000000000000001E-9</v>
      </c>
      <c r="AK223" s="44">
        <v>1.0000000000000001E-9</v>
      </c>
      <c r="AL223"/>
      <c r="AM223" s="44">
        <v>1E-8</v>
      </c>
      <c r="AN223" s="44">
        <v>1.0000000000000001E-9</v>
      </c>
      <c r="AO223" s="44">
        <v>1E-8</v>
      </c>
      <c r="AP223" s="44">
        <v>1.0000000000000001E-9</v>
      </c>
      <c r="AQ223"/>
      <c r="AR223" s="44">
        <v>1.0000000000000001E-9</v>
      </c>
      <c r="AS223"/>
      <c r="AT223"/>
      <c r="AU223" s="44">
        <v>9.9999999999999995E-8</v>
      </c>
    </row>
    <row r="224" spans="1:70" x14ac:dyDescent="0.25">
      <c r="A224" s="2" t="s">
        <v>523</v>
      </c>
      <c r="B224" s="3" t="s">
        <v>473</v>
      </c>
      <c r="C224" s="3" t="s">
        <v>483</v>
      </c>
      <c r="D224" s="3" t="s">
        <v>521</v>
      </c>
      <c r="E224" s="50" t="s">
        <v>524</v>
      </c>
      <c r="F224" s="50" t="s">
        <v>487</v>
      </c>
      <c r="G224" s="44">
        <v>0.2</v>
      </c>
      <c r="I224" s="58"/>
      <c r="J224" s="44">
        <v>0.2</v>
      </c>
      <c r="L224" s="44">
        <v>0.2</v>
      </c>
      <c r="M224" s="44"/>
      <c r="N224" s="44">
        <v>0.2</v>
      </c>
      <c r="O224" s="44">
        <v>0.2</v>
      </c>
      <c r="P224" s="44">
        <v>0.2</v>
      </c>
      <c r="S224" s="44">
        <v>0.2</v>
      </c>
      <c r="T224" s="44">
        <v>0.2</v>
      </c>
      <c r="U224" s="44">
        <v>0.2</v>
      </c>
      <c r="V224" s="44">
        <v>0.2</v>
      </c>
      <c r="W224" s="44">
        <v>0.2</v>
      </c>
      <c r="X224" s="44">
        <v>0.2</v>
      </c>
      <c r="Y224" s="44">
        <v>0.2</v>
      </c>
      <c r="Z224" s="44">
        <v>0.2</v>
      </c>
      <c r="AA224" s="44">
        <v>0.2</v>
      </c>
      <c r="AB224" s="44">
        <v>0.2</v>
      </c>
      <c r="AC224" s="44">
        <v>0.2</v>
      </c>
      <c r="AD224"/>
      <c r="AE224" s="44">
        <v>0.2</v>
      </c>
      <c r="AF224" s="44">
        <v>0.2</v>
      </c>
      <c r="AG224" s="44">
        <v>0.2</v>
      </c>
      <c r="AH224" s="44">
        <v>0.2</v>
      </c>
      <c r="AI224" s="44">
        <v>0.2</v>
      </c>
      <c r="AJ224" s="44">
        <v>0.2</v>
      </c>
      <c r="AK224" s="44">
        <v>0.2</v>
      </c>
      <c r="AL224"/>
      <c r="AM224" s="44">
        <v>0.2</v>
      </c>
      <c r="AN224" s="44">
        <v>0.2</v>
      </c>
      <c r="AO224" s="44">
        <v>0.2</v>
      </c>
      <c r="AP224" s="44">
        <v>0.2</v>
      </c>
      <c r="AQ224"/>
      <c r="AR224" s="44">
        <v>0.2</v>
      </c>
      <c r="AS224"/>
      <c r="AT224"/>
      <c r="AU224" s="44">
        <v>0.2</v>
      </c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</row>
    <row r="225" spans="1:70" x14ac:dyDescent="0.25">
      <c r="A225" s="2" t="s">
        <v>525</v>
      </c>
      <c r="B225" s="3" t="s">
        <v>473</v>
      </c>
      <c r="C225" s="3" t="s">
        <v>580</v>
      </c>
      <c r="D225" s="3" t="s">
        <v>581</v>
      </c>
      <c r="E225" s="50" t="s">
        <v>526</v>
      </c>
      <c r="F225" s="50" t="s">
        <v>491</v>
      </c>
      <c r="G225" s="44" t="s">
        <v>485</v>
      </c>
      <c r="I225" s="58"/>
      <c r="J225" s="44" t="s">
        <v>485</v>
      </c>
      <c r="L225" s="44" t="s">
        <v>485</v>
      </c>
      <c r="M225" s="44"/>
      <c r="N225" s="44" t="s">
        <v>485</v>
      </c>
      <c r="O225" s="44" t="s">
        <v>485</v>
      </c>
      <c r="P225" s="44" t="s">
        <v>485</v>
      </c>
      <c r="S225" s="44" t="s">
        <v>485</v>
      </c>
      <c r="T225" s="44" t="s">
        <v>485</v>
      </c>
      <c r="U225" s="44" t="s">
        <v>485</v>
      </c>
      <c r="V225" s="44" t="s">
        <v>485</v>
      </c>
      <c r="W225" s="44" t="s">
        <v>485</v>
      </c>
      <c r="X225" s="44" t="s">
        <v>485</v>
      </c>
      <c r="Y225" s="44" t="s">
        <v>485</v>
      </c>
      <c r="Z225" s="44" t="s">
        <v>485</v>
      </c>
      <c r="AA225" s="44" t="s">
        <v>485</v>
      </c>
      <c r="AB225" s="44" t="s">
        <v>485</v>
      </c>
      <c r="AC225" s="44" t="s">
        <v>485</v>
      </c>
      <c r="AD225"/>
      <c r="AE225" s="44" t="s">
        <v>485</v>
      </c>
      <c r="AF225" s="44" t="s">
        <v>485</v>
      </c>
      <c r="AG225" s="44" t="s">
        <v>485</v>
      </c>
      <c r="AH225" s="44" t="s">
        <v>485</v>
      </c>
      <c r="AI225" s="44" t="s">
        <v>485</v>
      </c>
      <c r="AJ225" s="44" t="s">
        <v>485</v>
      </c>
      <c r="AK225" s="44" t="s">
        <v>485</v>
      </c>
      <c r="AL225"/>
      <c r="AM225" s="44" t="s">
        <v>485</v>
      </c>
      <c r="AN225" s="44" t="s">
        <v>485</v>
      </c>
      <c r="AO225" s="44" t="s">
        <v>485</v>
      </c>
      <c r="AP225" s="44" t="s">
        <v>485</v>
      </c>
      <c r="AQ225"/>
      <c r="AR225" s="44" t="s">
        <v>485</v>
      </c>
      <c r="AS225"/>
      <c r="AT225"/>
      <c r="AU225" s="44" t="s">
        <v>485</v>
      </c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</row>
    <row r="226" spans="1:70" x14ac:dyDescent="0.25">
      <c r="A226" s="2" t="s">
        <v>527</v>
      </c>
      <c r="B226" s="3" t="s">
        <v>473</v>
      </c>
      <c r="C226" s="3" t="s">
        <v>580</v>
      </c>
      <c r="D226" s="3" t="s">
        <v>581</v>
      </c>
      <c r="E226" s="50" t="s">
        <v>528</v>
      </c>
      <c r="F226" s="50" t="s">
        <v>491</v>
      </c>
      <c r="G226" s="44">
        <f t="shared" ref="G226:AU226" si="17">2*0.1</f>
        <v>0.2</v>
      </c>
      <c r="I226" s="58"/>
      <c r="J226" s="44">
        <f t="shared" si="17"/>
        <v>0.2</v>
      </c>
      <c r="L226" s="44">
        <f t="shared" si="17"/>
        <v>0.2</v>
      </c>
      <c r="M226" s="44"/>
      <c r="N226" s="44">
        <f t="shared" si="17"/>
        <v>0.2</v>
      </c>
      <c r="O226" s="44">
        <f t="shared" si="17"/>
        <v>0.2</v>
      </c>
      <c r="P226" s="44">
        <f t="shared" si="17"/>
        <v>0.2</v>
      </c>
      <c r="S226" s="44">
        <f t="shared" si="17"/>
        <v>0.2</v>
      </c>
      <c r="T226" s="44">
        <f t="shared" si="17"/>
        <v>0.2</v>
      </c>
      <c r="U226" s="44">
        <f t="shared" si="17"/>
        <v>0.2</v>
      </c>
      <c r="V226" s="44">
        <f t="shared" si="17"/>
        <v>0.2</v>
      </c>
      <c r="W226" s="44">
        <f t="shared" si="17"/>
        <v>0.2</v>
      </c>
      <c r="X226" s="44">
        <f t="shared" si="17"/>
        <v>0.2</v>
      </c>
      <c r="Y226" s="44">
        <f t="shared" si="17"/>
        <v>0.2</v>
      </c>
      <c r="Z226" s="44">
        <f t="shared" si="17"/>
        <v>0.2</v>
      </c>
      <c r="AA226" s="44">
        <f t="shared" si="17"/>
        <v>0.2</v>
      </c>
      <c r="AB226" s="44">
        <f t="shared" si="17"/>
        <v>0.2</v>
      </c>
      <c r="AC226" s="44">
        <f t="shared" si="17"/>
        <v>0.2</v>
      </c>
      <c r="AD226"/>
      <c r="AE226" s="44">
        <f t="shared" si="17"/>
        <v>0.2</v>
      </c>
      <c r="AF226" s="44">
        <f t="shared" si="17"/>
        <v>0.2</v>
      </c>
      <c r="AG226" s="44">
        <f t="shared" si="17"/>
        <v>0.2</v>
      </c>
      <c r="AH226" s="44">
        <f t="shared" si="17"/>
        <v>0.2</v>
      </c>
      <c r="AI226" s="44">
        <f t="shared" si="17"/>
        <v>0.2</v>
      </c>
      <c r="AJ226" s="44">
        <f t="shared" si="17"/>
        <v>0.2</v>
      </c>
      <c r="AK226" s="44">
        <f t="shared" si="17"/>
        <v>0.2</v>
      </c>
      <c r="AL226"/>
      <c r="AM226" s="44">
        <f t="shared" si="17"/>
        <v>0.2</v>
      </c>
      <c r="AN226" s="44">
        <f t="shared" si="17"/>
        <v>0.2</v>
      </c>
      <c r="AO226" s="44">
        <f t="shared" si="17"/>
        <v>0.2</v>
      </c>
      <c r="AP226" s="44">
        <f t="shared" si="17"/>
        <v>0.2</v>
      </c>
      <c r="AQ226"/>
      <c r="AR226" s="44">
        <f t="shared" si="17"/>
        <v>0.2</v>
      </c>
      <c r="AS226"/>
      <c r="AT226"/>
      <c r="AU226" s="44">
        <f t="shared" si="17"/>
        <v>0.2</v>
      </c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</row>
    <row r="227" spans="1:70" x14ac:dyDescent="0.25">
      <c r="A227" s="2" t="s">
        <v>529</v>
      </c>
      <c r="B227" s="3" t="s">
        <v>473</v>
      </c>
      <c r="C227" s="3" t="s">
        <v>580</v>
      </c>
      <c r="D227" s="3" t="s">
        <v>581</v>
      </c>
      <c r="E227" s="50" t="s">
        <v>530</v>
      </c>
      <c r="F227" s="50" t="s">
        <v>491</v>
      </c>
      <c r="G227" s="44">
        <v>1E-3</v>
      </c>
      <c r="I227" s="58"/>
      <c r="J227" s="44">
        <v>1E-3</v>
      </c>
      <c r="L227" s="44">
        <v>1E-3</v>
      </c>
      <c r="M227" s="44"/>
      <c r="N227" s="44">
        <v>1E-3</v>
      </c>
      <c r="O227" s="44">
        <v>1E-3</v>
      </c>
      <c r="P227" s="44">
        <v>1E-3</v>
      </c>
      <c r="S227" s="44">
        <v>1E-3</v>
      </c>
      <c r="T227" s="44">
        <v>1E-3</v>
      </c>
      <c r="U227" s="44">
        <v>1E-3</v>
      </c>
      <c r="V227" s="44">
        <v>1E-3</v>
      </c>
      <c r="W227" s="44">
        <v>1E-3</v>
      </c>
      <c r="X227" s="44">
        <v>1E-3</v>
      </c>
      <c r="Y227" s="44">
        <v>1E-3</v>
      </c>
      <c r="Z227" s="44">
        <v>1E-3</v>
      </c>
      <c r="AA227" s="44">
        <v>1E-3</v>
      </c>
      <c r="AB227" s="44">
        <v>1E-3</v>
      </c>
      <c r="AC227" s="44">
        <v>1E-3</v>
      </c>
      <c r="AD227"/>
      <c r="AE227" s="44">
        <v>1E-3</v>
      </c>
      <c r="AF227" s="44">
        <v>1E-3</v>
      </c>
      <c r="AG227" s="44">
        <v>1E-3</v>
      </c>
      <c r="AH227" s="44">
        <v>1E-3</v>
      </c>
      <c r="AI227" s="44">
        <v>1E-3</v>
      </c>
      <c r="AJ227" s="44">
        <v>1E-3</v>
      </c>
      <c r="AK227" s="44">
        <v>1E-3</v>
      </c>
      <c r="AL227"/>
      <c r="AM227" s="44">
        <v>1E-3</v>
      </c>
      <c r="AN227" s="44">
        <v>1E-3</v>
      </c>
      <c r="AO227" s="44">
        <v>1E-3</v>
      </c>
      <c r="AP227" s="44">
        <v>1E-3</v>
      </c>
      <c r="AQ227"/>
      <c r="AR227" s="44">
        <v>1E-3</v>
      </c>
      <c r="AS227"/>
      <c r="AT227"/>
      <c r="AU227" s="44">
        <v>1E-3</v>
      </c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</row>
    <row r="228" spans="1:70" x14ac:dyDescent="0.25">
      <c r="A228" s="2" t="s">
        <v>531</v>
      </c>
      <c r="B228" s="3" t="s">
        <v>473</v>
      </c>
      <c r="C228" s="3" t="s">
        <v>483</v>
      </c>
      <c r="D228" s="3" t="s">
        <v>521</v>
      </c>
      <c r="E228" s="50" t="s">
        <v>532</v>
      </c>
      <c r="F228" s="50" t="s">
        <v>561</v>
      </c>
      <c r="G228" s="44">
        <v>1.0000000000000001E-5</v>
      </c>
      <c r="I228" s="58"/>
      <c r="J228" s="44">
        <f>0.00001 / 2</f>
        <v>5.0000000000000004E-6</v>
      </c>
      <c r="L228" s="44">
        <f>0.00001 / 2</f>
        <v>5.0000000000000004E-6</v>
      </c>
      <c r="M228" s="44"/>
      <c r="N228" s="44">
        <v>1.0000000000000001E-5</v>
      </c>
      <c r="O228" s="44">
        <v>1.0000000000000001E-5</v>
      </c>
      <c r="P228" s="44">
        <v>1.0000000000000001E-5</v>
      </c>
      <c r="S228" s="44">
        <v>1.0000000000000001E-5</v>
      </c>
      <c r="T228" s="44">
        <v>1.0000000000000001E-5</v>
      </c>
      <c r="U228" s="44">
        <v>1.0000000000000001E-5</v>
      </c>
      <c r="V228" s="44">
        <v>1.0000000000000001E-5</v>
      </c>
      <c r="W228" s="44">
        <v>1.0000000000000001E-5</v>
      </c>
      <c r="X228" s="44">
        <v>1.0000000000000001E-5</v>
      </c>
      <c r="Y228" s="44">
        <v>1.0000000000000001E-5</v>
      </c>
      <c r="Z228" s="44">
        <v>1.0000000000000001E-5</v>
      </c>
      <c r="AA228" s="44">
        <v>1.0000000000000001E-5</v>
      </c>
      <c r="AB228" s="44">
        <v>1.0000000000000001E-5</v>
      </c>
      <c r="AC228" s="44">
        <v>1.0000000000000001E-5</v>
      </c>
      <c r="AD228"/>
      <c r="AE228" s="44">
        <v>1.0000000000000001E-5</v>
      </c>
      <c r="AF228" s="44">
        <v>1.0000000000000001E-5</v>
      </c>
      <c r="AG228" s="44">
        <v>1.0000000000000001E-5</v>
      </c>
      <c r="AH228" s="44">
        <v>1.0000000000000001E-5</v>
      </c>
      <c r="AI228" s="44">
        <v>1.0000000000000001E-5</v>
      </c>
      <c r="AJ228" s="44">
        <v>1.0000000000000001E-5</v>
      </c>
      <c r="AK228" s="44">
        <v>1.0000000000000001E-5</v>
      </c>
      <c r="AL228"/>
      <c r="AM228" s="44">
        <v>1.0000000000000001E-5</v>
      </c>
      <c r="AN228" s="44">
        <v>1.0000000000000001E-5</v>
      </c>
      <c r="AO228" s="44">
        <v>1.0000000000000001E-5</v>
      </c>
      <c r="AP228" s="44">
        <v>1.0000000000000001E-5</v>
      </c>
      <c r="AQ228"/>
      <c r="AR228" s="44">
        <v>1.0000000000000001E-5</v>
      </c>
      <c r="AS228"/>
      <c r="AT228"/>
      <c r="AU228" s="44">
        <v>1.0000000000000001E-5</v>
      </c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52"/>
      <c r="BG228" s="1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  <c r="BR228" s="52"/>
    </row>
    <row r="229" spans="1:70" x14ac:dyDescent="0.25">
      <c r="A229" s="2" t="s">
        <v>578</v>
      </c>
      <c r="B229" s="3" t="s">
        <v>473</v>
      </c>
      <c r="C229" s="3" t="s">
        <v>483</v>
      </c>
      <c r="D229" s="3" t="s">
        <v>521</v>
      </c>
      <c r="E229" s="50" t="s">
        <v>579</v>
      </c>
      <c r="F229" s="50" t="s">
        <v>491</v>
      </c>
      <c r="G229" s="57">
        <v>1.0000000000000001E-5</v>
      </c>
      <c r="I229" s="58"/>
      <c r="J229" s="44">
        <f t="shared" ref="J229:L229" si="18">0.000000005 / 5</f>
        <v>1.0000000000000001E-9</v>
      </c>
      <c r="L229" s="44">
        <f t="shared" si="18"/>
        <v>1.0000000000000001E-9</v>
      </c>
      <c r="M229" s="44"/>
      <c r="N229" s="44"/>
      <c r="O229" s="44"/>
      <c r="P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/>
      <c r="AE229" s="44"/>
      <c r="AF229" s="44"/>
      <c r="AG229" s="44"/>
      <c r="AH229" s="44"/>
      <c r="AI229" s="44"/>
      <c r="AJ229" s="44"/>
      <c r="AK229" s="44"/>
      <c r="AL229"/>
      <c r="AM229" s="44"/>
      <c r="AN229" s="44"/>
      <c r="AO229" s="44"/>
      <c r="AP229" s="44"/>
      <c r="AQ229"/>
      <c r="AR229" s="44"/>
      <c r="AS229"/>
      <c r="AT229"/>
      <c r="AU229" s="44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1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</row>
    <row r="230" spans="1:70" x14ac:dyDescent="0.25">
      <c r="A230" s="2" t="s">
        <v>540</v>
      </c>
      <c r="B230" s="3" t="s">
        <v>473</v>
      </c>
      <c r="C230" s="3" t="s">
        <v>483</v>
      </c>
      <c r="D230" s="3" t="s">
        <v>521</v>
      </c>
      <c r="E230" s="30" t="s">
        <v>537</v>
      </c>
      <c r="F230" s="30" t="s">
        <v>536</v>
      </c>
      <c r="G230" s="44">
        <f t="shared" ref="G230:AU231" si="19">0.00002 / 14 / 5</f>
        <v>2.8571428571428575E-7</v>
      </c>
      <c r="I230" s="58"/>
      <c r="J230" s="44">
        <v>0</v>
      </c>
      <c r="L230" s="44">
        <v>0</v>
      </c>
      <c r="M230" s="44"/>
      <c r="N230" s="44">
        <f t="shared" si="19"/>
        <v>2.8571428571428575E-7</v>
      </c>
      <c r="O230" s="44">
        <f t="shared" si="19"/>
        <v>2.8571428571428575E-7</v>
      </c>
      <c r="P230" s="44">
        <f t="shared" si="19"/>
        <v>2.8571428571428575E-7</v>
      </c>
      <c r="S230" s="44">
        <f t="shared" si="19"/>
        <v>2.8571428571428575E-7</v>
      </c>
      <c r="T230" s="44">
        <f t="shared" si="19"/>
        <v>2.8571428571428575E-7</v>
      </c>
      <c r="U230" s="44">
        <f t="shared" si="19"/>
        <v>2.8571428571428575E-7</v>
      </c>
      <c r="V230" s="44">
        <f t="shared" si="19"/>
        <v>2.8571428571428575E-7</v>
      </c>
      <c r="W230" s="44">
        <f t="shared" si="19"/>
        <v>2.8571428571428575E-7</v>
      </c>
      <c r="X230" s="44">
        <f t="shared" si="19"/>
        <v>2.8571428571428575E-7</v>
      </c>
      <c r="Y230" s="44">
        <f t="shared" si="19"/>
        <v>2.8571428571428575E-7</v>
      </c>
      <c r="Z230" s="44">
        <f t="shared" si="19"/>
        <v>2.8571428571428575E-7</v>
      </c>
      <c r="AA230" s="44">
        <f t="shared" si="19"/>
        <v>2.8571428571428575E-7</v>
      </c>
      <c r="AB230" s="44">
        <f t="shared" si="19"/>
        <v>2.8571428571428575E-7</v>
      </c>
      <c r="AC230" s="44">
        <f t="shared" si="19"/>
        <v>2.8571428571428575E-7</v>
      </c>
      <c r="AD230"/>
      <c r="AE230" s="44">
        <f t="shared" si="19"/>
        <v>2.8571428571428575E-7</v>
      </c>
      <c r="AF230" s="44">
        <f t="shared" si="19"/>
        <v>2.8571428571428575E-7</v>
      </c>
      <c r="AG230" s="44">
        <f t="shared" si="19"/>
        <v>2.8571428571428575E-7</v>
      </c>
      <c r="AH230" s="44">
        <f t="shared" si="19"/>
        <v>2.8571428571428575E-7</v>
      </c>
      <c r="AI230" s="44">
        <f t="shared" si="19"/>
        <v>2.8571428571428575E-7</v>
      </c>
      <c r="AJ230" s="44">
        <f t="shared" si="19"/>
        <v>2.8571428571428575E-7</v>
      </c>
      <c r="AK230" s="44">
        <f t="shared" si="19"/>
        <v>2.8571428571428575E-7</v>
      </c>
      <c r="AL230"/>
      <c r="AM230" s="44">
        <f t="shared" si="19"/>
        <v>2.8571428571428575E-7</v>
      </c>
      <c r="AN230" s="44">
        <f t="shared" si="19"/>
        <v>2.8571428571428575E-7</v>
      </c>
      <c r="AO230" s="44">
        <f t="shared" si="19"/>
        <v>2.8571428571428575E-7</v>
      </c>
      <c r="AP230" s="44">
        <f t="shared" si="19"/>
        <v>2.8571428571428575E-7</v>
      </c>
      <c r="AQ230"/>
      <c r="AR230" s="44">
        <f t="shared" si="19"/>
        <v>2.8571428571428575E-7</v>
      </c>
      <c r="AS230"/>
      <c r="AT230"/>
      <c r="AU230" s="44">
        <f t="shared" si="19"/>
        <v>2.8571428571428575E-7</v>
      </c>
      <c r="AV230" s="1"/>
      <c r="AW230" s="1"/>
      <c r="AX230" s="1"/>
      <c r="AY230" s="1"/>
      <c r="AZ230" s="1"/>
      <c r="BA230" s="1"/>
      <c r="BB230" s="1"/>
      <c r="BC230" s="1"/>
    </row>
    <row r="231" spans="1:70" x14ac:dyDescent="0.25">
      <c r="A231" s="2" t="s">
        <v>541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R231" si="20">0.00002 / 14 / 5 /10</f>
        <v>2.8571428571428575E-8</v>
      </c>
      <c r="I231" s="58"/>
      <c r="J231" s="44">
        <v>0</v>
      </c>
      <c r="L231" s="44">
        <v>0</v>
      </c>
      <c r="M231" s="44"/>
      <c r="N231" s="44">
        <f t="shared" si="20"/>
        <v>2.8571428571428575E-8</v>
      </c>
      <c r="O231" s="44">
        <f t="shared" si="20"/>
        <v>2.8571428571428575E-8</v>
      </c>
      <c r="P231" s="44">
        <f t="shared" si="20"/>
        <v>2.8571428571428575E-8</v>
      </c>
      <c r="S231" s="44">
        <f t="shared" si="20"/>
        <v>2.8571428571428575E-8</v>
      </c>
      <c r="T231" s="44">
        <f t="shared" si="20"/>
        <v>2.8571428571428575E-8</v>
      </c>
      <c r="U231" s="44">
        <f t="shared" si="20"/>
        <v>2.8571428571428575E-8</v>
      </c>
      <c r="V231" s="44">
        <f t="shared" si="20"/>
        <v>2.8571428571428575E-8</v>
      </c>
      <c r="W231" s="44">
        <f t="shared" si="20"/>
        <v>2.8571428571428575E-8</v>
      </c>
      <c r="X231" s="44">
        <f t="shared" si="20"/>
        <v>2.8571428571428575E-8</v>
      </c>
      <c r="Y231" s="44">
        <f t="shared" si="20"/>
        <v>2.8571428571428575E-8</v>
      </c>
      <c r="Z231" s="44">
        <f t="shared" si="20"/>
        <v>2.8571428571428575E-8</v>
      </c>
      <c r="AA231" s="44">
        <f t="shared" si="20"/>
        <v>2.8571428571428575E-8</v>
      </c>
      <c r="AB231" s="44">
        <f t="shared" si="20"/>
        <v>2.8571428571428575E-8</v>
      </c>
      <c r="AC231" s="44">
        <f t="shared" si="20"/>
        <v>2.8571428571428575E-8</v>
      </c>
      <c r="AD231"/>
      <c r="AE231" s="44">
        <f t="shared" si="20"/>
        <v>2.8571428571428575E-8</v>
      </c>
      <c r="AF231" s="44">
        <f t="shared" si="20"/>
        <v>2.8571428571428575E-8</v>
      </c>
      <c r="AG231" s="44">
        <f t="shared" si="20"/>
        <v>2.8571428571428575E-8</v>
      </c>
      <c r="AH231" s="44">
        <f t="shared" si="20"/>
        <v>2.8571428571428575E-8</v>
      </c>
      <c r="AI231" s="44">
        <f t="shared" si="20"/>
        <v>2.8571428571428575E-8</v>
      </c>
      <c r="AJ231" s="44">
        <f t="shared" si="20"/>
        <v>2.8571428571428575E-8</v>
      </c>
      <c r="AK231" s="44">
        <f t="shared" si="20"/>
        <v>2.8571428571428575E-8</v>
      </c>
      <c r="AL231"/>
      <c r="AM231" s="44">
        <f t="shared" si="20"/>
        <v>2.8571428571428575E-8</v>
      </c>
      <c r="AN231" s="44">
        <f t="shared" si="20"/>
        <v>2.8571428571428575E-8</v>
      </c>
      <c r="AO231" s="44">
        <f t="shared" si="20"/>
        <v>2.8571428571428575E-8</v>
      </c>
      <c r="AP231" s="44">
        <f t="shared" si="20"/>
        <v>2.8571428571428575E-8</v>
      </c>
      <c r="AQ231"/>
      <c r="AR231" s="44">
        <f t="shared" si="20"/>
        <v>2.8571428571428575E-8</v>
      </c>
      <c r="AS231"/>
      <c r="AT231"/>
      <c r="AU231" s="44">
        <f t="shared" si="19"/>
        <v>2.8571428571428575E-7</v>
      </c>
      <c r="AV231" s="1"/>
      <c r="AW231" s="1"/>
      <c r="AX231" s="1"/>
      <c r="AY231" s="1"/>
      <c r="AZ231" s="1"/>
      <c r="BA231" s="1"/>
      <c r="BB231" s="1"/>
      <c r="BC231" s="1"/>
    </row>
    <row r="232" spans="1:70" x14ac:dyDescent="0.25">
      <c r="A232" s="1" t="s">
        <v>583</v>
      </c>
      <c r="B232" s="3" t="s">
        <v>473</v>
      </c>
      <c r="C232" s="3" t="s">
        <v>483</v>
      </c>
      <c r="D232" s="3" t="s">
        <v>521</v>
      </c>
      <c r="E232" s="30" t="s">
        <v>584</v>
      </c>
      <c r="F232" s="30" t="s">
        <v>486</v>
      </c>
      <c r="G232" s="44">
        <v>-1</v>
      </c>
      <c r="I232" s="58"/>
      <c r="J232" s="44" t="s">
        <v>86</v>
      </c>
      <c r="L232" s="44" t="s">
        <v>86</v>
      </c>
      <c r="M232" s="44"/>
      <c r="N232" s="44">
        <v>-1</v>
      </c>
      <c r="O232" s="44">
        <v>-1</v>
      </c>
      <c r="P232" s="44">
        <v>-1</v>
      </c>
      <c r="S232" s="44">
        <v>-1</v>
      </c>
      <c r="T232" s="44">
        <v>-1</v>
      </c>
      <c r="U232" s="44">
        <v>-1</v>
      </c>
      <c r="V232" s="44">
        <v>-1</v>
      </c>
      <c r="W232" s="44">
        <v>-1</v>
      </c>
      <c r="X232" s="44">
        <v>-1</v>
      </c>
      <c r="Y232" s="44">
        <v>-1</v>
      </c>
      <c r="Z232" s="44">
        <v>-1</v>
      </c>
      <c r="AA232" s="44">
        <v>-1</v>
      </c>
      <c r="AB232" s="44">
        <v>-1</v>
      </c>
      <c r="AC232" s="44">
        <v>-1</v>
      </c>
      <c r="AD232" s="44">
        <v>-1</v>
      </c>
      <c r="AE232" s="44">
        <v>-1</v>
      </c>
      <c r="AF232" s="44">
        <v>-1</v>
      </c>
      <c r="AG232" s="44">
        <v>-1</v>
      </c>
      <c r="AH232" s="44">
        <v>-1</v>
      </c>
      <c r="AI232" s="44">
        <v>-1</v>
      </c>
      <c r="AJ232" s="44">
        <v>-1</v>
      </c>
      <c r="AK232" s="44">
        <v>-1</v>
      </c>
      <c r="AL232" s="44">
        <v>-1</v>
      </c>
      <c r="AM232" s="44">
        <v>-1</v>
      </c>
      <c r="AN232" s="44">
        <v>-1</v>
      </c>
      <c r="AO232" s="44">
        <v>-1</v>
      </c>
      <c r="AP232" s="44">
        <v>-1</v>
      </c>
      <c r="AQ232" s="44">
        <v>-1</v>
      </c>
      <c r="AR232" s="44">
        <v>-1</v>
      </c>
      <c r="AS232" s="44">
        <v>-1</v>
      </c>
      <c r="AT232" s="44">
        <v>-1</v>
      </c>
      <c r="AU232" s="44">
        <v>-1</v>
      </c>
      <c r="AV232" s="1"/>
      <c r="AW232" s="1"/>
      <c r="AX232" s="1"/>
      <c r="AY232" s="1"/>
      <c r="AZ232" s="1"/>
      <c r="BA232" s="1"/>
      <c r="BB232" s="1"/>
      <c r="BC232" s="1"/>
    </row>
    <row r="233" spans="1:70" x14ac:dyDescent="0.25">
      <c r="A233" s="21" t="s">
        <v>588</v>
      </c>
      <c r="B233" s="3" t="s">
        <v>473</v>
      </c>
      <c r="C233" s="3" t="s">
        <v>483</v>
      </c>
      <c r="D233" s="3" t="s">
        <v>521</v>
      </c>
      <c r="E233" s="22" t="s">
        <v>589</v>
      </c>
      <c r="F233" s="22" t="s">
        <v>590</v>
      </c>
      <c r="G233" s="44">
        <v>1.0000000000000001E-9</v>
      </c>
      <c r="I233" s="58"/>
      <c r="J233" s="44">
        <f>J128* (6 * 12 / 0.44) * 0.015 / 14 / 1.4</f>
        <v>4.6961966604823737E-16</v>
      </c>
      <c r="L233" s="44">
        <f>L128* 6 * 12 / 0.44 * 0.015 / 14 / 1.4 /2/2/2</f>
        <v>5.8702458256029672E-17</v>
      </c>
      <c r="M233" s="44"/>
      <c r="N233" s="44">
        <v>4.9999999999999999E-13</v>
      </c>
      <c r="O233" s="44">
        <v>4.9999999999999999E-13</v>
      </c>
      <c r="P233" s="44">
        <v>4.9999999999999999E-13</v>
      </c>
      <c r="S233" s="44">
        <v>4.9999999999999999E-13</v>
      </c>
      <c r="T233" s="44">
        <v>4.9999999999999999E-13</v>
      </c>
      <c r="U233" s="44">
        <v>4.9999999999999999E-13</v>
      </c>
      <c r="V233" s="44">
        <v>4.9999999999999999E-13</v>
      </c>
      <c r="W233" s="44">
        <v>4.9999999999999999E-13</v>
      </c>
      <c r="X233" s="44">
        <v>4.9999999999999999E-13</v>
      </c>
      <c r="Y233" s="44">
        <v>4.9999999999999999E-13</v>
      </c>
      <c r="Z233" s="44">
        <v>4.9999999999999999E-13</v>
      </c>
      <c r="AA233" s="44">
        <v>4.9999999999999999E-13</v>
      </c>
      <c r="AB233" s="44">
        <v>4.9999999999999999E-13</v>
      </c>
      <c r="AC233" s="44">
        <v>4.9999999999999999E-13</v>
      </c>
      <c r="AD233"/>
      <c r="AE233" s="44">
        <v>4.9999999999999999E-13</v>
      </c>
      <c r="AF233" s="44">
        <v>4.9999999999999999E-13</v>
      </c>
      <c r="AG233" s="44">
        <v>4.9999999999999999E-13</v>
      </c>
      <c r="AH233" s="44">
        <v>4.9999999999999999E-13</v>
      </c>
      <c r="AI233" s="44">
        <v>4.9999999999999999E-13</v>
      </c>
      <c r="AJ233" s="44">
        <v>4.9999999999999999E-13</v>
      </c>
      <c r="AK233" s="44">
        <v>4.9999999999999999E-13</v>
      </c>
      <c r="AL233"/>
      <c r="AM233" s="44">
        <v>4.9999999999999999E-13</v>
      </c>
      <c r="AN233" s="44">
        <v>4.9999999999999999E-13</v>
      </c>
      <c r="AO233" s="44">
        <v>4.9999999999999999E-13</v>
      </c>
      <c r="AP233" s="44">
        <v>4.9999999999999999E-13</v>
      </c>
      <c r="AQ233"/>
      <c r="AR233" s="44">
        <v>4.9999999999999999E-13</v>
      </c>
      <c r="AS233"/>
      <c r="AT233"/>
      <c r="AU233" s="44">
        <v>4.9999999999999999E-13</v>
      </c>
    </row>
  </sheetData>
  <phoneticPr fontId="19" type="noConversion"/>
  <conditionalFormatting sqref="G223"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J127">
    <cfRule type="colorScale" priority="4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J134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J206">
    <cfRule type="colorScale" priority="4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J207">
    <cfRule type="colorScale" priority="4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J214">
    <cfRule type="colorScale" priority="4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J215">
    <cfRule type="colorScale" priority="4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J217">
    <cfRule type="colorScale" priority="4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J219">
    <cfRule type="colorScale" priority="4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J220">
    <cfRule type="colorScale" priority="4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J221">
    <cfRule type="colorScale" priority="4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J222">
    <cfRule type="colorScale" priority="4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J223 AU223 L223:P223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J228">
    <cfRule type="colorScale" priority="4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J229">
    <cfRule type="colorScale" priority="4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:M2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7:M1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34:M1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06:M20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07:M2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2:M2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4:M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5:M21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6:M21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18:M219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0:M220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1:M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2:M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4:M22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8:M228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9:M229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0:M2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2:M23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V2 AU2 G2 I2:J2 L2:P2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:V4 AU3:AU4 G3:G4 N3:P4 I3:J4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:V5 AU5 G5 I5:J5 L5:P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V6 AU6 G6 I6:J6 L6:P6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:V7 AU7 G7 I7:J7 L7:P7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V8 AU8 G8 I8:J8 L8:P8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:V9 AU9 G9 I9:J9 L9:P9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:V10 AU10 G10 I10:J10 L10:P10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:V11 AU11 G11 I11:J11 L11:P11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:V12 AU12 G12 I12:J12 L12:P12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:V13 AU13 G13 I13:J13 L13:P13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:V14 AU14 G14 I14:J14 L14:P14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:V15 AU15 G15 I15:J15 L15:P15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:V16 AU16 G16 I16:J16 L16:P1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:V17 AU17 G17 I17:J17 L17:P17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:V18 AU18 G18 I18:J18 L18:P18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:V19 AU19 G19 I19:J19 L19:P19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:V20 AU20 G20 I20:J20 L20:P20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:V21 AU21 G21 I21:J21 L21:P2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:V22 AU22 G22 I22:J22 L22:P2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:V25 AU25 G25 I25:J25 L25:P25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6:V26 AU26 G26 I26:J26 L26:P26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7:V27 AU27 G27 I27:J27 L27:P27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8:V28 AU28 G28 I28:J28 L28:P28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:V29 AU29 G29 I29:J29 L29:P29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0:V30 AU30 G30 I30:J30 L30:P30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1:V31 AU31 G31 I31:J31 L31:P31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2:V32 AU32 G32 I32:J32 L32:P32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3:V33 AU33 G33 I33:J33 L33:P33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4:V34 AU34 G34 I34:J34 L34:P34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5:V35 AU35 G35 I35:J35 L35:P35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6:V36 AU36 G36 I36:J36 L36:P36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7:V37 AU37 G37 I37:J37 L37:P37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8:V38 AU38 G38 I38:J38 L38:P38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9:V39 AU39 G39 I39:J39 L39:P39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0:V40 AU40 G40 I40:J40 L40:P40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1:V41 AU41 G41 I41:J41 L41:P41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2:V42 AU42 G42 I42:J42 L42:P42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3:V43 AU43 G43 I43:J43 L43:P43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V44 AU44 G44 I44:J44 L44:P44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5:V45 AU45 G45 I45:J45 L45:P45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6:V46 AU46 G46 I46:J46 L46:P46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7:V47 AU47 G47 I47:J47 L47:P47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8:V48 AU48 G48 I48:J48 L48:P48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9:V49 AU49 G49 I49:J49 L49:P49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0:V50 AU50 G50 I50:J50 L50:P50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:V51 AU51 G51 I51:J51 L51:P51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2:V52 AU52 G52 I52:J52 L52:P52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3:V53 AU53 G53 I53:J53 L53:P53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4:V54 AU54 G54 I54:J54 L54:P54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5:V55 AU55 G55 I55:J55 L55:P55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6:V56 AU56 G56 I56:J56 L56:P56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7:V57 AU57 G57 I57:J57 L57:P57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8:V58 AU58 G58 I58:J58 L58:P58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9:V59 AU59 G59 I59:J59 L59:P59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0:V60 AU60 G60 I60:J60 L60:P60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1:V61 AU61 G61 I61:J61 L61:P61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2:V62 AU62 G62 I62:J62 L62:P62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3:V63 AU63 G63 I63:J63 L63:P63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4:V64 AU64 G64 I64:J64 L64:P64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5:V65 AU65 G65 I65:J65 L65:P65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6:V66 AU66 G66 I66:J66 L66:P66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7:V67 AU67 G67 I67:J67 L67:P67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8:V68 AU68 G68 I68:J68 L68:P68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9:V69 AU69 G69 I69:J69 L69:P69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0:V70 AU70 G70 I70:J70 L70:P70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1:V71 AU71 G71 I71:J71 L71:P71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2:V72 AU72 G72 I72:J72 L72:P72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3:V73 AU73 G73 I73:J73 L73:P73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4:V74 AU74 G74 I74:J74 L74:P74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5:V75 AU75 G75 I75:J75 L75:P75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6:V76 AU76 G76 I76:J76 L76:P76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7:V77 AU77 G77 I77:J77 L77:P77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8:V78 AU78 G78 I78:J78 L78:P78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9:V79 AU79 G79 I79:J79 L79:P79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0:V80 AU80 G80 I80:J80 L80:P80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1:V81 AU81 G81 I81:J81 L81:P81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2:V82 AU82 G82 I82:J82 L82:P82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3:V83 AU83 G83 I83:J83 L83:P83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4:V84 AU84 G84 I84:J84 L84:P84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5:V85 AU85 G85 I85:J85 L85:P85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6:V86 AU86 G86 I86:J86 L86:P86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7:V87 AU87 G87 I87:J87 L87:P87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V88 AU88 G88 I88:J88 L88:P88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9:V89 AU89 G89 I89:J89 L89:P89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0:V90 AU90 G90 I90:J90 L90:P90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1:V91 AU91 G91 I91:J91 L91:P91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2:V92 AU92 G92 I92:J92 L92:P92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3:V93 AU93 G93 I93:J93 L93:P93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4:V94 AU94 G94 I94:J94 L94:P94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5:V95 AU95 G95 I95:J95 L95:P95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6:V96 AU96 G96 I96:J96 L96:P96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7:V97 AU97 G97 I97:J97 L97:P97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8:V98 AU98 G98 I98:J98 L98:P98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9:V99 AU99 G99 I99:J99 L99:P99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0:V100 AU100 G100 I100:J100 L100:P100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1:V101 AU101 G101 I101:J101 L101:P101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2:V102 AU102 G102 I102:J102 L102:P102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3:V103 AU103 G103 I103:J103 L103:P103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4:V104 AU104 G104 I104:J104 L104:P104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5:V105 AU105 G105 I105:J105 L105:P105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6:V106 AU106 G106 I106:J106 L106:P106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7:V107 AU107 G107 I107:J107 L107:P107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8:V108 AU108 G108 I108:J108 L108:P108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9:V109 AU109 G109 I109:J109 L109:P109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0:V110 AU110 G110 I110:J110 L110:P110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1:V111 AU111 G111 I111:J111 L111:P111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2:V112 AU112 G112 I112:J112 L112:P112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3:V113 AU113 G113 I113:J113 L113:P113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4:V114 AU114 G114 I114:J114 L114:P114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5:V115 AU115 G115 I115:J115 L115:P115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6:V116 AU116 G116 I116:J116 L116:P116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7:V117 AU117 G117 I117:J117 L117:P117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8:V118 AU118 G118 I118:J118 L118:P118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9:V119 AU119 G119 I119:J119 L119:P119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0:V120 AU120 G120 I120:J120 L120:P120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1:V121 AU121 G121 I121:J121 L121:P121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2:V122 AU122 G122 I122:J122 L122:P122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3:V123 AU123 G123 I123:J123 L123:P123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4:V124 AU124 G124 I124:J124 L124:P124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5:V125 AU125 G125 I125:J125 L125:P125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6:V126 AU126 G126 I126:J126 L126:P126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7:V127 AU127 G127 N127:P127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8:V128 AU128 G128 I128:J128 L128:P128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9:V129 AU129 G129 I129:J129 L129:P129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0:V130 AU130 G130 I130:J130 L130:P130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1:V131 AU131 G131 I131:J131 L131:P131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2:V132 AU132 G132 I132:J132 L132:P132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3:V133 AU133 G133 I133:J133 L133:P133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4:V134 AU134 G134 N134:P134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5:V135 AU135 G135 I135:J135 L135:P135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6:V136 AU136 G136 I136:J136 L136:P136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7:V137 AU137 G137 I137:J137 L137:P137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8:V138 AU138 G138 I138:J138 L138:P138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9:V139 AU139 G139 I139:J139 L139:P139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0:V140 AU140 G140 I140:J140 L140:P140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1:V141 AU141 G141 I141:J141 L141:P141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2:V142 AU142 G142 I142:J142 L142:P142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3:V143 AU143 G143 I143:J143 L143:P143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4:V144 AU144 G144 I144:J144 L144:P144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5:V145 AU145 G145 I145:J145 L145:P145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6:V146 AU146 G146 I146:J146 L146:P146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7:V147 AU147 G147 I147:J147 L147:P147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8:V148 AU148 G148 I148:J148 L148:P148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9:V149 AU149 G149 I149:J149 L149:P149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0:V150 AU150 G150 I150:J150 L150:P150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1:V151 AU151 G151 I151:J151 L151:P151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2:V152 AU152 G152 I152:J152 L152:P152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3:V153 AU153 G153 I153:J153 L153:P153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4:V154 AU154 G154 I154:J154 L154:P154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5:V155 AU155 G155 I155:J155 L155:P155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6:V156 AU156 G156 I156:J156 L156:P156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7:V157 AU157 G157 I157:J157 L157:P157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8:V158 AU158 G158 I158:J158 L158:P158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9:V159 AU159 G159 I159:J159 L159:P159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0:V160 AU160 G160 I160:J160 L160:P160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1:V161 AU161 G161 I161:J161 L161:P161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2:V162 AU162 G162 I162:J162 L162:P162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3:V163 AU163 G163 I163:J163 L163:P163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4:V164 AU164 G164 I164:J164 L164:P164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5:V165 AU165 G165 I165:J165 L165:P165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6:V166 AU166 G166 I166:J166 L166:P166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7:V167 AU167 G167 I167:J167 L167:P167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8:V168 AU168 G168 I168:J168 L168:P168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9:V169 AU169 G169 I169:J169 L169:P169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0:V170 AU170 G170 I170:J170 L170:P170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1:V171 AU171 G171 I171:J171 L171:P171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2:V172 AU172 G172 I172:J172 L172:P172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3:V173 AU173 G173 I173:J173 L173:P173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4:V174 AU174 G174 I174:J174 L174:P174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5:V175 AU175 G175 I175:J175 L175:P175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6:V176 AU176 G176 I176:J176 L176:P176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7:V177 AU177 G177 I177:J177 L177:P177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8:V178 AU178 G178 I178:J178 L178:P178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79:V179 AU179 G179 I179:J179 L179:P179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0:V180 AU180 G180 I180:J180 L180:P180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1:V181 AU181 G181 I181:J181 L181:P181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2:V182 AU182 G182 I182:J182 L182:P182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3:V183 AU183 G183 I183:J183 L183:P183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4:V184 AU184 G184 I184:J184 L184:P184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5:V185 AU185 G185 I185:J185 L185:P185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6:V186 AU186 G186 I186:J186 L186:P186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7:V187 AU187 G187 I187:J187 L187:P187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8:V188 AU188 G188 I188:J188 L188:P188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9:V189 AU189 G189 I189:J189 L189:P189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0:V190 AU190 G190 I190:J190 L190:P190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1:V191 AU191 G191 I191:J191 L191:P19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2:V192 AU192 G192 I192:J192 L192:P192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3:V193 AU193 G193 I193:J193 L193:P193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4:V194 AU194 G194 I194:J194 L194:P194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5:V195 AU195 G195 I195:J195 L195:P195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6:V196 AU196 G196 I196:J196 L196:P196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7:V197 AU197 G197 I197:J197 L197:P197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8:V198 AU198 G198 I198:J198 L198:P198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9:V199 AU199 G199 I199:J199 L199:P199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0:V200 AU200 G200 I200:J200 L200:P200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1:V201 AU201 G201 I201:J201 L201:P201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2:V202 AU202 G202 I202:J202 L202:P202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3:V203 AU203 G203 I203:J203 L203:P203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4:V204 AU204 G204 I204:J204 L204:P204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5:V205 AU205 G205 I205:J205 L205:P205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6:V206 AU206 G206 N206:P206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7:V207 AU207 G207 N207:P207"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8:V208 AU208 G208 I208:J208 L208:N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:V209 AU209 G209 I209:J209 L209:N209">
    <cfRule type="colorScale" priority="3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:V210 AU210 G210 I210:J210 L210:N210"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:V211 AU211 G211 I211:J211 L211:N211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:V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3:V213 AU213 G213 N213:P213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4:V214 AU214 G214 N214:P214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5:V217 AU215:AU217 G215:G217 N215:P217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8:V219 AU218:AU219 G218:G219 N218:P219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0:V222 AU220:AU222 G220:G221 N220:P222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3:V223">
    <cfRule type="colorScale" priority="3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33:V233 AU233 G233 I233:J233 L233:P233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4:W229"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0:W231"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AC2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:AC4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:AC5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AC6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:AC7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:AC8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:AC9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:AC10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:AC11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:AC12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:AC13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:AC14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:AC15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:AC16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:AC17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:AC18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:AC19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:AC20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:AC2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AC2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5:AC25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6:AC26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7:AC27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8:AC28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9:AC29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0:AC30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1:AC31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2:AC32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3:AC33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4:AC34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5:AC35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6:AC36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7:AC37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8:AC38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9:AC39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0:AC40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1:AC41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AC42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3:AC43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AC44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5:AC45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6:AC46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7:AC47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8:AC48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AC49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0:AC50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1:AC51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2:AC52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3:AC53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4:AC54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:AC55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6:AC56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7:AC57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8:AC58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9:AC59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0:AC60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1:AC61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2:AC62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3:AC63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4:AC64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5:AC65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6:AC66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7:AC67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8:AC68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9:AC69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0:AC70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1:AC71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2:AC72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3:AC73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4:AC74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5:AC75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6:AC76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7:AC77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8:AC78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9:AC79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0:AC80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1:AC81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2:AC82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3:AC83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4:AC84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5:AC85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6:AC86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7:AC87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8:AC88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9:AC89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0:AC90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1:AC91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2:AC92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3:AC93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4:AC94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5:AC95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6:AC96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7:AC97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8:AC98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9:AC99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0:AC100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1:AC101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2:AC102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3:AC103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4:AC104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5:AC105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6:AC106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7:AC107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8:AC108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9:AC109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0:AC110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1:AC111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2:AC112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3:AC113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4:AC114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5:AC115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6:AC116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7:AC117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8:AC118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9:AC119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0:AC120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1:AC121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2:AC122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3:AC123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4:AC124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5:AC125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6:AC126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7:AC127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8:AC128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9:AC129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0:AC130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1:AC131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2:AC132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3:AC133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4:AC134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5:AC135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6:AC136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7:AC137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8:AC138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9:AC139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0:AC140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1:AC141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2:AC142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3:AC143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4:AC144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5:AC145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6:AC146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7:AC147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8:AC148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9:AC149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0:AC150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1:AC151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2:AC152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3:AC153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4:AC154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5:AC155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6:AC156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7:AC157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8:AC158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9:AC159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0:AC160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1:AC161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2:AC162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3:AC163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4:AC164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5:AC165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6:AC166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7:AC167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8:AC168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9:AC169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0:AC170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1:AC171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2:AC172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3:AC173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4:AC174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5:AC175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6:AC176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7:AC177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8:AC178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9:AC179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0:AC180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1:AC181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2:AC182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3:AC183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4:AC184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5:AC185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6:AC186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7:AC187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8:AC188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9:AC189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0:AC190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1:AC191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2:AC192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3:AC193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4:AC194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5:AC195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6:AC196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7:AC197"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8:AC198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9:AC199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0:AC200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1:AC201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2:AC202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3:AC203"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4:AC204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5:AC205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6:AC206"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:AC207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:AC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:AC209">
    <cfRule type="colorScale" priority="1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:AC210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1:AC211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2:AC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3:AC213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4:AC21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5:AC217"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8:AC219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0:AC222"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3:AC223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3:AC2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4:X229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0:X231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4:Y229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0:Y231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4:Z22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0:Z231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4:AA229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0:AA231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4:AB229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0:AB231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4:AC229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0:AC23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4:AE229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0:AE231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 AM2:AP2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4 AM3:AP4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 AM5:AP5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 AM6:AP6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 AM7:AP7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 AM8:AP8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 AM9:AP9"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 AM10:AP10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 AM11:AP11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 AM12:AP12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 AM13:AP13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 AM14:AP14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 AM15:AP15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 AM16:AP16"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 AM17:AP17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 AM18:AP18"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 AM19:AP19"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 AM20:AP20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 AM21:AP21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 AM22:AP22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 AM25:AP25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 AM26:AP26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 AM27:AP27"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 AM28:AP28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 AM29:AP29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 AM30:AP30"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 AM31:AP31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 AM32:AP32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 AM33:AP33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 AM34:AP34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 AM35:AP35"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 AM36:AP36"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 AM37:AP37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 AM38:AP38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 AM39:AP39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 AM40:AP40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 AM41:AP41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 AM42:AP42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 AM43:AP43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 AM44:AP44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 AM45:AP45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 AM46:AP46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 AM47:AP47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 AM48:AP48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 AM49:AP49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 AM50:AP50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 AM51:AP51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 AM52:AP52"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 AM53:AP53"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 AM54:AP54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 AM55:AP55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 AM56:AP56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 AM57:AP57"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 AM58:AP58"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 AM59:AP59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 AM60:AP60"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 AM61:AP61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 AM62:AP62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 AM63:AP63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 AM64:AP64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 AM65:AP65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 AM66:AP66"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 AM67:AP67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 AM68:AP68"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 AM69:AP69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 AM70:AP70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 AM71:AP71"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 AM72:AP72"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 AM73:AP73"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 AM74:AP74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 AM75:AP75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 AM76:AP76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 AM77:AP77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 AM78:AP7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 AM79:AP79"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 AM80:AP80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 AM81:AP81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 AM82:AP82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 AM83:AP83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 AM84:AP84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 AM85:AP85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 AM86:AP86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 AM87:AP87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 AM88:AP88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 AM89:AP89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 AM90:AP90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 AM91:AP91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 AM92:AP92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 AM93:AP93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 AM94:AP94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 AM95:AP95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 AM96:AP96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 AM97:AP9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 AM98:AP98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 AM99:AP99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 AM100:AP100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 AM101:AP101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 AM102:AP102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 AM103:AP103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 AM104:AP104"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 AM105:AP105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 AM106:AP106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 AM107:AP107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 AM108:AP108"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 AM109:AP109"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 AM110:AP110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 AM111:AP111"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 AM112:AP112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 AM113:AP113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 AM114:AP11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 AM115:AP115"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 AM116:AP116"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 AM117:AP117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 AM118:AP118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 AM119:AP119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 AM120:AP120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 AM121:AP121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 AM122:AP122"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 AM123:AP123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 AM124:AP124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 AM125:AP125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 AM126:AP126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 AM127:AP127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 AM128:AP128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 AM129:AP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 AM130:AP130"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 AM131:AP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 AM132:AP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 AM133:AP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 AM134:AP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 AM135:AP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 AM136:AP136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 AM137:AP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 AM138:AP138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 AM139:AP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 AM140:AP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 AM141:AP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 AM142:AP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 AM143:AP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 AM144:AP144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 AM145:AP145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 AM146:AP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 AM147:AP147"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 AM148:AP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 AM149:AP149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 AM150:AP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 AM151:AP151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 AM152:AP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 AM153:AP153"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 AM154:AP154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 AM155:AP155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 AM156:AP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 AM157:AP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 AM158:AP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 AM159:AP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 AM160:AP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 AM161:AP161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 AM162:AP162"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 AM163:AP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 AM164:AP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 AM165:AP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 AM166:AP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 AM167:AP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 AM168:AP168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 AM169:AP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 AM170:AP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 AM171:AP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 AM172:AP172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 AM173:AP173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 AM174:AP174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 AM175:AP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 AM176:AP176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 AM177:AP177"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 AM178:AP178"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 AM179:AP179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 AM180:AP180"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 AM181:AP181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 AM182:AP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 AM183:AP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 AM184:AP184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 AM185:AP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 AM186:AP186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 AM187:AP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 AM188:AP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 AM189:AP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 AM190:AP190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 AM191:AP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 AM192:AP192"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 AM193:AP193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 AM194:AP194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 AM195:AP195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 AM196:AP196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 AM197:AP197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 AM198:AP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 AM199:AP199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 AM200:AP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 AM201:AP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 AM202:AP202"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 AM203:AP203"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 AM204:AP204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 AM205:AP205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 AM206:AP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 AM207:AP207"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 AM209:AP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 AM210:AP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 AM211:AP211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 AM213:AP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4 AM214:AP214"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5:AK217 AM215:AP217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19 AM218:AP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0:AK222 AM220:AP222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K223"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3:AK233 AM233:AP2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:AF229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0:AF231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:AG229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0:AG231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:AH229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0:AH231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:AI229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0:AI231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:AJ229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0:AJ231"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4:AK229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0:AK231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P2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P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P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P223"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4:AP22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0:AP231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:AR4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:AR24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5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6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7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8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9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0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1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2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3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4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5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6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7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39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0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1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2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4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6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7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8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0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1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2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3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4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5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6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7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8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59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0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1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2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3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4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5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6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7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8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69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0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1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2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3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4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5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7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8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79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0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2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3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4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5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6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7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89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0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1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3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5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99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0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2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3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4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5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7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8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09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0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1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2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3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4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5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6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7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8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19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0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5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7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8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29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0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2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3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4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5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6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7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8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39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1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2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4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5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6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7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8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49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0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2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3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4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6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7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8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59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0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1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2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3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4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5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6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7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8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69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0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2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3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4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5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6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7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79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0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1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2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3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4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5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6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7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8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89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0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1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2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3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4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5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6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7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8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199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0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1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2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3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4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5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6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7"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09"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0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1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3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4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5:AR217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18:AR219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0:AR222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3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4:AR22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0:AR231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 S23:V24 G23:G24 N23:P24 I23:J24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 G212 N212:P212 I212:J213"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4:AU229 S224:V229 G224:G228 N224:P229 I224:J227"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0:AU231 S230:V231 I230:J231 G230:G232 N230:P232 S232:AU232 I232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2025-10-11T16:05:46Z</dcterms:modified>
</cp:coreProperties>
</file>