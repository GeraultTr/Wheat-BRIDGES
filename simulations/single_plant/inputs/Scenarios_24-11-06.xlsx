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simulations\single_plant\inputs\"/>
    </mc:Choice>
  </mc:AlternateContent>
  <xr:revisionPtr revIDLastSave="0" documentId="13_ncr:1_{66E21F56-18FC-4053-BAE8-39AB0EB9BFEA}" xr6:coauthVersionLast="47" xr6:coauthVersionMax="47" xr10:uidLastSave="{00000000-0000-0000-0000-000000000000}"/>
  <bookViews>
    <workbookView xWindow="-48120" yWindow="4200" windowWidth="29040" windowHeight="18240" xr2:uid="{00000000-000D-0000-FFFF-FFFF00000000}"/>
  </bookViews>
  <sheets>
    <sheet name="scenarios_as_columns" sheetId="2" r:id="rId1"/>
    <sheet name="Comparison_with_parameters.py" sheetId="4" state="hidden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0" i="2" l="1"/>
  <c r="S229" i="2"/>
  <c r="S225" i="2"/>
  <c r="S221" i="2"/>
  <c r="S220" i="2"/>
  <c r="S219" i="2"/>
  <c r="S216" i="2"/>
  <c r="S213" i="2"/>
  <c r="S208" i="2"/>
  <c r="S205" i="2"/>
  <c r="S124" i="2"/>
  <c r="S114" i="2"/>
  <c r="S111" i="2"/>
  <c r="S108" i="2"/>
  <c r="S107" i="2"/>
  <c r="S106" i="2"/>
  <c r="S105" i="2"/>
  <c r="S104" i="2"/>
  <c r="S103" i="2"/>
  <c r="S102" i="2"/>
  <c r="S101" i="2"/>
  <c r="U230" i="2"/>
  <c r="U229" i="2"/>
  <c r="U225" i="2"/>
  <c r="U221" i="2"/>
  <c r="U219" i="2"/>
  <c r="U220" i="2" s="1"/>
  <c r="U216" i="2"/>
  <c r="U213" i="2"/>
  <c r="U208" i="2"/>
  <c r="U205" i="2"/>
  <c r="U124" i="2"/>
  <c r="U114" i="2"/>
  <c r="U111" i="2"/>
  <c r="U108" i="2"/>
  <c r="U107" i="2"/>
  <c r="U106" i="2"/>
  <c r="U105" i="2"/>
  <c r="U104" i="2"/>
  <c r="U103" i="2"/>
  <c r="U102" i="2"/>
  <c r="U101" i="2"/>
  <c r="T230" i="2"/>
  <c r="T229" i="2"/>
  <c r="T225" i="2"/>
  <c r="T221" i="2"/>
  <c r="T219" i="2"/>
  <c r="T220" i="2" s="1"/>
  <c r="T216" i="2"/>
  <c r="T213" i="2"/>
  <c r="T205" i="2"/>
  <c r="T124" i="2"/>
  <c r="T114" i="2"/>
  <c r="T111" i="2"/>
  <c r="T108" i="2"/>
  <c r="T107" i="2"/>
  <c r="T106" i="2"/>
  <c r="T105" i="2"/>
  <c r="T104" i="2"/>
  <c r="T103" i="2"/>
  <c r="T102" i="2"/>
  <c r="T101" i="2"/>
  <c r="R230" i="2"/>
  <c r="R229" i="2"/>
  <c r="R225" i="2"/>
  <c r="R221" i="2"/>
  <c r="R219" i="2"/>
  <c r="R220" i="2" s="1"/>
  <c r="R216" i="2"/>
  <c r="R213" i="2"/>
  <c r="R208" i="2"/>
  <c r="R205" i="2"/>
  <c r="R124" i="2"/>
  <c r="R114" i="2"/>
  <c r="R111" i="2"/>
  <c r="R108" i="2"/>
  <c r="R107" i="2"/>
  <c r="R106" i="2"/>
  <c r="R105" i="2"/>
  <c r="R104" i="2"/>
  <c r="R103" i="2"/>
  <c r="R102" i="2"/>
  <c r="R101" i="2"/>
  <c r="P230" i="2"/>
  <c r="P229" i="2"/>
  <c r="P225" i="2"/>
  <c r="P221" i="2"/>
  <c r="P219" i="2"/>
  <c r="P220" i="2" s="1"/>
  <c r="P216" i="2"/>
  <c r="P213" i="2"/>
  <c r="P208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30" i="2"/>
  <c r="N229" i="2"/>
  <c r="N225" i="2"/>
  <c r="N221" i="2"/>
  <c r="N220" i="2"/>
  <c r="N219" i="2"/>
  <c r="N216" i="2"/>
  <c r="N213" i="2"/>
  <c r="N208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30" i="2"/>
  <c r="O229" i="2"/>
  <c r="O225" i="2"/>
  <c r="O221" i="2"/>
  <c r="O219" i="2"/>
  <c r="O220" i="2" s="1"/>
  <c r="O216" i="2"/>
  <c r="O213" i="2"/>
  <c r="O208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30" i="2"/>
  <c r="M229" i="2"/>
  <c r="M225" i="2"/>
  <c r="M221" i="2"/>
  <c r="M219" i="2"/>
  <c r="M220" i="2" s="1"/>
  <c r="M216" i="2"/>
  <c r="M213" i="2"/>
  <c r="M208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30" i="2"/>
  <c r="L229" i="2"/>
  <c r="L225" i="2"/>
  <c r="L221" i="2"/>
  <c r="L219" i="2"/>
  <c r="L220" i="2" s="1"/>
  <c r="L216" i="2"/>
  <c r="L213" i="2"/>
  <c r="L208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30" i="2"/>
  <c r="K229" i="2"/>
  <c r="K225" i="2"/>
  <c r="K221" i="2"/>
  <c r="K219" i="2"/>
  <c r="K220" i="2" s="1"/>
  <c r="K216" i="2"/>
  <c r="K213" i="2"/>
  <c r="K208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8" i="2"/>
  <c r="J213" i="2"/>
  <c r="J216" i="2"/>
  <c r="J219" i="2"/>
  <c r="J220" i="2" s="1"/>
  <c r="J221" i="2"/>
  <c r="J225" i="2"/>
  <c r="J229" i="2"/>
  <c r="J230" i="2"/>
  <c r="AU230" i="2"/>
  <c r="AT230" i="2"/>
  <c r="AU229" i="2"/>
  <c r="AT229" i="2"/>
  <c r="AU225" i="2"/>
  <c r="AT225" i="2"/>
  <c r="AU221" i="2"/>
  <c r="AT221" i="2"/>
  <c r="AU219" i="2"/>
  <c r="AU220" i="2" s="1"/>
  <c r="AT219" i="2"/>
  <c r="AT220" i="2" s="1"/>
  <c r="AU216" i="2"/>
  <c r="AT216" i="2"/>
  <c r="AU213" i="2"/>
  <c r="AT213" i="2"/>
  <c r="AU208" i="2"/>
  <c r="AT208" i="2"/>
  <c r="AU205" i="2"/>
  <c r="AT205" i="2"/>
  <c r="AU124" i="2"/>
  <c r="AT124" i="2"/>
  <c r="AU114" i="2"/>
  <c r="AT114" i="2"/>
  <c r="AU111" i="2"/>
  <c r="AT111" i="2"/>
  <c r="AU108" i="2"/>
  <c r="AT108" i="2"/>
  <c r="AU107" i="2"/>
  <c r="AT107" i="2"/>
  <c r="AU106" i="2"/>
  <c r="AT106" i="2"/>
  <c r="AU105" i="2"/>
  <c r="AT105" i="2"/>
  <c r="AU104" i="2"/>
  <c r="AT104" i="2"/>
  <c r="AU103" i="2"/>
  <c r="AT103" i="2"/>
  <c r="AU102" i="2"/>
  <c r="AT102" i="2"/>
  <c r="AU101" i="2"/>
  <c r="AT101" i="2"/>
  <c r="AS230" i="2"/>
  <c r="AS229" i="2"/>
  <c r="AS225" i="2"/>
  <c r="AS221" i="2"/>
  <c r="AS219" i="2"/>
  <c r="AS220" i="2" s="1"/>
  <c r="AS216" i="2"/>
  <c r="AS213" i="2"/>
  <c r="AS208" i="2"/>
  <c r="AS205" i="2"/>
  <c r="AS124" i="2"/>
  <c r="AS114" i="2"/>
  <c r="AS111" i="2"/>
  <c r="AS108" i="2"/>
  <c r="AS107" i="2"/>
  <c r="AS106" i="2"/>
  <c r="AS105" i="2"/>
  <c r="AS104" i="2"/>
  <c r="AS103" i="2"/>
  <c r="AS102" i="2"/>
  <c r="AS101" i="2"/>
  <c r="AR230" i="2"/>
  <c r="AR229" i="2"/>
  <c r="AR225" i="2"/>
  <c r="AR221" i="2"/>
  <c r="AR219" i="2"/>
  <c r="AR220" i="2" s="1"/>
  <c r="AR216" i="2"/>
  <c r="AR213" i="2"/>
  <c r="AR208" i="2"/>
  <c r="AR205" i="2"/>
  <c r="AR124" i="2"/>
  <c r="AR114" i="2"/>
  <c r="AR111" i="2"/>
  <c r="AR108" i="2"/>
  <c r="AR107" i="2"/>
  <c r="AR106" i="2"/>
  <c r="AR105" i="2"/>
  <c r="AR104" i="2"/>
  <c r="AR103" i="2"/>
  <c r="AR102" i="2"/>
  <c r="AR101" i="2"/>
  <c r="AW230" i="2"/>
  <c r="AW229" i="2"/>
  <c r="AW225" i="2"/>
  <c r="AW221" i="2"/>
  <c r="AW219" i="2"/>
  <c r="AW220" i="2" s="1"/>
  <c r="AW216" i="2"/>
  <c r="AW213" i="2"/>
  <c r="AW205" i="2"/>
  <c r="AW124" i="2"/>
  <c r="AW114" i="2"/>
  <c r="AW111" i="2"/>
  <c r="AW108" i="2"/>
  <c r="AW107" i="2"/>
  <c r="AW106" i="2"/>
  <c r="AW105" i="2"/>
  <c r="AW104" i="2"/>
  <c r="AW103" i="2"/>
  <c r="AW102" i="2"/>
  <c r="AW101" i="2"/>
  <c r="AP230" i="2"/>
  <c r="AO230" i="2"/>
  <c r="AN230" i="2"/>
  <c r="AM230" i="2"/>
  <c r="AL230" i="2"/>
  <c r="AK230" i="2"/>
  <c r="AJ230" i="2"/>
  <c r="AP229" i="2"/>
  <c r="AO229" i="2"/>
  <c r="AN229" i="2"/>
  <c r="AM229" i="2"/>
  <c r="AL229" i="2"/>
  <c r="AK229" i="2"/>
  <c r="AJ229" i="2"/>
  <c r="AP225" i="2"/>
  <c r="AO225" i="2"/>
  <c r="AN225" i="2"/>
  <c r="AM225" i="2"/>
  <c r="AL225" i="2"/>
  <c r="AK225" i="2"/>
  <c r="AJ225" i="2"/>
  <c r="AP221" i="2"/>
  <c r="AO221" i="2"/>
  <c r="AN221" i="2"/>
  <c r="AM221" i="2"/>
  <c r="AL221" i="2"/>
  <c r="AK221" i="2"/>
  <c r="AJ221" i="2"/>
  <c r="AP219" i="2"/>
  <c r="AP220" i="2" s="1"/>
  <c r="AO219" i="2"/>
  <c r="AO220" i="2" s="1"/>
  <c r="AN219" i="2"/>
  <c r="AN220" i="2" s="1"/>
  <c r="AM219" i="2"/>
  <c r="AM220" i="2" s="1"/>
  <c r="AL219" i="2"/>
  <c r="AL220" i="2" s="1"/>
  <c r="AK219" i="2"/>
  <c r="AK220" i="2" s="1"/>
  <c r="AJ219" i="2"/>
  <c r="AJ220" i="2" s="1"/>
  <c r="AP216" i="2"/>
  <c r="AO216" i="2"/>
  <c r="AN216" i="2"/>
  <c r="AM216" i="2"/>
  <c r="AL216" i="2"/>
  <c r="AK216" i="2"/>
  <c r="AJ216" i="2"/>
  <c r="AP213" i="2"/>
  <c r="AO213" i="2"/>
  <c r="AN213" i="2"/>
  <c r="AM213" i="2"/>
  <c r="AL213" i="2"/>
  <c r="AK213" i="2"/>
  <c r="AJ213" i="2"/>
  <c r="AP208" i="2"/>
  <c r="AO208" i="2"/>
  <c r="AN208" i="2"/>
  <c r="AM208" i="2"/>
  <c r="AL208" i="2"/>
  <c r="AK208" i="2"/>
  <c r="AJ208" i="2"/>
  <c r="AP205" i="2"/>
  <c r="AO205" i="2"/>
  <c r="AN205" i="2"/>
  <c r="AM205" i="2"/>
  <c r="AL205" i="2"/>
  <c r="AK205" i="2"/>
  <c r="AJ205" i="2"/>
  <c r="AP124" i="2"/>
  <c r="AO124" i="2"/>
  <c r="AN124" i="2"/>
  <c r="AM124" i="2"/>
  <c r="AL124" i="2"/>
  <c r="AK124" i="2"/>
  <c r="AJ124" i="2"/>
  <c r="AP114" i="2"/>
  <c r="AO114" i="2"/>
  <c r="AN114" i="2"/>
  <c r="AM114" i="2"/>
  <c r="AL114" i="2"/>
  <c r="AK114" i="2"/>
  <c r="AJ114" i="2"/>
  <c r="AP111" i="2"/>
  <c r="AO111" i="2"/>
  <c r="AN111" i="2"/>
  <c r="AM111" i="2"/>
  <c r="AL111" i="2"/>
  <c r="AK111" i="2"/>
  <c r="AJ111" i="2"/>
  <c r="AP108" i="2"/>
  <c r="AO108" i="2"/>
  <c r="AN108" i="2"/>
  <c r="AM108" i="2"/>
  <c r="AL108" i="2"/>
  <c r="AK108" i="2"/>
  <c r="AJ108" i="2"/>
  <c r="AP107" i="2"/>
  <c r="AO107" i="2"/>
  <c r="AN107" i="2"/>
  <c r="AM107" i="2"/>
  <c r="AL107" i="2"/>
  <c r="AK107" i="2"/>
  <c r="AJ107" i="2"/>
  <c r="AP106" i="2"/>
  <c r="AO106" i="2"/>
  <c r="AN106" i="2"/>
  <c r="AM106" i="2"/>
  <c r="AL106" i="2"/>
  <c r="AK106" i="2"/>
  <c r="AJ106" i="2"/>
  <c r="AP105" i="2"/>
  <c r="AO105" i="2"/>
  <c r="AN105" i="2"/>
  <c r="AM105" i="2"/>
  <c r="AL105" i="2"/>
  <c r="AK105" i="2"/>
  <c r="AJ105" i="2"/>
  <c r="AP104" i="2"/>
  <c r="AO104" i="2"/>
  <c r="AN104" i="2"/>
  <c r="AM104" i="2"/>
  <c r="AL104" i="2"/>
  <c r="AK104" i="2"/>
  <c r="AJ104" i="2"/>
  <c r="AP103" i="2"/>
  <c r="AO103" i="2"/>
  <c r="AN103" i="2"/>
  <c r="AM103" i="2"/>
  <c r="AL103" i="2"/>
  <c r="AK103" i="2"/>
  <c r="AJ103" i="2"/>
  <c r="AP102" i="2"/>
  <c r="AO102" i="2"/>
  <c r="AN102" i="2"/>
  <c r="AM102" i="2"/>
  <c r="AL102" i="2"/>
  <c r="AK102" i="2"/>
  <c r="AJ102" i="2"/>
  <c r="AP101" i="2"/>
  <c r="AO101" i="2"/>
  <c r="AN101" i="2"/>
  <c r="AM101" i="2"/>
  <c r="AL101" i="2"/>
  <c r="AK101" i="2"/>
  <c r="AJ101" i="2"/>
  <c r="AH230" i="2"/>
  <c r="AH229" i="2"/>
  <c r="AH225" i="2"/>
  <c r="AH221" i="2"/>
  <c r="AH219" i="2"/>
  <c r="AH220" i="2" s="1"/>
  <c r="AH216" i="2"/>
  <c r="AH213" i="2"/>
  <c r="AH208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30" i="2"/>
  <c r="AG229" i="2"/>
  <c r="AG225" i="2"/>
  <c r="AG221" i="2"/>
  <c r="AG219" i="2"/>
  <c r="AG220" i="2" s="1"/>
  <c r="AG216" i="2"/>
  <c r="AG213" i="2"/>
  <c r="AG208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30" i="2"/>
  <c r="AF229" i="2"/>
  <c r="AF225" i="2"/>
  <c r="AF221" i="2"/>
  <c r="AF219" i="2"/>
  <c r="AF220" i="2" s="1"/>
  <c r="AF216" i="2"/>
  <c r="AF213" i="2"/>
  <c r="AF208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30" i="2"/>
  <c r="AE229" i="2"/>
  <c r="AE225" i="2"/>
  <c r="AE221" i="2"/>
  <c r="AE219" i="2"/>
  <c r="AE220" i="2" s="1"/>
  <c r="AE216" i="2"/>
  <c r="AE213" i="2"/>
  <c r="AE208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30" i="2"/>
  <c r="AD229" i="2"/>
  <c r="AD225" i="2"/>
  <c r="AD221" i="2"/>
  <c r="AD219" i="2"/>
  <c r="AD220" i="2" s="1"/>
  <c r="AD216" i="2"/>
  <c r="AD213" i="2"/>
  <c r="AD208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30" i="2"/>
  <c r="AC229" i="2"/>
  <c r="AC225" i="2"/>
  <c r="AC221" i="2"/>
  <c r="AC219" i="2"/>
  <c r="AC220" i="2" s="1"/>
  <c r="AC216" i="2"/>
  <c r="AC213" i="2"/>
  <c r="AC208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30" i="2"/>
  <c r="AB229" i="2"/>
  <c r="AB225" i="2"/>
  <c r="AB221" i="2"/>
  <c r="AB219" i="2"/>
  <c r="AB220" i="2" s="1"/>
  <c r="AB216" i="2"/>
  <c r="AB213" i="2"/>
  <c r="AB208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30" i="2"/>
  <c r="Z230" i="2"/>
  <c r="Y230" i="2"/>
  <c r="X230" i="2"/>
  <c r="I230" i="2"/>
  <c r="H230" i="2"/>
  <c r="G230" i="2"/>
  <c r="AA229" i="2" l="1"/>
  <c r="AA225" i="2"/>
  <c r="AA221" i="2"/>
  <c r="AA219" i="2"/>
  <c r="AA220" i="2" s="1"/>
  <c r="AA216" i="2"/>
  <c r="AA213" i="2"/>
  <c r="AA208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Z229" i="2"/>
  <c r="Z225" i="2"/>
  <c r="Z221" i="2"/>
  <c r="Z219" i="2"/>
  <c r="Z220" i="2" s="1"/>
  <c r="Z216" i="2"/>
  <c r="Z213" i="2"/>
  <c r="Z208" i="2"/>
  <c r="Z205" i="2"/>
  <c r="Z124" i="2"/>
  <c r="Z114" i="2"/>
  <c r="Z111" i="2"/>
  <c r="Z108" i="2"/>
  <c r="Z107" i="2"/>
  <c r="Z106" i="2"/>
  <c r="Z105" i="2"/>
  <c r="Z104" i="2"/>
  <c r="Z103" i="2"/>
  <c r="Z102" i="2"/>
  <c r="Z101" i="2"/>
  <c r="Y229" i="2"/>
  <c r="Y225" i="2"/>
  <c r="Y221" i="2"/>
  <c r="Y219" i="2"/>
  <c r="Y220" i="2" s="1"/>
  <c r="Y216" i="2"/>
  <c r="Y213" i="2"/>
  <c r="Y208" i="2"/>
  <c r="Y205" i="2"/>
  <c r="Y124" i="2"/>
  <c r="Y114" i="2"/>
  <c r="Y111" i="2"/>
  <c r="Y108" i="2"/>
  <c r="Y107" i="2"/>
  <c r="Y106" i="2"/>
  <c r="Y105" i="2"/>
  <c r="Y104" i="2"/>
  <c r="Y103" i="2"/>
  <c r="Y102" i="2"/>
  <c r="Y101" i="2"/>
  <c r="X229" i="2"/>
  <c r="X225" i="2"/>
  <c r="X221" i="2"/>
  <c r="X219" i="2"/>
  <c r="X220" i="2" s="1"/>
  <c r="X216" i="2"/>
  <c r="X213" i="2"/>
  <c r="X208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AZ230" i="2"/>
  <c r="AZ229" i="2"/>
  <c r="AZ225" i="2"/>
  <c r="AZ221" i="2"/>
  <c r="AZ219" i="2"/>
  <c r="AZ220" i="2" s="1"/>
  <c r="AZ216" i="2"/>
  <c r="AZ213" i="2"/>
  <c r="AZ208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H205" i="2" l="1"/>
  <c r="I205" i="2"/>
  <c r="G205" i="2"/>
  <c r="I229" i="2"/>
  <c r="H229" i="2"/>
  <c r="G229" i="2"/>
  <c r="H208" i="2" l="1"/>
  <c r="I208" i="2"/>
  <c r="G208" i="2"/>
  <c r="I216" i="2"/>
  <c r="H225" i="2"/>
  <c r="I225" i="2"/>
  <c r="G225" i="2"/>
  <c r="I124" i="2" l="1"/>
  <c r="I221" i="2"/>
  <c r="H133" i="2" l="1"/>
  <c r="G124" i="2"/>
  <c r="H222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21" i="2"/>
  <c r="G221" i="2"/>
  <c r="H220" i="2"/>
  <c r="G220" i="2"/>
  <c r="I219" i="2"/>
  <c r="I220" i="2" s="1"/>
  <c r="H219" i="2"/>
  <c r="G219" i="2"/>
  <c r="H218" i="2"/>
  <c r="G218" i="2"/>
  <c r="I213" i="2"/>
  <c r="H213" i="2"/>
  <c r="G213" i="2"/>
  <c r="H207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<sst xmlns="http://schemas.openxmlformats.org/spreadsheetml/2006/main" count="2969" uniqueCount="597">
  <si>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</si>
  <si>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</si>
  <si>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</si>
  <si>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</si>
  <si>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</si>
  <si>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</si>
  <si>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</si>
  <si>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</si>
  <si>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</si>
  <si>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</si>
  <si>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</si>
  <si>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</si>
  <si>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</si>
  <si>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</si>
  <si>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</si>
  <si>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</si>
  <si>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</si>
  <si>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</si>
  <si>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</si>
  <si>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</si>
  <si>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</si>
  <si>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</si>
  <si>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</si>
  <si>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</si>
  <si>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</si>
  <si>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</si>
  <si>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</si>
  <si>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</si>
  <si>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</si>
  <si>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</si>
  <si>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</si>
  <si>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</si>
  <si>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</si>
  <si>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</si>
  <si>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</si>
  <si>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</si>
  <si>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</si>
  <si>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</si>
  <si>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</si>
  <si>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</si>
  <si>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</si>
  <si>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</si>
  <si>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</si>
  <si>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</si>
  <si>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</si>
  <si>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</si>
  <si>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</si>
  <si>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</si>
  <si>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</si>
  <si>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</si>
  <si>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</si>
  <si>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</si>
  <si>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</si>
  <si>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</si>
  <si>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</si>
  <si>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</si>
  <si>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</si>
  <si>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</si>
  <si>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</si>
  <si>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</si>
  <si>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</si>
  <si>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</si>
  <si>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</si>
  <si>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</si>
  <si>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</si>
  <si>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</si>
  <si>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</si>
  <si>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</si>
  <si>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</si>
  <si>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</si>
  <si>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</si>
  <si>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</si>
  <si>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</si>
  <si>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</si>
  <si>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</si>
  <si>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</si>
  <si>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</si>
  <si>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</si>
  <si>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</si>
  <si>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</si>
  <si>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</si>
  <si>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</si>
  <si>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</si>
  <si>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</si>
  <si>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</si>
  <si>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</si>
  <si>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</si>
  <si>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</si>
  <si>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</si>
  <si>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</si>
  <si>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</si>
  <si>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</si>
  <si>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</si>
  <si>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</si>
  <si>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</si>
  <si>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</si>
  <si>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</si>
  <si>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</si>
  <si>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</si>
  <si>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</si>
  <si>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</si>
  <si>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</si>
  <si>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</si>
  <si>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</si>
  <si>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</si>
  <si>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</si>
  <si>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</si>
  <si>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</si>
  <si>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</si>
  <si>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</si>
  <si>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</si>
  <si>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</si>
  <si>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</si>
  <si>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</si>
  <si>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</si>
  <si>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</si>
  <si>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</si>
  <si>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</si>
  <si>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</si>
  <si>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</si>
  <si>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</si>
  <si>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</si>
  <si>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</si>
  <si>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</si>
  <si>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</si>
  <si>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</si>
  <si>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</si>
  <si>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</si>
  <si>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</si>
  <si>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</si>
  <si>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</si>
  <si>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</si>
  <si>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</si>
  <si>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</si>
  <si>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</si>
  <si>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</si>
  <si>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</si>
  <si>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</si>
  <si>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</si>
  <si>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</si>
  <si>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</si>
  <si>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</si>
  <si>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</si>
  <si>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</si>
  <si>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</si>
  <si>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</si>
  <si>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</si>
  <si>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</si>
  <si>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</si>
  <si>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</si>
  <si>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</si>
  <si>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</si>
  <si>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</si>
  <si>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</si>
  <si>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</si>
  <si>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</si>
  <si>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</si>
  <si>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</si>
  <si>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</si>
  <si>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</si>
  <si>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</si>
  <si>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</si>
  <si>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</si>
  <si>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</si>
  <si>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</si>
  <si>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</si>
  <si>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</si>
  <si>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</si>
  <si>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</si>
  <si>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</si>
  <si>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</si>
  <si>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</si>
  <si>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</si>
  <si>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</si>
  <si>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</si>
  <si>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</si>
  <si>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</si>
  <si>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</si>
  <si>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</si>
  <si>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</si>
  <si>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</si>
  <si>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</si>
  <si>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</si>
  <si>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</si>
  <si>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</si>
  <si>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</si>
  <si>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</si>
  <si>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</si>
  <si>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</si>
  <si>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</si>
  <si>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</si>
  <si>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</si>
  <si>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</si>
  <si>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</si>
  <si>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</si>
  <si>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</si>
  <si>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</si>
  <si>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</si>
  <si>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</si>
  <si>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</si>
  <si>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</si>
  <si>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</si>
  <si>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</si>
  <si>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</si>
  <si>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</si>
  <si>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</si>
  <si>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</si>
  <si>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</si>
  <si>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</si>
  <si>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</si>
  <si>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</si>
  <si>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</si>
  <si>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</si>
  <si>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</si>
  <si>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</si>
  <si>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</si>
  <si>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</si>
  <si>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</si>
  <si>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</si>
  <si>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</si>
  <si>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</si>
  <si>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</si>
  <si>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</si>
  <si>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</si>
  <si>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</si>
  <si>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</si>
  <si>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</si>
  <si>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</si>
  <si>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</si>
  <si>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</si>
  <si>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</si>
  <si>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</si>
  <si>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</si>
  <si>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</si>
  <si>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</si>
  <si>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</si>
  <si>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</si>
  <si>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</si>
  <si>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</si>
  <si>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</si>
  <si>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</si>
  <si>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</si>
  <si>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</si>
  <si>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</si>
  <si>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</si>
  <si>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</si>
  <si>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</si>
  <si>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</si>
  <si>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</si>
  <si>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</si>
  <si>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</si>
  <si>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</si>
  <si>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</si>
  <si>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</si>
  <si>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</si>
  <si>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</si>
  <si>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</si>
  <si>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</si>
  <si>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</si>
  <si>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</si>
  <si>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</si>
  <si>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</si>
  <si>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</si>
  <si>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</si>
  <si>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</si>
  <si>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</si>
  <si>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</si>
  <si>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</si>
  <si>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</si>
  <si>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</si>
  <si>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</si>
  <si>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</si>
  <si>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</si>
  <si>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</si>
  <si>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</si>
  <si>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</si>
  <si>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</si>
  <si>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</si>
  <si>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</si>
  <si>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</si>
  <si>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</si>
  <si>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</si>
  <si>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</si>
  <si>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</si>
  <si>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</si>
  <si>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</si>
  <si>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</si>
  <si>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</si>
  <si>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</si>
  <si>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</si>
  <si>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</si>
  <si>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</si>
  <si>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</si>
  <si>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</si>
  <si>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</si>
  <si>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</si>
  <si>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</si>
  <si>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</si>
  <si>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</si>
  <si>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</si>
  <si>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</si>
  <si>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</si>
  <si>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</si>
  <si>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</si>
  <si>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</si>
  <si>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</si>
  <si>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</si>
  <si>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</si>
  <si>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</si>
  <si>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</si>
  <si>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</si>
  <si>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</si>
  <si>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</si>
  <si>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</si>
  <si>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</si>
  <si>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</si>
  <si>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</si>
  <si>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</si>
  <si>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</si>
  <si>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</si>
  <si>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</si>
  <si>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</si>
  <si>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</si>
  <si>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</si>
  <si>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</si>
  <si>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</si>
  <si>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</si>
  <si>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</si>
  <si>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</si>
  <si>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</si>
  <si>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</si>
  <si>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</si>
  <si>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</si>
  <si>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</si>
  <si>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</si>
  <si>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</si>
  <si>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</si>
  <si>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</si>
  <si>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</si>
  <si>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</si>
  <si>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</si>
  <si>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</si>
  <si>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</si>
  <si>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</si>
  <si>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</si>
  <si>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</si>
  <si>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</si>
  <si>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</si>
  <si>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</si>
  <si>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</si>
  <si>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</si>
  <si>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</si>
  <si>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</si>
  <si>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</si>
  <si>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</si>
  <si>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</si>
  <si>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</si>
  <si>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</si>
  <si>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</si>
  <si>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</si>
  <si>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</si>
  <si>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</si>
  <si>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</si>
  <si>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</si>
  <si>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</si>
  <si>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</si>
  <si>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</si>
  <si>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</si>
  <si>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</si>
  <si>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</si>
  <si>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</si>
  <si>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</si>
  <si>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</si>
  <si>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</si>
  <si>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</si>
  <si>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</si>
  <si>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</si>
  <si>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</si>
  <si>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</si>
  <si>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</si>
  <si>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</si>
  <si>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</si>
  <si>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</si>
  <si>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</si>
  <si>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</si>
  <si>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</si>
  <si>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</si>
  <si>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</si>
  <si>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</si>
  <si>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</si>
  <si>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</si>
  <si>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</si>
  <si>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</si>
  <si>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</si>
  <si>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</si>
  <si>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</si>
  <si>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</si>
  <si>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</si>
  <si>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</si>
  <si>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</si>
  <si>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</si>
  <si>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</si>
  <si>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</si>
  <si>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</si>
  <si>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</si>
  <si>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</si>
  <si>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</si>
  <si>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</si>
  <si>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</si>
  <si>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</si>
  <si>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</si>
  <si>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</si>
  <si>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</si>
  <si>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</si>
  <si>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</si>
  <si>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</si>
  <si>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</si>
  <si>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</si>
  <si>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</si>
  <si>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</si>
  <si>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</si>
  <si>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</si>
  <si>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</si>
  <si>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</si>
  <si>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</si>
  <si>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</si>
  <si>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</si>
  <si>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</si>
  <si>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</si>
  <si>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</si>
  <si>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</si>
  <si>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</si>
  <si>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</si>
  <si>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</si>
  <si>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</si>
  <si>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</si>
  <si>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</si>
  <si>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</si>
  <si>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</si>
  <si>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</si>
  <si>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</si>
  <si>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</si>
  <si>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</si>
  <si>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</si>
  <si>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</si>
  <si>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</si>
  <si>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</si>
  <si>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</si>
  <si>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</si>
  <si>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</si>
  <si>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</si>
  <si>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</si>
  <si>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</si>
  <si>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</si>
  <si>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</si>
  <si>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</si>
  <si>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</si>
  <si>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</si>
  <si>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</si>
  <si>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</si>
  <si>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</si>
  <si>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</si>
  <si>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</si>
  <si>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</si>
  <si>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</si>
  <si>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</si>
  <si>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</si>
  <si>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</si>
  <si>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</si>
  <si>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</si>
  <si>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</si>
  <si>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</si>
  <si>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</si>
  <si>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</si>
  <si>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</si>
  <si>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</si>
  <si>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</si>
  <si>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</si>
  <si>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</si>
  <si>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</si>
  <si>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</si>
  <si>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</si>
  <si>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</si>
  <si>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</si>
  <si>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</si>
  <si>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</si>
  <si>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xylem_cross_area_ratio</t>
  </si>
  <si>
    <t>adim</t>
  </si>
  <si>
    <t>mol.m-3</t>
  </si>
  <si>
    <t>Pa</t>
  </si>
  <si>
    <t>xylem_total_pressure</t>
  </si>
  <si>
    <t>xylem uniform pressure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</si>
  <si>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</si>
  <si>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</si>
  <si>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</si>
  <si>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</si>
  <si>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</si>
  <si>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</si>
  <si>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</si>
  <si>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</si>
  <si>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cortical_surfacic_fraction</t>
  </si>
  <si>
    <t>Cortex (+epidermis) parenchyma surface ratio over root segment's cylinder surface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</si>
  <si>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</si>
  <si>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</si>
  <si>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</si>
  <si>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</si>
  <si>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</si>
  <si>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</si>
  <si>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</si>
  <si>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</si>
  <si>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</si>
  <si>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</si>
  <si>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</si>
  <si>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</si>
  <si>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</si>
  <si>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</si>
  <si>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</si>
  <si>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</si>
  <si>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</si>
  <si>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cortex_water_conductivity</t>
  </si>
  <si>
    <t>Transmembrane water conductivity</t>
  </si>
  <si>
    <t>m.s-1.Pa-1</t>
  </si>
  <si>
    <t>apoplasmic_water_conductivity</t>
  </si>
  <si>
    <t>Apoplasmic water conductivity</t>
  </si>
  <si>
    <t>m.s-1.Pa-2</t>
  </si>
  <si>
    <t>ratio of water volume relative to segment volume. In principle &lt;1, but can be increased to prevent too harsh pressure and water content drop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</si>
  <si>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</si>
  <si>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</si>
  <si>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</si>
  <si>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</si>
  <si>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</si>
  <si>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</si>
  <si>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</si>
  <si>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</si>
  <si>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</si>
  <si>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</si>
  <si>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</si>
  <si>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</si>
  <si>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</si>
  <si>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</si>
  <si>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</si>
  <si>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</si>
  <si>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</si>
  <si>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</si>
  <si>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</si>
  <si>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</si>
  <si>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</si>
  <si>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</si>
  <si>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</si>
  <si>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</si>
  <si>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</si>
  <si>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</si>
  <si>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</si>
  <si>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</si>
  <si>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</si>
  <si>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</si>
  <si>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</si>
  <si>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</si>
  <si>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</si>
  <si>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</si>
  <si>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</si>
  <si>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</si>
  <si>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</si>
  <si>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</si>
  <si>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</si>
  <si>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</si>
  <si>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</si>
  <si>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</si>
  <si>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</si>
  <si>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</si>
  <si>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</si>
  <si>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</si>
  <si>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</si>
  <si>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</si>
  <si>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</si>
  <si>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</si>
  <si>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</si>
  <si>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cmax_AA</t>
  </si>
  <si>
    <t>Maximal rate of amino acid degradation in the root segment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</si>
  <si>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</si>
  <si>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</si>
  <si>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</si>
  <si>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</si>
  <si>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</si>
  <si>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</si>
  <si>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</si>
  <si>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</si>
  <si>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</si>
  <si>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</si>
  <si>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</si>
  <si>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</si>
  <si>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</si>
  <si>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</si>
  <si>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</t>
  </si>
  <si>
    <t>WB_lowS7_patch</t>
  </si>
  <si>
    <t>WB_lowS8</t>
  </si>
  <si>
    <t>WB_lowS7_O2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</si>
</sst>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5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230"/>
  <sheetViews>
    <sheetView tabSelected="1" zoomScale="79" zoomScaleNormal="100" workbookViewId="0">
      <pane xSplit="6" ySplit="1" topLeftCell="P2" activePane="bottomRight" state="frozen"/>
      <selection pane="topRight" activeCell="G1" sqref="G1"/>
      <selection pane="bottomLeft" activeCell="A2" sqref="A2"/>
      <selection pane="bottomRight" activeCell="W29" sqref="W29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2" width="21.5703125" style="1" customWidth="1"/>
  </cols>
  <sheetData>
    <row r="1" spans="1:52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532</v>
      </c>
      <c r="I1" s="36" t="s">
        <v>531</v>
      </c>
      <c r="J1" s="36" t="s">
        <v>585</v>
      </c>
      <c r="K1" s="54" t="s">
        <v>587</v>
      </c>
      <c r="L1" s="54" t="s">
        <v>588</v>
      </c>
      <c r="M1" s="54" t="s">
        <v>589</v>
      </c>
      <c r="N1" s="54" t="s">
        <v>590</v>
      </c>
      <c r="O1" s="54" t="s">
        <v>591</v>
      </c>
      <c r="P1" s="54" t="s">
        <v>592</v>
      </c>
      <c r="R1" s="54" t="s">
        <v>593</v>
      </c>
      <c r="S1" s="54" t="s">
        <v>596</v>
      </c>
      <c r="T1" s="54" t="s">
        <v>594</v>
      </c>
      <c r="U1" s="54" t="s">
        <v>595</v>
      </c>
      <c r="W1" s="1" t="s">
        <v>586</v>
      </c>
      <c r="X1" s="36" t="s">
        <v>559</v>
      </c>
      <c r="Y1" s="36" t="s">
        <v>560</v>
      </c>
      <c r="Z1" s="36" t="s">
        <v>561</v>
      </c>
      <c r="AA1" s="36" t="s">
        <v>562</v>
      </c>
      <c r="AB1" s="36" t="s">
        <v>563</v>
      </c>
      <c r="AC1" s="36" t="s">
        <v>564</v>
      </c>
      <c r="AD1" s="36" t="s">
        <v>565</v>
      </c>
      <c r="AE1" s="36" t="s">
        <v>566</v>
      </c>
      <c r="AF1" s="36" t="s">
        <v>567</v>
      </c>
      <c r="AG1" s="36" t="s">
        <v>568</v>
      </c>
      <c r="AH1" s="36" t="s">
        <v>569</v>
      </c>
      <c r="AI1"/>
      <c r="AJ1" s="36" t="s">
        <v>570</v>
      </c>
      <c r="AK1" s="36" t="s">
        <v>571</v>
      </c>
      <c r="AL1" s="36" t="s">
        <v>572</v>
      </c>
      <c r="AM1" s="36" t="s">
        <v>573</v>
      </c>
      <c r="AN1" s="36" t="s">
        <v>574</v>
      </c>
      <c r="AO1" s="36" t="s">
        <v>575</v>
      </c>
      <c r="AP1" s="36" t="s">
        <v>576</v>
      </c>
      <c r="AQ1"/>
      <c r="AR1" s="36" t="s">
        <v>581</v>
      </c>
      <c r="AS1" s="36" t="s">
        <v>582</v>
      </c>
      <c r="AT1" s="36" t="s">
        <v>583</v>
      </c>
      <c r="AU1" s="36" t="s">
        <v>584</v>
      </c>
      <c r="AV1"/>
      <c r="AW1" s="36" t="s">
        <v>580</v>
      </c>
      <c r="AX1"/>
      <c r="AY1"/>
      <c r="AZ1" s="36" t="s">
        <v>558</v>
      </c>
    </row>
    <row r="2" spans="1:52" s="1" customFormat="1" x14ac:dyDescent="0.25">
      <c r="A2" s="42" t="s">
        <v>481</v>
      </c>
      <c r="B2" s="3" t="s">
        <v>475</v>
      </c>
      <c r="C2" s="3" t="s">
        <v>483</v>
      </c>
      <c r="D2" s="3" t="s">
        <v>537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/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 s="44" t="s">
        <v>478</v>
      </c>
      <c r="AP2" s="44" t="s">
        <v>478</v>
      </c>
      <c r="AQ2"/>
      <c r="AR2" s="44" t="s">
        <v>478</v>
      </c>
      <c r="AS2" s="44" t="s">
        <v>478</v>
      </c>
      <c r="AT2" s="44" t="s">
        <v>478</v>
      </c>
      <c r="AU2" s="44" t="s">
        <v>478</v>
      </c>
      <c r="AV2"/>
      <c r="AW2" s="44" t="s">
        <v>478</v>
      </c>
      <c r="AX2"/>
      <c r="AY2"/>
      <c r="AZ2" s="44" t="s">
        <v>478</v>
      </c>
    </row>
    <row r="3" spans="1:52" s="1" customFormat="1" x14ac:dyDescent="0.25">
      <c r="A3" s="42" t="s">
        <v>479</v>
      </c>
      <c r="B3" s="3" t="s">
        <v>474</v>
      </c>
      <c r="C3" s="3" t="s">
        <v>483</v>
      </c>
      <c r="D3" s="3" t="s">
        <v>537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/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 s="44" t="s">
        <v>476</v>
      </c>
      <c r="AP3" s="44" t="s">
        <v>476</v>
      </c>
      <c r="AQ3"/>
      <c r="AR3" s="44" t="s">
        <v>476</v>
      </c>
      <c r="AS3" s="44" t="s">
        <v>476</v>
      </c>
      <c r="AT3" s="44" t="s">
        <v>476</v>
      </c>
      <c r="AU3" s="44" t="s">
        <v>476</v>
      </c>
      <c r="AV3"/>
      <c r="AW3" s="44" t="s">
        <v>476</v>
      </c>
      <c r="AX3"/>
      <c r="AY3"/>
      <c r="AZ3" s="44" t="s">
        <v>476</v>
      </c>
    </row>
    <row r="4" spans="1:52" x14ac:dyDescent="0.25">
      <c r="A4" s="3" t="s">
        <v>2</v>
      </c>
      <c r="B4" s="3" t="s">
        <v>473</v>
      </c>
      <c r="C4" s="3" t="s">
        <v>483</v>
      </c>
      <c r="D4" s="3" t="s">
        <v>537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T4" s="44" t="s">
        <v>86</v>
      </c>
      <c r="U4" s="44" t="s">
        <v>86</v>
      </c>
      <c r="X4" s="44" t="s">
        <v>86</v>
      </c>
      <c r="Y4" s="44" t="s">
        <v>86</v>
      </c>
      <c r="Z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/>
      <c r="AJ4" s="44" t="s">
        <v>86</v>
      </c>
      <c r="AK4" s="44" t="s">
        <v>86</v>
      </c>
      <c r="AL4" s="44" t="s">
        <v>86</v>
      </c>
      <c r="AM4" s="44" t="s">
        <v>86</v>
      </c>
      <c r="AN4" s="44" t="s">
        <v>86</v>
      </c>
      <c r="AO4" s="44" t="s">
        <v>86</v>
      </c>
      <c r="AP4" s="44" t="s">
        <v>86</v>
      </c>
      <c r="AQ4"/>
      <c r="AR4" s="44" t="s">
        <v>86</v>
      </c>
      <c r="AS4" s="44" t="s">
        <v>86</v>
      </c>
      <c r="AT4" s="44" t="s">
        <v>86</v>
      </c>
      <c r="AU4" s="44" t="s">
        <v>86</v>
      </c>
      <c r="AV4"/>
      <c r="AW4" s="44" t="s">
        <v>86</v>
      </c>
      <c r="AX4"/>
      <c r="AY4"/>
      <c r="AZ4" s="44" t="s">
        <v>86</v>
      </c>
    </row>
    <row r="5" spans="1:52" x14ac:dyDescent="0.25">
      <c r="A5" s="3" t="s">
        <v>3</v>
      </c>
      <c r="B5" s="3" t="s">
        <v>473</v>
      </c>
      <c r="C5" s="3" t="s">
        <v>483</v>
      </c>
      <c r="D5" s="3" t="s">
        <v>537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T5" s="44">
        <v>1</v>
      </c>
      <c r="U5" s="44">
        <v>1</v>
      </c>
      <c r="X5" s="44">
        <v>1</v>
      </c>
      <c r="Y5" s="44">
        <v>1</v>
      </c>
      <c r="Z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/>
      <c r="AJ5" s="44">
        <v>1</v>
      </c>
      <c r="AK5" s="44">
        <v>1</v>
      </c>
      <c r="AL5" s="44">
        <v>1</v>
      </c>
      <c r="AM5" s="44">
        <v>1</v>
      </c>
      <c r="AN5" s="44">
        <v>1</v>
      </c>
      <c r="AO5" s="44">
        <v>1</v>
      </c>
      <c r="AP5" s="44">
        <v>1</v>
      </c>
      <c r="AQ5"/>
      <c r="AR5" s="44">
        <v>1</v>
      </c>
      <c r="AS5" s="44">
        <v>1</v>
      </c>
      <c r="AT5" s="44">
        <v>1</v>
      </c>
      <c r="AU5" s="44">
        <v>1</v>
      </c>
      <c r="AV5"/>
      <c r="AW5" s="44">
        <v>1</v>
      </c>
      <c r="AX5"/>
      <c r="AY5"/>
      <c r="AZ5" s="44">
        <v>1</v>
      </c>
    </row>
    <row r="6" spans="1:52" x14ac:dyDescent="0.25">
      <c r="A6" s="5" t="s">
        <v>4</v>
      </c>
      <c r="B6" s="3" t="s">
        <v>473</v>
      </c>
      <c r="C6" s="3" t="s">
        <v>483</v>
      </c>
      <c r="D6" s="3" t="s">
        <v>537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T6" s="44">
        <v>180</v>
      </c>
      <c r="U6" s="44">
        <v>180</v>
      </c>
      <c r="X6" s="44">
        <v>180</v>
      </c>
      <c r="Y6" s="44">
        <v>180</v>
      </c>
      <c r="Z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/>
      <c r="AJ6" s="44">
        <v>180</v>
      </c>
      <c r="AK6" s="44">
        <v>180</v>
      </c>
      <c r="AL6" s="44">
        <v>180</v>
      </c>
      <c r="AM6" s="44">
        <v>180</v>
      </c>
      <c r="AN6" s="44">
        <v>180</v>
      </c>
      <c r="AO6" s="44">
        <v>180</v>
      </c>
      <c r="AP6" s="44">
        <v>180</v>
      </c>
      <c r="AQ6"/>
      <c r="AR6" s="44">
        <v>180</v>
      </c>
      <c r="AS6" s="44">
        <v>180</v>
      </c>
      <c r="AT6" s="44">
        <v>180</v>
      </c>
      <c r="AU6" s="44">
        <v>180</v>
      </c>
      <c r="AV6"/>
      <c r="AW6" s="44">
        <v>180</v>
      </c>
      <c r="AX6"/>
      <c r="AY6"/>
      <c r="AZ6" s="44">
        <v>180</v>
      </c>
    </row>
    <row r="7" spans="1:52" x14ac:dyDescent="0.25">
      <c r="A7" s="5" t="s">
        <v>5</v>
      </c>
      <c r="B7" s="3" t="s">
        <v>473</v>
      </c>
      <c r="C7" s="3" t="s">
        <v>483</v>
      </c>
      <c r="D7" s="3" t="s">
        <v>537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U7" s="44">
        <v>4.1666666999999998E-2</v>
      </c>
      <c r="X7" s="44">
        <v>4.1666666999999998E-2</v>
      </c>
      <c r="Y7" s="44">
        <v>4.1666666999999998E-2</v>
      </c>
      <c r="Z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/>
      <c r="AJ7" s="44">
        <v>4.1666666999999998E-2</v>
      </c>
      <c r="AK7" s="44">
        <v>4.1666666999999998E-2</v>
      </c>
      <c r="AL7" s="44">
        <v>4.1666666999999998E-2</v>
      </c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/>
      <c r="AR7" s="44">
        <v>4.1666666999999998E-2</v>
      </c>
      <c r="AS7" s="44">
        <v>4.1666666999999998E-2</v>
      </c>
      <c r="AT7" s="44">
        <v>4.1666666999999998E-2</v>
      </c>
      <c r="AU7" s="44">
        <v>4.1666666999999998E-2</v>
      </c>
      <c r="AV7"/>
      <c r="AW7" s="44">
        <v>4.1666666999999998E-2</v>
      </c>
      <c r="AX7"/>
      <c r="AY7"/>
      <c r="AZ7" s="44">
        <v>4.1666666999999998E-2</v>
      </c>
    </row>
    <row r="8" spans="1:52" x14ac:dyDescent="0.25">
      <c r="A8" s="5" t="s">
        <v>20</v>
      </c>
      <c r="B8" s="3" t="s">
        <v>473</v>
      </c>
      <c r="C8" s="3" t="s">
        <v>483</v>
      </c>
      <c r="D8" s="3" t="s">
        <v>537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/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/>
      <c r="AR8" s="44">
        <v>4.1666666999999998E-2</v>
      </c>
      <c r="AS8" s="44">
        <v>4.1666666999999998E-2</v>
      </c>
      <c r="AT8" s="44">
        <v>4.1666666999999998E-2</v>
      </c>
      <c r="AU8" s="44">
        <v>4.1666666999999998E-2</v>
      </c>
      <c r="AV8"/>
      <c r="AW8" s="44">
        <v>4.1666666999999998E-2</v>
      </c>
      <c r="AX8"/>
      <c r="AY8"/>
      <c r="AZ8" s="44">
        <v>4.1666666999999998E-2</v>
      </c>
    </row>
    <row r="9" spans="1:52" x14ac:dyDescent="0.25">
      <c r="A9" s="7" t="s">
        <v>1</v>
      </c>
      <c r="B9" s="3" t="s">
        <v>473</v>
      </c>
      <c r="C9" s="3" t="s">
        <v>483</v>
      </c>
      <c r="D9" s="3" t="s">
        <v>537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T9" s="44">
        <v>1</v>
      </c>
      <c r="U9" s="44">
        <v>1</v>
      </c>
      <c r="X9" s="44">
        <v>1</v>
      </c>
      <c r="Y9" s="44">
        <v>1</v>
      </c>
      <c r="Z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/>
      <c r="AJ9" s="44">
        <v>1</v>
      </c>
      <c r="AK9" s="44">
        <v>1</v>
      </c>
      <c r="AL9" s="44">
        <v>1</v>
      </c>
      <c r="AM9" s="44">
        <v>1</v>
      </c>
      <c r="AN9" s="44">
        <v>1</v>
      </c>
      <c r="AO9" s="44">
        <v>1</v>
      </c>
      <c r="AP9" s="44">
        <v>1</v>
      </c>
      <c r="AQ9"/>
      <c r="AR9" s="44">
        <v>1</v>
      </c>
      <c r="AS9" s="44">
        <v>1</v>
      </c>
      <c r="AT9" s="44">
        <v>1</v>
      </c>
      <c r="AU9" s="44">
        <v>1</v>
      </c>
      <c r="AV9"/>
      <c r="AW9" s="44">
        <v>1</v>
      </c>
      <c r="AX9"/>
      <c r="AY9"/>
      <c r="AZ9" s="44">
        <v>1</v>
      </c>
    </row>
    <row r="10" spans="1:52" x14ac:dyDescent="0.25">
      <c r="A10" s="7" t="s">
        <v>450</v>
      </c>
      <c r="B10" s="3" t="s">
        <v>473</v>
      </c>
      <c r="C10" s="3" t="s">
        <v>483</v>
      </c>
      <c r="D10" s="3" t="s">
        <v>537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T10" s="44">
        <v>0</v>
      </c>
      <c r="U10" s="44">
        <v>0</v>
      </c>
      <c r="X10" s="44">
        <v>0</v>
      </c>
      <c r="Y10" s="44">
        <v>0</v>
      </c>
      <c r="Z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/>
      <c r="AJ10" s="44">
        <v>0</v>
      </c>
      <c r="AK10" s="44">
        <v>0</v>
      </c>
      <c r="AL10" s="44">
        <v>0</v>
      </c>
      <c r="AM10" s="44">
        <v>0</v>
      </c>
      <c r="AN10" s="44">
        <v>0</v>
      </c>
      <c r="AO10" s="44">
        <v>0</v>
      </c>
      <c r="AP10" s="44">
        <v>0</v>
      </c>
      <c r="AQ10"/>
      <c r="AR10" s="44">
        <v>0</v>
      </c>
      <c r="AS10" s="44">
        <v>0</v>
      </c>
      <c r="AT10" s="44">
        <v>0</v>
      </c>
      <c r="AU10" s="44">
        <v>0</v>
      </c>
      <c r="AV10"/>
      <c r="AW10" s="44">
        <v>0</v>
      </c>
      <c r="AX10"/>
      <c r="AY10"/>
      <c r="AZ10" s="44">
        <v>0</v>
      </c>
    </row>
    <row r="11" spans="1:52" x14ac:dyDescent="0.25">
      <c r="A11" s="7" t="s">
        <v>6</v>
      </c>
      <c r="B11" s="3" t="s">
        <v>473</v>
      </c>
      <c r="C11" s="3" t="s">
        <v>483</v>
      </c>
      <c r="D11" s="3" t="s">
        <v>537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T11" s="44" t="s">
        <v>87</v>
      </c>
      <c r="U11" s="44" t="s">
        <v>87</v>
      </c>
      <c r="X11" s="44" t="s">
        <v>87</v>
      </c>
      <c r="Y11" s="44" t="s">
        <v>87</v>
      </c>
      <c r="Z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/>
      <c r="AJ11" s="44" t="s">
        <v>87</v>
      </c>
      <c r="AK11" s="44" t="s">
        <v>87</v>
      </c>
      <c r="AL11" s="44" t="s">
        <v>87</v>
      </c>
      <c r="AM11" s="44" t="s">
        <v>87</v>
      </c>
      <c r="AN11" s="44" t="s">
        <v>87</v>
      </c>
      <c r="AO11" s="44" t="s">
        <v>87</v>
      </c>
      <c r="AP11" s="44" t="s">
        <v>87</v>
      </c>
      <c r="AQ11"/>
      <c r="AR11" s="44" t="s">
        <v>87</v>
      </c>
      <c r="AS11" s="44" t="s">
        <v>87</v>
      </c>
      <c r="AT11" s="44" t="s">
        <v>87</v>
      </c>
      <c r="AU11" s="44" t="s">
        <v>87</v>
      </c>
      <c r="AV11"/>
      <c r="AW11" s="44" t="s">
        <v>87</v>
      </c>
      <c r="AX11"/>
      <c r="AY11"/>
      <c r="AZ11" s="44" t="s">
        <v>87</v>
      </c>
    </row>
    <row r="12" spans="1:52" x14ac:dyDescent="0.25">
      <c r="A12" s="7" t="s">
        <v>7</v>
      </c>
      <c r="B12" s="3" t="s">
        <v>473</v>
      </c>
      <c r="C12" s="3" t="s">
        <v>483</v>
      </c>
      <c r="D12" s="3" t="s">
        <v>537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U12" s="44">
        <v>5.0000000000000001E-9</v>
      </c>
      <c r="X12" s="44">
        <v>5.0000000000000001E-9</v>
      </c>
      <c r="Y12" s="44">
        <v>5.0000000000000001E-9</v>
      </c>
      <c r="Z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/>
      <c r="AJ12" s="44">
        <v>5.0000000000000001E-9</v>
      </c>
      <c r="AK12" s="44">
        <v>5.0000000000000001E-9</v>
      </c>
      <c r="AL12" s="44">
        <v>5.0000000000000001E-9</v>
      </c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/>
      <c r="AR12" s="44">
        <v>5.0000000000000001E-9</v>
      </c>
      <c r="AS12" s="44">
        <v>5.0000000000000001E-9</v>
      </c>
      <c r="AT12" s="44">
        <v>5.0000000000000001E-9</v>
      </c>
      <c r="AU12" s="44">
        <v>5.0000000000000001E-9</v>
      </c>
      <c r="AV12"/>
      <c r="AW12" s="44">
        <v>5.0000000000000001E-9</v>
      </c>
      <c r="AX12"/>
      <c r="AY12"/>
      <c r="AZ12" s="44">
        <v>5.0000000000000001E-9</v>
      </c>
    </row>
    <row r="13" spans="1:52" x14ac:dyDescent="0.25">
      <c r="A13" s="7" t="s">
        <v>8</v>
      </c>
      <c r="B13" s="3" t="s">
        <v>473</v>
      </c>
      <c r="C13" s="3" t="s">
        <v>483</v>
      </c>
      <c r="D13" s="3" t="s">
        <v>537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T13" s="44">
        <v>10</v>
      </c>
      <c r="U13" s="44">
        <v>10</v>
      </c>
      <c r="X13" s="44">
        <v>10</v>
      </c>
      <c r="Y13" s="44">
        <v>10</v>
      </c>
      <c r="Z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/>
      <c r="AJ13" s="44">
        <v>10</v>
      </c>
      <c r="AK13" s="44">
        <v>10</v>
      </c>
      <c r="AL13" s="44">
        <v>10</v>
      </c>
      <c r="AM13" s="44">
        <v>10</v>
      </c>
      <c r="AN13" s="44">
        <v>10</v>
      </c>
      <c r="AO13" s="44">
        <v>10</v>
      </c>
      <c r="AP13" s="44">
        <v>10</v>
      </c>
      <c r="AQ13"/>
      <c r="AR13" s="44">
        <v>10</v>
      </c>
      <c r="AS13" s="44">
        <v>10</v>
      </c>
      <c r="AT13" s="44">
        <v>10</v>
      </c>
      <c r="AU13" s="44">
        <v>10</v>
      </c>
      <c r="AV13"/>
      <c r="AW13" s="44">
        <v>10</v>
      </c>
      <c r="AX13"/>
      <c r="AY13"/>
      <c r="AZ13" s="44">
        <v>10</v>
      </c>
    </row>
    <row r="14" spans="1:52" x14ac:dyDescent="0.25">
      <c r="A14" s="7" t="s">
        <v>463</v>
      </c>
      <c r="B14" s="3" t="s">
        <v>473</v>
      </c>
      <c r="C14" s="3" t="s">
        <v>483</v>
      </c>
      <c r="D14" s="3" t="s">
        <v>537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T14" s="44" t="s">
        <v>87</v>
      </c>
      <c r="U14" s="44" t="s">
        <v>87</v>
      </c>
      <c r="X14" s="44" t="s">
        <v>87</v>
      </c>
      <c r="Y14" s="44" t="s">
        <v>87</v>
      </c>
      <c r="Z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/>
      <c r="AJ14" s="44" t="s">
        <v>87</v>
      </c>
      <c r="AK14" s="44" t="s">
        <v>87</v>
      </c>
      <c r="AL14" s="44" t="s">
        <v>87</v>
      </c>
      <c r="AM14" s="44" t="s">
        <v>87</v>
      </c>
      <c r="AN14" s="44" t="s">
        <v>87</v>
      </c>
      <c r="AO14" s="44" t="s">
        <v>87</v>
      </c>
      <c r="AP14" s="44" t="s">
        <v>87</v>
      </c>
      <c r="AQ14"/>
      <c r="AR14" s="44" t="s">
        <v>87</v>
      </c>
      <c r="AS14" s="44" t="s">
        <v>87</v>
      </c>
      <c r="AT14" s="44" t="s">
        <v>87</v>
      </c>
      <c r="AU14" s="44" t="s">
        <v>87</v>
      </c>
      <c r="AV14"/>
      <c r="AW14" s="44" t="s">
        <v>87</v>
      </c>
      <c r="AX14"/>
      <c r="AY14"/>
      <c r="AZ14" s="44" t="s">
        <v>87</v>
      </c>
    </row>
    <row r="15" spans="1:52" x14ac:dyDescent="0.25">
      <c r="A15" s="7" t="s">
        <v>464</v>
      </c>
      <c r="B15" s="3" t="s">
        <v>473</v>
      </c>
      <c r="C15" s="3" t="s">
        <v>483</v>
      </c>
      <c r="D15" s="3" t="s">
        <v>537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T15" s="44" t="s">
        <v>87</v>
      </c>
      <c r="U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/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 s="44" t="s">
        <v>87</v>
      </c>
      <c r="AP15" s="44" t="s">
        <v>87</v>
      </c>
      <c r="AQ15"/>
      <c r="AR15" s="44" t="s">
        <v>87</v>
      </c>
      <c r="AS15" s="44" t="s">
        <v>87</v>
      </c>
      <c r="AT15" s="44" t="s">
        <v>87</v>
      </c>
      <c r="AU15" s="44" t="s">
        <v>87</v>
      </c>
      <c r="AV15"/>
      <c r="AW15" s="44" t="s">
        <v>87</v>
      </c>
      <c r="AX15"/>
      <c r="AY15"/>
      <c r="AZ15" s="44" t="s">
        <v>87</v>
      </c>
    </row>
    <row r="16" spans="1:52" x14ac:dyDescent="0.25">
      <c r="A16" s="7" t="s">
        <v>467</v>
      </c>
      <c r="B16" s="3" t="s">
        <v>473</v>
      </c>
      <c r="C16" s="3" t="s">
        <v>483</v>
      </c>
      <c r="D16" s="3" t="s">
        <v>537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/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 s="44" t="s">
        <v>87</v>
      </c>
      <c r="AP16" s="44" t="s">
        <v>87</v>
      </c>
      <c r="AQ16"/>
      <c r="AR16" s="44" t="s">
        <v>87</v>
      </c>
      <c r="AS16" s="44" t="s">
        <v>87</v>
      </c>
      <c r="AT16" s="44" t="s">
        <v>87</v>
      </c>
      <c r="AU16" s="44" t="s">
        <v>87</v>
      </c>
      <c r="AV16"/>
      <c r="AW16" s="44" t="s">
        <v>87</v>
      </c>
      <c r="AX16"/>
      <c r="AY16"/>
      <c r="AZ16" s="44" t="s">
        <v>87</v>
      </c>
    </row>
    <row r="17" spans="1:52" x14ac:dyDescent="0.25">
      <c r="A17" s="7" t="s">
        <v>469</v>
      </c>
      <c r="B17" s="3" t="s">
        <v>473</v>
      </c>
      <c r="C17" s="3" t="s">
        <v>483</v>
      </c>
      <c r="D17" s="3" t="s">
        <v>537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T17" s="44">
        <v>86400</v>
      </c>
      <c r="U17" s="44">
        <v>86400</v>
      </c>
      <c r="X17" s="44">
        <v>86400</v>
      </c>
      <c r="Y17" s="44">
        <v>86400</v>
      </c>
      <c r="Z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/>
      <c r="AJ17" s="44">
        <v>86400</v>
      </c>
      <c r="AK17" s="44">
        <v>86400</v>
      </c>
      <c r="AL17" s="44">
        <v>86400</v>
      </c>
      <c r="AM17" s="44">
        <v>86400</v>
      </c>
      <c r="AN17" s="44">
        <v>86400</v>
      </c>
      <c r="AO17" s="44">
        <v>86400</v>
      </c>
      <c r="AP17" s="44">
        <v>86400</v>
      </c>
      <c r="AQ17"/>
      <c r="AR17" s="44">
        <v>86400</v>
      </c>
      <c r="AS17" s="44">
        <v>86400</v>
      </c>
      <c r="AT17" s="44">
        <v>86400</v>
      </c>
      <c r="AU17" s="44">
        <v>86400</v>
      </c>
      <c r="AV17"/>
      <c r="AW17" s="44">
        <v>86400</v>
      </c>
      <c r="AX17"/>
      <c r="AY17"/>
      <c r="AZ17" s="44">
        <v>86400</v>
      </c>
    </row>
    <row r="18" spans="1:52" x14ac:dyDescent="0.25">
      <c r="A18" s="9" t="s">
        <v>10</v>
      </c>
      <c r="B18" s="3" t="s">
        <v>473</v>
      </c>
      <c r="C18" s="3" t="s">
        <v>483</v>
      </c>
      <c r="D18" s="3" t="s">
        <v>537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44" t="s">
        <v>86</v>
      </c>
      <c r="T18" s="44" t="s">
        <v>86</v>
      </c>
      <c r="U18" s="44" t="s">
        <v>86</v>
      </c>
      <c r="X18" s="44" t="s">
        <v>86</v>
      </c>
      <c r="Y18" s="44" t="s">
        <v>86</v>
      </c>
      <c r="Z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/>
      <c r="AJ18" s="44" t="s">
        <v>86</v>
      </c>
      <c r="AK18" s="44" t="s">
        <v>86</v>
      </c>
      <c r="AL18" s="44" t="s">
        <v>86</v>
      </c>
      <c r="AM18" s="44" t="s">
        <v>86</v>
      </c>
      <c r="AN18" s="44" t="s">
        <v>86</v>
      </c>
      <c r="AO18" s="44" t="s">
        <v>86</v>
      </c>
      <c r="AP18" s="44" t="s">
        <v>86</v>
      </c>
      <c r="AQ18"/>
      <c r="AR18" s="44" t="s">
        <v>86</v>
      </c>
      <c r="AS18" s="44" t="s">
        <v>86</v>
      </c>
      <c r="AT18" s="44" t="s">
        <v>86</v>
      </c>
      <c r="AU18" s="44" t="s">
        <v>86</v>
      </c>
      <c r="AV18"/>
      <c r="AW18" s="44" t="s">
        <v>86</v>
      </c>
      <c r="AX18"/>
      <c r="AY18"/>
      <c r="AZ18" s="44" t="s">
        <v>86</v>
      </c>
    </row>
    <row r="19" spans="1:52" x14ac:dyDescent="0.25">
      <c r="A19" s="9" t="s">
        <v>11</v>
      </c>
      <c r="B19" s="3" t="s">
        <v>473</v>
      </c>
      <c r="C19" s="3" t="s">
        <v>483</v>
      </c>
      <c r="D19" s="3" t="s">
        <v>537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2</v>
      </c>
      <c r="S19" s="44">
        <v>3</v>
      </c>
      <c r="T19" s="44">
        <v>3</v>
      </c>
      <c r="U19" s="44">
        <v>3</v>
      </c>
      <c r="X19" s="44">
        <v>3</v>
      </c>
      <c r="Y19" s="44">
        <v>3</v>
      </c>
      <c r="Z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/>
      <c r="AJ19" s="44">
        <v>3</v>
      </c>
      <c r="AK19" s="44">
        <v>3</v>
      </c>
      <c r="AL19" s="44">
        <v>3</v>
      </c>
      <c r="AM19" s="44">
        <v>3</v>
      </c>
      <c r="AN19" s="44">
        <v>3</v>
      </c>
      <c r="AO19" s="44">
        <v>3</v>
      </c>
      <c r="AP19" s="44">
        <v>3</v>
      </c>
      <c r="AQ19"/>
      <c r="AR19" s="44">
        <v>3</v>
      </c>
      <c r="AS19" s="44">
        <v>3</v>
      </c>
      <c r="AT19" s="44">
        <v>3</v>
      </c>
      <c r="AU19" s="44">
        <v>3</v>
      </c>
      <c r="AV19"/>
      <c r="AW19" s="44">
        <v>3</v>
      </c>
      <c r="AX19"/>
      <c r="AY19"/>
      <c r="AZ19" s="44">
        <v>3</v>
      </c>
    </row>
    <row r="20" spans="1:52" x14ac:dyDescent="0.25">
      <c r="A20" s="9" t="s">
        <v>362</v>
      </c>
      <c r="B20" s="3" t="s">
        <v>473</v>
      </c>
      <c r="C20" s="3" t="s">
        <v>483</v>
      </c>
      <c r="D20" s="3" t="s">
        <v>537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T20" s="44" t="s">
        <v>87</v>
      </c>
      <c r="U20" s="44" t="s">
        <v>87</v>
      </c>
      <c r="X20" s="44" t="s">
        <v>87</v>
      </c>
      <c r="Y20" s="44" t="s">
        <v>87</v>
      </c>
      <c r="Z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/>
      <c r="AJ20" s="44" t="s">
        <v>87</v>
      </c>
      <c r="AK20" s="44" t="s">
        <v>87</v>
      </c>
      <c r="AL20" s="44" t="s">
        <v>87</v>
      </c>
      <c r="AM20" s="44" t="s">
        <v>87</v>
      </c>
      <c r="AN20" s="44" t="s">
        <v>87</v>
      </c>
      <c r="AO20" s="44" t="s">
        <v>87</v>
      </c>
      <c r="AP20" s="44" t="s">
        <v>87</v>
      </c>
      <c r="AQ20"/>
      <c r="AR20" s="44" t="s">
        <v>87</v>
      </c>
      <c r="AS20" s="44" t="s">
        <v>87</v>
      </c>
      <c r="AT20" s="44" t="s">
        <v>87</v>
      </c>
      <c r="AU20" s="44" t="s">
        <v>87</v>
      </c>
      <c r="AV20"/>
      <c r="AW20" s="44" t="s">
        <v>87</v>
      </c>
      <c r="AX20"/>
      <c r="AY20"/>
      <c r="AZ20" s="44" t="s">
        <v>87</v>
      </c>
    </row>
    <row r="21" spans="1:52" x14ac:dyDescent="0.25">
      <c r="A21" s="9" t="s">
        <v>364</v>
      </c>
      <c r="B21" s="3" t="s">
        <v>473</v>
      </c>
      <c r="C21" s="3" t="s">
        <v>483</v>
      </c>
      <c r="D21" s="3" t="s">
        <v>537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T21" s="44" t="s">
        <v>87</v>
      </c>
      <c r="U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/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 s="44" t="s">
        <v>87</v>
      </c>
      <c r="AP21" s="44" t="s">
        <v>87</v>
      </c>
      <c r="AQ21"/>
      <c r="AR21" s="44" t="s">
        <v>87</v>
      </c>
      <c r="AS21" s="44" t="s">
        <v>87</v>
      </c>
      <c r="AT21" s="44" t="s">
        <v>87</v>
      </c>
      <c r="AU21" s="44" t="s">
        <v>87</v>
      </c>
      <c r="AV21"/>
      <c r="AW21" s="44" t="s">
        <v>87</v>
      </c>
      <c r="AX21"/>
      <c r="AY21"/>
      <c r="AZ21" s="44" t="s">
        <v>87</v>
      </c>
    </row>
    <row r="22" spans="1:52" x14ac:dyDescent="0.25">
      <c r="A22" s="9" t="s">
        <v>376</v>
      </c>
      <c r="B22" s="3" t="s">
        <v>473</v>
      </c>
      <c r="C22" s="3" t="s">
        <v>483</v>
      </c>
      <c r="D22" s="3" t="s">
        <v>537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/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 s="44" t="s">
        <v>87</v>
      </c>
      <c r="AP22" s="44" t="s">
        <v>87</v>
      </c>
      <c r="AQ22"/>
      <c r="AR22" s="44" t="s">
        <v>87</v>
      </c>
      <c r="AS22" s="44" t="s">
        <v>87</v>
      </c>
      <c r="AT22" s="44" t="s">
        <v>87</v>
      </c>
      <c r="AU22" s="44" t="s">
        <v>87</v>
      </c>
      <c r="AV22"/>
      <c r="AW22" s="44" t="s">
        <v>87</v>
      </c>
      <c r="AX22"/>
      <c r="AY22"/>
      <c r="AZ22" s="44" t="s">
        <v>87</v>
      </c>
    </row>
    <row r="23" spans="1:52" x14ac:dyDescent="0.25">
      <c r="A23" s="9" t="s">
        <v>375</v>
      </c>
      <c r="B23" s="3" t="s">
        <v>473</v>
      </c>
      <c r="C23" s="3" t="s">
        <v>483</v>
      </c>
      <c r="D23" s="3" t="s">
        <v>537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/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 s="44" t="s">
        <v>87</v>
      </c>
      <c r="AP23" s="44" t="s">
        <v>87</v>
      </c>
      <c r="AQ23"/>
      <c r="AR23" s="44" t="s">
        <v>87</v>
      </c>
      <c r="AS23" s="44" t="s">
        <v>87</v>
      </c>
      <c r="AT23" s="44" t="s">
        <v>87</v>
      </c>
      <c r="AU23" s="44" t="s">
        <v>87</v>
      </c>
      <c r="AV23"/>
      <c r="AW23" s="44" t="s">
        <v>87</v>
      </c>
      <c r="AX23"/>
      <c r="AY23"/>
      <c r="AZ23" s="44" t="s">
        <v>87</v>
      </c>
    </row>
    <row r="24" spans="1:52" x14ac:dyDescent="0.25">
      <c r="A24" s="9" t="s">
        <v>374</v>
      </c>
      <c r="B24" s="3" t="s">
        <v>473</v>
      </c>
      <c r="C24" s="3" t="s">
        <v>483</v>
      </c>
      <c r="D24" s="3" t="s">
        <v>537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/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 s="44" t="s">
        <v>87</v>
      </c>
      <c r="AP24" s="44" t="s">
        <v>87</v>
      </c>
      <c r="AQ24"/>
      <c r="AR24" s="44" t="s">
        <v>87</v>
      </c>
      <c r="AS24" s="44" t="s">
        <v>87</v>
      </c>
      <c r="AT24" s="44" t="s">
        <v>87</v>
      </c>
      <c r="AU24" s="44" t="s">
        <v>87</v>
      </c>
      <c r="AV24"/>
      <c r="AW24" s="44" t="s">
        <v>87</v>
      </c>
      <c r="AX24"/>
      <c r="AY24"/>
      <c r="AZ24" s="44" t="s">
        <v>87</v>
      </c>
    </row>
    <row r="25" spans="1:52" x14ac:dyDescent="0.25">
      <c r="A25" s="9" t="s">
        <v>12</v>
      </c>
      <c r="B25" s="3" t="s">
        <v>473</v>
      </c>
      <c r="C25" s="3" t="s">
        <v>483</v>
      </c>
      <c r="D25" s="3" t="s">
        <v>537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/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 s="44" t="s">
        <v>87</v>
      </c>
      <c r="AP25" s="44" t="s">
        <v>87</v>
      </c>
      <c r="AQ25"/>
      <c r="AR25" s="44" t="s">
        <v>87</v>
      </c>
      <c r="AS25" s="44" t="s">
        <v>87</v>
      </c>
      <c r="AT25" s="44" t="s">
        <v>87</v>
      </c>
      <c r="AU25" s="44" t="s">
        <v>87</v>
      </c>
      <c r="AV25"/>
      <c r="AW25" s="44" t="s">
        <v>87</v>
      </c>
      <c r="AX25"/>
      <c r="AY25"/>
      <c r="AZ25" s="44" t="s">
        <v>87</v>
      </c>
    </row>
    <row r="26" spans="1:52" x14ac:dyDescent="0.25">
      <c r="A26" s="9" t="s">
        <v>13</v>
      </c>
      <c r="B26" s="3" t="s">
        <v>473</v>
      </c>
      <c r="C26" s="3" t="s">
        <v>483</v>
      </c>
      <c r="D26" s="3" t="s">
        <v>537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T26" s="44">
        <v>0.33</v>
      </c>
      <c r="U26" s="44">
        <v>0.33</v>
      </c>
      <c r="X26" s="44">
        <v>0.33</v>
      </c>
      <c r="Y26" s="44">
        <v>0.33</v>
      </c>
      <c r="Z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/>
      <c r="AJ26" s="44">
        <v>0.33</v>
      </c>
      <c r="AK26" s="44">
        <v>0.33</v>
      </c>
      <c r="AL26" s="44">
        <v>0.33</v>
      </c>
      <c r="AM26" s="44">
        <v>0.33</v>
      </c>
      <c r="AN26" s="44">
        <v>0.33</v>
      </c>
      <c r="AO26" s="44">
        <v>0.33</v>
      </c>
      <c r="AP26" s="44">
        <v>0.33</v>
      </c>
      <c r="AQ26"/>
      <c r="AR26" s="44">
        <v>0.33</v>
      </c>
      <c r="AS26" s="44">
        <v>0.33</v>
      </c>
      <c r="AT26" s="44">
        <v>0.33</v>
      </c>
      <c r="AU26" s="44">
        <v>0.33</v>
      </c>
      <c r="AV26"/>
      <c r="AW26" s="44">
        <v>0.33</v>
      </c>
      <c r="AX26"/>
      <c r="AY26"/>
      <c r="AZ26" s="44">
        <v>0.33</v>
      </c>
    </row>
    <row r="27" spans="1:52" x14ac:dyDescent="0.25">
      <c r="A27" s="9" t="s">
        <v>14</v>
      </c>
      <c r="B27" s="3" t="s">
        <v>473</v>
      </c>
      <c r="C27" s="3" t="s">
        <v>483</v>
      </c>
      <c r="D27" s="3" t="s">
        <v>537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T27" s="44" t="s">
        <v>87</v>
      </c>
      <c r="U27" s="44" t="s">
        <v>87</v>
      </c>
      <c r="X27" s="44" t="s">
        <v>87</v>
      </c>
      <c r="Y27" s="44" t="s">
        <v>87</v>
      </c>
      <c r="Z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/>
      <c r="AJ27" s="44" t="s">
        <v>87</v>
      </c>
      <c r="AK27" s="44" t="s">
        <v>87</v>
      </c>
      <c r="AL27" s="44" t="s">
        <v>87</v>
      </c>
      <c r="AM27" s="44" t="s">
        <v>87</v>
      </c>
      <c r="AN27" s="44" t="s">
        <v>87</v>
      </c>
      <c r="AO27" s="44" t="s">
        <v>87</v>
      </c>
      <c r="AP27" s="44" t="s">
        <v>87</v>
      </c>
      <c r="AQ27"/>
      <c r="AR27" s="44" t="s">
        <v>87</v>
      </c>
      <c r="AS27" s="44" t="s">
        <v>87</v>
      </c>
      <c r="AT27" s="44" t="s">
        <v>87</v>
      </c>
      <c r="AU27" s="44" t="s">
        <v>87</v>
      </c>
      <c r="AV27"/>
      <c r="AW27" s="44" t="s">
        <v>87</v>
      </c>
      <c r="AX27"/>
      <c r="AY27"/>
      <c r="AZ27" s="44" t="s">
        <v>87</v>
      </c>
    </row>
    <row r="28" spans="1:52" x14ac:dyDescent="0.25">
      <c r="A28" s="9" t="s">
        <v>9</v>
      </c>
      <c r="B28" s="3" t="s">
        <v>473</v>
      </c>
      <c r="C28" s="3" t="s">
        <v>483</v>
      </c>
      <c r="D28" s="3" t="s">
        <v>537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T28" s="44" t="s">
        <v>87</v>
      </c>
      <c r="U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/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 s="44" t="s">
        <v>87</v>
      </c>
      <c r="AP28" s="44" t="s">
        <v>87</v>
      </c>
      <c r="AQ28"/>
      <c r="AR28" s="44" t="s">
        <v>87</v>
      </c>
      <c r="AS28" s="44" t="s">
        <v>87</v>
      </c>
      <c r="AT28" s="44" t="s">
        <v>87</v>
      </c>
      <c r="AU28" s="44" t="s">
        <v>87</v>
      </c>
      <c r="AV28"/>
      <c r="AW28" s="44" t="s">
        <v>87</v>
      </c>
      <c r="AX28"/>
      <c r="AY28"/>
      <c r="AZ28" s="44" t="s">
        <v>87</v>
      </c>
    </row>
    <row r="29" spans="1:52" x14ac:dyDescent="0.25">
      <c r="A29" s="9" t="s">
        <v>456</v>
      </c>
      <c r="B29" s="3" t="s">
        <v>473</v>
      </c>
      <c r="C29" s="3" t="s">
        <v>483</v>
      </c>
      <c r="D29" s="3" t="s">
        <v>537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/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 s="44" t="s">
        <v>87</v>
      </c>
      <c r="AP29" s="44" t="s">
        <v>87</v>
      </c>
      <c r="AQ29"/>
      <c r="AR29" s="44" t="s">
        <v>87</v>
      </c>
      <c r="AS29" s="44" t="s">
        <v>87</v>
      </c>
      <c r="AT29" s="44" t="s">
        <v>87</v>
      </c>
      <c r="AU29" s="44" t="s">
        <v>87</v>
      </c>
      <c r="AV29"/>
      <c r="AW29" s="44" t="s">
        <v>87</v>
      </c>
      <c r="AX29"/>
      <c r="AY29"/>
      <c r="AZ29" s="44" t="s">
        <v>87</v>
      </c>
    </row>
    <row r="30" spans="1:52" x14ac:dyDescent="0.25">
      <c r="A30" s="13" t="s">
        <v>21</v>
      </c>
      <c r="B30" s="3" t="s">
        <v>473</v>
      </c>
      <c r="C30" s="3" t="s">
        <v>483</v>
      </c>
      <c r="D30" s="3" t="s">
        <v>537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T30" s="44" t="s">
        <v>86</v>
      </c>
      <c r="U30" s="44" t="s">
        <v>86</v>
      </c>
      <c r="X30" s="44" t="s">
        <v>86</v>
      </c>
      <c r="Y30" s="44" t="s">
        <v>86</v>
      </c>
      <c r="Z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/>
      <c r="AJ30" s="44" t="s">
        <v>86</v>
      </c>
      <c r="AK30" s="44" t="s">
        <v>86</v>
      </c>
      <c r="AL30" s="44" t="s">
        <v>86</v>
      </c>
      <c r="AM30" s="44" t="s">
        <v>86</v>
      </c>
      <c r="AN30" s="44" t="s">
        <v>86</v>
      </c>
      <c r="AO30" s="44" t="s">
        <v>86</v>
      </c>
      <c r="AP30" s="44" t="s">
        <v>86</v>
      </c>
      <c r="AQ30"/>
      <c r="AR30" s="44" t="s">
        <v>86</v>
      </c>
      <c r="AS30" s="44" t="s">
        <v>86</v>
      </c>
      <c r="AT30" s="44" t="s">
        <v>86</v>
      </c>
      <c r="AU30" s="44" t="s">
        <v>86</v>
      </c>
      <c r="AV30"/>
      <c r="AW30" s="44" t="s">
        <v>86</v>
      </c>
      <c r="AX30"/>
      <c r="AY30"/>
      <c r="AZ30" s="44" t="s">
        <v>86</v>
      </c>
    </row>
    <row r="31" spans="1:52" x14ac:dyDescent="0.25">
      <c r="A31" s="13" t="s">
        <v>22</v>
      </c>
      <c r="B31" s="3" t="s">
        <v>473</v>
      </c>
      <c r="C31" s="3" t="s">
        <v>483</v>
      </c>
      <c r="D31" s="3" t="s">
        <v>537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T31" s="45" t="s">
        <v>436</v>
      </c>
      <c r="U31" s="45" t="s">
        <v>436</v>
      </c>
      <c r="X31" s="45" t="s">
        <v>436</v>
      </c>
      <c r="Y31" s="45" t="s">
        <v>436</v>
      </c>
      <c r="Z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/>
      <c r="AJ31" s="45" t="s">
        <v>436</v>
      </c>
      <c r="AK31" s="45" t="s">
        <v>436</v>
      </c>
      <c r="AL31" s="45" t="s">
        <v>436</v>
      </c>
      <c r="AM31" s="45" t="s">
        <v>436</v>
      </c>
      <c r="AN31" s="45" t="s">
        <v>436</v>
      </c>
      <c r="AO31" s="45" t="s">
        <v>436</v>
      </c>
      <c r="AP31" s="45" t="s">
        <v>436</v>
      </c>
      <c r="AQ31"/>
      <c r="AR31" s="45" t="s">
        <v>436</v>
      </c>
      <c r="AS31" s="45" t="s">
        <v>436</v>
      </c>
      <c r="AT31" s="45" t="s">
        <v>436</v>
      </c>
      <c r="AU31" s="45" t="s">
        <v>436</v>
      </c>
      <c r="AV31"/>
      <c r="AW31" s="45" t="s">
        <v>436</v>
      </c>
      <c r="AX31"/>
      <c r="AY31"/>
      <c r="AZ31" s="45" t="s">
        <v>436</v>
      </c>
    </row>
    <row r="32" spans="1:52" x14ac:dyDescent="0.25">
      <c r="A32" s="13" t="s">
        <v>23</v>
      </c>
      <c r="B32" s="3" t="s">
        <v>473</v>
      </c>
      <c r="C32" s="3" t="s">
        <v>483</v>
      </c>
      <c r="D32" s="3" t="s">
        <v>537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U32" s="44">
        <v>9.9999999999999995E-7</v>
      </c>
      <c r="X32" s="44">
        <v>9.9999999999999995E-7</v>
      </c>
      <c r="Y32" s="44">
        <v>9.9999999999999995E-7</v>
      </c>
      <c r="Z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/>
      <c r="AJ32" s="44">
        <v>9.9999999999999995E-7</v>
      </c>
      <c r="AK32" s="44">
        <v>9.9999999999999995E-7</v>
      </c>
      <c r="AL32" s="44">
        <v>9.9999999999999995E-7</v>
      </c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/>
      <c r="AR32" s="44">
        <v>9.9999999999999995E-7</v>
      </c>
      <c r="AS32" s="44">
        <v>9.9999999999999995E-7</v>
      </c>
      <c r="AT32" s="44">
        <v>9.9999999999999995E-7</v>
      </c>
      <c r="AU32" s="44">
        <v>9.9999999999999995E-7</v>
      </c>
      <c r="AV32"/>
      <c r="AW32" s="44">
        <v>9.9999999999999995E-7</v>
      </c>
      <c r="AX32"/>
      <c r="AY32"/>
      <c r="AZ32" s="44">
        <v>9.9999999999999995E-7</v>
      </c>
    </row>
    <row r="33" spans="1:52" x14ac:dyDescent="0.25">
      <c r="A33" s="13" t="s">
        <v>24</v>
      </c>
      <c r="B33" s="3" t="s">
        <v>473</v>
      </c>
      <c r="C33" s="3" t="s">
        <v>483</v>
      </c>
      <c r="D33" s="3" t="s">
        <v>537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T33" s="44">
        <v>1E-3</v>
      </c>
      <c r="U33" s="44">
        <v>1E-3</v>
      </c>
      <c r="X33" s="44">
        <v>1E-3</v>
      </c>
      <c r="Y33" s="44">
        <v>1E-3</v>
      </c>
      <c r="Z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/>
      <c r="AJ33" s="44">
        <v>1E-3</v>
      </c>
      <c r="AK33" s="44">
        <v>1E-3</v>
      </c>
      <c r="AL33" s="44">
        <v>1E-3</v>
      </c>
      <c r="AM33" s="44">
        <v>1E-3</v>
      </c>
      <c r="AN33" s="44">
        <v>1E-3</v>
      </c>
      <c r="AO33" s="44">
        <v>1E-3</v>
      </c>
      <c r="AP33" s="44">
        <v>1E-3</v>
      </c>
      <c r="AQ33"/>
      <c r="AR33" s="44">
        <v>1E-3</v>
      </c>
      <c r="AS33" s="44">
        <v>1E-3</v>
      </c>
      <c r="AT33" s="44">
        <v>1E-3</v>
      </c>
      <c r="AU33" s="44">
        <v>1E-3</v>
      </c>
      <c r="AV33"/>
      <c r="AW33" s="44">
        <v>1E-3</v>
      </c>
      <c r="AX33"/>
      <c r="AY33"/>
      <c r="AZ33" s="44">
        <v>1E-3</v>
      </c>
    </row>
    <row r="34" spans="1:52" x14ac:dyDescent="0.25">
      <c r="A34" s="13" t="s">
        <v>25</v>
      </c>
      <c r="B34" s="3" t="s">
        <v>473</v>
      </c>
      <c r="C34" s="3" t="s">
        <v>483</v>
      </c>
      <c r="D34" s="3" t="s">
        <v>537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T34" s="44" t="s">
        <v>86</v>
      </c>
      <c r="U34" s="44" t="s">
        <v>86</v>
      </c>
      <c r="X34" s="44" t="s">
        <v>86</v>
      </c>
      <c r="Y34" s="44" t="s">
        <v>86</v>
      </c>
      <c r="Z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/>
      <c r="AJ34" s="44" t="s">
        <v>86</v>
      </c>
      <c r="AK34" s="44" t="s">
        <v>86</v>
      </c>
      <c r="AL34" s="44" t="s">
        <v>86</v>
      </c>
      <c r="AM34" s="44" t="s">
        <v>86</v>
      </c>
      <c r="AN34" s="44" t="s">
        <v>86</v>
      </c>
      <c r="AO34" s="44" t="s">
        <v>86</v>
      </c>
      <c r="AP34" s="44" t="s">
        <v>86</v>
      </c>
      <c r="AQ34"/>
      <c r="AR34" s="44" t="s">
        <v>86</v>
      </c>
      <c r="AS34" s="44" t="s">
        <v>86</v>
      </c>
      <c r="AT34" s="44" t="s">
        <v>86</v>
      </c>
      <c r="AU34" s="44" t="s">
        <v>86</v>
      </c>
      <c r="AV34"/>
      <c r="AW34" s="44" t="s">
        <v>86</v>
      </c>
      <c r="AX34"/>
      <c r="AY34"/>
      <c r="AZ34" s="44" t="s">
        <v>86</v>
      </c>
    </row>
    <row r="35" spans="1:52" x14ac:dyDescent="0.25">
      <c r="A35" s="13" t="s">
        <v>26</v>
      </c>
      <c r="B35" s="3" t="s">
        <v>473</v>
      </c>
      <c r="C35" s="3" t="s">
        <v>483</v>
      </c>
      <c r="D35" s="3" t="s">
        <v>537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T35" s="44" t="s">
        <v>88</v>
      </c>
      <c r="U35" s="44" t="s">
        <v>88</v>
      </c>
      <c r="X35" s="44" t="s">
        <v>88</v>
      </c>
      <c r="Y35" s="44" t="s">
        <v>88</v>
      </c>
      <c r="Z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/>
      <c r="AJ35" s="44" t="s">
        <v>88</v>
      </c>
      <c r="AK35" s="44" t="s">
        <v>88</v>
      </c>
      <c r="AL35" s="44" t="s">
        <v>88</v>
      </c>
      <c r="AM35" s="44" t="s">
        <v>88</v>
      </c>
      <c r="AN35" s="44" t="s">
        <v>88</v>
      </c>
      <c r="AO35" s="44" t="s">
        <v>88</v>
      </c>
      <c r="AP35" s="44" t="s">
        <v>88</v>
      </c>
      <c r="AQ35"/>
      <c r="AR35" s="44" t="s">
        <v>88</v>
      </c>
      <c r="AS35" s="44" t="s">
        <v>88</v>
      </c>
      <c r="AT35" s="44" t="s">
        <v>88</v>
      </c>
      <c r="AU35" s="44" t="s">
        <v>88</v>
      </c>
      <c r="AV35"/>
      <c r="AW35" s="44" t="s">
        <v>88</v>
      </c>
      <c r="AX35"/>
      <c r="AY35"/>
      <c r="AZ35" s="44" t="s">
        <v>88</v>
      </c>
    </row>
    <row r="36" spans="1:52" x14ac:dyDescent="0.25">
      <c r="A36" s="13" t="s">
        <v>27</v>
      </c>
      <c r="B36" s="3" t="s">
        <v>473</v>
      </c>
      <c r="C36" s="3" t="s">
        <v>483</v>
      </c>
      <c r="D36" s="3" t="s">
        <v>537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T36" s="44" t="s">
        <v>86</v>
      </c>
      <c r="U36" s="44" t="s">
        <v>86</v>
      </c>
      <c r="X36" s="44" t="s">
        <v>86</v>
      </c>
      <c r="Y36" s="44" t="s">
        <v>86</v>
      </c>
      <c r="Z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/>
      <c r="AJ36" s="44" t="s">
        <v>86</v>
      </c>
      <c r="AK36" s="44" t="s">
        <v>86</v>
      </c>
      <c r="AL36" s="44" t="s">
        <v>86</v>
      </c>
      <c r="AM36" s="44" t="s">
        <v>86</v>
      </c>
      <c r="AN36" s="44" t="s">
        <v>86</v>
      </c>
      <c r="AO36" s="44" t="s">
        <v>86</v>
      </c>
      <c r="AP36" s="44" t="s">
        <v>86</v>
      </c>
      <c r="AQ36"/>
      <c r="AR36" s="44" t="s">
        <v>86</v>
      </c>
      <c r="AS36" s="44" t="s">
        <v>86</v>
      </c>
      <c r="AT36" s="44" t="s">
        <v>86</v>
      </c>
      <c r="AU36" s="44" t="s">
        <v>86</v>
      </c>
      <c r="AV36"/>
      <c r="AW36" s="44" t="s">
        <v>86</v>
      </c>
      <c r="AX36"/>
      <c r="AY36"/>
      <c r="AZ36" s="44" t="s">
        <v>86</v>
      </c>
    </row>
    <row r="37" spans="1:52" x14ac:dyDescent="0.25">
      <c r="A37" s="13" t="s">
        <v>28</v>
      </c>
      <c r="B37" s="3" t="s">
        <v>473</v>
      </c>
      <c r="C37" s="3" t="s">
        <v>483</v>
      </c>
      <c r="D37" s="3" t="s">
        <v>537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T37" s="44" t="s">
        <v>87</v>
      </c>
      <c r="U37" s="44" t="s">
        <v>87</v>
      </c>
      <c r="X37" s="44" t="s">
        <v>87</v>
      </c>
      <c r="Y37" s="44" t="s">
        <v>87</v>
      </c>
      <c r="Z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/>
      <c r="AJ37" s="44" t="s">
        <v>87</v>
      </c>
      <c r="AK37" s="44" t="s">
        <v>87</v>
      </c>
      <c r="AL37" s="44" t="s">
        <v>87</v>
      </c>
      <c r="AM37" s="44" t="s">
        <v>87</v>
      </c>
      <c r="AN37" s="44" t="s">
        <v>87</v>
      </c>
      <c r="AO37" s="44" t="s">
        <v>87</v>
      </c>
      <c r="AP37" s="44" t="s">
        <v>87</v>
      </c>
      <c r="AQ37"/>
      <c r="AR37" s="44" t="s">
        <v>87</v>
      </c>
      <c r="AS37" s="44" t="s">
        <v>87</v>
      </c>
      <c r="AT37" s="44" t="s">
        <v>87</v>
      </c>
      <c r="AU37" s="44" t="s">
        <v>87</v>
      </c>
      <c r="AV37"/>
      <c r="AW37" s="44" t="s">
        <v>87</v>
      </c>
      <c r="AX37"/>
      <c r="AY37"/>
      <c r="AZ37" s="44" t="s">
        <v>87</v>
      </c>
    </row>
    <row r="38" spans="1:52" x14ac:dyDescent="0.25">
      <c r="A38" s="13" t="s">
        <v>29</v>
      </c>
      <c r="B38" s="3" t="s">
        <v>473</v>
      </c>
      <c r="C38" s="3" t="s">
        <v>483</v>
      </c>
      <c r="D38" s="3" t="s">
        <v>537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T38" s="44">
        <v>120</v>
      </c>
      <c r="U38" s="44">
        <v>120</v>
      </c>
      <c r="X38" s="44">
        <v>120</v>
      </c>
      <c r="Y38" s="44">
        <v>120</v>
      </c>
      <c r="Z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/>
      <c r="AJ38" s="44">
        <v>120</v>
      </c>
      <c r="AK38" s="44">
        <v>120</v>
      </c>
      <c r="AL38" s="44">
        <v>120</v>
      </c>
      <c r="AM38" s="44">
        <v>120</v>
      </c>
      <c r="AN38" s="44">
        <v>120</v>
      </c>
      <c r="AO38" s="44">
        <v>120</v>
      </c>
      <c r="AP38" s="44">
        <v>120</v>
      </c>
      <c r="AQ38"/>
      <c r="AR38" s="44">
        <v>120</v>
      </c>
      <c r="AS38" s="44">
        <v>120</v>
      </c>
      <c r="AT38" s="44">
        <v>120</v>
      </c>
      <c r="AU38" s="44">
        <v>120</v>
      </c>
      <c r="AV38"/>
      <c r="AW38" s="44">
        <v>120</v>
      </c>
      <c r="AX38"/>
      <c r="AY38"/>
      <c r="AZ38" s="44">
        <v>120</v>
      </c>
    </row>
    <row r="39" spans="1:52" x14ac:dyDescent="0.25">
      <c r="A39" s="13" t="s">
        <v>30</v>
      </c>
      <c r="B39" s="3" t="s">
        <v>473</v>
      </c>
      <c r="C39" s="3" t="s">
        <v>483</v>
      </c>
      <c r="D39" s="3" t="s">
        <v>537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T39" s="44">
        <v>0</v>
      </c>
      <c r="U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/>
      <c r="AJ39" s="44">
        <v>0</v>
      </c>
      <c r="AK39" s="44">
        <v>0</v>
      </c>
      <c r="AL39" s="44">
        <v>0</v>
      </c>
      <c r="AM39" s="44">
        <v>0</v>
      </c>
      <c r="AN39" s="44">
        <v>0</v>
      </c>
      <c r="AO39" s="44">
        <v>0</v>
      </c>
      <c r="AP39" s="44">
        <v>0</v>
      </c>
      <c r="AQ39"/>
      <c r="AR39" s="44">
        <v>0</v>
      </c>
      <c r="AS39" s="44">
        <v>0</v>
      </c>
      <c r="AT39" s="44">
        <v>0</v>
      </c>
      <c r="AU39" s="44">
        <v>0</v>
      </c>
      <c r="AV39"/>
      <c r="AW39" s="44">
        <v>0</v>
      </c>
      <c r="AX39"/>
      <c r="AY39"/>
      <c r="AZ39" s="44">
        <v>0</v>
      </c>
    </row>
    <row r="40" spans="1:52" x14ac:dyDescent="0.25">
      <c r="A40" s="13" t="s">
        <v>31</v>
      </c>
      <c r="B40" s="3" t="s">
        <v>473</v>
      </c>
      <c r="C40" s="3" t="s">
        <v>483</v>
      </c>
      <c r="D40" s="3" t="s">
        <v>537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T40" s="44">
        <v>0</v>
      </c>
      <c r="U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/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 s="44">
        <v>0</v>
      </c>
      <c r="AP40" s="44">
        <v>0</v>
      </c>
      <c r="AQ40"/>
      <c r="AR40" s="44">
        <v>0</v>
      </c>
      <c r="AS40" s="44">
        <v>0</v>
      </c>
      <c r="AT40" s="44">
        <v>0</v>
      </c>
      <c r="AU40" s="44">
        <v>0</v>
      </c>
      <c r="AV40"/>
      <c r="AW40" s="44">
        <v>0</v>
      </c>
      <c r="AX40"/>
      <c r="AY40"/>
      <c r="AZ40" s="44">
        <v>0</v>
      </c>
    </row>
    <row r="41" spans="1:52" x14ac:dyDescent="0.25">
      <c r="A41" s="13" t="s">
        <v>32</v>
      </c>
      <c r="B41" s="3" t="s">
        <v>473</v>
      </c>
      <c r="C41" s="3" t="s">
        <v>483</v>
      </c>
      <c r="D41" s="3" t="s">
        <v>537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T41" s="44">
        <v>-0.1</v>
      </c>
      <c r="U41" s="44">
        <v>-0.1</v>
      </c>
      <c r="X41" s="44">
        <v>-0.1</v>
      </c>
      <c r="Y41" s="44">
        <v>-0.1</v>
      </c>
      <c r="Z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/>
      <c r="AJ41" s="44">
        <v>-0.1</v>
      </c>
      <c r="AK41" s="44">
        <v>-0.1</v>
      </c>
      <c r="AL41" s="44">
        <v>-0.1</v>
      </c>
      <c r="AM41" s="44">
        <v>-0.1</v>
      </c>
      <c r="AN41" s="44">
        <v>-0.1</v>
      </c>
      <c r="AO41" s="44">
        <v>-0.1</v>
      </c>
      <c r="AP41" s="44">
        <v>-0.1</v>
      </c>
      <c r="AQ41"/>
      <c r="AR41" s="44">
        <v>-0.1</v>
      </c>
      <c r="AS41" s="44">
        <v>-0.1</v>
      </c>
      <c r="AT41" s="44">
        <v>-0.1</v>
      </c>
      <c r="AU41" s="44">
        <v>-0.1</v>
      </c>
      <c r="AV41"/>
      <c r="AW41" s="44">
        <v>-0.1</v>
      </c>
      <c r="AX41"/>
      <c r="AY41"/>
      <c r="AZ41" s="44">
        <v>-0.1</v>
      </c>
    </row>
    <row r="42" spans="1:52" x14ac:dyDescent="0.25">
      <c r="A42" s="13" t="s">
        <v>33</v>
      </c>
      <c r="B42" s="3" t="s">
        <v>473</v>
      </c>
      <c r="C42" s="3" t="s">
        <v>483</v>
      </c>
      <c r="D42" s="3" t="s">
        <v>537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T42" s="44">
        <v>-0.2</v>
      </c>
      <c r="U42" s="44">
        <v>-0.2</v>
      </c>
      <c r="X42" s="44">
        <v>-0.2</v>
      </c>
      <c r="Y42" s="44">
        <v>-0.2</v>
      </c>
      <c r="Z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/>
      <c r="AJ42" s="44">
        <v>-0.2</v>
      </c>
      <c r="AK42" s="44">
        <v>-0.2</v>
      </c>
      <c r="AL42" s="44">
        <v>-0.2</v>
      </c>
      <c r="AM42" s="44">
        <v>-0.2</v>
      </c>
      <c r="AN42" s="44">
        <v>-0.2</v>
      </c>
      <c r="AO42" s="44">
        <v>-0.2</v>
      </c>
      <c r="AP42" s="44">
        <v>-0.2</v>
      </c>
      <c r="AQ42"/>
      <c r="AR42" s="44">
        <v>-0.2</v>
      </c>
      <c r="AS42" s="44">
        <v>-0.2</v>
      </c>
      <c r="AT42" s="44">
        <v>-0.2</v>
      </c>
      <c r="AU42" s="44">
        <v>-0.2</v>
      </c>
      <c r="AV42"/>
      <c r="AW42" s="44">
        <v>-0.2</v>
      </c>
      <c r="AX42"/>
      <c r="AY42"/>
      <c r="AZ42" s="44">
        <v>-0.2</v>
      </c>
    </row>
    <row r="43" spans="1:52" x14ac:dyDescent="0.25">
      <c r="A43" s="13" t="s">
        <v>34</v>
      </c>
      <c r="B43" s="3" t="s">
        <v>473</v>
      </c>
      <c r="C43" s="3" t="s">
        <v>483</v>
      </c>
      <c r="D43" s="3" t="s">
        <v>537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T43" s="44">
        <v>0.4</v>
      </c>
      <c r="U43" s="44">
        <v>0.4</v>
      </c>
      <c r="X43" s="44">
        <v>0.4</v>
      </c>
      <c r="Y43" s="44">
        <v>0.4</v>
      </c>
      <c r="Z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/>
      <c r="AJ43" s="44">
        <v>0.4</v>
      </c>
      <c r="AK43" s="44">
        <v>0.4</v>
      </c>
      <c r="AL43" s="44">
        <v>0.4</v>
      </c>
      <c r="AM43" s="44">
        <v>0.4</v>
      </c>
      <c r="AN43" s="44">
        <v>0.4</v>
      </c>
      <c r="AO43" s="44">
        <v>0.4</v>
      </c>
      <c r="AP43" s="44">
        <v>0.4</v>
      </c>
      <c r="AQ43"/>
      <c r="AR43" s="44">
        <v>0.4</v>
      </c>
      <c r="AS43" s="44">
        <v>0.4</v>
      </c>
      <c r="AT43" s="44">
        <v>0.4</v>
      </c>
      <c r="AU43" s="44">
        <v>0.4</v>
      </c>
      <c r="AV43"/>
      <c r="AW43" s="44">
        <v>0.4</v>
      </c>
      <c r="AX43"/>
      <c r="AY43"/>
      <c r="AZ43" s="44">
        <v>0.4</v>
      </c>
    </row>
    <row r="44" spans="1:52" x14ac:dyDescent="0.25">
      <c r="A44" s="13" t="s">
        <v>35</v>
      </c>
      <c r="B44" s="3" t="s">
        <v>473</v>
      </c>
      <c r="C44" s="3" t="s">
        <v>483</v>
      </c>
      <c r="D44" s="3" t="s">
        <v>537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T44" s="44">
        <v>0</v>
      </c>
      <c r="U44" s="44">
        <v>0</v>
      </c>
      <c r="X44" s="44">
        <v>0</v>
      </c>
      <c r="Y44" s="44">
        <v>0</v>
      </c>
      <c r="Z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/>
      <c r="AJ44" s="44">
        <v>0</v>
      </c>
      <c r="AK44" s="44">
        <v>0</v>
      </c>
      <c r="AL44" s="44">
        <v>0</v>
      </c>
      <c r="AM44" s="44">
        <v>0</v>
      </c>
      <c r="AN44" s="44">
        <v>0</v>
      </c>
      <c r="AO44" s="44">
        <v>0</v>
      </c>
      <c r="AP44" s="44">
        <v>0</v>
      </c>
      <c r="AQ44"/>
      <c r="AR44" s="44">
        <v>0</v>
      </c>
      <c r="AS44" s="44">
        <v>0</v>
      </c>
      <c r="AT44" s="44">
        <v>0</v>
      </c>
      <c r="AU44" s="44">
        <v>0</v>
      </c>
      <c r="AV44"/>
      <c r="AW44" s="44">
        <v>0</v>
      </c>
      <c r="AX44"/>
      <c r="AY44"/>
      <c r="AZ44" s="44">
        <v>0</v>
      </c>
    </row>
    <row r="45" spans="1:52" x14ac:dyDescent="0.25">
      <c r="A45" s="13" t="s">
        <v>437</v>
      </c>
      <c r="B45" s="3" t="s">
        <v>473</v>
      </c>
      <c r="C45" s="3" t="s">
        <v>483</v>
      </c>
      <c r="D45" s="3" t="s">
        <v>537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T45" s="44">
        <v>1200</v>
      </c>
      <c r="U45" s="44">
        <v>1200</v>
      </c>
      <c r="X45" s="44">
        <v>1200</v>
      </c>
      <c r="Y45" s="44">
        <v>1200</v>
      </c>
      <c r="Z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/>
      <c r="AJ45" s="44">
        <v>1200</v>
      </c>
      <c r="AK45" s="44">
        <v>1200</v>
      </c>
      <c r="AL45" s="44">
        <v>1200</v>
      </c>
      <c r="AM45" s="44">
        <v>1200</v>
      </c>
      <c r="AN45" s="44">
        <v>1200</v>
      </c>
      <c r="AO45" s="44">
        <v>1200</v>
      </c>
      <c r="AP45" s="44">
        <v>1200</v>
      </c>
      <c r="AQ45"/>
      <c r="AR45" s="44">
        <v>1200</v>
      </c>
      <c r="AS45" s="44">
        <v>1200</v>
      </c>
      <c r="AT45" s="44">
        <v>1200</v>
      </c>
      <c r="AU45" s="44">
        <v>1200</v>
      </c>
      <c r="AV45"/>
      <c r="AW45" s="44">
        <v>1200</v>
      </c>
      <c r="AX45"/>
      <c r="AY45"/>
      <c r="AZ45" s="44">
        <v>1200</v>
      </c>
    </row>
    <row r="46" spans="1:52" x14ac:dyDescent="0.25">
      <c r="A46" s="13" t="s">
        <v>438</v>
      </c>
      <c r="B46" s="3" t="s">
        <v>473</v>
      </c>
      <c r="C46" s="3" t="s">
        <v>483</v>
      </c>
      <c r="D46" s="3" t="s">
        <v>537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T46" s="44">
        <v>1200</v>
      </c>
      <c r="U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/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 s="44">
        <v>1200</v>
      </c>
      <c r="AP46" s="44">
        <v>1200</v>
      </c>
      <c r="AQ46"/>
      <c r="AR46" s="44">
        <v>1200</v>
      </c>
      <c r="AS46" s="44">
        <v>1200</v>
      </c>
      <c r="AT46" s="44">
        <v>1200</v>
      </c>
      <c r="AU46" s="44">
        <v>1200</v>
      </c>
      <c r="AV46"/>
      <c r="AW46" s="44">
        <v>1200</v>
      </c>
      <c r="AX46"/>
      <c r="AY46"/>
      <c r="AZ46" s="44">
        <v>1200</v>
      </c>
    </row>
    <row r="47" spans="1:52" x14ac:dyDescent="0.25">
      <c r="A47" s="13" t="s">
        <v>459</v>
      </c>
      <c r="B47" s="3" t="s">
        <v>473</v>
      </c>
      <c r="C47" s="3" t="s">
        <v>483</v>
      </c>
      <c r="D47" s="3" t="s">
        <v>537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T47" s="44" t="s">
        <v>462</v>
      </c>
      <c r="U47" s="44" t="s">
        <v>462</v>
      </c>
      <c r="X47" s="44" t="s">
        <v>462</v>
      </c>
      <c r="Y47" s="44" t="s">
        <v>462</v>
      </c>
      <c r="Z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/>
      <c r="AJ47" s="44" t="s">
        <v>462</v>
      </c>
      <c r="AK47" s="44" t="s">
        <v>462</v>
      </c>
      <c r="AL47" s="44" t="s">
        <v>462</v>
      </c>
      <c r="AM47" s="44" t="s">
        <v>462</v>
      </c>
      <c r="AN47" s="44" t="s">
        <v>462</v>
      </c>
      <c r="AO47" s="44" t="s">
        <v>462</v>
      </c>
      <c r="AP47" s="44" t="s">
        <v>462</v>
      </c>
      <c r="AQ47"/>
      <c r="AR47" s="44" t="s">
        <v>462</v>
      </c>
      <c r="AS47" s="44" t="s">
        <v>462</v>
      </c>
      <c r="AT47" s="44" t="s">
        <v>462</v>
      </c>
      <c r="AU47" s="44" t="s">
        <v>462</v>
      </c>
      <c r="AV47"/>
      <c r="AW47" s="44" t="s">
        <v>462</v>
      </c>
      <c r="AX47"/>
      <c r="AY47"/>
      <c r="AZ47" s="44" t="s">
        <v>462</v>
      </c>
    </row>
    <row r="48" spans="1:52" x14ac:dyDescent="0.25">
      <c r="A48" s="13" t="s">
        <v>15</v>
      </c>
      <c r="B48" s="3" t="s">
        <v>473</v>
      </c>
      <c r="C48" s="3" t="s">
        <v>483</v>
      </c>
      <c r="D48" s="3" t="s">
        <v>537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T48" s="44" t="s">
        <v>86</v>
      </c>
      <c r="U48" s="44" t="s">
        <v>86</v>
      </c>
      <c r="X48" s="44" t="s">
        <v>86</v>
      </c>
      <c r="Y48" s="44" t="s">
        <v>86</v>
      </c>
      <c r="Z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/>
      <c r="AJ48" s="44" t="s">
        <v>86</v>
      </c>
      <c r="AK48" s="44" t="s">
        <v>86</v>
      </c>
      <c r="AL48" s="44" t="s">
        <v>86</v>
      </c>
      <c r="AM48" s="44" t="s">
        <v>86</v>
      </c>
      <c r="AN48" s="44" t="s">
        <v>86</v>
      </c>
      <c r="AO48" s="44" t="s">
        <v>86</v>
      </c>
      <c r="AP48" s="44" t="s">
        <v>86</v>
      </c>
      <c r="AQ48"/>
      <c r="AR48" s="44" t="s">
        <v>86</v>
      </c>
      <c r="AS48" s="44" t="s">
        <v>86</v>
      </c>
      <c r="AT48" s="44" t="s">
        <v>86</v>
      </c>
      <c r="AU48" s="44" t="s">
        <v>86</v>
      </c>
      <c r="AV48"/>
      <c r="AW48" s="44" t="s">
        <v>86</v>
      </c>
      <c r="AX48"/>
      <c r="AY48"/>
      <c r="AZ48" s="44" t="s">
        <v>86</v>
      </c>
    </row>
    <row r="49" spans="1:52" x14ac:dyDescent="0.25">
      <c r="A49" s="11" t="s">
        <v>16</v>
      </c>
      <c r="B49" s="3" t="s">
        <v>473</v>
      </c>
      <c r="C49" s="3" t="s">
        <v>483</v>
      </c>
      <c r="D49" s="3" t="s">
        <v>537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T49" s="44" t="s">
        <v>86</v>
      </c>
      <c r="U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/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 s="44" t="s">
        <v>86</v>
      </c>
      <c r="AP49" s="44" t="s">
        <v>86</v>
      </c>
      <c r="AQ49"/>
      <c r="AR49" s="44" t="s">
        <v>86</v>
      </c>
      <c r="AS49" s="44" t="s">
        <v>86</v>
      </c>
      <c r="AT49" s="44" t="s">
        <v>86</v>
      </c>
      <c r="AU49" s="44" t="s">
        <v>86</v>
      </c>
      <c r="AV49"/>
      <c r="AW49" s="44" t="s">
        <v>86</v>
      </c>
      <c r="AX49"/>
      <c r="AY49"/>
      <c r="AZ49" s="44" t="s">
        <v>86</v>
      </c>
    </row>
    <row r="50" spans="1:52" x14ac:dyDescent="0.25">
      <c r="A50" s="11" t="s">
        <v>17</v>
      </c>
      <c r="B50" s="3" t="s">
        <v>473</v>
      </c>
      <c r="C50" s="3" t="s">
        <v>483</v>
      </c>
      <c r="D50" s="3" t="s">
        <v>537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T50" s="44">
        <v>0</v>
      </c>
      <c r="U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/>
      <c r="AJ50" s="44">
        <v>0</v>
      </c>
      <c r="AK50" s="44">
        <v>0</v>
      </c>
      <c r="AL50" s="44">
        <v>0</v>
      </c>
      <c r="AM50" s="44">
        <v>0</v>
      </c>
      <c r="AN50" s="44">
        <v>0</v>
      </c>
      <c r="AO50" s="44">
        <v>0</v>
      </c>
      <c r="AP50" s="44">
        <v>0</v>
      </c>
      <c r="AQ50"/>
      <c r="AR50" s="44">
        <v>0</v>
      </c>
      <c r="AS50" s="44">
        <v>0</v>
      </c>
      <c r="AT50" s="44">
        <v>0</v>
      </c>
      <c r="AU50" s="44">
        <v>0</v>
      </c>
      <c r="AV50"/>
      <c r="AW50" s="44">
        <v>0</v>
      </c>
      <c r="AX50"/>
      <c r="AY50"/>
      <c r="AZ50" s="44">
        <v>0</v>
      </c>
    </row>
    <row r="51" spans="1:52" x14ac:dyDescent="0.25">
      <c r="A51" s="11" t="s">
        <v>18</v>
      </c>
      <c r="B51" s="3" t="s">
        <v>473</v>
      </c>
      <c r="C51" s="3" t="s">
        <v>483</v>
      </c>
      <c r="D51" s="3" t="s">
        <v>537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T51" s="44">
        <v>0.5</v>
      </c>
      <c r="U51" s="44">
        <v>0.5</v>
      </c>
      <c r="X51" s="44">
        <v>0.5</v>
      </c>
      <c r="Y51" s="44">
        <v>0.5</v>
      </c>
      <c r="Z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/>
      <c r="AJ51" s="44">
        <v>0.5</v>
      </c>
      <c r="AK51" s="44">
        <v>0.5</v>
      </c>
      <c r="AL51" s="44">
        <v>0.5</v>
      </c>
      <c r="AM51" s="44">
        <v>0.5</v>
      </c>
      <c r="AN51" s="44">
        <v>0.5</v>
      </c>
      <c r="AO51" s="44">
        <v>0.5</v>
      </c>
      <c r="AP51" s="44">
        <v>0.5</v>
      </c>
      <c r="AQ51"/>
      <c r="AR51" s="44">
        <v>0.5</v>
      </c>
      <c r="AS51" s="44">
        <v>0.5</v>
      </c>
      <c r="AT51" s="44">
        <v>0.5</v>
      </c>
      <c r="AU51" s="44">
        <v>0.5</v>
      </c>
      <c r="AV51"/>
      <c r="AW51" s="44">
        <v>0.5</v>
      </c>
      <c r="AX51"/>
      <c r="AY51"/>
      <c r="AZ51" s="44">
        <v>0.5</v>
      </c>
    </row>
    <row r="52" spans="1:52" x14ac:dyDescent="0.25">
      <c r="A52" s="11" t="s">
        <v>19</v>
      </c>
      <c r="B52" s="3" t="s">
        <v>473</v>
      </c>
      <c r="C52" s="3" t="s">
        <v>483</v>
      </c>
      <c r="D52" s="3" t="s">
        <v>537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T52" s="44">
        <v>0.05</v>
      </c>
      <c r="U52" s="44">
        <v>0.05</v>
      </c>
      <c r="X52" s="44">
        <v>0.05</v>
      </c>
      <c r="Y52" s="44">
        <v>0.05</v>
      </c>
      <c r="Z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/>
      <c r="AJ52" s="44">
        <v>0.05</v>
      </c>
      <c r="AK52" s="44">
        <v>0.05</v>
      </c>
      <c r="AL52" s="44">
        <v>0.05</v>
      </c>
      <c r="AM52" s="44">
        <v>0.05</v>
      </c>
      <c r="AN52" s="44">
        <v>0.05</v>
      </c>
      <c r="AO52" s="44">
        <v>0.05</v>
      </c>
      <c r="AP52" s="44">
        <v>0.05</v>
      </c>
      <c r="AQ52"/>
      <c r="AR52" s="44">
        <v>0.05</v>
      </c>
      <c r="AS52" s="44">
        <v>0.05</v>
      </c>
      <c r="AT52" s="44">
        <v>0.05</v>
      </c>
      <c r="AU52" s="44">
        <v>0.05</v>
      </c>
      <c r="AV52"/>
      <c r="AW52" s="44">
        <v>0.05</v>
      </c>
      <c r="AX52"/>
      <c r="AY52"/>
      <c r="AZ52" s="44">
        <v>0.05</v>
      </c>
    </row>
    <row r="53" spans="1:52" x14ac:dyDescent="0.25">
      <c r="A53" s="15" t="s">
        <v>36</v>
      </c>
      <c r="B53" s="3" t="s">
        <v>473</v>
      </c>
      <c r="C53" s="3" t="s">
        <v>483</v>
      </c>
      <c r="D53" s="3" t="s">
        <v>537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T53" s="44">
        <v>1E-3</v>
      </c>
      <c r="U53" s="44">
        <v>1E-3</v>
      </c>
      <c r="X53" s="44">
        <v>1E-3</v>
      </c>
      <c r="Y53" s="44">
        <v>1E-3</v>
      </c>
      <c r="Z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/>
      <c r="AJ53" s="44">
        <v>1E-3</v>
      </c>
      <c r="AK53" s="44">
        <v>1E-3</v>
      </c>
      <c r="AL53" s="44">
        <v>1E-3</v>
      </c>
      <c r="AM53" s="44">
        <v>1E-3</v>
      </c>
      <c r="AN53" s="44">
        <v>1E-3</v>
      </c>
      <c r="AO53" s="44">
        <v>1E-3</v>
      </c>
      <c r="AP53" s="44">
        <v>1E-3</v>
      </c>
      <c r="AQ53"/>
      <c r="AR53" s="44">
        <v>1E-3</v>
      </c>
      <c r="AS53" s="44">
        <v>1E-3</v>
      </c>
      <c r="AT53" s="44">
        <v>1E-3</v>
      </c>
      <c r="AU53" s="44">
        <v>1E-3</v>
      </c>
      <c r="AV53"/>
      <c r="AW53" s="44">
        <v>1E-3</v>
      </c>
      <c r="AX53"/>
      <c r="AY53"/>
      <c r="AZ53" s="44">
        <v>1E-3</v>
      </c>
    </row>
    <row r="54" spans="1:52" x14ac:dyDescent="0.25">
      <c r="A54" s="15" t="s">
        <v>379</v>
      </c>
      <c r="B54" s="3" t="s">
        <v>473</v>
      </c>
      <c r="C54" s="3" t="s">
        <v>483</v>
      </c>
      <c r="D54" s="3" t="s">
        <v>537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T54" s="44">
        <v>0</v>
      </c>
      <c r="U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/>
      <c r="AJ54" s="44">
        <v>0</v>
      </c>
      <c r="AK54" s="44">
        <v>0</v>
      </c>
      <c r="AL54" s="44">
        <v>0</v>
      </c>
      <c r="AM54" s="44">
        <v>0</v>
      </c>
      <c r="AN54" s="44">
        <v>0</v>
      </c>
      <c r="AO54" s="44">
        <v>0</v>
      </c>
      <c r="AP54" s="44">
        <v>0</v>
      </c>
      <c r="AQ54"/>
      <c r="AR54" s="44">
        <v>0</v>
      </c>
      <c r="AS54" s="44">
        <v>0</v>
      </c>
      <c r="AT54" s="44">
        <v>0</v>
      </c>
      <c r="AU54" s="44">
        <v>0</v>
      </c>
      <c r="AV54"/>
      <c r="AW54" s="44">
        <v>0</v>
      </c>
      <c r="AX54"/>
      <c r="AY54"/>
      <c r="AZ54" s="44">
        <v>0</v>
      </c>
    </row>
    <row r="55" spans="1:52" x14ac:dyDescent="0.25">
      <c r="A55" s="15" t="s">
        <v>37</v>
      </c>
      <c r="B55" s="3" t="s">
        <v>473</v>
      </c>
      <c r="C55" s="3" t="s">
        <v>483</v>
      </c>
      <c r="D55" s="3" t="s">
        <v>537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T55" s="44">
        <v>1E-4</v>
      </c>
      <c r="U55" s="44">
        <v>1E-4</v>
      </c>
      <c r="X55" s="44">
        <v>1E-4</v>
      </c>
      <c r="Y55" s="44">
        <v>1E-4</v>
      </c>
      <c r="Z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/>
      <c r="AJ55" s="44">
        <v>1E-4</v>
      </c>
      <c r="AK55" s="44">
        <v>1E-4</v>
      </c>
      <c r="AL55" s="44">
        <v>1E-4</v>
      </c>
      <c r="AM55" s="44">
        <v>1E-4</v>
      </c>
      <c r="AN55" s="44">
        <v>1E-4</v>
      </c>
      <c r="AO55" s="44">
        <v>1E-4</v>
      </c>
      <c r="AP55" s="44">
        <v>1E-4</v>
      </c>
      <c r="AQ55"/>
      <c r="AR55" s="44">
        <v>1E-4</v>
      </c>
      <c r="AS55" s="44">
        <v>1E-4</v>
      </c>
      <c r="AT55" s="44">
        <v>1E-4</v>
      </c>
      <c r="AU55" s="44">
        <v>1E-4</v>
      </c>
      <c r="AV55"/>
      <c r="AW55" s="44">
        <v>1E-4</v>
      </c>
      <c r="AX55"/>
      <c r="AY55"/>
      <c r="AZ55" s="44">
        <v>1E-4</v>
      </c>
    </row>
    <row r="56" spans="1:52" x14ac:dyDescent="0.25">
      <c r="A56" s="15" t="s">
        <v>38</v>
      </c>
      <c r="B56" s="3" t="s">
        <v>473</v>
      </c>
      <c r="C56" s="3" t="s">
        <v>483</v>
      </c>
      <c r="D56" s="3" t="s">
        <v>537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T56" s="44">
        <v>1E-4</v>
      </c>
      <c r="U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/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 s="44">
        <v>1E-4</v>
      </c>
      <c r="AP56" s="44">
        <v>1E-4</v>
      </c>
      <c r="AQ56"/>
      <c r="AR56" s="44">
        <v>1E-4</v>
      </c>
      <c r="AS56" s="44">
        <v>1E-4</v>
      </c>
      <c r="AT56" s="44">
        <v>1E-4</v>
      </c>
      <c r="AU56" s="44">
        <v>1E-4</v>
      </c>
      <c r="AV56"/>
      <c r="AW56" s="44">
        <v>1E-4</v>
      </c>
      <c r="AX56"/>
      <c r="AY56"/>
      <c r="AZ56" s="44">
        <v>1E-4</v>
      </c>
    </row>
    <row r="57" spans="1:52" x14ac:dyDescent="0.25">
      <c r="A57" s="17" t="s">
        <v>39</v>
      </c>
      <c r="B57" s="3" t="s">
        <v>473</v>
      </c>
      <c r="C57" s="3" t="s">
        <v>483</v>
      </c>
      <c r="D57" s="3" t="s">
        <v>537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U57" s="44">
        <v>6.9999999999999999E-4</v>
      </c>
      <c r="X57" s="44">
        <v>6.9999999999999999E-4</v>
      </c>
      <c r="Y57" s="44">
        <v>6.9999999999999999E-4</v>
      </c>
      <c r="Z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/>
      <c r="AJ57" s="44">
        <v>6.9999999999999999E-4</v>
      </c>
      <c r="AK57" s="44">
        <v>6.9999999999999999E-4</v>
      </c>
      <c r="AL57" s="44">
        <v>6.9999999999999999E-4</v>
      </c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/>
      <c r="AR57" s="44">
        <v>6.9999999999999999E-4</v>
      </c>
      <c r="AS57" s="44">
        <v>6.9999999999999999E-4</v>
      </c>
      <c r="AT57" s="44">
        <v>6.9999999999999999E-4</v>
      </c>
      <c r="AU57" s="44">
        <v>6.9999999999999999E-4</v>
      </c>
      <c r="AV57"/>
      <c r="AW57" s="44">
        <v>6.9999999999999999E-4</v>
      </c>
      <c r="AX57"/>
      <c r="AY57"/>
      <c r="AZ57" s="44">
        <v>6.9999999999999999E-4</v>
      </c>
    </row>
    <row r="58" spans="1:52" x14ac:dyDescent="0.25">
      <c r="A58" s="17" t="s">
        <v>40</v>
      </c>
      <c r="B58" s="3" t="s">
        <v>473</v>
      </c>
      <c r="C58" s="3" t="s">
        <v>483</v>
      </c>
      <c r="D58" s="3" t="s">
        <v>537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T58" s="44">
        <v>1.22E-4</v>
      </c>
      <c r="U58" s="44">
        <v>1.22E-4</v>
      </c>
      <c r="X58" s="44">
        <v>1.22E-4</v>
      </c>
      <c r="Y58" s="44">
        <v>1.22E-4</v>
      </c>
      <c r="Z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/>
      <c r="AJ58" s="44">
        <v>1.22E-4</v>
      </c>
      <c r="AK58" s="44">
        <v>1.22E-4</v>
      </c>
      <c r="AL58" s="44">
        <v>1.22E-4</v>
      </c>
      <c r="AM58" s="44">
        <v>1.22E-4</v>
      </c>
      <c r="AN58" s="44">
        <v>1.22E-4</v>
      </c>
      <c r="AO58" s="44">
        <v>1.22E-4</v>
      </c>
      <c r="AP58" s="44">
        <v>1.22E-4</v>
      </c>
      <c r="AQ58"/>
      <c r="AR58" s="44">
        <v>1.22E-4</v>
      </c>
      <c r="AS58" s="44">
        <v>1.22E-4</v>
      </c>
      <c r="AT58" s="44">
        <v>1.22E-4</v>
      </c>
      <c r="AU58" s="44">
        <v>1.22E-4</v>
      </c>
      <c r="AV58"/>
      <c r="AW58" s="44">
        <v>1.22E-4</v>
      </c>
      <c r="AX58"/>
      <c r="AY58"/>
      <c r="AZ58" s="44">
        <v>1.22E-4</v>
      </c>
    </row>
    <row r="59" spans="1:52" x14ac:dyDescent="0.25">
      <c r="A59" s="17" t="s">
        <v>206</v>
      </c>
      <c r="B59" s="3" t="s">
        <v>473</v>
      </c>
      <c r="C59" s="3" t="s">
        <v>483</v>
      </c>
      <c r="D59" s="3" t="s">
        <v>537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T59" s="44">
        <v>1</v>
      </c>
      <c r="U59" s="44">
        <v>1</v>
      </c>
      <c r="X59" s="44">
        <v>1</v>
      </c>
      <c r="Y59" s="44">
        <v>1</v>
      </c>
      <c r="Z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/>
      <c r="AJ59" s="44">
        <v>1</v>
      </c>
      <c r="AK59" s="44">
        <v>1</v>
      </c>
      <c r="AL59" s="44">
        <v>1</v>
      </c>
      <c r="AM59" s="44">
        <v>1</v>
      </c>
      <c r="AN59" s="44">
        <v>1</v>
      </c>
      <c r="AO59" s="44">
        <v>1</v>
      </c>
      <c r="AP59" s="44">
        <v>1</v>
      </c>
      <c r="AQ59"/>
      <c r="AR59" s="44">
        <v>1</v>
      </c>
      <c r="AS59" s="44">
        <v>1</v>
      </c>
      <c r="AT59" s="44">
        <v>1</v>
      </c>
      <c r="AU59" s="44">
        <v>1</v>
      </c>
      <c r="AV59"/>
      <c r="AW59" s="44">
        <v>1</v>
      </c>
      <c r="AX59"/>
      <c r="AY59"/>
      <c r="AZ59" s="44">
        <v>1</v>
      </c>
    </row>
    <row r="60" spans="1:52" x14ac:dyDescent="0.25">
      <c r="A60" s="17" t="s">
        <v>41</v>
      </c>
      <c r="B60" s="3" t="s">
        <v>473</v>
      </c>
      <c r="C60" s="3" t="s">
        <v>483</v>
      </c>
      <c r="D60" s="3" t="s">
        <v>537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T60" s="44">
        <v>0.95</v>
      </c>
      <c r="U60" s="44">
        <v>0.95</v>
      </c>
      <c r="X60" s="44">
        <v>0.95</v>
      </c>
      <c r="Y60" s="44">
        <v>0.95</v>
      </c>
      <c r="Z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/>
      <c r="AJ60" s="44">
        <v>0.95</v>
      </c>
      <c r="AK60" s="44">
        <v>0.95</v>
      </c>
      <c r="AL60" s="44">
        <v>0.95</v>
      </c>
      <c r="AM60" s="44">
        <v>0.95</v>
      </c>
      <c r="AN60" s="44">
        <v>0.95</v>
      </c>
      <c r="AO60" s="44">
        <v>0.95</v>
      </c>
      <c r="AP60" s="44">
        <v>0.95</v>
      </c>
      <c r="AQ60"/>
      <c r="AR60" s="44">
        <v>0.95</v>
      </c>
      <c r="AS60" s="44">
        <v>0.95</v>
      </c>
      <c r="AT60" s="44">
        <v>0.95</v>
      </c>
      <c r="AU60" s="44">
        <v>0.95</v>
      </c>
      <c r="AV60"/>
      <c r="AW60" s="44">
        <v>0.95</v>
      </c>
      <c r="AX60"/>
      <c r="AY60"/>
      <c r="AZ60" s="44">
        <v>0.95</v>
      </c>
    </row>
    <row r="61" spans="1:52" x14ac:dyDescent="0.25">
      <c r="A61" s="17" t="s">
        <v>406</v>
      </c>
      <c r="B61" s="3" t="s">
        <v>473</v>
      </c>
      <c r="C61" s="3" t="s">
        <v>483</v>
      </c>
      <c r="D61" s="3" t="s">
        <v>537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T61" s="44" t="s">
        <v>87</v>
      </c>
      <c r="U61" s="44" t="s">
        <v>87</v>
      </c>
      <c r="X61" s="44" t="s">
        <v>87</v>
      </c>
      <c r="Y61" s="44" t="s">
        <v>87</v>
      </c>
      <c r="Z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/>
      <c r="AJ61" s="44" t="s">
        <v>87</v>
      </c>
      <c r="AK61" s="44" t="s">
        <v>87</v>
      </c>
      <c r="AL61" s="44" t="s">
        <v>87</v>
      </c>
      <c r="AM61" s="44" t="s">
        <v>87</v>
      </c>
      <c r="AN61" s="44" t="s">
        <v>87</v>
      </c>
      <c r="AO61" s="44" t="s">
        <v>87</v>
      </c>
      <c r="AP61" s="44" t="s">
        <v>87</v>
      </c>
      <c r="AQ61"/>
      <c r="AR61" s="44" t="s">
        <v>87</v>
      </c>
      <c r="AS61" s="44" t="s">
        <v>87</v>
      </c>
      <c r="AT61" s="44" t="s">
        <v>87</v>
      </c>
      <c r="AU61" s="44" t="s">
        <v>87</v>
      </c>
      <c r="AV61"/>
      <c r="AW61" s="44" t="s">
        <v>87</v>
      </c>
      <c r="AX61"/>
      <c r="AY61"/>
      <c r="AZ61" s="44" t="s">
        <v>87</v>
      </c>
    </row>
    <row r="62" spans="1:52" x14ac:dyDescent="0.25">
      <c r="A62" s="17" t="s">
        <v>90</v>
      </c>
      <c r="B62" s="3" t="s">
        <v>473</v>
      </c>
      <c r="C62" s="3" t="s">
        <v>483</v>
      </c>
      <c r="D62" s="3" t="s">
        <v>537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T62" s="44">
        <v>5</v>
      </c>
      <c r="U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/>
      <c r="AJ62" s="44">
        <v>5</v>
      </c>
      <c r="AK62" s="44">
        <v>5</v>
      </c>
      <c r="AL62" s="44">
        <v>5</v>
      </c>
      <c r="AM62" s="44">
        <v>5</v>
      </c>
      <c r="AN62" s="44">
        <v>5</v>
      </c>
      <c r="AO62" s="44">
        <v>5</v>
      </c>
      <c r="AP62" s="44">
        <v>5</v>
      </c>
      <c r="AQ62"/>
      <c r="AR62" s="44">
        <v>5</v>
      </c>
      <c r="AS62" s="44">
        <v>5</v>
      </c>
      <c r="AT62" s="44">
        <v>5</v>
      </c>
      <c r="AU62" s="44">
        <v>5</v>
      </c>
      <c r="AV62"/>
      <c r="AW62" s="44">
        <v>5</v>
      </c>
      <c r="AX62"/>
      <c r="AY62"/>
      <c r="AZ62" s="44">
        <v>5</v>
      </c>
    </row>
    <row r="63" spans="1:52" x14ac:dyDescent="0.25">
      <c r="A63" s="17" t="s">
        <v>408</v>
      </c>
      <c r="B63" s="3" t="s">
        <v>473</v>
      </c>
      <c r="C63" s="3" t="s">
        <v>483</v>
      </c>
      <c r="D63" s="3" t="s">
        <v>537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T63" s="44" t="s">
        <v>87</v>
      </c>
      <c r="U63" s="44" t="s">
        <v>87</v>
      </c>
      <c r="X63" s="44" t="s">
        <v>87</v>
      </c>
      <c r="Y63" s="44" t="s">
        <v>87</v>
      </c>
      <c r="Z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/>
      <c r="AJ63" s="44" t="s">
        <v>87</v>
      </c>
      <c r="AK63" s="44" t="s">
        <v>87</v>
      </c>
      <c r="AL63" s="44" t="s">
        <v>87</v>
      </c>
      <c r="AM63" s="44" t="s">
        <v>87</v>
      </c>
      <c r="AN63" s="44" t="s">
        <v>87</v>
      </c>
      <c r="AO63" s="44" t="s">
        <v>87</v>
      </c>
      <c r="AP63" s="44" t="s">
        <v>87</v>
      </c>
      <c r="AQ63"/>
      <c r="AR63" s="44" t="s">
        <v>87</v>
      </c>
      <c r="AS63" s="44" t="s">
        <v>87</v>
      </c>
      <c r="AT63" s="44" t="s">
        <v>87</v>
      </c>
      <c r="AU63" s="44" t="s">
        <v>87</v>
      </c>
      <c r="AV63"/>
      <c r="AW63" s="44" t="s">
        <v>87</v>
      </c>
      <c r="AX63"/>
      <c r="AY63"/>
      <c r="AZ63" s="44" t="s">
        <v>87</v>
      </c>
    </row>
    <row r="64" spans="1:52" x14ac:dyDescent="0.25">
      <c r="A64" s="17" t="s">
        <v>42</v>
      </c>
      <c r="B64" s="3" t="s">
        <v>473</v>
      </c>
      <c r="C64" s="3" t="s">
        <v>483</v>
      </c>
      <c r="D64" s="3" t="s">
        <v>537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T64" s="44">
        <v>50</v>
      </c>
      <c r="U64" s="44">
        <v>50</v>
      </c>
      <c r="X64" s="44">
        <v>50</v>
      </c>
      <c r="Y64" s="44">
        <v>50</v>
      </c>
      <c r="Z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/>
      <c r="AJ64" s="44">
        <v>50</v>
      </c>
      <c r="AK64" s="44">
        <v>50</v>
      </c>
      <c r="AL64" s="44">
        <v>50</v>
      </c>
      <c r="AM64" s="44">
        <v>50</v>
      </c>
      <c r="AN64" s="44">
        <v>50</v>
      </c>
      <c r="AO64" s="44">
        <v>50</v>
      </c>
      <c r="AP64" s="44">
        <v>50</v>
      </c>
      <c r="AQ64"/>
      <c r="AR64" s="44">
        <v>50</v>
      </c>
      <c r="AS64" s="44">
        <v>50</v>
      </c>
      <c r="AT64" s="44">
        <v>50</v>
      </c>
      <c r="AU64" s="44">
        <v>50</v>
      </c>
      <c r="AV64"/>
      <c r="AW64" s="44">
        <v>50</v>
      </c>
      <c r="AX64"/>
      <c r="AY64"/>
      <c r="AZ64" s="44">
        <v>50</v>
      </c>
    </row>
    <row r="65" spans="1:52" x14ac:dyDescent="0.25">
      <c r="A65" s="17" t="s">
        <v>207</v>
      </c>
      <c r="B65" s="3" t="s">
        <v>473</v>
      </c>
      <c r="C65" s="3" t="s">
        <v>483</v>
      </c>
      <c r="D65" s="3" t="s">
        <v>537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T65" s="44">
        <v>1453890.8941884842</v>
      </c>
      <c r="U65" s="44">
        <v>1453890.8941884842</v>
      </c>
      <c r="X65" s="44">
        <v>1453890.8941884842</v>
      </c>
      <c r="Y65" s="44">
        <v>1453890.8941884842</v>
      </c>
      <c r="Z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/>
      <c r="AJ65" s="44">
        <v>1453890.8941884842</v>
      </c>
      <c r="AK65" s="44">
        <v>1453890.8941884842</v>
      </c>
      <c r="AL65" s="44">
        <v>1453890.8941884842</v>
      </c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/>
      <c r="AR65" s="44">
        <v>1453890.8941884842</v>
      </c>
      <c r="AS65" s="44">
        <v>1453890.8941884842</v>
      </c>
      <c r="AT65" s="44">
        <v>1453890.8941884842</v>
      </c>
      <c r="AU65" s="44">
        <v>1453890.8941884842</v>
      </c>
      <c r="AV65"/>
      <c r="AW65" s="44">
        <v>1453890.8941884842</v>
      </c>
      <c r="AX65"/>
      <c r="AY65"/>
      <c r="AZ65" s="44">
        <v>1453890.8941884842</v>
      </c>
    </row>
    <row r="66" spans="1:52" x14ac:dyDescent="0.25">
      <c r="A66" s="17" t="s">
        <v>43</v>
      </c>
      <c r="B66" s="3" t="s">
        <v>473</v>
      </c>
      <c r="C66" s="3" t="s">
        <v>483</v>
      </c>
      <c r="D66" s="3" t="s">
        <v>537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U66" s="44">
        <v>1.3888888888888888E-5</v>
      </c>
      <c r="X66" s="44">
        <v>1.3888888888888888E-5</v>
      </c>
      <c r="Y66" s="44">
        <v>1.3888888888888888E-5</v>
      </c>
      <c r="Z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/>
      <c r="AJ66" s="44">
        <v>1.3888888888888888E-5</v>
      </c>
      <c r="AK66" s="44">
        <v>1.3888888888888888E-5</v>
      </c>
      <c r="AL66" s="44">
        <v>1.3888888888888888E-5</v>
      </c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/>
      <c r="AR66" s="44">
        <v>1.3888888888888888E-5</v>
      </c>
      <c r="AS66" s="44">
        <v>1.3888888888888888E-5</v>
      </c>
      <c r="AT66" s="44">
        <v>1.3888888888888888E-5</v>
      </c>
      <c r="AU66" s="44">
        <v>1.3888888888888888E-5</v>
      </c>
      <c r="AV66"/>
      <c r="AW66" s="44">
        <v>1.3888888888888888E-5</v>
      </c>
      <c r="AX66"/>
      <c r="AY66"/>
      <c r="AZ66" s="44">
        <v>1.3888888888888888E-5</v>
      </c>
    </row>
    <row r="67" spans="1:52" x14ac:dyDescent="0.25">
      <c r="A67" s="17" t="s">
        <v>44</v>
      </c>
      <c r="B67" s="3" t="s">
        <v>473</v>
      </c>
      <c r="C67" s="3" t="s">
        <v>483</v>
      </c>
      <c r="D67" s="3" t="s">
        <v>537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U67" s="44">
        <v>6.5011574074074071E-4</v>
      </c>
      <c r="X67" s="44">
        <v>6.5011574074074071E-4</v>
      </c>
      <c r="Y67" s="44">
        <v>6.5011574074074071E-4</v>
      </c>
      <c r="Z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/>
      <c r="AJ67" s="44">
        <v>6.5011574074074071E-4</v>
      </c>
      <c r="AK67" s="44">
        <v>6.5011574074074071E-4</v>
      </c>
      <c r="AL67" s="44">
        <v>6.5011574074074071E-4</v>
      </c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/>
      <c r="AR67" s="44">
        <v>6.5011574074074071E-4</v>
      </c>
      <c r="AS67" s="44">
        <v>6.5011574074074071E-4</v>
      </c>
      <c r="AT67" s="44">
        <v>6.5011574074074071E-4</v>
      </c>
      <c r="AU67" s="44">
        <v>6.5011574074074071E-4</v>
      </c>
      <c r="AV67"/>
      <c r="AW67" s="44">
        <v>6.5011574074074071E-4</v>
      </c>
      <c r="AX67"/>
      <c r="AY67"/>
      <c r="AZ67" s="44">
        <v>6.5011574074074071E-4</v>
      </c>
    </row>
    <row r="68" spans="1:52" x14ac:dyDescent="0.25">
      <c r="A68" s="17" t="s">
        <v>45</v>
      </c>
      <c r="B68" s="3" t="s">
        <v>473</v>
      </c>
      <c r="C68" s="3" t="s">
        <v>483</v>
      </c>
      <c r="D68" s="3" t="s">
        <v>537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U68" s="44">
        <v>4.7400000000000003E-3</v>
      </c>
      <c r="X68" s="44">
        <v>4.7400000000000003E-3</v>
      </c>
      <c r="Y68" s="44">
        <v>4.7400000000000003E-3</v>
      </c>
      <c r="Z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/>
      <c r="AJ68" s="44">
        <v>4.7400000000000003E-3</v>
      </c>
      <c r="AK68" s="44">
        <v>4.7400000000000003E-3</v>
      </c>
      <c r="AL68" s="44">
        <v>4.7400000000000003E-3</v>
      </c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/>
      <c r="AR68" s="44">
        <v>4.7400000000000003E-3</v>
      </c>
      <c r="AS68" s="44">
        <v>4.7400000000000003E-3</v>
      </c>
      <c r="AT68" s="44">
        <v>4.7400000000000003E-3</v>
      </c>
      <c r="AU68" s="44">
        <v>4.7400000000000003E-3</v>
      </c>
      <c r="AV68"/>
      <c r="AW68" s="44">
        <v>4.7400000000000003E-3</v>
      </c>
      <c r="AX68"/>
      <c r="AY68"/>
      <c r="AZ68" s="44">
        <v>4.7400000000000003E-3</v>
      </c>
    </row>
    <row r="69" spans="1:52" x14ac:dyDescent="0.25">
      <c r="A69" s="17" t="s">
        <v>46</v>
      </c>
      <c r="B69" s="3" t="s">
        <v>473</v>
      </c>
      <c r="C69" s="3" t="s">
        <v>483</v>
      </c>
      <c r="D69" s="3" t="s">
        <v>537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T69" s="44">
        <v>282528</v>
      </c>
      <c r="U69" s="44">
        <v>282528</v>
      </c>
      <c r="X69" s="44">
        <v>282528</v>
      </c>
      <c r="Y69" s="44">
        <v>282528</v>
      </c>
      <c r="Z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/>
      <c r="AJ69" s="44">
        <v>282528</v>
      </c>
      <c r="AK69" s="44">
        <v>282528</v>
      </c>
      <c r="AL69" s="44">
        <v>282528</v>
      </c>
      <c r="AM69" s="44">
        <v>282528</v>
      </c>
      <c r="AN69" s="44">
        <v>282528</v>
      </c>
      <c r="AO69" s="44">
        <v>282528</v>
      </c>
      <c r="AP69" s="44">
        <v>282528</v>
      </c>
      <c r="AQ69"/>
      <c r="AR69" s="44">
        <v>282528</v>
      </c>
      <c r="AS69" s="44">
        <v>282528</v>
      </c>
      <c r="AT69" s="44">
        <v>282528</v>
      </c>
      <c r="AU69" s="44">
        <v>282528</v>
      </c>
      <c r="AV69"/>
      <c r="AW69" s="44">
        <v>282528</v>
      </c>
      <c r="AX69"/>
      <c r="AY69"/>
      <c r="AZ69" s="44">
        <v>282528</v>
      </c>
    </row>
    <row r="70" spans="1:52" x14ac:dyDescent="0.25">
      <c r="A70" s="17" t="s">
        <v>47</v>
      </c>
      <c r="B70" s="3" t="s">
        <v>473</v>
      </c>
      <c r="C70" s="3" t="s">
        <v>483</v>
      </c>
      <c r="D70" s="3" t="s">
        <v>537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U70" s="44">
        <v>0.56999999999999995</v>
      </c>
      <c r="X70" s="44">
        <v>0.56999999999999995</v>
      </c>
      <c r="Y70" s="44">
        <v>0.56999999999999995</v>
      </c>
      <c r="Z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/>
      <c r="AJ70" s="44">
        <v>0.56999999999999995</v>
      </c>
      <c r="AK70" s="44">
        <v>0.56999999999999995</v>
      </c>
      <c r="AL70" s="44">
        <v>0.56999999999999995</v>
      </c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/>
      <c r="AR70" s="44">
        <v>0.56999999999999995</v>
      </c>
      <c r="AS70" s="44">
        <v>0.56999999999999995</v>
      </c>
      <c r="AT70" s="44">
        <v>0.56999999999999995</v>
      </c>
      <c r="AU70" s="44">
        <v>0.56999999999999995</v>
      </c>
      <c r="AV70"/>
      <c r="AW70" s="44">
        <v>0.56999999999999995</v>
      </c>
      <c r="AX70"/>
      <c r="AY70"/>
      <c r="AZ70" s="44">
        <v>0.56999999999999995</v>
      </c>
    </row>
    <row r="71" spans="1:52" x14ac:dyDescent="0.25">
      <c r="A71" s="17" t="s">
        <v>48</v>
      </c>
      <c r="B71" s="3" t="s">
        <v>473</v>
      </c>
      <c r="C71" s="3" t="s">
        <v>483</v>
      </c>
      <c r="D71" s="3" t="s">
        <v>537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T71" s="44">
        <v>0.16</v>
      </c>
      <c r="U71" s="44">
        <v>0.16</v>
      </c>
      <c r="X71" s="44">
        <v>0.16</v>
      </c>
      <c r="Y71" s="44">
        <v>0.16</v>
      </c>
      <c r="Z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/>
      <c r="AJ71" s="44">
        <v>0.16</v>
      </c>
      <c r="AK71" s="44">
        <v>0.16</v>
      </c>
      <c r="AL71" s="44">
        <v>0.16</v>
      </c>
      <c r="AM71" s="44">
        <v>0.16</v>
      </c>
      <c r="AN71" s="44">
        <v>0.16</v>
      </c>
      <c r="AO71" s="44">
        <v>0.16</v>
      </c>
      <c r="AP71" s="44">
        <v>0.16</v>
      </c>
      <c r="AQ71"/>
      <c r="AR71" s="44">
        <v>0.16</v>
      </c>
      <c r="AS71" s="44">
        <v>0.16</v>
      </c>
      <c r="AT71" s="44">
        <v>0.16</v>
      </c>
      <c r="AU71" s="44">
        <v>0.16</v>
      </c>
      <c r="AV71"/>
      <c r="AW71" s="44">
        <v>0.16</v>
      </c>
      <c r="AX71"/>
      <c r="AY71"/>
      <c r="AZ71" s="44">
        <v>0.16</v>
      </c>
    </row>
    <row r="72" spans="1:52" x14ac:dyDescent="0.25">
      <c r="A72" s="17" t="s">
        <v>49</v>
      </c>
      <c r="B72" s="3" t="s">
        <v>473</v>
      </c>
      <c r="C72" s="3" t="s">
        <v>483</v>
      </c>
      <c r="D72" s="3" t="s">
        <v>537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T72" s="44">
        <v>0</v>
      </c>
      <c r="U72" s="44">
        <v>0</v>
      </c>
      <c r="X72" s="44">
        <v>0</v>
      </c>
      <c r="Y72" s="44">
        <v>0</v>
      </c>
      <c r="Z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/>
      <c r="AJ72" s="44">
        <v>0</v>
      </c>
      <c r="AK72" s="44">
        <v>0</v>
      </c>
      <c r="AL72" s="44">
        <v>0</v>
      </c>
      <c r="AM72" s="44">
        <v>0</v>
      </c>
      <c r="AN72" s="44">
        <v>0</v>
      </c>
      <c r="AO72" s="44">
        <v>0</v>
      </c>
      <c r="AP72" s="44">
        <v>0</v>
      </c>
      <c r="AQ72"/>
      <c r="AR72" s="44">
        <v>0</v>
      </c>
      <c r="AS72" s="44">
        <v>0</v>
      </c>
      <c r="AT72" s="44">
        <v>0</v>
      </c>
      <c r="AU72" s="44">
        <v>0</v>
      </c>
      <c r="AV72"/>
      <c r="AW72" s="44">
        <v>0</v>
      </c>
      <c r="AX72"/>
      <c r="AY72"/>
      <c r="AZ72" s="44">
        <v>0</v>
      </c>
    </row>
    <row r="73" spans="1:52" x14ac:dyDescent="0.25">
      <c r="A73" s="33" t="s">
        <v>50</v>
      </c>
      <c r="B73" s="3" t="s">
        <v>473</v>
      </c>
      <c r="C73" s="3" t="s">
        <v>483</v>
      </c>
      <c r="D73" s="3" t="s">
        <v>537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T73" s="44">
        <v>745476480000</v>
      </c>
      <c r="U73" s="44">
        <v>745476480000</v>
      </c>
      <c r="X73" s="44">
        <v>745476480000</v>
      </c>
      <c r="Y73" s="44">
        <v>745476480000</v>
      </c>
      <c r="Z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/>
      <c r="AJ73" s="44">
        <v>745476480000</v>
      </c>
      <c r="AK73" s="44">
        <v>745476480000</v>
      </c>
      <c r="AL73" s="44">
        <v>745476480000</v>
      </c>
      <c r="AM73" s="44">
        <v>745476480000</v>
      </c>
      <c r="AN73" s="44">
        <v>745476480000</v>
      </c>
      <c r="AO73" s="44">
        <v>745476480000</v>
      </c>
      <c r="AP73" s="44">
        <v>745476480000</v>
      </c>
      <c r="AQ73"/>
      <c r="AR73" s="44">
        <v>745476480000</v>
      </c>
      <c r="AS73" s="44">
        <v>745476480000</v>
      </c>
      <c r="AT73" s="44">
        <v>745476480000</v>
      </c>
      <c r="AU73" s="44">
        <v>745476480000</v>
      </c>
      <c r="AV73"/>
      <c r="AW73" s="44">
        <v>745476480000</v>
      </c>
      <c r="AX73"/>
      <c r="AY73"/>
      <c r="AZ73" s="44">
        <v>745476480000</v>
      </c>
    </row>
    <row r="74" spans="1:52" x14ac:dyDescent="0.25">
      <c r="A74" s="33" t="s">
        <v>204</v>
      </c>
      <c r="B74" s="3" t="s">
        <v>473</v>
      </c>
      <c r="C74" s="3" t="s">
        <v>483</v>
      </c>
      <c r="D74" s="3" t="s">
        <v>537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T74" s="44">
        <v>100</v>
      </c>
      <c r="U74" s="44">
        <v>100</v>
      </c>
      <c r="X74" s="44">
        <v>100</v>
      </c>
      <c r="Y74" s="44">
        <v>100</v>
      </c>
      <c r="Z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/>
      <c r="AJ74" s="44">
        <v>100</v>
      </c>
      <c r="AK74" s="44">
        <v>100</v>
      </c>
      <c r="AL74" s="44">
        <v>100</v>
      </c>
      <c r="AM74" s="44">
        <v>100</v>
      </c>
      <c r="AN74" s="44">
        <v>100</v>
      </c>
      <c r="AO74" s="44">
        <v>100</v>
      </c>
      <c r="AP74" s="44">
        <v>100</v>
      </c>
      <c r="AQ74"/>
      <c r="AR74" s="44">
        <v>100</v>
      </c>
      <c r="AS74" s="44">
        <v>100</v>
      </c>
      <c r="AT74" s="44">
        <v>100</v>
      </c>
      <c r="AU74" s="44">
        <v>100</v>
      </c>
      <c r="AV74"/>
      <c r="AW74" s="44">
        <v>100</v>
      </c>
      <c r="AX74"/>
      <c r="AY74"/>
      <c r="AZ74" s="44">
        <v>100</v>
      </c>
    </row>
    <row r="75" spans="1:52" x14ac:dyDescent="0.25">
      <c r="A75" s="33" t="s">
        <v>414</v>
      </c>
      <c r="B75" s="3" t="s">
        <v>473</v>
      </c>
      <c r="C75" s="3" t="s">
        <v>483</v>
      </c>
      <c r="D75" s="3" t="s">
        <v>537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T75" s="44" t="s">
        <v>86</v>
      </c>
      <c r="U75" s="44" t="s">
        <v>86</v>
      </c>
      <c r="X75" s="44" t="s">
        <v>86</v>
      </c>
      <c r="Y75" s="44" t="s">
        <v>86</v>
      </c>
      <c r="Z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/>
      <c r="AJ75" s="44" t="s">
        <v>86</v>
      </c>
      <c r="AK75" s="44" t="s">
        <v>86</v>
      </c>
      <c r="AL75" s="44" t="s">
        <v>86</v>
      </c>
      <c r="AM75" s="44" t="s">
        <v>86</v>
      </c>
      <c r="AN75" s="44" t="s">
        <v>86</v>
      </c>
      <c r="AO75" s="44" t="s">
        <v>86</v>
      </c>
      <c r="AP75" s="44" t="s">
        <v>86</v>
      </c>
      <c r="AQ75"/>
      <c r="AR75" s="44" t="s">
        <v>86</v>
      </c>
      <c r="AS75" s="44" t="s">
        <v>86</v>
      </c>
      <c r="AT75" s="44" t="s">
        <v>86</v>
      </c>
      <c r="AU75" s="44" t="s">
        <v>86</v>
      </c>
      <c r="AV75"/>
      <c r="AW75" s="44" t="s">
        <v>86</v>
      </c>
      <c r="AX75"/>
      <c r="AY75"/>
      <c r="AZ75" s="44" t="s">
        <v>86</v>
      </c>
    </row>
    <row r="76" spans="1:52" x14ac:dyDescent="0.25">
      <c r="A76" s="33" t="s">
        <v>400</v>
      </c>
      <c r="B76" s="3" t="s">
        <v>473</v>
      </c>
      <c r="C76" s="3" t="s">
        <v>483</v>
      </c>
      <c r="D76" s="3" t="s">
        <v>537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T76" s="44">
        <v>21600</v>
      </c>
      <c r="U76" s="44">
        <v>21600</v>
      </c>
      <c r="X76" s="44">
        <v>21600</v>
      </c>
      <c r="Y76" s="44">
        <v>21600</v>
      </c>
      <c r="Z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/>
      <c r="AJ76" s="44">
        <v>21600</v>
      </c>
      <c r="AK76" s="44">
        <v>21600</v>
      </c>
      <c r="AL76" s="44">
        <v>21600</v>
      </c>
      <c r="AM76" s="44">
        <v>21600</v>
      </c>
      <c r="AN76" s="44">
        <v>21600</v>
      </c>
      <c r="AO76" s="44">
        <v>21600</v>
      </c>
      <c r="AP76" s="44">
        <v>21600</v>
      </c>
      <c r="AQ76"/>
      <c r="AR76" s="44">
        <v>21600</v>
      </c>
      <c r="AS76" s="44">
        <v>21600</v>
      </c>
      <c r="AT76" s="44">
        <v>21600</v>
      </c>
      <c r="AU76" s="44">
        <v>21600</v>
      </c>
      <c r="AV76"/>
      <c r="AW76" s="44">
        <v>21600</v>
      </c>
      <c r="AX76"/>
      <c r="AY76"/>
      <c r="AZ76" s="44">
        <v>21600</v>
      </c>
    </row>
    <row r="77" spans="1:52" x14ac:dyDescent="0.25">
      <c r="A77" s="33" t="s">
        <v>410</v>
      </c>
      <c r="B77" s="3" t="s">
        <v>473</v>
      </c>
      <c r="C77" s="3" t="s">
        <v>483</v>
      </c>
      <c r="D77" s="3" t="s">
        <v>537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T77" s="44">
        <v>0.5</v>
      </c>
      <c r="U77" s="44">
        <v>0.5</v>
      </c>
      <c r="X77" s="44">
        <v>0.5</v>
      </c>
      <c r="Y77" s="44">
        <v>0.5</v>
      </c>
      <c r="Z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/>
      <c r="AJ77" s="44">
        <v>0.5</v>
      </c>
      <c r="AK77" s="44">
        <v>0.5</v>
      </c>
      <c r="AL77" s="44">
        <v>0.5</v>
      </c>
      <c r="AM77" s="44">
        <v>0.5</v>
      </c>
      <c r="AN77" s="44">
        <v>0.5</v>
      </c>
      <c r="AO77" s="44">
        <v>0.5</v>
      </c>
      <c r="AP77" s="44">
        <v>0.5</v>
      </c>
      <c r="AQ77"/>
      <c r="AR77" s="44">
        <v>0.5</v>
      </c>
      <c r="AS77" s="44">
        <v>0.5</v>
      </c>
      <c r="AT77" s="44">
        <v>0.5</v>
      </c>
      <c r="AU77" s="44">
        <v>0.5</v>
      </c>
      <c r="AV77"/>
      <c r="AW77" s="44">
        <v>0.5</v>
      </c>
      <c r="AX77"/>
      <c r="AY77"/>
      <c r="AZ77" s="44">
        <v>0.5</v>
      </c>
    </row>
    <row r="78" spans="1:52" x14ac:dyDescent="0.25">
      <c r="A78" s="33" t="s">
        <v>401</v>
      </c>
      <c r="B78" s="3" t="s">
        <v>473</v>
      </c>
      <c r="C78" s="3" t="s">
        <v>483</v>
      </c>
      <c r="D78" s="3" t="s">
        <v>537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T78" s="44">
        <v>60479.999999999993</v>
      </c>
      <c r="U78" s="44">
        <v>60479.999999999993</v>
      </c>
      <c r="X78" s="44">
        <v>60479.999999999993</v>
      </c>
      <c r="Y78" s="44">
        <v>60479.999999999993</v>
      </c>
      <c r="Z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/>
      <c r="AJ78" s="44">
        <v>60479.999999999993</v>
      </c>
      <c r="AK78" s="44">
        <v>60479.999999999993</v>
      </c>
      <c r="AL78" s="44">
        <v>60479.999999999993</v>
      </c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/>
      <c r="AR78" s="44">
        <v>60479.999999999993</v>
      </c>
      <c r="AS78" s="44">
        <v>60479.999999999993</v>
      </c>
      <c r="AT78" s="44">
        <v>60479.999999999993</v>
      </c>
      <c r="AU78" s="44">
        <v>60479.999999999993</v>
      </c>
      <c r="AV78"/>
      <c r="AW78" s="44">
        <v>60479.999999999993</v>
      </c>
      <c r="AX78"/>
      <c r="AY78"/>
      <c r="AZ78" s="44">
        <v>60479.999999999993</v>
      </c>
    </row>
    <row r="79" spans="1:52" x14ac:dyDescent="0.25">
      <c r="A79" s="33" t="s">
        <v>411</v>
      </c>
      <c r="B79" s="3" t="s">
        <v>473</v>
      </c>
      <c r="C79" s="3" t="s">
        <v>483</v>
      </c>
      <c r="D79" s="3" t="s">
        <v>537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T79" s="44">
        <v>0.85</v>
      </c>
      <c r="U79" s="44">
        <v>0.85</v>
      </c>
      <c r="X79" s="44">
        <v>0.85</v>
      </c>
      <c r="Y79" s="44">
        <v>0.85</v>
      </c>
      <c r="Z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/>
      <c r="AJ79" s="44">
        <v>0.85</v>
      </c>
      <c r="AK79" s="44">
        <v>0.85</v>
      </c>
      <c r="AL79" s="44">
        <v>0.85</v>
      </c>
      <c r="AM79" s="44">
        <v>0.85</v>
      </c>
      <c r="AN79" s="44">
        <v>0.85</v>
      </c>
      <c r="AO79" s="44">
        <v>0.85</v>
      </c>
      <c r="AP79" s="44">
        <v>0.85</v>
      </c>
      <c r="AQ79"/>
      <c r="AR79" s="44">
        <v>0.85</v>
      </c>
      <c r="AS79" s="44">
        <v>0.85</v>
      </c>
      <c r="AT79" s="44">
        <v>0.85</v>
      </c>
      <c r="AU79" s="44">
        <v>0.85</v>
      </c>
      <c r="AV79"/>
      <c r="AW79" s="44">
        <v>0.85</v>
      </c>
      <c r="AX79"/>
      <c r="AY79"/>
      <c r="AZ79" s="44">
        <v>0.85</v>
      </c>
    </row>
    <row r="80" spans="1:52" x14ac:dyDescent="0.25">
      <c r="A80" s="33" t="s">
        <v>402</v>
      </c>
      <c r="B80" s="3" t="s">
        <v>473</v>
      </c>
      <c r="C80" s="3" t="s">
        <v>483</v>
      </c>
      <c r="D80" s="3" t="s">
        <v>537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T80" s="44">
        <v>518400</v>
      </c>
      <c r="U80" s="44">
        <v>518400</v>
      </c>
      <c r="X80" s="44">
        <v>518400</v>
      </c>
      <c r="Y80" s="44">
        <v>518400</v>
      </c>
      <c r="Z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/>
      <c r="AJ80" s="44">
        <v>518400</v>
      </c>
      <c r="AK80" s="44">
        <v>518400</v>
      </c>
      <c r="AL80" s="44">
        <v>518400</v>
      </c>
      <c r="AM80" s="44">
        <v>518400</v>
      </c>
      <c r="AN80" s="44">
        <v>518400</v>
      </c>
      <c r="AO80" s="44">
        <v>518400</v>
      </c>
      <c r="AP80" s="44">
        <v>518400</v>
      </c>
      <c r="AQ80"/>
      <c r="AR80" s="44">
        <v>518400</v>
      </c>
      <c r="AS80" s="44">
        <v>518400</v>
      </c>
      <c r="AT80" s="44">
        <v>518400</v>
      </c>
      <c r="AU80" s="44">
        <v>518400</v>
      </c>
      <c r="AV80"/>
      <c r="AW80" s="44">
        <v>518400</v>
      </c>
      <c r="AX80"/>
      <c r="AY80"/>
      <c r="AZ80" s="44">
        <v>518400</v>
      </c>
    </row>
    <row r="81" spans="1:52" x14ac:dyDescent="0.25">
      <c r="A81" s="33" t="s">
        <v>412</v>
      </c>
      <c r="B81" s="3" t="s">
        <v>473</v>
      </c>
      <c r="C81" s="3" t="s">
        <v>483</v>
      </c>
      <c r="D81" s="3" t="s">
        <v>537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T81" s="44">
        <v>5184000</v>
      </c>
      <c r="U81" s="44">
        <v>5184000</v>
      </c>
      <c r="X81" s="44">
        <v>5184000</v>
      </c>
      <c r="Y81" s="44">
        <v>5184000</v>
      </c>
      <c r="Z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/>
      <c r="AJ81" s="44">
        <v>5184000</v>
      </c>
      <c r="AK81" s="44">
        <v>5184000</v>
      </c>
      <c r="AL81" s="44">
        <v>5184000</v>
      </c>
      <c r="AM81" s="44">
        <v>5184000</v>
      </c>
      <c r="AN81" s="44">
        <v>5184000</v>
      </c>
      <c r="AO81" s="44">
        <v>5184000</v>
      </c>
      <c r="AP81" s="44">
        <v>5184000</v>
      </c>
      <c r="AQ81"/>
      <c r="AR81" s="44">
        <v>5184000</v>
      </c>
      <c r="AS81" s="44">
        <v>5184000</v>
      </c>
      <c r="AT81" s="44">
        <v>5184000</v>
      </c>
      <c r="AU81" s="44">
        <v>5184000</v>
      </c>
      <c r="AV81"/>
      <c r="AW81" s="44">
        <v>5184000</v>
      </c>
      <c r="AX81"/>
      <c r="AY81"/>
      <c r="AZ81" s="44">
        <v>5184000</v>
      </c>
    </row>
    <row r="82" spans="1:52" x14ac:dyDescent="0.25">
      <c r="A82" s="17" t="s">
        <v>51</v>
      </c>
      <c r="B82" s="3" t="s">
        <v>473</v>
      </c>
      <c r="C82" s="3" t="s">
        <v>483</v>
      </c>
      <c r="D82" s="3" t="s">
        <v>537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T82" s="44">
        <v>50000</v>
      </c>
      <c r="U82" s="44">
        <v>50000</v>
      </c>
      <c r="X82" s="44">
        <v>50000</v>
      </c>
      <c r="Y82" s="44">
        <v>50000</v>
      </c>
      <c r="Z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/>
      <c r="AJ82" s="44">
        <v>50000</v>
      </c>
      <c r="AK82" s="44">
        <v>50000</v>
      </c>
      <c r="AL82" s="44">
        <v>50000</v>
      </c>
      <c r="AM82" s="44">
        <v>50000</v>
      </c>
      <c r="AN82" s="44">
        <v>50000</v>
      </c>
      <c r="AO82" s="44">
        <v>50000</v>
      </c>
      <c r="AP82" s="44">
        <v>50000</v>
      </c>
      <c r="AQ82"/>
      <c r="AR82" s="44">
        <v>50000</v>
      </c>
      <c r="AS82" s="44">
        <v>50000</v>
      </c>
      <c r="AT82" s="44">
        <v>50000</v>
      </c>
      <c r="AU82" s="44">
        <v>50000</v>
      </c>
      <c r="AV82"/>
      <c r="AW82" s="44">
        <v>50000</v>
      </c>
      <c r="AX82"/>
      <c r="AY82"/>
      <c r="AZ82" s="44">
        <v>50000</v>
      </c>
    </row>
    <row r="83" spans="1:52" x14ac:dyDescent="0.25">
      <c r="A83" s="17" t="s">
        <v>52</v>
      </c>
      <c r="B83" s="3" t="s">
        <v>473</v>
      </c>
      <c r="C83" s="3" t="s">
        <v>483</v>
      </c>
      <c r="D83" s="3" t="s">
        <v>537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T83" s="44">
        <v>140000</v>
      </c>
      <c r="U83" s="44">
        <v>140000</v>
      </c>
      <c r="X83" s="44">
        <v>140000</v>
      </c>
      <c r="Y83" s="44">
        <v>140000</v>
      </c>
      <c r="Z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/>
      <c r="AJ83" s="44">
        <v>140000</v>
      </c>
      <c r="AK83" s="44">
        <v>140000</v>
      </c>
      <c r="AL83" s="44">
        <v>140000</v>
      </c>
      <c r="AM83" s="44">
        <v>140000</v>
      </c>
      <c r="AN83" s="44">
        <v>140000</v>
      </c>
      <c r="AO83" s="44">
        <v>140000</v>
      </c>
      <c r="AP83" s="44">
        <v>140000</v>
      </c>
      <c r="AQ83"/>
      <c r="AR83" s="44">
        <v>140000</v>
      </c>
      <c r="AS83" s="44">
        <v>140000</v>
      </c>
      <c r="AT83" s="44">
        <v>140000</v>
      </c>
      <c r="AU83" s="44">
        <v>140000</v>
      </c>
      <c r="AV83"/>
      <c r="AW83" s="44">
        <v>140000</v>
      </c>
      <c r="AX83"/>
      <c r="AY83"/>
      <c r="AZ83" s="44">
        <v>140000</v>
      </c>
    </row>
    <row r="84" spans="1:52" x14ac:dyDescent="0.25">
      <c r="A84" s="17" t="s">
        <v>53</v>
      </c>
      <c r="B84" s="3" t="s">
        <v>473</v>
      </c>
      <c r="C84" s="3" t="s">
        <v>483</v>
      </c>
      <c r="D84" s="3" t="s">
        <v>537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U84" s="44">
        <v>3.6636136999999999E-2</v>
      </c>
      <c r="X84" s="44">
        <v>3.6636136999999999E-2</v>
      </c>
      <c r="Y84" s="44">
        <v>3.6636136999999999E-2</v>
      </c>
      <c r="Z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/>
      <c r="AJ84" s="44">
        <v>3.6636136999999999E-2</v>
      </c>
      <c r="AK84" s="44">
        <v>3.6636136999999999E-2</v>
      </c>
      <c r="AL84" s="44">
        <v>3.6636136999999999E-2</v>
      </c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/>
      <c r="AR84" s="44">
        <v>3.6636136999999999E-2</v>
      </c>
      <c r="AS84" s="44">
        <v>3.6636136999999999E-2</v>
      </c>
      <c r="AT84" s="44">
        <v>3.6636136999999999E-2</v>
      </c>
      <c r="AU84" s="44">
        <v>3.6636136999999999E-2</v>
      </c>
      <c r="AV84"/>
      <c r="AW84" s="44">
        <v>3.6636136999999999E-2</v>
      </c>
      <c r="AX84"/>
      <c r="AY84"/>
      <c r="AZ84" s="44">
        <v>3.6636136999999999E-2</v>
      </c>
    </row>
    <row r="85" spans="1:52" x14ac:dyDescent="0.25">
      <c r="A85" s="17" t="s">
        <v>54</v>
      </c>
      <c r="B85" s="3" t="s">
        <v>473</v>
      </c>
      <c r="C85" s="3" t="s">
        <v>483</v>
      </c>
      <c r="D85" s="3" t="s">
        <v>537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U85" s="44">
        <v>4.4999999999999997E-3</v>
      </c>
      <c r="X85" s="44">
        <v>4.4999999999999997E-3</v>
      </c>
      <c r="Y85" s="44">
        <v>4.4999999999999997E-3</v>
      </c>
      <c r="Z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/>
      <c r="AJ85" s="44">
        <v>4.4999999999999997E-3</v>
      </c>
      <c r="AK85" s="44">
        <v>4.4999999999999997E-3</v>
      </c>
      <c r="AL85" s="44">
        <v>4.4999999999999997E-3</v>
      </c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/>
      <c r="AR85" s="44">
        <v>4.4999999999999997E-3</v>
      </c>
      <c r="AS85" s="44">
        <v>4.4999999999999997E-3</v>
      </c>
      <c r="AT85" s="44">
        <v>4.4999999999999997E-3</v>
      </c>
      <c r="AU85" s="44">
        <v>4.4999999999999997E-3</v>
      </c>
      <c r="AV85"/>
      <c r="AW85" s="44">
        <v>4.4999999999999997E-3</v>
      </c>
      <c r="AX85"/>
      <c r="AY85"/>
      <c r="AZ85" s="44">
        <v>4.4999999999999997E-3</v>
      </c>
    </row>
    <row r="86" spans="1:52" x14ac:dyDescent="0.25">
      <c r="A86" s="17" t="s">
        <v>55</v>
      </c>
      <c r="B86" s="3" t="s">
        <v>473</v>
      </c>
      <c r="C86" s="3" t="s">
        <v>483</v>
      </c>
      <c r="D86" s="3" t="s">
        <v>537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T86" s="44">
        <v>0.05</v>
      </c>
      <c r="U86" s="44">
        <v>0.05</v>
      </c>
      <c r="X86" s="44">
        <v>0.05</v>
      </c>
      <c r="Y86" s="44">
        <v>0.05</v>
      </c>
      <c r="Z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/>
      <c r="AJ86" s="44">
        <v>0.05</v>
      </c>
      <c r="AK86" s="44">
        <v>0.05</v>
      </c>
      <c r="AL86" s="44">
        <v>0.05</v>
      </c>
      <c r="AM86" s="44">
        <v>0.05</v>
      </c>
      <c r="AN86" s="44">
        <v>0.05</v>
      </c>
      <c r="AO86" s="44">
        <v>0.05</v>
      </c>
      <c r="AP86" s="44">
        <v>0.05</v>
      </c>
      <c r="AQ86"/>
      <c r="AR86" s="44">
        <v>0.05</v>
      </c>
      <c r="AS86" s="44">
        <v>0.05</v>
      </c>
      <c r="AT86" s="44">
        <v>0.05</v>
      </c>
      <c r="AU86" s="44">
        <v>0.05</v>
      </c>
      <c r="AV86"/>
      <c r="AW86" s="44">
        <v>0.05</v>
      </c>
      <c r="AX86"/>
      <c r="AY86"/>
      <c r="AZ86" s="44">
        <v>0.05</v>
      </c>
    </row>
    <row r="87" spans="1:52" x14ac:dyDescent="0.25">
      <c r="A87" s="19" t="s">
        <v>213</v>
      </c>
      <c r="B87" s="3" t="s">
        <v>473</v>
      </c>
      <c r="C87" s="3" t="s">
        <v>483</v>
      </c>
      <c r="D87" s="3" t="s">
        <v>537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U87" s="44">
        <v>6.0000000000000002E-6</v>
      </c>
      <c r="X87" s="44">
        <v>6.0000000000000002E-6</v>
      </c>
      <c r="Y87" s="44">
        <v>6.0000000000000002E-6</v>
      </c>
      <c r="Z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/>
      <c r="AJ87" s="44">
        <v>6.0000000000000002E-6</v>
      </c>
      <c r="AK87" s="44">
        <v>6.0000000000000002E-6</v>
      </c>
      <c r="AL87" s="44">
        <v>6.0000000000000002E-6</v>
      </c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/>
      <c r="AR87" s="44">
        <v>6.0000000000000002E-6</v>
      </c>
      <c r="AS87" s="44">
        <v>6.0000000000000002E-6</v>
      </c>
      <c r="AT87" s="44">
        <v>6.0000000000000002E-6</v>
      </c>
      <c r="AU87" s="44">
        <v>6.0000000000000002E-6</v>
      </c>
      <c r="AV87"/>
      <c r="AW87" s="44">
        <v>6.0000000000000002E-6</v>
      </c>
      <c r="AX87"/>
      <c r="AY87"/>
      <c r="AZ87" s="44">
        <v>6.0000000000000002E-6</v>
      </c>
    </row>
    <row r="88" spans="1:52" x14ac:dyDescent="0.25">
      <c r="A88" s="19" t="s">
        <v>214</v>
      </c>
      <c r="B88" s="3" t="s">
        <v>473</v>
      </c>
      <c r="C88" s="3" t="s">
        <v>483</v>
      </c>
      <c r="D88" s="3" t="s">
        <v>537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T88" s="44">
        <v>1E-3</v>
      </c>
      <c r="U88" s="44">
        <v>1E-3</v>
      </c>
      <c r="X88" s="44">
        <v>1E-3</v>
      </c>
      <c r="Y88" s="44">
        <v>1E-3</v>
      </c>
      <c r="Z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/>
      <c r="AJ88" s="44">
        <v>1E-3</v>
      </c>
      <c r="AK88" s="44">
        <v>1E-3</v>
      </c>
      <c r="AL88" s="44">
        <v>1E-3</v>
      </c>
      <c r="AM88" s="44">
        <v>1E-3</v>
      </c>
      <c r="AN88" s="44">
        <v>1E-3</v>
      </c>
      <c r="AO88" s="44">
        <v>1E-3</v>
      </c>
      <c r="AP88" s="44">
        <v>1E-3</v>
      </c>
      <c r="AQ88"/>
      <c r="AR88" s="44">
        <v>1E-3</v>
      </c>
      <c r="AS88" s="44">
        <v>1E-3</v>
      </c>
      <c r="AT88" s="44">
        <v>1E-3</v>
      </c>
      <c r="AU88" s="44">
        <v>1E-3</v>
      </c>
      <c r="AV88"/>
      <c r="AW88" s="44">
        <v>1E-3</v>
      </c>
      <c r="AX88"/>
      <c r="AY88"/>
      <c r="AZ88" s="44">
        <v>1E-3</v>
      </c>
    </row>
    <row r="89" spans="1:52" x14ac:dyDescent="0.25">
      <c r="A89" s="19" t="s">
        <v>215</v>
      </c>
      <c r="B89" s="3" t="s">
        <v>473</v>
      </c>
      <c r="C89" s="3" t="s">
        <v>483</v>
      </c>
      <c r="D89" s="3" t="s">
        <v>537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T89" s="44">
        <v>374999999.99999994</v>
      </c>
      <c r="U89" s="44">
        <v>374999999.99999994</v>
      </c>
      <c r="X89" s="44">
        <v>374999999.99999994</v>
      </c>
      <c r="Y89" s="44">
        <v>374999999.99999994</v>
      </c>
      <c r="Z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/>
      <c r="AJ89" s="44">
        <v>374999999.99999994</v>
      </c>
      <c r="AK89" s="44">
        <v>374999999.99999994</v>
      </c>
      <c r="AL89" s="44">
        <v>374999999.99999994</v>
      </c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/>
      <c r="AR89" s="44">
        <v>374999999.99999994</v>
      </c>
      <c r="AS89" s="44">
        <v>374999999.99999994</v>
      </c>
      <c r="AT89" s="44">
        <v>374999999.99999994</v>
      </c>
      <c r="AU89" s="44">
        <v>374999999.99999994</v>
      </c>
      <c r="AV89"/>
      <c r="AW89" s="44">
        <v>374999999.99999994</v>
      </c>
      <c r="AX89"/>
      <c r="AY89"/>
      <c r="AZ89" s="44">
        <v>374999999.99999994</v>
      </c>
    </row>
    <row r="90" spans="1:52" x14ac:dyDescent="0.25">
      <c r="A90" s="19" t="s">
        <v>216</v>
      </c>
      <c r="B90" s="3" t="s">
        <v>473</v>
      </c>
      <c r="C90" s="3" t="s">
        <v>483</v>
      </c>
      <c r="D90" s="3" t="s">
        <v>537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U90" s="44">
        <v>3.7037037037037038E-3</v>
      </c>
      <c r="X90" s="44">
        <v>3.7037037037037038E-3</v>
      </c>
      <c r="Y90" s="44">
        <v>3.7037037037037038E-3</v>
      </c>
      <c r="Z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/>
      <c r="AJ90" s="44">
        <v>3.7037037037037038E-3</v>
      </c>
      <c r="AK90" s="44">
        <v>3.7037037037037038E-3</v>
      </c>
      <c r="AL90" s="44">
        <v>3.7037037037037038E-3</v>
      </c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/>
      <c r="AR90" s="44">
        <v>3.7037037037037038E-3</v>
      </c>
      <c r="AS90" s="44">
        <v>3.7037037037037038E-3</v>
      </c>
      <c r="AT90" s="44">
        <v>3.7037037037037038E-3</v>
      </c>
      <c r="AU90" s="44">
        <v>3.7037037037037038E-3</v>
      </c>
      <c r="AV90"/>
      <c r="AW90" s="44">
        <v>3.7037037037037038E-3</v>
      </c>
      <c r="AX90"/>
      <c r="AY90"/>
      <c r="AZ90" s="44">
        <v>3.7037037037037038E-3</v>
      </c>
    </row>
    <row r="91" spans="1:52" x14ac:dyDescent="0.25">
      <c r="A91" s="19" t="s">
        <v>217</v>
      </c>
      <c r="B91" s="3" t="s">
        <v>473</v>
      </c>
      <c r="C91" s="3" t="s">
        <v>483</v>
      </c>
      <c r="D91" s="3" t="s">
        <v>537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T91" s="44">
        <v>165600</v>
      </c>
      <c r="U91" s="44">
        <v>165600</v>
      </c>
      <c r="X91" s="44">
        <v>165600</v>
      </c>
      <c r="Y91" s="44">
        <v>165600</v>
      </c>
      <c r="Z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/>
      <c r="AJ91" s="44">
        <v>165600</v>
      </c>
      <c r="AK91" s="44">
        <v>165600</v>
      </c>
      <c r="AL91" s="44">
        <v>165600</v>
      </c>
      <c r="AM91" s="44">
        <v>165600</v>
      </c>
      <c r="AN91" s="44">
        <v>165600</v>
      </c>
      <c r="AO91" s="44">
        <v>165600</v>
      </c>
      <c r="AP91" s="44">
        <v>165600</v>
      </c>
      <c r="AQ91"/>
      <c r="AR91" s="44">
        <v>165600</v>
      </c>
      <c r="AS91" s="44">
        <v>165600</v>
      </c>
      <c r="AT91" s="44">
        <v>165600</v>
      </c>
      <c r="AU91" s="44">
        <v>165600</v>
      </c>
      <c r="AV91"/>
      <c r="AW91" s="44">
        <v>165600</v>
      </c>
      <c r="AX91"/>
      <c r="AY91"/>
      <c r="AZ91" s="44">
        <v>165600</v>
      </c>
    </row>
    <row r="92" spans="1:52" x14ac:dyDescent="0.25">
      <c r="A92" s="13" t="s">
        <v>60</v>
      </c>
      <c r="B92" s="3" t="s">
        <v>473</v>
      </c>
      <c r="C92" s="3" t="s">
        <v>483</v>
      </c>
      <c r="D92" s="3" t="s">
        <v>537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T92" s="44">
        <v>20</v>
      </c>
      <c r="U92" s="44">
        <v>20</v>
      </c>
      <c r="X92" s="44">
        <v>20</v>
      </c>
      <c r="Y92" s="44">
        <v>20</v>
      </c>
      <c r="Z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/>
      <c r="AJ92" s="44">
        <v>20</v>
      </c>
      <c r="AK92" s="44">
        <v>20</v>
      </c>
      <c r="AL92" s="44">
        <v>20</v>
      </c>
      <c r="AM92" s="44">
        <v>20</v>
      </c>
      <c r="AN92" s="44">
        <v>20</v>
      </c>
      <c r="AO92" s="44">
        <v>20</v>
      </c>
      <c r="AP92" s="44">
        <v>20</v>
      </c>
      <c r="AQ92"/>
      <c r="AR92" s="44">
        <v>20</v>
      </c>
      <c r="AS92" s="44">
        <v>20</v>
      </c>
      <c r="AT92" s="44">
        <v>20</v>
      </c>
      <c r="AU92" s="44">
        <v>20</v>
      </c>
      <c r="AV92"/>
      <c r="AW92" s="44">
        <v>20</v>
      </c>
      <c r="AX92"/>
      <c r="AY92"/>
      <c r="AZ92" s="44">
        <v>20</v>
      </c>
    </row>
    <row r="93" spans="1:52" x14ac:dyDescent="0.25">
      <c r="A93" s="13" t="s">
        <v>208</v>
      </c>
      <c r="B93" s="3" t="s">
        <v>473</v>
      </c>
      <c r="C93" s="3" t="s">
        <v>483</v>
      </c>
      <c r="D93" s="3" t="s">
        <v>537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T93" s="44">
        <v>1</v>
      </c>
      <c r="U93" s="44">
        <v>1</v>
      </c>
      <c r="X93" s="44">
        <v>1</v>
      </c>
      <c r="Y93" s="44">
        <v>1</v>
      </c>
      <c r="Z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/>
      <c r="AJ93" s="44">
        <v>1</v>
      </c>
      <c r="AK93" s="44">
        <v>1</v>
      </c>
      <c r="AL93" s="44">
        <v>1</v>
      </c>
      <c r="AM93" s="44">
        <v>1</v>
      </c>
      <c r="AN93" s="44">
        <v>1</v>
      </c>
      <c r="AO93" s="44">
        <v>1</v>
      </c>
      <c r="AP93" s="44">
        <v>1</v>
      </c>
      <c r="AQ93"/>
      <c r="AR93" s="44">
        <v>1</v>
      </c>
      <c r="AS93" s="44">
        <v>1</v>
      </c>
      <c r="AT93" s="44">
        <v>1</v>
      </c>
      <c r="AU93" s="44">
        <v>1</v>
      </c>
      <c r="AV93"/>
      <c r="AW93" s="44">
        <v>1</v>
      </c>
      <c r="AX93"/>
      <c r="AY93"/>
      <c r="AZ93" s="44">
        <v>1</v>
      </c>
    </row>
    <row r="94" spans="1:52" x14ac:dyDescent="0.25">
      <c r="A94" s="13" t="s">
        <v>59</v>
      </c>
      <c r="B94" s="3" t="s">
        <v>473</v>
      </c>
      <c r="C94" s="3" t="s">
        <v>483</v>
      </c>
      <c r="D94" s="3" t="s">
        <v>537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T94" s="44">
        <v>21</v>
      </c>
      <c r="U94" s="44">
        <v>21</v>
      </c>
      <c r="X94" s="44">
        <v>21</v>
      </c>
      <c r="Y94" s="44">
        <v>21</v>
      </c>
      <c r="Z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/>
      <c r="AJ94" s="44">
        <v>21</v>
      </c>
      <c r="AK94" s="44">
        <v>21</v>
      </c>
      <c r="AL94" s="44">
        <v>21</v>
      </c>
      <c r="AM94" s="44">
        <v>21</v>
      </c>
      <c r="AN94" s="44">
        <v>21</v>
      </c>
      <c r="AO94" s="44">
        <v>21</v>
      </c>
      <c r="AP94" s="44">
        <v>21</v>
      </c>
      <c r="AQ94"/>
      <c r="AR94" s="44">
        <v>21</v>
      </c>
      <c r="AS94" s="44">
        <v>21</v>
      </c>
      <c r="AT94" s="44">
        <v>21</v>
      </c>
      <c r="AU94" s="44">
        <v>21</v>
      </c>
      <c r="AV94"/>
      <c r="AW94" s="44">
        <v>21</v>
      </c>
      <c r="AX94"/>
      <c r="AY94"/>
      <c r="AZ94" s="44">
        <v>21</v>
      </c>
    </row>
    <row r="95" spans="1:52" x14ac:dyDescent="0.25">
      <c r="A95" s="23" t="s">
        <v>65</v>
      </c>
      <c r="B95" s="3" t="s">
        <v>473</v>
      </c>
      <c r="C95" s="3" t="s">
        <v>483</v>
      </c>
      <c r="D95" s="3" t="s">
        <v>537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T95" s="44">
        <v>0.64</v>
      </c>
      <c r="U95" s="44">
        <v>0.64</v>
      </c>
      <c r="X95" s="44">
        <v>0.64</v>
      </c>
      <c r="Y95" s="44">
        <v>0.64</v>
      </c>
      <c r="Z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/>
      <c r="AJ95" s="44">
        <v>0.64</v>
      </c>
      <c r="AK95" s="44">
        <v>0.64</v>
      </c>
      <c r="AL95" s="44">
        <v>0.64</v>
      </c>
      <c r="AM95" s="44">
        <v>0.64</v>
      </c>
      <c r="AN95" s="44">
        <v>0.64</v>
      </c>
      <c r="AO95" s="44">
        <v>0.64</v>
      </c>
      <c r="AP95" s="44">
        <v>0.64</v>
      </c>
      <c r="AQ95"/>
      <c r="AR95" s="44">
        <v>0.64</v>
      </c>
      <c r="AS95" s="44">
        <v>0.64</v>
      </c>
      <c r="AT95" s="44">
        <v>0.64</v>
      </c>
      <c r="AU95" s="44">
        <v>0.64</v>
      </c>
      <c r="AV95"/>
      <c r="AW95" s="44">
        <v>0.64</v>
      </c>
      <c r="AX95"/>
      <c r="AY95"/>
      <c r="AZ95" s="44">
        <v>0.64</v>
      </c>
    </row>
    <row r="96" spans="1:52" x14ac:dyDescent="0.25">
      <c r="A96" s="23" t="s">
        <v>366</v>
      </c>
      <c r="B96" s="3" t="s">
        <v>473</v>
      </c>
      <c r="C96" s="3" t="s">
        <v>483</v>
      </c>
      <c r="D96" s="3" t="s">
        <v>537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T96" s="44">
        <v>8</v>
      </c>
      <c r="U96" s="44">
        <v>8</v>
      </c>
      <c r="X96" s="44">
        <v>8</v>
      </c>
      <c r="Y96" s="44">
        <v>8</v>
      </c>
      <c r="Z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/>
      <c r="AJ96" s="44">
        <v>8</v>
      </c>
      <c r="AK96" s="44">
        <v>8</v>
      </c>
      <c r="AL96" s="44">
        <v>8</v>
      </c>
      <c r="AM96" s="44">
        <v>8</v>
      </c>
      <c r="AN96" s="44">
        <v>8</v>
      </c>
      <c r="AO96" s="44">
        <v>8</v>
      </c>
      <c r="AP96" s="44">
        <v>8</v>
      </c>
      <c r="AQ96"/>
      <c r="AR96" s="44">
        <v>8</v>
      </c>
      <c r="AS96" s="44">
        <v>8</v>
      </c>
      <c r="AT96" s="44">
        <v>8</v>
      </c>
      <c r="AU96" s="44">
        <v>8</v>
      </c>
      <c r="AV96"/>
      <c r="AW96" s="44">
        <v>8</v>
      </c>
      <c r="AX96"/>
      <c r="AY96"/>
      <c r="AZ96" s="44">
        <v>8</v>
      </c>
    </row>
    <row r="97" spans="1:52" x14ac:dyDescent="0.25">
      <c r="A97" s="23" t="s">
        <v>367</v>
      </c>
      <c r="B97" s="3" t="s">
        <v>473</v>
      </c>
      <c r="C97" s="3" t="s">
        <v>483</v>
      </c>
      <c r="D97" s="3" t="s">
        <v>537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T97" s="44">
        <v>10</v>
      </c>
      <c r="U97" s="44">
        <v>10</v>
      </c>
      <c r="X97" s="44">
        <v>10</v>
      </c>
      <c r="Y97" s="44">
        <v>10</v>
      </c>
      <c r="Z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/>
      <c r="AJ97" s="44">
        <v>10</v>
      </c>
      <c r="AK97" s="44">
        <v>10</v>
      </c>
      <c r="AL97" s="44">
        <v>10</v>
      </c>
      <c r="AM97" s="44">
        <v>10</v>
      </c>
      <c r="AN97" s="44">
        <v>10</v>
      </c>
      <c r="AO97" s="44">
        <v>10</v>
      </c>
      <c r="AP97" s="44">
        <v>10</v>
      </c>
      <c r="AQ97"/>
      <c r="AR97" s="44">
        <v>10</v>
      </c>
      <c r="AS97" s="44">
        <v>10</v>
      </c>
      <c r="AT97" s="44">
        <v>10</v>
      </c>
      <c r="AU97" s="44">
        <v>10</v>
      </c>
      <c r="AV97"/>
      <c r="AW97" s="44">
        <v>10</v>
      </c>
      <c r="AX97"/>
      <c r="AY97"/>
      <c r="AZ97" s="44">
        <v>10</v>
      </c>
    </row>
    <row r="98" spans="1:52" x14ac:dyDescent="0.25">
      <c r="A98" s="23" t="s">
        <v>368</v>
      </c>
      <c r="B98" s="3" t="s">
        <v>473</v>
      </c>
      <c r="C98" s="3" t="s">
        <v>483</v>
      </c>
      <c r="D98" s="3" t="s">
        <v>537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T98" s="44">
        <v>8</v>
      </c>
      <c r="U98" s="44">
        <v>8</v>
      </c>
      <c r="X98" s="44">
        <v>8</v>
      </c>
      <c r="Y98" s="44">
        <v>8</v>
      </c>
      <c r="Z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/>
      <c r="AJ98" s="44">
        <v>8</v>
      </c>
      <c r="AK98" s="44">
        <v>8</v>
      </c>
      <c r="AL98" s="44">
        <v>8</v>
      </c>
      <c r="AM98" s="44">
        <v>8</v>
      </c>
      <c r="AN98" s="44">
        <v>8</v>
      </c>
      <c r="AO98" s="44">
        <v>8</v>
      </c>
      <c r="AP98" s="44">
        <v>8</v>
      </c>
      <c r="AQ98"/>
      <c r="AR98" s="44">
        <v>8</v>
      </c>
      <c r="AS98" s="44">
        <v>8</v>
      </c>
      <c r="AT98" s="44">
        <v>8</v>
      </c>
      <c r="AU98" s="44">
        <v>8</v>
      </c>
      <c r="AV98"/>
      <c r="AW98" s="44">
        <v>8</v>
      </c>
      <c r="AX98"/>
      <c r="AY98"/>
      <c r="AZ98" s="44">
        <v>8</v>
      </c>
    </row>
    <row r="99" spans="1:52" x14ac:dyDescent="0.25">
      <c r="A99" s="23" t="s">
        <v>383</v>
      </c>
      <c r="B99" s="3" t="s">
        <v>473</v>
      </c>
      <c r="C99" s="3" t="s">
        <v>483</v>
      </c>
      <c r="D99" s="3" t="s">
        <v>537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T99" s="44">
        <v>1</v>
      </c>
      <c r="U99" s="44">
        <v>1</v>
      </c>
      <c r="X99" s="44">
        <v>1</v>
      </c>
      <c r="Y99" s="44">
        <v>1</v>
      </c>
      <c r="Z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/>
      <c r="AJ99" s="44">
        <v>1</v>
      </c>
      <c r="AK99" s="44">
        <v>1</v>
      </c>
      <c r="AL99" s="44">
        <v>1</v>
      </c>
      <c r="AM99" s="44">
        <v>1</v>
      </c>
      <c r="AN99" s="44">
        <v>1</v>
      </c>
      <c r="AO99" s="44">
        <v>1</v>
      </c>
      <c r="AP99" s="44">
        <v>1</v>
      </c>
      <c r="AQ99"/>
      <c r="AR99" s="44">
        <v>1</v>
      </c>
      <c r="AS99" s="44">
        <v>1</v>
      </c>
      <c r="AT99" s="44">
        <v>1</v>
      </c>
      <c r="AU99" s="44">
        <v>1</v>
      </c>
      <c r="AV99"/>
      <c r="AW99" s="44">
        <v>1</v>
      </c>
      <c r="AX99"/>
      <c r="AY99"/>
      <c r="AZ99" s="44">
        <v>1</v>
      </c>
    </row>
    <row r="100" spans="1:52" x14ac:dyDescent="0.25">
      <c r="A100" s="23" t="s">
        <v>385</v>
      </c>
      <c r="B100" s="3" t="s">
        <v>473</v>
      </c>
      <c r="C100" s="3" t="s">
        <v>483</v>
      </c>
      <c r="D100" s="3" t="s">
        <v>537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T100" s="44">
        <v>0.5</v>
      </c>
      <c r="U100" s="44">
        <v>0.5</v>
      </c>
      <c r="X100" s="44">
        <v>0.5</v>
      </c>
      <c r="Y100" s="44">
        <v>0.5</v>
      </c>
      <c r="Z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/>
      <c r="AJ100" s="44">
        <v>0.5</v>
      </c>
      <c r="AK100" s="44">
        <v>0.5</v>
      </c>
      <c r="AL100" s="44">
        <v>0.5</v>
      </c>
      <c r="AM100" s="44">
        <v>0.5</v>
      </c>
      <c r="AN100" s="44">
        <v>0.5</v>
      </c>
      <c r="AO100" s="44">
        <v>0.5</v>
      </c>
      <c r="AP100" s="44">
        <v>0.5</v>
      </c>
      <c r="AQ100"/>
      <c r="AR100" s="44">
        <v>0.5</v>
      </c>
      <c r="AS100" s="44">
        <v>0.5</v>
      </c>
      <c r="AT100" s="44">
        <v>0.5</v>
      </c>
      <c r="AU100" s="44">
        <v>0.5</v>
      </c>
      <c r="AV100"/>
      <c r="AW100" s="44">
        <v>0.5</v>
      </c>
      <c r="AX100"/>
      <c r="AY100"/>
      <c r="AZ100" s="44">
        <v>0.5</v>
      </c>
    </row>
    <row r="101" spans="1:52" x14ac:dyDescent="0.25">
      <c r="A101" s="23" t="s">
        <v>526</v>
      </c>
      <c r="B101" s="3" t="s">
        <v>473</v>
      </c>
      <c r="C101" s="3" t="s">
        <v>483</v>
      </c>
      <c r="D101" s="3" t="s">
        <v>537</v>
      </c>
      <c r="E101" s="24" t="s">
        <v>527</v>
      </c>
      <c r="F101" s="24" t="s">
        <v>487</v>
      </c>
      <c r="G101" s="44">
        <f t="shared" ref="G101:H101" si="3">G99</f>
        <v>1</v>
      </c>
      <c r="H101" s="44">
        <f t="shared" si="3"/>
        <v>1</v>
      </c>
      <c r="I101" s="44">
        <f t="shared" ref="I101:AZ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T101" s="44">
        <f t="shared" si="4"/>
        <v>100</v>
      </c>
      <c r="U101" s="44">
        <f t="shared" si="4"/>
        <v>100</v>
      </c>
      <c r="X101" s="44">
        <f t="shared" si="4"/>
        <v>100</v>
      </c>
      <c r="Y101" s="44">
        <f t="shared" si="4"/>
        <v>100</v>
      </c>
      <c r="Z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/>
      <c r="AJ101" s="44">
        <f t="shared" si="4"/>
        <v>100</v>
      </c>
      <c r="AK101" s="44">
        <f t="shared" si="4"/>
        <v>100</v>
      </c>
      <c r="AL101" s="44">
        <f t="shared" si="4"/>
        <v>100</v>
      </c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/>
      <c r="AR101" s="44">
        <f t="shared" si="4"/>
        <v>100</v>
      </c>
      <c r="AS101" s="44">
        <f t="shared" si="4"/>
        <v>100</v>
      </c>
      <c r="AT101" s="44">
        <f t="shared" si="4"/>
        <v>100</v>
      </c>
      <c r="AU101" s="44">
        <f t="shared" si="4"/>
        <v>100</v>
      </c>
      <c r="AV101"/>
      <c r="AW101" s="44">
        <f t="shared" si="4"/>
        <v>100</v>
      </c>
      <c r="AX101"/>
      <c r="AY101"/>
      <c r="AZ101" s="44">
        <f t="shared" si="4"/>
        <v>100</v>
      </c>
    </row>
    <row r="102" spans="1:52" x14ac:dyDescent="0.25">
      <c r="A102" s="23" t="s">
        <v>528</v>
      </c>
      <c r="B102" s="3" t="s">
        <v>473</v>
      </c>
      <c r="C102" s="3" t="s">
        <v>483</v>
      </c>
      <c r="D102" s="3" t="s">
        <v>537</v>
      </c>
      <c r="E102" s="24" t="s">
        <v>527</v>
      </c>
      <c r="F102" s="24" t="s">
        <v>487</v>
      </c>
      <c r="G102" s="44">
        <f>3*G99</f>
        <v>3</v>
      </c>
      <c r="H102" s="44">
        <f t="shared" ref="H102" si="5">150*H99</f>
        <v>150</v>
      </c>
      <c r="I102" s="44">
        <f t="shared" ref="I102:AZ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T102" s="44">
        <f t="shared" si="6"/>
        <v>1500</v>
      </c>
      <c r="U102" s="44">
        <f t="shared" si="6"/>
        <v>1500</v>
      </c>
      <c r="X102" s="44">
        <f t="shared" si="6"/>
        <v>1500</v>
      </c>
      <c r="Y102" s="44">
        <f t="shared" si="6"/>
        <v>1500</v>
      </c>
      <c r="Z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/>
      <c r="AJ102" s="44">
        <f t="shared" si="6"/>
        <v>1500</v>
      </c>
      <c r="AK102" s="44">
        <f t="shared" si="6"/>
        <v>1500</v>
      </c>
      <c r="AL102" s="44">
        <f t="shared" si="6"/>
        <v>1500</v>
      </c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/>
      <c r="AR102" s="44">
        <f t="shared" si="6"/>
        <v>1500</v>
      </c>
      <c r="AS102" s="44">
        <f t="shared" si="6"/>
        <v>1500</v>
      </c>
      <c r="AT102" s="44">
        <f t="shared" si="6"/>
        <v>1500</v>
      </c>
      <c r="AU102" s="44">
        <f t="shared" si="6"/>
        <v>1500</v>
      </c>
      <c r="AV102"/>
      <c r="AW102" s="44">
        <f t="shared" si="6"/>
        <v>1500</v>
      </c>
      <c r="AX102"/>
      <c r="AY102"/>
      <c r="AZ102" s="44">
        <f t="shared" si="6"/>
        <v>1500</v>
      </c>
    </row>
    <row r="103" spans="1:52" x14ac:dyDescent="0.25">
      <c r="A103" s="23" t="s">
        <v>529</v>
      </c>
      <c r="B103" s="3" t="s">
        <v>473</v>
      </c>
      <c r="C103" s="3" t="s">
        <v>483</v>
      </c>
      <c r="D103" s="3" t="s">
        <v>537</v>
      </c>
      <c r="E103" s="24" t="s">
        <v>527</v>
      </c>
      <c r="F103" s="24" t="s">
        <v>487</v>
      </c>
      <c r="G103" s="44">
        <f t="shared" ref="G103:H103" si="7">G94</f>
        <v>21</v>
      </c>
      <c r="H103" s="44">
        <f t="shared" si="7"/>
        <v>21</v>
      </c>
      <c r="I103" s="44">
        <f t="shared" ref="I103:AZ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T103" s="44">
        <f t="shared" si="8"/>
        <v>200</v>
      </c>
      <c r="U103" s="44">
        <f t="shared" si="8"/>
        <v>200</v>
      </c>
      <c r="X103" s="44">
        <f t="shared" si="8"/>
        <v>200</v>
      </c>
      <c r="Y103" s="44">
        <f t="shared" si="8"/>
        <v>200</v>
      </c>
      <c r="Z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/>
      <c r="AJ103" s="44">
        <f t="shared" si="8"/>
        <v>200</v>
      </c>
      <c r="AK103" s="44">
        <f t="shared" si="8"/>
        <v>200</v>
      </c>
      <c r="AL103" s="44">
        <f t="shared" si="8"/>
        <v>200</v>
      </c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/>
      <c r="AR103" s="44">
        <f t="shared" si="8"/>
        <v>200</v>
      </c>
      <c r="AS103" s="44">
        <f t="shared" si="8"/>
        <v>200</v>
      </c>
      <c r="AT103" s="44">
        <f t="shared" si="8"/>
        <v>200</v>
      </c>
      <c r="AU103" s="44">
        <f t="shared" si="8"/>
        <v>200</v>
      </c>
      <c r="AV103"/>
      <c r="AW103" s="44">
        <f t="shared" si="8"/>
        <v>200</v>
      </c>
      <c r="AX103"/>
      <c r="AY103"/>
      <c r="AZ103" s="44">
        <f t="shared" si="8"/>
        <v>200</v>
      </c>
    </row>
    <row r="104" spans="1:52" x14ac:dyDescent="0.25">
      <c r="A104" s="23" t="s">
        <v>530</v>
      </c>
      <c r="B104" s="3" t="s">
        <v>473</v>
      </c>
      <c r="C104" s="3" t="s">
        <v>483</v>
      </c>
      <c r="D104" s="3" t="s">
        <v>537</v>
      </c>
      <c r="E104" s="24" t="s">
        <v>527</v>
      </c>
      <c r="F104" s="24" t="s">
        <v>487</v>
      </c>
      <c r="G104" s="44">
        <f>10*G94</f>
        <v>210</v>
      </c>
      <c r="H104" s="44">
        <f t="shared" ref="H104" si="9">70*H94</f>
        <v>1470</v>
      </c>
      <c r="I104" s="44">
        <f t="shared" ref="I104:AZ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T104" s="44">
        <f t="shared" si="10"/>
        <v>4000</v>
      </c>
      <c r="U104" s="44">
        <f t="shared" si="10"/>
        <v>4000</v>
      </c>
      <c r="X104" s="44">
        <f t="shared" si="10"/>
        <v>4000</v>
      </c>
      <c r="Y104" s="44">
        <f t="shared" si="10"/>
        <v>4000</v>
      </c>
      <c r="Z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/>
      <c r="AJ104" s="44">
        <f t="shared" si="10"/>
        <v>4000</v>
      </c>
      <c r="AK104" s="44">
        <f t="shared" si="10"/>
        <v>4000</v>
      </c>
      <c r="AL104" s="44">
        <f t="shared" si="10"/>
        <v>4000</v>
      </c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/>
      <c r="AR104" s="44">
        <f t="shared" si="10"/>
        <v>4000</v>
      </c>
      <c r="AS104" s="44">
        <f t="shared" si="10"/>
        <v>4000</v>
      </c>
      <c r="AT104" s="44">
        <f t="shared" si="10"/>
        <v>4000</v>
      </c>
      <c r="AU104" s="44">
        <f t="shared" si="10"/>
        <v>4000</v>
      </c>
      <c r="AV104"/>
      <c r="AW104" s="44">
        <f t="shared" si="10"/>
        <v>4000</v>
      </c>
      <c r="AX104"/>
      <c r="AY104"/>
      <c r="AZ104" s="44">
        <f t="shared" si="10"/>
        <v>4000</v>
      </c>
    </row>
    <row r="105" spans="1:52" x14ac:dyDescent="0.25">
      <c r="A105" s="23" t="s">
        <v>387</v>
      </c>
      <c r="B105" s="3" t="s">
        <v>473</v>
      </c>
      <c r="C105" s="3" t="s">
        <v>483</v>
      </c>
      <c r="D105" s="3" t="s">
        <v>537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AZ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T105" s="44">
        <f t="shared" si="11"/>
        <v>100</v>
      </c>
      <c r="U105" s="44">
        <f t="shared" si="11"/>
        <v>100</v>
      </c>
      <c r="X105" s="44">
        <f t="shared" si="11"/>
        <v>100</v>
      </c>
      <c r="Y105" s="44">
        <f t="shared" si="11"/>
        <v>100</v>
      </c>
      <c r="Z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/>
      <c r="AJ105" s="44">
        <f t="shared" si="11"/>
        <v>100</v>
      </c>
      <c r="AK105" s="44">
        <f t="shared" si="11"/>
        <v>100</v>
      </c>
      <c r="AL105" s="44">
        <f t="shared" si="11"/>
        <v>100</v>
      </c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/>
      <c r="AR105" s="44">
        <f t="shared" si="11"/>
        <v>100</v>
      </c>
      <c r="AS105" s="44">
        <f t="shared" si="11"/>
        <v>100</v>
      </c>
      <c r="AT105" s="44">
        <f t="shared" si="11"/>
        <v>100</v>
      </c>
      <c r="AU105" s="44">
        <f t="shared" si="11"/>
        <v>100</v>
      </c>
      <c r="AV105"/>
      <c r="AW105" s="44">
        <f t="shared" si="11"/>
        <v>100</v>
      </c>
      <c r="AX105"/>
      <c r="AY105"/>
      <c r="AZ105" s="44">
        <f t="shared" si="11"/>
        <v>100</v>
      </c>
    </row>
    <row r="106" spans="1:52" x14ac:dyDescent="0.25">
      <c r="A106" s="23" t="s">
        <v>389</v>
      </c>
      <c r="B106" s="3" t="s">
        <v>473</v>
      </c>
      <c r="C106" s="3" t="s">
        <v>483</v>
      </c>
      <c r="D106" s="3" t="s">
        <v>537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AZ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T106" s="44">
        <f t="shared" si="12"/>
        <v>1500</v>
      </c>
      <c r="U106" s="44">
        <f t="shared" si="12"/>
        <v>1500</v>
      </c>
      <c r="X106" s="44">
        <f t="shared" si="12"/>
        <v>1500</v>
      </c>
      <c r="Y106" s="44">
        <f t="shared" si="12"/>
        <v>1500</v>
      </c>
      <c r="Z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/>
      <c r="AJ106" s="44">
        <f t="shared" si="12"/>
        <v>1500</v>
      </c>
      <c r="AK106" s="44">
        <f t="shared" si="12"/>
        <v>1500</v>
      </c>
      <c r="AL106" s="44">
        <f t="shared" si="12"/>
        <v>1500</v>
      </c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/>
      <c r="AR106" s="44">
        <f t="shared" si="12"/>
        <v>1500</v>
      </c>
      <c r="AS106" s="44">
        <f t="shared" si="12"/>
        <v>1500</v>
      </c>
      <c r="AT106" s="44">
        <f t="shared" si="12"/>
        <v>1500</v>
      </c>
      <c r="AU106" s="44">
        <f t="shared" si="12"/>
        <v>1500</v>
      </c>
      <c r="AV106"/>
      <c r="AW106" s="44">
        <f t="shared" si="12"/>
        <v>1500</v>
      </c>
      <c r="AX106"/>
      <c r="AY106"/>
      <c r="AZ106" s="44">
        <f t="shared" si="12"/>
        <v>1500</v>
      </c>
    </row>
    <row r="107" spans="1:52" x14ac:dyDescent="0.25">
      <c r="A107" s="23" t="s">
        <v>391</v>
      </c>
      <c r="B107" s="3" t="s">
        <v>473</v>
      </c>
      <c r="C107" s="3" t="s">
        <v>483</v>
      </c>
      <c r="D107" s="3" t="s">
        <v>537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AZ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T107" s="44">
        <f t="shared" si="13"/>
        <v>200</v>
      </c>
      <c r="U107" s="44">
        <f t="shared" si="13"/>
        <v>200</v>
      </c>
      <c r="X107" s="44">
        <f t="shared" si="13"/>
        <v>200</v>
      </c>
      <c r="Y107" s="44">
        <f t="shared" si="13"/>
        <v>200</v>
      </c>
      <c r="Z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/>
      <c r="AJ107" s="44">
        <f t="shared" si="13"/>
        <v>200</v>
      </c>
      <c r="AK107" s="44">
        <f t="shared" si="13"/>
        <v>200</v>
      </c>
      <c r="AL107" s="44">
        <f t="shared" si="13"/>
        <v>200</v>
      </c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/>
      <c r="AR107" s="44">
        <f t="shared" si="13"/>
        <v>200</v>
      </c>
      <c r="AS107" s="44">
        <f t="shared" si="13"/>
        <v>200</v>
      </c>
      <c r="AT107" s="44">
        <f t="shared" si="13"/>
        <v>200</v>
      </c>
      <c r="AU107" s="44">
        <f t="shared" si="13"/>
        <v>200</v>
      </c>
      <c r="AV107"/>
      <c r="AW107" s="44">
        <f t="shared" si="13"/>
        <v>200</v>
      </c>
      <c r="AX107"/>
      <c r="AY107"/>
      <c r="AZ107" s="44">
        <f t="shared" si="13"/>
        <v>200</v>
      </c>
    </row>
    <row r="108" spans="1:52" x14ac:dyDescent="0.25">
      <c r="A108" s="23" t="s">
        <v>393</v>
      </c>
      <c r="B108" s="3" t="s">
        <v>473</v>
      </c>
      <c r="C108" s="3" t="s">
        <v>483</v>
      </c>
      <c r="D108" s="3" t="s">
        <v>537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AZ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T108" s="44">
        <f t="shared" si="14"/>
        <v>4000</v>
      </c>
      <c r="U108" s="44">
        <f t="shared" si="14"/>
        <v>4000</v>
      </c>
      <c r="X108" s="44">
        <f t="shared" si="14"/>
        <v>4000</v>
      </c>
      <c r="Y108" s="44">
        <f t="shared" si="14"/>
        <v>4000</v>
      </c>
      <c r="Z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/>
      <c r="AJ108" s="44">
        <f t="shared" si="14"/>
        <v>4000</v>
      </c>
      <c r="AK108" s="44">
        <f t="shared" si="14"/>
        <v>4000</v>
      </c>
      <c r="AL108" s="44">
        <f t="shared" si="14"/>
        <v>4000</v>
      </c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/>
      <c r="AR108" s="44">
        <f t="shared" si="14"/>
        <v>4000</v>
      </c>
      <c r="AS108" s="44">
        <f t="shared" si="14"/>
        <v>4000</v>
      </c>
      <c r="AT108" s="44">
        <f t="shared" si="14"/>
        <v>4000</v>
      </c>
      <c r="AU108" s="44">
        <f t="shared" si="14"/>
        <v>4000</v>
      </c>
      <c r="AV108"/>
      <c r="AW108" s="44">
        <f t="shared" si="14"/>
        <v>4000</v>
      </c>
      <c r="AX108"/>
      <c r="AY108"/>
      <c r="AZ108" s="44">
        <f t="shared" si="14"/>
        <v>4000</v>
      </c>
    </row>
    <row r="109" spans="1:52" x14ac:dyDescent="0.25">
      <c r="A109" s="23" t="s">
        <v>421</v>
      </c>
      <c r="B109" s="3" t="s">
        <v>473</v>
      </c>
      <c r="C109" s="3" t="s">
        <v>483</v>
      </c>
      <c r="D109" s="3" t="s">
        <v>537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T109" s="44">
        <v>100</v>
      </c>
      <c r="U109" s="44">
        <v>100</v>
      </c>
      <c r="X109" s="44">
        <v>100</v>
      </c>
      <c r="Y109" s="44">
        <v>100</v>
      </c>
      <c r="Z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/>
      <c r="AJ109" s="44">
        <v>100</v>
      </c>
      <c r="AK109" s="44">
        <v>100</v>
      </c>
      <c r="AL109" s="44">
        <v>100</v>
      </c>
      <c r="AM109" s="44">
        <v>100</v>
      </c>
      <c r="AN109" s="44">
        <v>100</v>
      </c>
      <c r="AO109" s="44">
        <v>100</v>
      </c>
      <c r="AP109" s="44">
        <v>100</v>
      </c>
      <c r="AQ109"/>
      <c r="AR109" s="44">
        <v>100</v>
      </c>
      <c r="AS109" s="44">
        <v>100</v>
      </c>
      <c r="AT109" s="44">
        <v>100</v>
      </c>
      <c r="AU109" s="44">
        <v>100</v>
      </c>
      <c r="AV109"/>
      <c r="AW109" s="44">
        <v>100</v>
      </c>
      <c r="AX109"/>
      <c r="AY109"/>
      <c r="AZ109" s="44">
        <v>100</v>
      </c>
    </row>
    <row r="110" spans="1:52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537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T110" s="44">
        <v>280800</v>
      </c>
      <c r="U110" s="44">
        <v>280800</v>
      </c>
      <c r="X110" s="44">
        <v>280800</v>
      </c>
      <c r="Y110" s="44">
        <v>280800</v>
      </c>
      <c r="Z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/>
      <c r="AJ110" s="44">
        <v>280800</v>
      </c>
      <c r="AK110" s="44">
        <v>280800</v>
      </c>
      <c r="AL110" s="44">
        <v>280800</v>
      </c>
      <c r="AM110" s="44">
        <v>280800</v>
      </c>
      <c r="AN110" s="44">
        <v>280800</v>
      </c>
      <c r="AO110" s="44">
        <v>280800</v>
      </c>
      <c r="AP110" s="44">
        <v>280800</v>
      </c>
      <c r="AQ110"/>
      <c r="AR110" s="44">
        <v>280800</v>
      </c>
      <c r="AS110" s="44">
        <v>280800</v>
      </c>
      <c r="AT110" s="44">
        <v>280800</v>
      </c>
      <c r="AU110" s="44">
        <v>280800</v>
      </c>
      <c r="AV110"/>
      <c r="AW110" s="44">
        <v>280800</v>
      </c>
      <c r="AX110"/>
      <c r="AY110"/>
      <c r="AZ110" s="44">
        <v>280800</v>
      </c>
    </row>
    <row r="111" spans="1:52" x14ac:dyDescent="0.25">
      <c r="A111" s="23" t="s">
        <v>425</v>
      </c>
      <c r="B111" s="3" t="s">
        <v>473</v>
      </c>
      <c r="C111" s="3" t="s">
        <v>483</v>
      </c>
      <c r="D111" s="3" t="s">
        <v>537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AZ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T111" s="44">
        <f t="shared" si="15"/>
        <v>0.11100000000000002</v>
      </c>
      <c r="U111" s="44">
        <f t="shared" si="15"/>
        <v>0.11100000000000002</v>
      </c>
      <c r="X111" s="44">
        <f t="shared" si="15"/>
        <v>0.11100000000000002</v>
      </c>
      <c r="Y111" s="44">
        <f t="shared" si="15"/>
        <v>0.11100000000000002</v>
      </c>
      <c r="Z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/>
      <c r="AJ111" s="44">
        <f t="shared" si="15"/>
        <v>0.11100000000000002</v>
      </c>
      <c r="AK111" s="44">
        <f t="shared" si="15"/>
        <v>0.11100000000000002</v>
      </c>
      <c r="AL111" s="44">
        <f t="shared" si="15"/>
        <v>0.11100000000000002</v>
      </c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/>
      <c r="AR111" s="44">
        <f t="shared" si="15"/>
        <v>0.11100000000000002</v>
      </c>
      <c r="AS111" s="44">
        <f t="shared" si="15"/>
        <v>0.11100000000000002</v>
      </c>
      <c r="AT111" s="44">
        <f t="shared" si="15"/>
        <v>0.11100000000000002</v>
      </c>
      <c r="AU111" s="44">
        <f t="shared" si="15"/>
        <v>0.11100000000000002</v>
      </c>
      <c r="AV111"/>
      <c r="AW111" s="44">
        <f t="shared" si="15"/>
        <v>0.11100000000000002</v>
      </c>
      <c r="AX111"/>
      <c r="AY111"/>
      <c r="AZ111" s="44">
        <f t="shared" si="15"/>
        <v>0.11100000000000002</v>
      </c>
    </row>
    <row r="112" spans="1:52" x14ac:dyDescent="0.25">
      <c r="A112" s="23" t="s">
        <v>427</v>
      </c>
      <c r="B112" s="3" t="s">
        <v>473</v>
      </c>
      <c r="C112" s="3" t="s">
        <v>483</v>
      </c>
      <c r="D112" s="3" t="s">
        <v>537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T112" s="44">
        <v>100</v>
      </c>
      <c r="U112" s="44">
        <v>100</v>
      </c>
      <c r="X112" s="44">
        <v>100</v>
      </c>
      <c r="Y112" s="44">
        <v>100</v>
      </c>
      <c r="Z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/>
      <c r="AJ112" s="44">
        <v>100</v>
      </c>
      <c r="AK112" s="44">
        <v>100</v>
      </c>
      <c r="AL112" s="44">
        <v>100</v>
      </c>
      <c r="AM112" s="44">
        <v>100</v>
      </c>
      <c r="AN112" s="44">
        <v>100</v>
      </c>
      <c r="AO112" s="44">
        <v>100</v>
      </c>
      <c r="AP112" s="44">
        <v>100</v>
      </c>
      <c r="AQ112"/>
      <c r="AR112" s="44">
        <v>100</v>
      </c>
      <c r="AS112" s="44">
        <v>100</v>
      </c>
      <c r="AT112" s="44">
        <v>100</v>
      </c>
      <c r="AU112" s="44">
        <v>100</v>
      </c>
      <c r="AV112"/>
      <c r="AW112" s="44">
        <v>100</v>
      </c>
      <c r="AX112"/>
      <c r="AY112"/>
      <c r="AZ112" s="44">
        <v>100</v>
      </c>
    </row>
    <row r="113" spans="1:52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537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T113" s="44">
        <v>459648</v>
      </c>
      <c r="U113" s="44">
        <v>459648</v>
      </c>
      <c r="X113" s="44">
        <v>459648</v>
      </c>
      <c r="Y113" s="44">
        <v>459648</v>
      </c>
      <c r="Z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/>
      <c r="AJ113" s="44">
        <v>459648</v>
      </c>
      <c r="AK113" s="44">
        <v>459648</v>
      </c>
      <c r="AL113" s="44">
        <v>459648</v>
      </c>
      <c r="AM113" s="44">
        <v>459648</v>
      </c>
      <c r="AN113" s="44">
        <v>459648</v>
      </c>
      <c r="AO113" s="44">
        <v>459648</v>
      </c>
      <c r="AP113" s="44">
        <v>459648</v>
      </c>
      <c r="AQ113"/>
      <c r="AR113" s="44">
        <v>459648</v>
      </c>
      <c r="AS113" s="44">
        <v>459648</v>
      </c>
      <c r="AT113" s="44">
        <v>459648</v>
      </c>
      <c r="AU113" s="44">
        <v>459648</v>
      </c>
      <c r="AV113"/>
      <c r="AW113" s="44">
        <v>459648</v>
      </c>
      <c r="AX113"/>
      <c r="AY113"/>
      <c r="AZ113" s="44">
        <v>459648</v>
      </c>
    </row>
    <row r="114" spans="1:52" x14ac:dyDescent="0.25">
      <c r="A114" s="23" t="s">
        <v>431</v>
      </c>
      <c r="B114" s="3" t="s">
        <v>473</v>
      </c>
      <c r="C114" s="3" t="s">
        <v>483</v>
      </c>
      <c r="D114" s="3" t="s">
        <v>537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AZ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T114" s="44">
        <f t="shared" si="16"/>
        <v>0.13875000000000001</v>
      </c>
      <c r="U114" s="44">
        <f t="shared" si="16"/>
        <v>0.13875000000000001</v>
      </c>
      <c r="X114" s="44">
        <f t="shared" si="16"/>
        <v>0.13875000000000001</v>
      </c>
      <c r="Y114" s="44">
        <f t="shared" si="16"/>
        <v>0.13875000000000001</v>
      </c>
      <c r="Z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/>
      <c r="AJ114" s="44">
        <f t="shared" si="16"/>
        <v>0.13875000000000001</v>
      </c>
      <c r="AK114" s="44">
        <f t="shared" si="16"/>
        <v>0.13875000000000001</v>
      </c>
      <c r="AL114" s="44">
        <f t="shared" si="16"/>
        <v>0.13875000000000001</v>
      </c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/>
      <c r="AR114" s="44">
        <f t="shared" si="16"/>
        <v>0.13875000000000001</v>
      </c>
      <c r="AS114" s="44">
        <f t="shared" si="16"/>
        <v>0.13875000000000001</v>
      </c>
      <c r="AT114" s="44">
        <f t="shared" si="16"/>
        <v>0.13875000000000001</v>
      </c>
      <c r="AU114" s="44">
        <f t="shared" si="16"/>
        <v>0.13875000000000001</v>
      </c>
      <c r="AV114"/>
      <c r="AW114" s="44">
        <f t="shared" si="16"/>
        <v>0.13875000000000001</v>
      </c>
      <c r="AX114"/>
      <c r="AY114"/>
      <c r="AZ114" s="44">
        <f t="shared" si="16"/>
        <v>0.13875000000000001</v>
      </c>
    </row>
    <row r="115" spans="1:52" x14ac:dyDescent="0.25">
      <c r="A115" s="23" t="s">
        <v>395</v>
      </c>
      <c r="B115" s="3" t="s">
        <v>473</v>
      </c>
      <c r="C115" s="3" t="s">
        <v>483</v>
      </c>
      <c r="D115" s="3" t="s">
        <v>537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T115" s="44">
        <v>21600</v>
      </c>
      <c r="U115" s="44">
        <v>21600</v>
      </c>
      <c r="X115" s="44">
        <v>21600</v>
      </c>
      <c r="Y115" s="44">
        <v>21600</v>
      </c>
      <c r="Z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/>
      <c r="AJ115" s="44">
        <v>21600</v>
      </c>
      <c r="AK115" s="44">
        <v>21600</v>
      </c>
      <c r="AL115" s="44">
        <v>21600</v>
      </c>
      <c r="AM115" s="44">
        <v>21600</v>
      </c>
      <c r="AN115" s="44">
        <v>21600</v>
      </c>
      <c r="AO115" s="44">
        <v>21600</v>
      </c>
      <c r="AP115" s="44">
        <v>21600</v>
      </c>
      <c r="AQ115"/>
      <c r="AR115" s="44">
        <v>21600</v>
      </c>
      <c r="AS115" s="44">
        <v>21600</v>
      </c>
      <c r="AT115" s="44">
        <v>21600</v>
      </c>
      <c r="AU115" s="44">
        <v>21600</v>
      </c>
      <c r="AV115"/>
      <c r="AW115" s="44">
        <v>21600</v>
      </c>
      <c r="AX115"/>
      <c r="AY115"/>
      <c r="AZ115" s="44">
        <v>21600</v>
      </c>
    </row>
    <row r="116" spans="1:52" x14ac:dyDescent="0.25">
      <c r="A116" s="23" t="s">
        <v>397</v>
      </c>
      <c r="B116" s="3" t="s">
        <v>473</v>
      </c>
      <c r="C116" s="3" t="s">
        <v>483</v>
      </c>
      <c r="D116" s="3" t="s">
        <v>537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T116" s="44">
        <v>43200</v>
      </c>
      <c r="U116" s="44">
        <v>43200</v>
      </c>
      <c r="X116" s="44">
        <v>43200</v>
      </c>
      <c r="Y116" s="44">
        <v>43200</v>
      </c>
      <c r="Z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/>
      <c r="AJ116" s="44">
        <v>43200</v>
      </c>
      <c r="AK116" s="44">
        <v>43200</v>
      </c>
      <c r="AL116" s="44">
        <v>43200</v>
      </c>
      <c r="AM116" s="44">
        <v>43200</v>
      </c>
      <c r="AN116" s="44">
        <v>43200</v>
      </c>
      <c r="AO116" s="44">
        <v>43200</v>
      </c>
      <c r="AP116" s="44">
        <v>43200</v>
      </c>
      <c r="AQ116"/>
      <c r="AR116" s="44">
        <v>43200</v>
      </c>
      <c r="AS116" s="44">
        <v>43200</v>
      </c>
      <c r="AT116" s="44">
        <v>43200</v>
      </c>
      <c r="AU116" s="44">
        <v>43200</v>
      </c>
      <c r="AV116"/>
      <c r="AW116" s="44">
        <v>43200</v>
      </c>
      <c r="AX116"/>
      <c r="AY116"/>
      <c r="AZ116" s="44">
        <v>43200</v>
      </c>
    </row>
    <row r="117" spans="1:52" x14ac:dyDescent="0.25">
      <c r="A117" s="13" t="s">
        <v>61</v>
      </c>
      <c r="B117" s="3" t="s">
        <v>473</v>
      </c>
      <c r="C117" s="3" t="s">
        <v>483</v>
      </c>
      <c r="D117" s="3" t="s">
        <v>537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T117" s="44">
        <v>0.8</v>
      </c>
      <c r="U117" s="44">
        <v>0.8</v>
      </c>
      <c r="X117" s="44">
        <v>0.8</v>
      </c>
      <c r="Y117" s="44">
        <v>0.8</v>
      </c>
      <c r="Z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/>
      <c r="AJ117" s="44">
        <v>0.8</v>
      </c>
      <c r="AK117" s="44">
        <v>0.8</v>
      </c>
      <c r="AL117" s="44">
        <v>0.8</v>
      </c>
      <c r="AM117" s="44">
        <v>0.8</v>
      </c>
      <c r="AN117" s="44">
        <v>0.8</v>
      </c>
      <c r="AO117" s="44">
        <v>0.8</v>
      </c>
      <c r="AP117" s="44">
        <v>0.8</v>
      </c>
      <c r="AQ117"/>
      <c r="AR117" s="44">
        <v>0.8</v>
      </c>
      <c r="AS117" s="44">
        <v>0.8</v>
      </c>
      <c r="AT117" s="44">
        <v>0.8</v>
      </c>
      <c r="AU117" s="44">
        <v>0.8</v>
      </c>
      <c r="AV117"/>
      <c r="AW117" s="44">
        <v>0.8</v>
      </c>
      <c r="AX117"/>
      <c r="AY117"/>
      <c r="AZ117" s="44">
        <v>0.8</v>
      </c>
    </row>
    <row r="118" spans="1:52" x14ac:dyDescent="0.25">
      <c r="A118" s="13" t="s">
        <v>62</v>
      </c>
      <c r="B118" s="3" t="s">
        <v>473</v>
      </c>
      <c r="C118" s="3" t="s">
        <v>483</v>
      </c>
      <c r="D118" s="3" t="s">
        <v>537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U118" s="44">
        <v>2.0833333333333335E-4</v>
      </c>
      <c r="X118" s="44">
        <v>2.0833333333333335E-4</v>
      </c>
      <c r="Y118" s="44">
        <v>2.0833333333333335E-4</v>
      </c>
      <c r="Z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/>
      <c r="AJ118" s="44">
        <v>2.0833333333333335E-4</v>
      </c>
      <c r="AK118" s="44">
        <v>2.0833333333333335E-4</v>
      </c>
      <c r="AL118" s="44">
        <v>2.0833333333333335E-4</v>
      </c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/>
      <c r="AR118" s="44">
        <v>2.0833333333333335E-4</v>
      </c>
      <c r="AS118" s="44">
        <v>2.0833333333333335E-4</v>
      </c>
      <c r="AT118" s="44">
        <v>2.0833333333333335E-4</v>
      </c>
      <c r="AU118" s="44">
        <v>2.0833333333333335E-4</v>
      </c>
      <c r="AV118"/>
      <c r="AW118" s="44">
        <v>2.0833333333333335E-4</v>
      </c>
      <c r="AX118"/>
      <c r="AY118"/>
      <c r="AZ118" s="44">
        <v>2.0833333333333335E-4</v>
      </c>
    </row>
    <row r="119" spans="1:52" x14ac:dyDescent="0.25">
      <c r="A119" s="13" t="s">
        <v>63</v>
      </c>
      <c r="B119" s="3" t="s">
        <v>473</v>
      </c>
      <c r="C119" s="3" t="s">
        <v>483</v>
      </c>
      <c r="D119" s="3" t="s">
        <v>537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U119" s="44">
        <v>5.7899999999999998E-7</v>
      </c>
      <c r="X119" s="44">
        <v>5.7899999999999998E-7</v>
      </c>
      <c r="Y119" s="44">
        <v>5.7899999999999998E-7</v>
      </c>
      <c r="Z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/>
      <c r="AJ119" s="44">
        <v>5.7899999999999998E-7</v>
      </c>
      <c r="AK119" s="44">
        <v>5.7899999999999998E-7</v>
      </c>
      <c r="AL119" s="44">
        <v>5.7899999999999998E-7</v>
      </c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/>
      <c r="AR119" s="44">
        <v>5.7899999999999998E-7</v>
      </c>
      <c r="AS119" s="44">
        <v>5.7899999999999998E-7</v>
      </c>
      <c r="AT119" s="44">
        <v>5.7899999999999998E-7</v>
      </c>
      <c r="AU119" s="44">
        <v>5.7899999999999998E-7</v>
      </c>
      <c r="AV119"/>
      <c r="AW119" s="44">
        <v>5.7899999999999998E-7</v>
      </c>
      <c r="AX119"/>
      <c r="AY119"/>
      <c r="AZ119" s="44">
        <v>5.7899999999999998E-7</v>
      </c>
    </row>
    <row r="120" spans="1:52" x14ac:dyDescent="0.25">
      <c r="A120" s="13" t="s">
        <v>64</v>
      </c>
      <c r="B120" s="3" t="s">
        <v>473</v>
      </c>
      <c r="C120" s="3" t="s">
        <v>483</v>
      </c>
      <c r="D120" s="3" t="s">
        <v>537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U120" s="44">
        <v>2.0833333333333335E-4</v>
      </c>
      <c r="X120" s="44">
        <v>2.0833333333333335E-4</v>
      </c>
      <c r="Y120" s="44">
        <v>2.0833333333333335E-4</v>
      </c>
      <c r="Z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/>
      <c r="AJ120" s="44">
        <v>2.0833333333333335E-4</v>
      </c>
      <c r="AK120" s="44">
        <v>2.0833333333333335E-4</v>
      </c>
      <c r="AL120" s="44">
        <v>2.0833333333333335E-4</v>
      </c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/>
      <c r="AR120" s="44">
        <v>2.0833333333333335E-4</v>
      </c>
      <c r="AS120" s="44">
        <v>2.0833333333333335E-4</v>
      </c>
      <c r="AT120" s="44">
        <v>2.0833333333333335E-4</v>
      </c>
      <c r="AU120" s="44">
        <v>2.0833333333333335E-4</v>
      </c>
      <c r="AV120"/>
      <c r="AW120" s="44">
        <v>2.0833333333333335E-4</v>
      </c>
      <c r="AX120"/>
      <c r="AY120"/>
      <c r="AZ120" s="44">
        <v>2.0833333333333335E-4</v>
      </c>
    </row>
    <row r="121" spans="1:52" x14ac:dyDescent="0.25">
      <c r="A121" s="13" t="s">
        <v>452</v>
      </c>
      <c r="B121" s="3" t="s">
        <v>473</v>
      </c>
      <c r="C121" s="3" t="s">
        <v>483</v>
      </c>
      <c r="D121" s="3" t="s">
        <v>537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T121" s="44">
        <v>0</v>
      </c>
      <c r="U121" s="44">
        <v>0</v>
      </c>
      <c r="X121" s="44">
        <v>0</v>
      </c>
      <c r="Y121" s="44">
        <v>0</v>
      </c>
      <c r="Z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/>
      <c r="AJ121" s="44">
        <v>0</v>
      </c>
      <c r="AK121" s="44">
        <v>0</v>
      </c>
      <c r="AL121" s="44">
        <v>0</v>
      </c>
      <c r="AM121" s="44">
        <v>0</v>
      </c>
      <c r="AN121" s="44">
        <v>0</v>
      </c>
      <c r="AO121" s="44">
        <v>0</v>
      </c>
      <c r="AP121" s="44">
        <v>0</v>
      </c>
      <c r="AQ121"/>
      <c r="AR121" s="44">
        <v>0</v>
      </c>
      <c r="AS121" s="44">
        <v>0</v>
      </c>
      <c r="AT121" s="44">
        <v>0</v>
      </c>
      <c r="AU121" s="44">
        <v>0</v>
      </c>
      <c r="AV121"/>
      <c r="AW121" s="44">
        <v>0</v>
      </c>
      <c r="AX121"/>
      <c r="AY121"/>
      <c r="AZ121" s="44">
        <v>0</v>
      </c>
    </row>
    <row r="122" spans="1:52" x14ac:dyDescent="0.25">
      <c r="A122" s="13" t="s">
        <v>454</v>
      </c>
      <c r="B122" s="3" t="s">
        <v>473</v>
      </c>
      <c r="C122" s="3" t="s">
        <v>483</v>
      </c>
      <c r="D122" s="3" t="s">
        <v>537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T122" s="44">
        <v>0</v>
      </c>
      <c r="U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/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 s="44">
        <v>0</v>
      </c>
      <c r="AP122" s="44">
        <v>0</v>
      </c>
      <c r="AQ122"/>
      <c r="AR122" s="44">
        <v>0</v>
      </c>
      <c r="AS122" s="44">
        <v>0</v>
      </c>
      <c r="AT122" s="44">
        <v>0</v>
      </c>
      <c r="AU122" s="44">
        <v>0</v>
      </c>
      <c r="AV122"/>
      <c r="AW122" s="44">
        <v>0</v>
      </c>
      <c r="AX122"/>
      <c r="AY122"/>
      <c r="AZ122" s="44">
        <v>0</v>
      </c>
    </row>
    <row r="123" spans="1:52" x14ac:dyDescent="0.25">
      <c r="A123" s="38" t="s">
        <v>444</v>
      </c>
      <c r="B123" s="3" t="s">
        <v>473</v>
      </c>
      <c r="C123" s="3" t="s">
        <v>483</v>
      </c>
      <c r="D123" s="3" t="s">
        <v>537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5.9999999999999997E-7</v>
      </c>
      <c r="S123" s="44">
        <v>5.9999999999999997E-7</v>
      </c>
      <c r="T123" s="44">
        <v>5.9999999999999997E-7</v>
      </c>
      <c r="U123" s="44">
        <v>5.9999999999999997E-7</v>
      </c>
      <c r="X123" s="44">
        <v>5.9999999999999997E-7</v>
      </c>
      <c r="Y123" s="44">
        <v>5.9999999999999997E-7</v>
      </c>
      <c r="Z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/>
      <c r="AJ123" s="44">
        <v>5.9999999999999997E-7</v>
      </c>
      <c r="AK123" s="44">
        <v>5.9999999999999997E-7</v>
      </c>
      <c r="AL123" s="44">
        <v>5.9999999999999997E-7</v>
      </c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/>
      <c r="AR123" s="44">
        <v>5.9999999999999997E-7</v>
      </c>
      <c r="AS123" s="44">
        <v>5.9999999999999997E-7</v>
      </c>
      <c r="AT123" s="44">
        <v>5.9999999999999997E-7</v>
      </c>
      <c r="AU123" s="44">
        <v>5.9999999999999997E-7</v>
      </c>
      <c r="AV123"/>
      <c r="AW123" s="44">
        <v>5.9999999999999997E-7</v>
      </c>
      <c r="AX123"/>
      <c r="AY123"/>
      <c r="AZ123" s="44">
        <v>9.9999999999999995E-8</v>
      </c>
    </row>
    <row r="124" spans="1:52" x14ac:dyDescent="0.25">
      <c r="A124" s="38" t="s">
        <v>67</v>
      </c>
      <c r="B124" s="3" t="s">
        <v>473</v>
      </c>
      <c r="C124" s="3" t="s">
        <v>483</v>
      </c>
      <c r="D124" s="3" t="s">
        <v>537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AZ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T124" s="44">
        <f t="shared" si="17"/>
        <v>8.3333333333333331E-5</v>
      </c>
      <c r="U124" s="44">
        <f t="shared" si="17"/>
        <v>8.3333333333333331E-5</v>
      </c>
      <c r="X124" s="44">
        <f t="shared" si="17"/>
        <v>8.3333333333333331E-5</v>
      </c>
      <c r="Y124" s="44">
        <f t="shared" si="17"/>
        <v>8.3333333333333331E-5</v>
      </c>
      <c r="Z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/>
      <c r="AJ124" s="44">
        <f t="shared" si="17"/>
        <v>8.3333333333333331E-5</v>
      </c>
      <c r="AK124" s="44">
        <f t="shared" si="17"/>
        <v>8.3333333333333331E-5</v>
      </c>
      <c r="AL124" s="44">
        <f t="shared" si="17"/>
        <v>8.3333333333333331E-5</v>
      </c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/>
      <c r="AR124" s="44">
        <f t="shared" si="17"/>
        <v>8.3333333333333331E-5</v>
      </c>
      <c r="AS124" s="44">
        <f t="shared" si="17"/>
        <v>8.3333333333333331E-5</v>
      </c>
      <c r="AT124" s="44">
        <f t="shared" si="17"/>
        <v>8.3333333333333331E-5</v>
      </c>
      <c r="AU124" s="44">
        <f t="shared" si="17"/>
        <v>8.3333333333333331E-5</v>
      </c>
      <c r="AV124"/>
      <c r="AW124" s="44">
        <f t="shared" si="17"/>
        <v>8.3333333333333331E-5</v>
      </c>
      <c r="AX124"/>
      <c r="AY124"/>
      <c r="AZ124" s="44">
        <f t="shared" si="17"/>
        <v>8.3333333333333331E-5</v>
      </c>
    </row>
    <row r="125" spans="1:52" x14ac:dyDescent="0.25">
      <c r="A125" s="38" t="s">
        <v>448</v>
      </c>
      <c r="B125" s="3" t="s">
        <v>473</v>
      </c>
      <c r="C125" s="3" t="s">
        <v>483</v>
      </c>
      <c r="D125" s="3" t="s">
        <v>537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44" t="s">
        <v>86</v>
      </c>
      <c r="T125" s="44" t="s">
        <v>86</v>
      </c>
      <c r="U125" s="44" t="s">
        <v>86</v>
      </c>
      <c r="X125" s="44" t="s">
        <v>86</v>
      </c>
      <c r="Y125" s="44" t="s">
        <v>86</v>
      </c>
      <c r="Z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/>
      <c r="AJ125" s="44" t="s">
        <v>86</v>
      </c>
      <c r="AK125" s="44" t="s">
        <v>86</v>
      </c>
      <c r="AL125" s="44" t="s">
        <v>86</v>
      </c>
      <c r="AM125" s="44" t="s">
        <v>86</v>
      </c>
      <c r="AN125" s="44" t="s">
        <v>86</v>
      </c>
      <c r="AO125" s="44" t="s">
        <v>86</v>
      </c>
      <c r="AP125" s="44" t="s">
        <v>86</v>
      </c>
      <c r="AQ125"/>
      <c r="AR125" s="44" t="s">
        <v>86</v>
      </c>
      <c r="AS125" s="44" t="s">
        <v>86</v>
      </c>
      <c r="AT125" s="44" t="s">
        <v>86</v>
      </c>
      <c r="AU125" s="44" t="s">
        <v>86</v>
      </c>
      <c r="AV125"/>
      <c r="AW125" s="44" t="s">
        <v>86</v>
      </c>
      <c r="AX125"/>
      <c r="AY125"/>
      <c r="AZ125" s="44" t="s">
        <v>86</v>
      </c>
    </row>
    <row r="126" spans="1:52" x14ac:dyDescent="0.25">
      <c r="A126" s="21" t="s">
        <v>66</v>
      </c>
      <c r="B126" s="3" t="s">
        <v>473</v>
      </c>
      <c r="C126" s="3" t="s">
        <v>483</v>
      </c>
      <c r="D126" s="3" t="s">
        <v>537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44">
        <v>5.0000000000000001E-4</v>
      </c>
      <c r="T126" s="44">
        <v>5.0000000000000001E-4</v>
      </c>
      <c r="U126" s="44">
        <v>5.0000000000000001E-4</v>
      </c>
      <c r="X126" s="44">
        <v>5.0000000000000001E-4</v>
      </c>
      <c r="Y126" s="44">
        <v>5.0000000000000001E-4</v>
      </c>
      <c r="Z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/>
      <c r="AJ126" s="44">
        <v>5.0000000000000001E-4</v>
      </c>
      <c r="AK126" s="44">
        <v>5.0000000000000001E-4</v>
      </c>
      <c r="AL126" s="44">
        <v>5.0000000000000001E-4</v>
      </c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/>
      <c r="AR126" s="44">
        <v>5.0000000000000001E-4</v>
      </c>
      <c r="AS126" s="44">
        <v>5.0000000000000001E-4</v>
      </c>
      <c r="AT126" s="44">
        <v>5.0000000000000001E-4</v>
      </c>
      <c r="AU126" s="44">
        <v>5.0000000000000001E-4</v>
      </c>
      <c r="AV126"/>
      <c r="AW126" s="44">
        <v>5.0000000000000001E-4</v>
      </c>
      <c r="AX126"/>
      <c r="AY126"/>
      <c r="AZ126" s="44">
        <v>5.0000000000000001E-4</v>
      </c>
    </row>
    <row r="127" spans="1:52" x14ac:dyDescent="0.25">
      <c r="A127" s="21" t="s">
        <v>441</v>
      </c>
      <c r="B127" s="3" t="s">
        <v>473</v>
      </c>
      <c r="C127" s="3" t="s">
        <v>483</v>
      </c>
      <c r="D127" s="3" t="s">
        <v>537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U127" s="44">
        <v>4.9999999999999999E-13</v>
      </c>
      <c r="X127" s="44">
        <v>4.9999999999999999E-13</v>
      </c>
      <c r="Y127" s="44">
        <v>4.9999999999999999E-13</v>
      </c>
      <c r="Z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/>
      <c r="AJ127" s="44">
        <v>4.9999999999999999E-13</v>
      </c>
      <c r="AK127" s="44">
        <v>4.9999999999999999E-13</v>
      </c>
      <c r="AL127" s="44">
        <v>4.9999999999999999E-13</v>
      </c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/>
      <c r="AR127" s="44">
        <v>4.9999999999999999E-13</v>
      </c>
      <c r="AS127" s="44">
        <v>4.9999999999999999E-13</v>
      </c>
      <c r="AT127" s="44">
        <v>4.9999999999999999E-13</v>
      </c>
      <c r="AU127" s="44">
        <v>4.9999999999999999E-13</v>
      </c>
      <c r="AV127"/>
      <c r="AW127" s="44">
        <v>4.9999999999999999E-13</v>
      </c>
      <c r="AX127"/>
      <c r="AY127"/>
      <c r="AZ127" s="44">
        <v>4.9999999999999999E-13</v>
      </c>
    </row>
    <row r="128" spans="1:52" x14ac:dyDescent="0.25">
      <c r="A128" s="21" t="s">
        <v>228</v>
      </c>
      <c r="B128" s="3" t="s">
        <v>473</v>
      </c>
      <c r="C128" s="3" t="s">
        <v>483</v>
      </c>
      <c r="D128" s="3" t="s">
        <v>537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T128" s="44">
        <v>10</v>
      </c>
      <c r="U128" s="44">
        <v>10</v>
      </c>
      <c r="X128" s="44">
        <v>10</v>
      </c>
      <c r="Y128" s="44">
        <v>10</v>
      </c>
      <c r="Z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/>
      <c r="AJ128" s="44">
        <v>10</v>
      </c>
      <c r="AK128" s="44">
        <v>10</v>
      </c>
      <c r="AL128" s="44">
        <v>10</v>
      </c>
      <c r="AM128" s="44">
        <v>10</v>
      </c>
      <c r="AN128" s="44">
        <v>10</v>
      </c>
      <c r="AO128" s="44">
        <v>10</v>
      </c>
      <c r="AP128" s="44">
        <v>10</v>
      </c>
      <c r="AQ128"/>
      <c r="AR128" s="44">
        <v>10</v>
      </c>
      <c r="AS128" s="44">
        <v>10</v>
      </c>
      <c r="AT128" s="44">
        <v>10</v>
      </c>
      <c r="AU128" s="44">
        <v>10</v>
      </c>
      <c r="AV128"/>
      <c r="AW128" s="44">
        <v>10</v>
      </c>
      <c r="AX128"/>
      <c r="AY128"/>
      <c r="AZ128" s="44">
        <v>10</v>
      </c>
    </row>
    <row r="129" spans="1:52" x14ac:dyDescent="0.25">
      <c r="A129" s="21" t="s">
        <v>229</v>
      </c>
      <c r="B129" s="3" t="s">
        <v>473</v>
      </c>
      <c r="C129" s="3" t="s">
        <v>483</v>
      </c>
      <c r="D129" s="3" t="s">
        <v>537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T129" s="44">
        <v>-0.04</v>
      </c>
      <c r="U129" s="44">
        <v>-0.04</v>
      </c>
      <c r="X129" s="44">
        <v>-0.04</v>
      </c>
      <c r="Y129" s="44">
        <v>-0.04</v>
      </c>
      <c r="Z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/>
      <c r="AJ129" s="44">
        <v>-0.04</v>
      </c>
      <c r="AK129" s="44">
        <v>-0.04</v>
      </c>
      <c r="AL129" s="44">
        <v>-0.04</v>
      </c>
      <c r="AM129" s="44">
        <v>-0.04</v>
      </c>
      <c r="AN129" s="44">
        <v>-0.04</v>
      </c>
      <c r="AO129" s="44">
        <v>-0.04</v>
      </c>
      <c r="AP129" s="44">
        <v>-0.04</v>
      </c>
      <c r="AQ129"/>
      <c r="AR129" s="44">
        <v>-0.04</v>
      </c>
      <c r="AS129" s="44">
        <v>-0.04</v>
      </c>
      <c r="AT129" s="44">
        <v>-0.04</v>
      </c>
      <c r="AU129" s="44">
        <v>-0.04</v>
      </c>
      <c r="AV129"/>
      <c r="AW129" s="44">
        <v>-0.04</v>
      </c>
      <c r="AX129"/>
      <c r="AY129"/>
      <c r="AZ129" s="44">
        <v>-0.04</v>
      </c>
    </row>
    <row r="130" spans="1:52" x14ac:dyDescent="0.25">
      <c r="A130" s="21" t="s">
        <v>230</v>
      </c>
      <c r="B130" s="3" t="s">
        <v>473</v>
      </c>
      <c r="C130" s="3" t="s">
        <v>483</v>
      </c>
      <c r="D130" s="3" t="s">
        <v>537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T130" s="44">
        <v>2.9</v>
      </c>
      <c r="U130" s="44">
        <v>2.9</v>
      </c>
      <c r="X130" s="44">
        <v>2.9</v>
      </c>
      <c r="Y130" s="44">
        <v>2.9</v>
      </c>
      <c r="Z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/>
      <c r="AJ130" s="44">
        <v>2.9</v>
      </c>
      <c r="AK130" s="44">
        <v>2.9</v>
      </c>
      <c r="AL130" s="44">
        <v>2.9</v>
      </c>
      <c r="AM130" s="44">
        <v>2.9</v>
      </c>
      <c r="AN130" s="44">
        <v>2.9</v>
      </c>
      <c r="AO130" s="44">
        <v>2.9</v>
      </c>
      <c r="AP130" s="44">
        <v>2.9</v>
      </c>
      <c r="AQ130"/>
      <c r="AR130" s="44">
        <v>2.9</v>
      </c>
      <c r="AS130" s="44">
        <v>2.9</v>
      </c>
      <c r="AT130" s="44">
        <v>2.9</v>
      </c>
      <c r="AU130" s="44">
        <v>2.9</v>
      </c>
      <c r="AV130"/>
      <c r="AW130" s="44">
        <v>2.9</v>
      </c>
      <c r="AX130"/>
      <c r="AY130"/>
      <c r="AZ130" s="44">
        <v>2.9</v>
      </c>
    </row>
    <row r="131" spans="1:52" x14ac:dyDescent="0.25">
      <c r="A131" s="21" t="s">
        <v>231</v>
      </c>
      <c r="B131" s="3" t="s">
        <v>473</v>
      </c>
      <c r="C131" s="3" t="s">
        <v>483</v>
      </c>
      <c r="D131" s="3" t="s">
        <v>537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T131" s="44">
        <v>1</v>
      </c>
      <c r="U131" s="44">
        <v>1</v>
      </c>
      <c r="X131" s="44">
        <v>1</v>
      </c>
      <c r="Y131" s="44">
        <v>1</v>
      </c>
      <c r="Z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/>
      <c r="AJ131" s="44">
        <v>1</v>
      </c>
      <c r="AK131" s="44">
        <v>1</v>
      </c>
      <c r="AL131" s="44">
        <v>1</v>
      </c>
      <c r="AM131" s="44">
        <v>1</v>
      </c>
      <c r="AN131" s="44">
        <v>1</v>
      </c>
      <c r="AO131" s="44">
        <v>1</v>
      </c>
      <c r="AP131" s="44">
        <v>1</v>
      </c>
      <c r="AQ131"/>
      <c r="AR131" s="44">
        <v>1</v>
      </c>
      <c r="AS131" s="44">
        <v>1</v>
      </c>
      <c r="AT131" s="44">
        <v>1</v>
      </c>
      <c r="AU131" s="44">
        <v>1</v>
      </c>
      <c r="AV131"/>
      <c r="AW131" s="44">
        <v>1</v>
      </c>
      <c r="AX131"/>
      <c r="AY131"/>
      <c r="AZ131" s="44">
        <v>1</v>
      </c>
    </row>
    <row r="132" spans="1:52" x14ac:dyDescent="0.25">
      <c r="A132" s="21" t="s">
        <v>68</v>
      </c>
      <c r="B132" s="3" t="s">
        <v>473</v>
      </c>
      <c r="C132" s="3" t="s">
        <v>483</v>
      </c>
      <c r="D132" s="3" t="s">
        <v>537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U132" s="44">
        <v>1.9999999999999999E-7</v>
      </c>
      <c r="X132" s="44">
        <v>1.9999999999999999E-7</v>
      </c>
      <c r="Y132" s="44">
        <v>1.9999999999999999E-7</v>
      </c>
      <c r="Z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/>
      <c r="AJ132" s="44">
        <v>1.9999999999999999E-7</v>
      </c>
      <c r="AK132" s="44">
        <v>1.9999999999999999E-7</v>
      </c>
      <c r="AL132" s="44">
        <v>1.9999999999999999E-7</v>
      </c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/>
      <c r="AR132" s="44">
        <v>1.9999999999999999E-7</v>
      </c>
      <c r="AS132" s="44">
        <v>1.9999999999999999E-7</v>
      </c>
      <c r="AT132" s="44">
        <v>1.9999999999999999E-7</v>
      </c>
      <c r="AU132" s="44">
        <v>1.9999999999999999E-7</v>
      </c>
      <c r="AV132"/>
      <c r="AW132" s="44">
        <v>1.9999999999999999E-7</v>
      </c>
      <c r="AX132"/>
      <c r="AY132"/>
      <c r="AZ132" s="44">
        <v>1.9999999999999999E-7</v>
      </c>
    </row>
    <row r="133" spans="1:52" x14ac:dyDescent="0.25">
      <c r="A133" s="21" t="s">
        <v>538</v>
      </c>
      <c r="B133" s="3" t="s">
        <v>473</v>
      </c>
      <c r="C133" s="3" t="s">
        <v>483</v>
      </c>
      <c r="D133" s="3" t="s">
        <v>537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/>
      <c r="AJ133" s="44">
        <v>1.9999999999999999E-7</v>
      </c>
      <c r="AK133" s="44">
        <v>1.9999999999999999E-7</v>
      </c>
      <c r="AL133" s="44">
        <v>1.9999999999999999E-7</v>
      </c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/>
      <c r="AR133" s="44">
        <v>1.9999999999999999E-7</v>
      </c>
      <c r="AS133" s="44">
        <v>1.9999999999999999E-7</v>
      </c>
      <c r="AT133" s="44">
        <v>1.9999999999999999E-7</v>
      </c>
      <c r="AU133" s="44">
        <v>1.9999999999999999E-7</v>
      </c>
      <c r="AV133"/>
      <c r="AW133" s="44">
        <v>1.9999999999999999E-7</v>
      </c>
      <c r="AX133"/>
      <c r="AY133"/>
      <c r="AZ133" s="44">
        <v>1.9999999999999999E-7</v>
      </c>
    </row>
    <row r="134" spans="1:52" x14ac:dyDescent="0.25">
      <c r="A134" s="21" t="s">
        <v>232</v>
      </c>
      <c r="B134" s="3" t="s">
        <v>473</v>
      </c>
      <c r="C134" s="3" t="s">
        <v>483</v>
      </c>
      <c r="D134" s="3" t="s">
        <v>537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T134" s="44">
        <v>10</v>
      </c>
      <c r="U134" s="44">
        <v>10</v>
      </c>
      <c r="X134" s="44">
        <v>10</v>
      </c>
      <c r="Y134" s="44">
        <v>10</v>
      </c>
      <c r="Z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/>
      <c r="AJ134" s="44">
        <v>10</v>
      </c>
      <c r="AK134" s="44">
        <v>10</v>
      </c>
      <c r="AL134" s="44">
        <v>10</v>
      </c>
      <c r="AM134" s="44">
        <v>10</v>
      </c>
      <c r="AN134" s="44">
        <v>10</v>
      </c>
      <c r="AO134" s="44">
        <v>10</v>
      </c>
      <c r="AP134" s="44">
        <v>10</v>
      </c>
      <c r="AQ134"/>
      <c r="AR134" s="44">
        <v>10</v>
      </c>
      <c r="AS134" s="44">
        <v>10</v>
      </c>
      <c r="AT134" s="44">
        <v>10</v>
      </c>
      <c r="AU134" s="44">
        <v>10</v>
      </c>
      <c r="AV134"/>
      <c r="AW134" s="44">
        <v>10</v>
      </c>
      <c r="AX134"/>
      <c r="AY134"/>
      <c r="AZ134" s="44">
        <v>10</v>
      </c>
    </row>
    <row r="135" spans="1:52" x14ac:dyDescent="0.25">
      <c r="A135" s="21" t="s">
        <v>233</v>
      </c>
      <c r="B135" s="3" t="s">
        <v>473</v>
      </c>
      <c r="C135" s="3" t="s">
        <v>483</v>
      </c>
      <c r="D135" s="3" t="s">
        <v>537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T135" s="44">
        <v>-0.04</v>
      </c>
      <c r="U135" s="44">
        <v>-0.04</v>
      </c>
      <c r="X135" s="44">
        <v>-0.04</v>
      </c>
      <c r="Y135" s="44">
        <v>-0.04</v>
      </c>
      <c r="Z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/>
      <c r="AJ135" s="44">
        <v>-0.04</v>
      </c>
      <c r="AK135" s="44">
        <v>-0.04</v>
      </c>
      <c r="AL135" s="44">
        <v>-0.04</v>
      </c>
      <c r="AM135" s="44">
        <v>-0.04</v>
      </c>
      <c r="AN135" s="44">
        <v>-0.04</v>
      </c>
      <c r="AO135" s="44">
        <v>-0.04</v>
      </c>
      <c r="AP135" s="44">
        <v>-0.04</v>
      </c>
      <c r="AQ135"/>
      <c r="AR135" s="44">
        <v>-0.04</v>
      </c>
      <c r="AS135" s="44">
        <v>-0.04</v>
      </c>
      <c r="AT135" s="44">
        <v>-0.04</v>
      </c>
      <c r="AU135" s="44">
        <v>-0.04</v>
      </c>
      <c r="AV135"/>
      <c r="AW135" s="44">
        <v>-0.04</v>
      </c>
      <c r="AX135"/>
      <c r="AY135"/>
      <c r="AZ135" s="44">
        <v>-0.04</v>
      </c>
    </row>
    <row r="136" spans="1:52" x14ac:dyDescent="0.25">
      <c r="A136" s="21" t="s">
        <v>234</v>
      </c>
      <c r="B136" s="3" t="s">
        <v>473</v>
      </c>
      <c r="C136" s="3" t="s">
        <v>483</v>
      </c>
      <c r="D136" s="3" t="s">
        <v>537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T136" s="44">
        <v>2.9</v>
      </c>
      <c r="U136" s="44">
        <v>2.9</v>
      </c>
      <c r="X136" s="44">
        <v>2.9</v>
      </c>
      <c r="Y136" s="44">
        <v>2.9</v>
      </c>
      <c r="Z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/>
      <c r="AJ136" s="44">
        <v>2.9</v>
      </c>
      <c r="AK136" s="44">
        <v>2.9</v>
      </c>
      <c r="AL136" s="44">
        <v>2.9</v>
      </c>
      <c r="AM136" s="44">
        <v>2.9</v>
      </c>
      <c r="AN136" s="44">
        <v>2.9</v>
      </c>
      <c r="AO136" s="44">
        <v>2.9</v>
      </c>
      <c r="AP136" s="44">
        <v>2.9</v>
      </c>
      <c r="AQ136"/>
      <c r="AR136" s="44">
        <v>2.9</v>
      </c>
      <c r="AS136" s="44">
        <v>2.9</v>
      </c>
      <c r="AT136" s="44">
        <v>2.9</v>
      </c>
      <c r="AU136" s="44">
        <v>2.9</v>
      </c>
      <c r="AV136"/>
      <c r="AW136" s="44">
        <v>2.9</v>
      </c>
      <c r="AX136"/>
      <c r="AY136"/>
      <c r="AZ136" s="44">
        <v>2.9</v>
      </c>
    </row>
    <row r="137" spans="1:52" x14ac:dyDescent="0.25">
      <c r="A137" s="21" t="s">
        <v>235</v>
      </c>
      <c r="B137" s="3" t="s">
        <v>473</v>
      </c>
      <c r="C137" s="3" t="s">
        <v>483</v>
      </c>
      <c r="D137" s="3" t="s">
        <v>537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T137" s="44">
        <v>1</v>
      </c>
      <c r="U137" s="44">
        <v>1</v>
      </c>
      <c r="X137" s="44">
        <v>1</v>
      </c>
      <c r="Y137" s="44">
        <v>1</v>
      </c>
      <c r="Z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/>
      <c r="AJ137" s="44">
        <v>1</v>
      </c>
      <c r="AK137" s="44">
        <v>1</v>
      </c>
      <c r="AL137" s="44">
        <v>1</v>
      </c>
      <c r="AM137" s="44">
        <v>1</v>
      </c>
      <c r="AN137" s="44">
        <v>1</v>
      </c>
      <c r="AO137" s="44">
        <v>1</v>
      </c>
      <c r="AP137" s="44">
        <v>1</v>
      </c>
      <c r="AQ137"/>
      <c r="AR137" s="44">
        <v>1</v>
      </c>
      <c r="AS137" s="44">
        <v>1</v>
      </c>
      <c r="AT137" s="44">
        <v>1</v>
      </c>
      <c r="AU137" s="44">
        <v>1</v>
      </c>
      <c r="AV137"/>
      <c r="AW137" s="44">
        <v>1</v>
      </c>
      <c r="AX137"/>
      <c r="AY137"/>
      <c r="AZ137" s="44">
        <v>1</v>
      </c>
    </row>
    <row r="138" spans="1:52" x14ac:dyDescent="0.25">
      <c r="A138" s="21" t="s">
        <v>69</v>
      </c>
      <c r="B138" s="3" t="s">
        <v>473</v>
      </c>
      <c r="C138" s="3" t="s">
        <v>483</v>
      </c>
      <c r="D138" s="3" t="s">
        <v>537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T138" s="44">
        <v>0</v>
      </c>
      <c r="U138" s="44">
        <v>0</v>
      </c>
      <c r="X138" s="44">
        <v>0</v>
      </c>
      <c r="Y138" s="44">
        <v>0</v>
      </c>
      <c r="Z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/>
      <c r="AJ138" s="44">
        <v>0</v>
      </c>
      <c r="AK138" s="44">
        <v>0</v>
      </c>
      <c r="AL138" s="44">
        <v>0</v>
      </c>
      <c r="AM138" s="44">
        <v>0</v>
      </c>
      <c r="AN138" s="44">
        <v>0</v>
      </c>
      <c r="AO138" s="44">
        <v>0</v>
      </c>
      <c r="AP138" s="44">
        <v>0</v>
      </c>
      <c r="AQ138"/>
      <c r="AR138" s="44">
        <v>0</v>
      </c>
      <c r="AS138" s="44">
        <v>0</v>
      </c>
      <c r="AT138" s="44">
        <v>0</v>
      </c>
      <c r="AU138" s="44">
        <v>0</v>
      </c>
      <c r="AV138"/>
      <c r="AW138" s="44">
        <v>0</v>
      </c>
      <c r="AX138"/>
      <c r="AY138"/>
      <c r="AZ138" s="44">
        <v>0</v>
      </c>
    </row>
    <row r="139" spans="1:52" x14ac:dyDescent="0.25">
      <c r="A139" s="40" t="s">
        <v>70</v>
      </c>
      <c r="B139" s="3" t="s">
        <v>473</v>
      </c>
      <c r="C139" s="3" t="s">
        <v>483</v>
      </c>
      <c r="D139" s="3" t="s">
        <v>537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U139" s="44">
        <v>5.0000000000000004E-6</v>
      </c>
      <c r="X139" s="44">
        <v>5.0000000000000004E-6</v>
      </c>
      <c r="Y139" s="44">
        <v>5.0000000000000004E-6</v>
      </c>
      <c r="Z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/>
      <c r="AJ139" s="44">
        <v>5.0000000000000004E-6</v>
      </c>
      <c r="AK139" s="44">
        <v>5.0000000000000004E-6</v>
      </c>
      <c r="AL139" s="44">
        <v>5.0000000000000004E-6</v>
      </c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/>
      <c r="AR139" s="44">
        <v>5.0000000000000004E-6</v>
      </c>
      <c r="AS139" s="44">
        <v>5.0000000000000004E-6</v>
      </c>
      <c r="AT139" s="44">
        <v>5.0000000000000004E-6</v>
      </c>
      <c r="AU139" s="44">
        <v>5.0000000000000004E-6</v>
      </c>
      <c r="AV139"/>
      <c r="AW139" s="44">
        <v>5.0000000000000004E-6</v>
      </c>
      <c r="AX139"/>
      <c r="AY139"/>
      <c r="AZ139" s="44">
        <v>5.0000000000000004E-6</v>
      </c>
    </row>
    <row r="140" spans="1:52" x14ac:dyDescent="0.25">
      <c r="A140" s="23" t="s">
        <v>56</v>
      </c>
      <c r="B140" s="3" t="s">
        <v>473</v>
      </c>
      <c r="C140" s="3" t="s">
        <v>483</v>
      </c>
      <c r="D140" s="3" t="s">
        <v>537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T140" s="44">
        <v>0</v>
      </c>
      <c r="U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/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 s="44">
        <v>0</v>
      </c>
      <c r="AP140" s="44">
        <v>0</v>
      </c>
      <c r="AQ140"/>
      <c r="AR140" s="44">
        <v>0</v>
      </c>
      <c r="AS140" s="44">
        <v>0</v>
      </c>
      <c r="AT140" s="44">
        <v>0</v>
      </c>
      <c r="AU140" s="44">
        <v>0</v>
      </c>
      <c r="AV140"/>
      <c r="AW140" s="44">
        <v>0</v>
      </c>
      <c r="AX140"/>
      <c r="AY140"/>
      <c r="AZ140" s="44">
        <v>0</v>
      </c>
    </row>
    <row r="141" spans="1:52" x14ac:dyDescent="0.25">
      <c r="A141" s="23" t="s">
        <v>57</v>
      </c>
      <c r="B141" s="3" t="s">
        <v>473</v>
      </c>
      <c r="C141" s="3" t="s">
        <v>483</v>
      </c>
      <c r="D141" s="3" t="s">
        <v>537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T141" s="44">
        <v>2E-3</v>
      </c>
      <c r="U141" s="44">
        <v>2E-3</v>
      </c>
      <c r="X141" s="44">
        <v>2E-3</v>
      </c>
      <c r="Y141" s="44">
        <v>2E-3</v>
      </c>
      <c r="Z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/>
      <c r="AJ141" s="44">
        <v>2E-3</v>
      </c>
      <c r="AK141" s="44">
        <v>2E-3</v>
      </c>
      <c r="AL141" s="44">
        <v>2E-3</v>
      </c>
      <c r="AM141" s="44">
        <v>2E-3</v>
      </c>
      <c r="AN141" s="44">
        <v>2E-3</v>
      </c>
      <c r="AO141" s="44">
        <v>2E-3</v>
      </c>
      <c r="AP141" s="44">
        <v>2E-3</v>
      </c>
      <c r="AQ141"/>
      <c r="AR141" s="44">
        <v>2E-3</v>
      </c>
      <c r="AS141" s="44">
        <v>2E-3</v>
      </c>
      <c r="AT141" s="44">
        <v>2E-3</v>
      </c>
      <c r="AU141" s="44">
        <v>2E-3</v>
      </c>
      <c r="AV141"/>
      <c r="AW141" s="44">
        <v>2E-3</v>
      </c>
      <c r="AX141"/>
      <c r="AY141"/>
      <c r="AZ141" s="44">
        <v>2E-3</v>
      </c>
    </row>
    <row r="142" spans="1:52" x14ac:dyDescent="0.25">
      <c r="A142" s="23" t="s">
        <v>58</v>
      </c>
      <c r="B142" s="3" t="s">
        <v>473</v>
      </c>
      <c r="C142" s="3" t="s">
        <v>483</v>
      </c>
      <c r="D142" s="3" t="s">
        <v>537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U142" s="44">
        <v>3.9999999999999998E-6</v>
      </c>
      <c r="X142" s="44">
        <v>3.9999999999999998E-6</v>
      </c>
      <c r="Y142" s="44">
        <v>3.9999999999999998E-6</v>
      </c>
      <c r="Z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/>
      <c r="AJ142" s="44">
        <v>3.9999999999999998E-6</v>
      </c>
      <c r="AK142" s="44">
        <v>3.9999999999999998E-6</v>
      </c>
      <c r="AL142" s="44">
        <v>3.9999999999999998E-6</v>
      </c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/>
      <c r="AR142" s="44">
        <v>3.9999999999999998E-6</v>
      </c>
      <c r="AS142" s="44">
        <v>3.9999999999999998E-6</v>
      </c>
      <c r="AT142" s="44">
        <v>3.9999999999999998E-6</v>
      </c>
      <c r="AU142" s="44">
        <v>3.9999999999999998E-6</v>
      </c>
      <c r="AV142"/>
      <c r="AW142" s="44">
        <v>3.9999999999999998E-6</v>
      </c>
      <c r="AX142"/>
      <c r="AY142"/>
      <c r="AZ142" s="44">
        <v>3.9999999999999998E-6</v>
      </c>
    </row>
    <row r="143" spans="1:52" x14ac:dyDescent="0.25">
      <c r="A143" s="23" t="s">
        <v>71</v>
      </c>
      <c r="B143" s="3" t="s">
        <v>473</v>
      </c>
      <c r="C143" s="3" t="s">
        <v>483</v>
      </c>
      <c r="D143" s="3" t="s">
        <v>537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U143" s="44">
        <v>3.7699999999999999E-10</v>
      </c>
      <c r="X143" s="44">
        <v>3.7699999999999999E-10</v>
      </c>
      <c r="Y143" s="44">
        <v>3.7699999999999999E-10</v>
      </c>
      <c r="Z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/>
      <c r="AJ143" s="44">
        <v>3.7699999999999999E-10</v>
      </c>
      <c r="AK143" s="44">
        <v>3.7699999999999999E-10</v>
      </c>
      <c r="AL143" s="44">
        <v>3.7699999999999999E-10</v>
      </c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/>
      <c r="AR143" s="44">
        <v>3.7699999999999999E-10</v>
      </c>
      <c r="AS143" s="44">
        <v>3.7699999999999999E-10</v>
      </c>
      <c r="AT143" s="44">
        <v>3.7699999999999999E-10</v>
      </c>
      <c r="AU143" s="44">
        <v>3.7699999999999999E-10</v>
      </c>
      <c r="AV143"/>
      <c r="AW143" s="44">
        <v>3.7699999999999999E-10</v>
      </c>
      <c r="AX143"/>
      <c r="AY143"/>
      <c r="AZ143" s="44">
        <v>3.7699999999999999E-10</v>
      </c>
    </row>
    <row r="144" spans="1:52" x14ac:dyDescent="0.25">
      <c r="A144" s="23" t="s">
        <v>236</v>
      </c>
      <c r="B144" s="3" t="s">
        <v>473</v>
      </c>
      <c r="C144" s="3" t="s">
        <v>483</v>
      </c>
      <c r="D144" s="3" t="s">
        <v>537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T144" s="44">
        <v>20</v>
      </c>
      <c r="U144" s="44">
        <v>20</v>
      </c>
      <c r="X144" s="44">
        <v>20</v>
      </c>
      <c r="Y144" s="44">
        <v>20</v>
      </c>
      <c r="Z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/>
      <c r="AJ144" s="44">
        <v>20</v>
      </c>
      <c r="AK144" s="44">
        <v>20</v>
      </c>
      <c r="AL144" s="44">
        <v>20</v>
      </c>
      <c r="AM144" s="44">
        <v>20</v>
      </c>
      <c r="AN144" s="44">
        <v>20</v>
      </c>
      <c r="AO144" s="44">
        <v>20</v>
      </c>
      <c r="AP144" s="44">
        <v>20</v>
      </c>
      <c r="AQ144"/>
      <c r="AR144" s="44">
        <v>20</v>
      </c>
      <c r="AS144" s="44">
        <v>20</v>
      </c>
      <c r="AT144" s="44">
        <v>20</v>
      </c>
      <c r="AU144" s="44">
        <v>20</v>
      </c>
      <c r="AV144"/>
      <c r="AW144" s="44">
        <v>20</v>
      </c>
      <c r="AX144"/>
      <c r="AY144"/>
      <c r="AZ144" s="44">
        <v>20</v>
      </c>
    </row>
    <row r="145" spans="1:52" x14ac:dyDescent="0.25">
      <c r="A145" s="23" t="s">
        <v>237</v>
      </c>
      <c r="B145" s="3" t="s">
        <v>473</v>
      </c>
      <c r="C145" s="3" t="s">
        <v>483</v>
      </c>
      <c r="D145" s="3" t="s">
        <v>537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T145" s="44">
        <v>-0.06</v>
      </c>
      <c r="U145" s="44">
        <v>-0.06</v>
      </c>
      <c r="X145" s="44">
        <v>-0.06</v>
      </c>
      <c r="Y145" s="44">
        <v>-0.06</v>
      </c>
      <c r="Z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/>
      <c r="AJ145" s="44">
        <v>-0.06</v>
      </c>
      <c r="AK145" s="44">
        <v>-0.06</v>
      </c>
      <c r="AL145" s="44">
        <v>-0.06</v>
      </c>
      <c r="AM145" s="44">
        <v>-0.06</v>
      </c>
      <c r="AN145" s="44">
        <v>-0.06</v>
      </c>
      <c r="AO145" s="44">
        <v>-0.06</v>
      </c>
      <c r="AP145" s="44">
        <v>-0.06</v>
      </c>
      <c r="AQ145"/>
      <c r="AR145" s="44">
        <v>-0.06</v>
      </c>
      <c r="AS145" s="44">
        <v>-0.06</v>
      </c>
      <c r="AT145" s="44">
        <v>-0.06</v>
      </c>
      <c r="AU145" s="44">
        <v>-0.06</v>
      </c>
      <c r="AV145"/>
      <c r="AW145" s="44">
        <v>-0.06</v>
      </c>
      <c r="AX145"/>
      <c r="AY145"/>
      <c r="AZ145" s="44">
        <v>-0.06</v>
      </c>
    </row>
    <row r="146" spans="1:52" x14ac:dyDescent="0.25">
      <c r="A146" s="23" t="s">
        <v>238</v>
      </c>
      <c r="B146" s="3" t="s">
        <v>473</v>
      </c>
      <c r="C146" s="3" t="s">
        <v>483</v>
      </c>
      <c r="D146" s="3" t="s">
        <v>537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U146" s="44">
        <v>0.89100000000000001</v>
      </c>
      <c r="X146" s="44">
        <v>0.89100000000000001</v>
      </c>
      <c r="Y146" s="44">
        <v>0.89100000000000001</v>
      </c>
      <c r="Z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/>
      <c r="AJ146" s="44">
        <v>0.89100000000000001</v>
      </c>
      <c r="AK146" s="44">
        <v>0.89100000000000001</v>
      </c>
      <c r="AL146" s="44">
        <v>0.89100000000000001</v>
      </c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/>
      <c r="AR146" s="44">
        <v>0.89100000000000001</v>
      </c>
      <c r="AS146" s="44">
        <v>0.89100000000000001</v>
      </c>
      <c r="AT146" s="44">
        <v>0.89100000000000001</v>
      </c>
      <c r="AU146" s="44">
        <v>0.89100000000000001</v>
      </c>
      <c r="AV146"/>
      <c r="AW146" s="44">
        <v>0.89100000000000001</v>
      </c>
      <c r="AX146"/>
      <c r="AY146"/>
      <c r="AZ146" s="44">
        <v>0.89100000000000001</v>
      </c>
    </row>
    <row r="147" spans="1:52" x14ac:dyDescent="0.25">
      <c r="A147" s="23" t="s">
        <v>239</v>
      </c>
      <c r="B147" s="3" t="s">
        <v>473</v>
      </c>
      <c r="C147" s="3" t="s">
        <v>483</v>
      </c>
      <c r="D147" s="3" t="s">
        <v>537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T147" s="44">
        <v>1</v>
      </c>
      <c r="U147" s="44">
        <v>1</v>
      </c>
      <c r="X147" s="44">
        <v>1</v>
      </c>
      <c r="Y147" s="44">
        <v>1</v>
      </c>
      <c r="Z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/>
      <c r="AJ147" s="44">
        <v>1</v>
      </c>
      <c r="AK147" s="44">
        <v>1</v>
      </c>
      <c r="AL147" s="44">
        <v>1</v>
      </c>
      <c r="AM147" s="44">
        <v>1</v>
      </c>
      <c r="AN147" s="44">
        <v>1</v>
      </c>
      <c r="AO147" s="44">
        <v>1</v>
      </c>
      <c r="AP147" s="44">
        <v>1</v>
      </c>
      <c r="AQ147"/>
      <c r="AR147" s="44">
        <v>1</v>
      </c>
      <c r="AS147" s="44">
        <v>1</v>
      </c>
      <c r="AT147" s="44">
        <v>1</v>
      </c>
      <c r="AU147" s="44">
        <v>1</v>
      </c>
      <c r="AV147"/>
      <c r="AW147" s="44">
        <v>1</v>
      </c>
      <c r="AX147"/>
      <c r="AY147"/>
      <c r="AZ147" s="44">
        <v>1</v>
      </c>
    </row>
    <row r="148" spans="1:52" x14ac:dyDescent="0.25">
      <c r="A148" s="23" t="s">
        <v>72</v>
      </c>
      <c r="B148" s="3" t="s">
        <v>473</v>
      </c>
      <c r="C148" s="3" t="s">
        <v>483</v>
      </c>
      <c r="D148" s="3" t="s">
        <v>537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U148" s="44">
        <v>4.0000000000000003E-5</v>
      </c>
      <c r="X148" s="44">
        <v>4.0000000000000003E-5</v>
      </c>
      <c r="Y148" s="44">
        <v>4.0000000000000003E-5</v>
      </c>
      <c r="Z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/>
      <c r="AJ148" s="44">
        <v>4.0000000000000003E-5</v>
      </c>
      <c r="AK148" s="44">
        <v>4.0000000000000003E-5</v>
      </c>
      <c r="AL148" s="44">
        <v>4.0000000000000003E-5</v>
      </c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/>
      <c r="AR148" s="44">
        <v>4.0000000000000003E-5</v>
      </c>
      <c r="AS148" s="44">
        <v>4.0000000000000003E-5</v>
      </c>
      <c r="AT148" s="44">
        <v>4.0000000000000003E-5</v>
      </c>
      <c r="AU148" s="44">
        <v>4.0000000000000003E-5</v>
      </c>
      <c r="AV148"/>
      <c r="AW148" s="44">
        <v>4.0000000000000003E-5</v>
      </c>
      <c r="AX148"/>
      <c r="AY148"/>
      <c r="AZ148" s="44">
        <v>4.0000000000000003E-5</v>
      </c>
    </row>
    <row r="149" spans="1:52" x14ac:dyDescent="0.25">
      <c r="A149" s="13" t="s">
        <v>73</v>
      </c>
      <c r="B149" s="3" t="s">
        <v>473</v>
      </c>
      <c r="C149" s="3" t="s">
        <v>483</v>
      </c>
      <c r="D149" s="3" t="s">
        <v>537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U149" s="44">
        <v>5.8333333333333335E-9</v>
      </c>
      <c r="X149" s="44">
        <v>5.8333333333333335E-9</v>
      </c>
      <c r="Y149" s="44">
        <v>5.8333333333333335E-9</v>
      </c>
      <c r="Z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/>
      <c r="AJ149" s="44">
        <v>5.8333333333333335E-9</v>
      </c>
      <c r="AK149" s="44">
        <v>5.8333333333333335E-9</v>
      </c>
      <c r="AL149" s="44">
        <v>5.8333333333333335E-9</v>
      </c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/>
      <c r="AR149" s="44">
        <v>5.8333333333333335E-9</v>
      </c>
      <c r="AS149" s="44">
        <v>5.8333333333333335E-9</v>
      </c>
      <c r="AT149" s="44">
        <v>5.8333333333333335E-9</v>
      </c>
      <c r="AU149" s="44">
        <v>5.8333333333333335E-9</v>
      </c>
      <c r="AV149"/>
      <c r="AW149" s="44">
        <v>5.8333333333333335E-9</v>
      </c>
      <c r="AX149"/>
      <c r="AY149"/>
      <c r="AZ149" s="44">
        <v>5.8333333333333335E-9</v>
      </c>
    </row>
    <row r="150" spans="1:52" x14ac:dyDescent="0.25">
      <c r="A150" s="13" t="s">
        <v>240</v>
      </c>
      <c r="B150" s="3" t="s">
        <v>473</v>
      </c>
      <c r="C150" s="3" t="s">
        <v>483</v>
      </c>
      <c r="D150" s="3" t="s">
        <v>537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T150" s="44">
        <v>20</v>
      </c>
      <c r="U150" s="44">
        <v>20</v>
      </c>
      <c r="X150" s="44">
        <v>20</v>
      </c>
      <c r="Y150" s="44">
        <v>20</v>
      </c>
      <c r="Z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/>
      <c r="AJ150" s="44">
        <v>20</v>
      </c>
      <c r="AK150" s="44">
        <v>20</v>
      </c>
      <c r="AL150" s="44">
        <v>20</v>
      </c>
      <c r="AM150" s="44">
        <v>20</v>
      </c>
      <c r="AN150" s="44">
        <v>20</v>
      </c>
      <c r="AO150" s="44">
        <v>20</v>
      </c>
      <c r="AP150" s="44">
        <v>20</v>
      </c>
      <c r="AQ150"/>
      <c r="AR150" s="44">
        <v>20</v>
      </c>
      <c r="AS150" s="44">
        <v>20</v>
      </c>
      <c r="AT150" s="44">
        <v>20</v>
      </c>
      <c r="AU150" s="44">
        <v>20</v>
      </c>
      <c r="AV150"/>
      <c r="AW150" s="44">
        <v>20</v>
      </c>
      <c r="AX150"/>
      <c r="AY150"/>
      <c r="AZ150" s="44">
        <v>20</v>
      </c>
    </row>
    <row r="151" spans="1:52" x14ac:dyDescent="0.25">
      <c r="A151" s="13" t="s">
        <v>241</v>
      </c>
      <c r="B151" s="3" t="s">
        <v>473</v>
      </c>
      <c r="C151" s="3" t="s">
        <v>483</v>
      </c>
      <c r="D151" s="3" t="s">
        <v>537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T151" s="44">
        <v>-0.06</v>
      </c>
      <c r="U151" s="44">
        <v>-0.06</v>
      </c>
      <c r="X151" s="44">
        <v>-0.06</v>
      </c>
      <c r="Y151" s="44">
        <v>-0.06</v>
      </c>
      <c r="Z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/>
      <c r="AJ151" s="44">
        <v>-0.06</v>
      </c>
      <c r="AK151" s="44">
        <v>-0.06</v>
      </c>
      <c r="AL151" s="44">
        <v>-0.06</v>
      </c>
      <c r="AM151" s="44">
        <v>-0.06</v>
      </c>
      <c r="AN151" s="44">
        <v>-0.06</v>
      </c>
      <c r="AO151" s="44">
        <v>-0.06</v>
      </c>
      <c r="AP151" s="44">
        <v>-0.06</v>
      </c>
      <c r="AQ151"/>
      <c r="AR151" s="44">
        <v>-0.06</v>
      </c>
      <c r="AS151" s="44">
        <v>-0.06</v>
      </c>
      <c r="AT151" s="44">
        <v>-0.06</v>
      </c>
      <c r="AU151" s="44">
        <v>-0.06</v>
      </c>
      <c r="AV151"/>
      <c r="AW151" s="44">
        <v>-0.06</v>
      </c>
      <c r="AX151"/>
      <c r="AY151"/>
      <c r="AZ151" s="44">
        <v>-0.06</v>
      </c>
    </row>
    <row r="152" spans="1:52" x14ac:dyDescent="0.25">
      <c r="A152" s="13" t="s">
        <v>242</v>
      </c>
      <c r="B152" s="3" t="s">
        <v>473</v>
      </c>
      <c r="C152" s="3" t="s">
        <v>483</v>
      </c>
      <c r="D152" s="3" t="s">
        <v>537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U152" s="44">
        <v>0.89100000000000001</v>
      </c>
      <c r="X152" s="44">
        <v>0.89100000000000001</v>
      </c>
      <c r="Y152" s="44">
        <v>0.89100000000000001</v>
      </c>
      <c r="Z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/>
      <c r="AJ152" s="44">
        <v>0.89100000000000001</v>
      </c>
      <c r="AK152" s="44">
        <v>0.89100000000000001</v>
      </c>
      <c r="AL152" s="44">
        <v>0.89100000000000001</v>
      </c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/>
      <c r="AR152" s="44">
        <v>0.89100000000000001</v>
      </c>
      <c r="AS152" s="44">
        <v>0.89100000000000001</v>
      </c>
      <c r="AT152" s="44">
        <v>0.89100000000000001</v>
      </c>
      <c r="AU152" s="44">
        <v>0.89100000000000001</v>
      </c>
      <c r="AV152"/>
      <c r="AW152" s="44">
        <v>0.89100000000000001</v>
      </c>
      <c r="AX152"/>
      <c r="AY152"/>
      <c r="AZ152" s="44">
        <v>0.89100000000000001</v>
      </c>
    </row>
    <row r="153" spans="1:52" x14ac:dyDescent="0.25">
      <c r="A153" s="13" t="s">
        <v>243</v>
      </c>
      <c r="B153" s="3" t="s">
        <v>473</v>
      </c>
      <c r="C153" s="3" t="s">
        <v>483</v>
      </c>
      <c r="D153" s="3" t="s">
        <v>537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T153" s="44">
        <v>1</v>
      </c>
      <c r="U153" s="44">
        <v>1</v>
      </c>
      <c r="X153" s="44">
        <v>1</v>
      </c>
      <c r="Y153" s="44">
        <v>1</v>
      </c>
      <c r="Z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/>
      <c r="AJ153" s="44">
        <v>1</v>
      </c>
      <c r="AK153" s="44">
        <v>1</v>
      </c>
      <c r="AL153" s="44">
        <v>1</v>
      </c>
      <c r="AM153" s="44">
        <v>1</v>
      </c>
      <c r="AN153" s="44">
        <v>1</v>
      </c>
      <c r="AO153" s="44">
        <v>1</v>
      </c>
      <c r="AP153" s="44">
        <v>1</v>
      </c>
      <c r="AQ153"/>
      <c r="AR153" s="44">
        <v>1</v>
      </c>
      <c r="AS153" s="44">
        <v>1</v>
      </c>
      <c r="AT153" s="44">
        <v>1</v>
      </c>
      <c r="AU153" s="44">
        <v>1</v>
      </c>
      <c r="AV153"/>
      <c r="AW153" s="44">
        <v>1</v>
      </c>
      <c r="AX153"/>
      <c r="AY153"/>
      <c r="AZ153" s="44">
        <v>1</v>
      </c>
    </row>
    <row r="154" spans="1:52" x14ac:dyDescent="0.25">
      <c r="A154" s="13" t="s">
        <v>74</v>
      </c>
      <c r="B154" s="3" t="s">
        <v>473</v>
      </c>
      <c r="C154" s="3" t="s">
        <v>483</v>
      </c>
      <c r="D154" s="3" t="s">
        <v>537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U154" s="44">
        <v>4.0000000000000003E-5</v>
      </c>
      <c r="X154" s="44">
        <v>4.0000000000000003E-5</v>
      </c>
      <c r="Y154" s="44">
        <v>4.0000000000000003E-5</v>
      </c>
      <c r="Z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/>
      <c r="AJ154" s="44">
        <v>4.0000000000000003E-5</v>
      </c>
      <c r="AK154" s="44">
        <v>4.0000000000000003E-5</v>
      </c>
      <c r="AL154" s="44">
        <v>4.0000000000000003E-5</v>
      </c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/>
      <c r="AR154" s="44">
        <v>4.0000000000000003E-5</v>
      </c>
      <c r="AS154" s="44">
        <v>4.0000000000000003E-5</v>
      </c>
      <c r="AT154" s="44">
        <v>4.0000000000000003E-5</v>
      </c>
      <c r="AU154" s="44">
        <v>4.0000000000000003E-5</v>
      </c>
      <c r="AV154"/>
      <c r="AW154" s="44">
        <v>4.0000000000000003E-5</v>
      </c>
      <c r="AX154"/>
      <c r="AY154"/>
      <c r="AZ154" s="44">
        <v>4.0000000000000003E-5</v>
      </c>
    </row>
    <row r="155" spans="1:52" x14ac:dyDescent="0.25">
      <c r="A155" s="9" t="s">
        <v>75</v>
      </c>
      <c r="B155" s="3" t="s">
        <v>473</v>
      </c>
      <c r="C155" s="3" t="s">
        <v>483</v>
      </c>
      <c r="D155" s="3" t="s">
        <v>537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U155" s="44">
        <v>4.0000000000000001E-8</v>
      </c>
      <c r="X155" s="44">
        <v>4.0000000000000001E-8</v>
      </c>
      <c r="Y155" s="44">
        <v>4.0000000000000001E-8</v>
      </c>
      <c r="Z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/>
      <c r="AJ155" s="44">
        <v>4.0000000000000001E-8</v>
      </c>
      <c r="AK155" s="44">
        <v>4.0000000000000001E-8</v>
      </c>
      <c r="AL155" s="44">
        <v>4.0000000000000001E-8</v>
      </c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/>
      <c r="AR155" s="44">
        <v>4.0000000000000001E-8</v>
      </c>
      <c r="AS155" s="44">
        <v>4.0000000000000001E-8</v>
      </c>
      <c r="AT155" s="44">
        <v>4.0000000000000001E-8</v>
      </c>
      <c r="AU155" s="44">
        <v>4.0000000000000001E-8</v>
      </c>
      <c r="AV155"/>
      <c r="AW155" s="44">
        <v>4.0000000000000001E-8</v>
      </c>
      <c r="AX155"/>
      <c r="AY155"/>
      <c r="AZ155" s="44">
        <v>4.0000000000000001E-8</v>
      </c>
    </row>
    <row r="156" spans="1:52" x14ac:dyDescent="0.25">
      <c r="A156" s="9" t="s">
        <v>218</v>
      </c>
      <c r="B156" s="3" t="s">
        <v>473</v>
      </c>
      <c r="C156" s="3" t="s">
        <v>483</v>
      </c>
      <c r="D156" s="3" t="s">
        <v>537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T156" s="44">
        <v>20</v>
      </c>
      <c r="U156" s="44">
        <v>20</v>
      </c>
      <c r="X156" s="44">
        <v>20</v>
      </c>
      <c r="Y156" s="44">
        <v>20</v>
      </c>
      <c r="Z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/>
      <c r="AJ156" s="44">
        <v>20</v>
      </c>
      <c r="AK156" s="44">
        <v>20</v>
      </c>
      <c r="AL156" s="44">
        <v>20</v>
      </c>
      <c r="AM156" s="44">
        <v>20</v>
      </c>
      <c r="AN156" s="44">
        <v>20</v>
      </c>
      <c r="AO156" s="44">
        <v>20</v>
      </c>
      <c r="AP156" s="44">
        <v>20</v>
      </c>
      <c r="AQ156"/>
      <c r="AR156" s="44">
        <v>20</v>
      </c>
      <c r="AS156" s="44">
        <v>20</v>
      </c>
      <c r="AT156" s="44">
        <v>20</v>
      </c>
      <c r="AU156" s="44">
        <v>20</v>
      </c>
      <c r="AV156"/>
      <c r="AW156" s="44">
        <v>20</v>
      </c>
      <c r="AX156"/>
      <c r="AY156"/>
      <c r="AZ156" s="44">
        <v>20</v>
      </c>
    </row>
    <row r="157" spans="1:52" x14ac:dyDescent="0.25">
      <c r="A157" s="9" t="s">
        <v>219</v>
      </c>
      <c r="B157" s="3" t="s">
        <v>473</v>
      </c>
      <c r="C157" s="3" t="s">
        <v>483</v>
      </c>
      <c r="D157" s="3" t="s">
        <v>537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U157" s="44">
        <v>-4.4200000000000003E-2</v>
      </c>
      <c r="X157" s="44">
        <v>-4.4200000000000003E-2</v>
      </c>
      <c r="Y157" s="44">
        <v>-4.4200000000000003E-2</v>
      </c>
      <c r="Z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/>
      <c r="AJ157" s="44">
        <v>-4.4200000000000003E-2</v>
      </c>
      <c r="AK157" s="44">
        <v>-4.4200000000000003E-2</v>
      </c>
      <c r="AL157" s="44">
        <v>-4.4200000000000003E-2</v>
      </c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/>
      <c r="AR157" s="44">
        <v>-4.4200000000000003E-2</v>
      </c>
      <c r="AS157" s="44">
        <v>-4.4200000000000003E-2</v>
      </c>
      <c r="AT157" s="44">
        <v>-4.4200000000000003E-2</v>
      </c>
      <c r="AU157" s="44">
        <v>-4.4200000000000003E-2</v>
      </c>
      <c r="AV157"/>
      <c r="AW157" s="44">
        <v>-4.4200000000000003E-2</v>
      </c>
      <c r="AX157"/>
      <c r="AY157"/>
      <c r="AZ157" s="44">
        <v>-4.4200000000000003E-2</v>
      </c>
    </row>
    <row r="158" spans="1:52" x14ac:dyDescent="0.25">
      <c r="A158" s="9" t="s">
        <v>220</v>
      </c>
      <c r="B158" s="3" t="s">
        <v>473</v>
      </c>
      <c r="C158" s="3" t="s">
        <v>483</v>
      </c>
      <c r="D158" s="3" t="s">
        <v>537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T158" s="44">
        <v>1.55</v>
      </c>
      <c r="U158" s="44">
        <v>1.55</v>
      </c>
      <c r="X158" s="44">
        <v>1.55</v>
      </c>
      <c r="Y158" s="44">
        <v>1.55</v>
      </c>
      <c r="Z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/>
      <c r="AJ158" s="44">
        <v>1.55</v>
      </c>
      <c r="AK158" s="44">
        <v>1.55</v>
      </c>
      <c r="AL158" s="44">
        <v>1.55</v>
      </c>
      <c r="AM158" s="44">
        <v>1.55</v>
      </c>
      <c r="AN158" s="44">
        <v>1.55</v>
      </c>
      <c r="AO158" s="44">
        <v>1.55</v>
      </c>
      <c r="AP158" s="44">
        <v>1.55</v>
      </c>
      <c r="AQ158"/>
      <c r="AR158" s="44">
        <v>1.55</v>
      </c>
      <c r="AS158" s="44">
        <v>1.55</v>
      </c>
      <c r="AT158" s="44">
        <v>1.55</v>
      </c>
      <c r="AU158" s="44">
        <v>1.55</v>
      </c>
      <c r="AV158"/>
      <c r="AW158" s="44">
        <v>1.55</v>
      </c>
      <c r="AX158"/>
      <c r="AY158"/>
      <c r="AZ158" s="44">
        <v>1.55</v>
      </c>
    </row>
    <row r="159" spans="1:52" x14ac:dyDescent="0.25">
      <c r="A159" s="9" t="s">
        <v>221</v>
      </c>
      <c r="B159" s="3" t="s">
        <v>473</v>
      </c>
      <c r="C159" s="3" t="s">
        <v>483</v>
      </c>
      <c r="D159" s="3" t="s">
        <v>537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T159" s="44">
        <v>1</v>
      </c>
      <c r="U159" s="44">
        <v>1</v>
      </c>
      <c r="X159" s="44">
        <v>1</v>
      </c>
      <c r="Y159" s="44">
        <v>1</v>
      </c>
      <c r="Z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/>
      <c r="AJ159" s="44">
        <v>1</v>
      </c>
      <c r="AK159" s="44">
        <v>1</v>
      </c>
      <c r="AL159" s="44">
        <v>1</v>
      </c>
      <c r="AM159" s="44">
        <v>1</v>
      </c>
      <c r="AN159" s="44">
        <v>1</v>
      </c>
      <c r="AO159" s="44">
        <v>1</v>
      </c>
      <c r="AP159" s="44">
        <v>1</v>
      </c>
      <c r="AQ159"/>
      <c r="AR159" s="44">
        <v>1</v>
      </c>
      <c r="AS159" s="44">
        <v>1</v>
      </c>
      <c r="AT159" s="44">
        <v>1</v>
      </c>
      <c r="AU159" s="44">
        <v>1</v>
      </c>
      <c r="AV159"/>
      <c r="AW159" s="44">
        <v>1</v>
      </c>
      <c r="AX159"/>
      <c r="AY159"/>
      <c r="AZ159" s="44">
        <v>1</v>
      </c>
    </row>
    <row r="160" spans="1:52" x14ac:dyDescent="0.25">
      <c r="A160" s="9" t="s">
        <v>76</v>
      </c>
      <c r="B160" s="3" t="s">
        <v>473</v>
      </c>
      <c r="C160" s="3" t="s">
        <v>483</v>
      </c>
      <c r="D160" s="3" t="s">
        <v>537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U160" s="44">
        <v>2.7799999999999998E-4</v>
      </c>
      <c r="X160" s="44">
        <v>2.7799999999999998E-4</v>
      </c>
      <c r="Y160" s="44">
        <v>2.7799999999999998E-4</v>
      </c>
      <c r="Z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/>
      <c r="AJ160" s="44">
        <v>2.7799999999999998E-4</v>
      </c>
      <c r="AK160" s="44">
        <v>2.7799999999999998E-4</v>
      </c>
      <c r="AL160" s="44">
        <v>2.7799999999999998E-4</v>
      </c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/>
      <c r="AR160" s="44">
        <v>2.7799999999999998E-4</v>
      </c>
      <c r="AS160" s="44">
        <v>2.7799999999999998E-4</v>
      </c>
      <c r="AT160" s="44">
        <v>2.7799999999999998E-4</v>
      </c>
      <c r="AU160" s="44">
        <v>2.7799999999999998E-4</v>
      </c>
      <c r="AV160"/>
      <c r="AW160" s="44">
        <v>2.7799999999999998E-4</v>
      </c>
      <c r="AX160"/>
      <c r="AY160"/>
      <c r="AZ160" s="44">
        <v>2.7799999999999998E-4</v>
      </c>
    </row>
    <row r="161" spans="1:52" x14ac:dyDescent="0.25">
      <c r="A161" s="25" t="s">
        <v>78</v>
      </c>
      <c r="B161" s="3" t="s">
        <v>473</v>
      </c>
      <c r="C161" s="3" t="s">
        <v>483</v>
      </c>
      <c r="D161" s="3" t="s">
        <v>537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U161" s="44">
        <v>2.4999999999999998E-12</v>
      </c>
      <c r="X161" s="44">
        <v>2.4999999999999998E-12</v>
      </c>
      <c r="Y161" s="44">
        <v>2.4999999999999998E-12</v>
      </c>
      <c r="Z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/>
      <c r="AJ161" s="44">
        <v>2.4999999999999998E-12</v>
      </c>
      <c r="AK161" s="44">
        <v>2.4999999999999998E-12</v>
      </c>
      <c r="AL161" s="44">
        <v>2.4999999999999998E-12</v>
      </c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/>
      <c r="AR161" s="44">
        <v>2.4999999999999998E-12</v>
      </c>
      <c r="AS161" s="44">
        <v>2.4999999999999998E-12</v>
      </c>
      <c r="AT161" s="44">
        <v>2.4999999999999998E-12</v>
      </c>
      <c r="AU161" s="44">
        <v>2.4999999999999998E-12</v>
      </c>
      <c r="AV161"/>
      <c r="AW161" s="44">
        <v>2.4999999999999998E-12</v>
      </c>
      <c r="AX161"/>
      <c r="AY161"/>
      <c r="AZ161" s="44">
        <v>2.4999999999999998E-12</v>
      </c>
    </row>
    <row r="162" spans="1:52" x14ac:dyDescent="0.25">
      <c r="A162" s="25" t="s">
        <v>245</v>
      </c>
      <c r="B162" s="3" t="s">
        <v>473</v>
      </c>
      <c r="C162" s="3" t="s">
        <v>483</v>
      </c>
      <c r="D162" s="3" t="s">
        <v>537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T162" s="44">
        <v>20</v>
      </c>
      <c r="U162" s="44">
        <v>20</v>
      </c>
      <c r="X162" s="44">
        <v>20</v>
      </c>
      <c r="Y162" s="44">
        <v>20</v>
      </c>
      <c r="Z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/>
      <c r="AJ162" s="44">
        <v>20</v>
      </c>
      <c r="AK162" s="44">
        <v>20</v>
      </c>
      <c r="AL162" s="44">
        <v>20</v>
      </c>
      <c r="AM162" s="44">
        <v>20</v>
      </c>
      <c r="AN162" s="44">
        <v>20</v>
      </c>
      <c r="AO162" s="44">
        <v>20</v>
      </c>
      <c r="AP162" s="44">
        <v>20</v>
      </c>
      <c r="AQ162"/>
      <c r="AR162" s="44">
        <v>20</v>
      </c>
      <c r="AS162" s="44">
        <v>20</v>
      </c>
      <c r="AT162" s="44">
        <v>20</v>
      </c>
      <c r="AU162" s="44">
        <v>20</v>
      </c>
      <c r="AV162"/>
      <c r="AW162" s="44">
        <v>20</v>
      </c>
      <c r="AX162"/>
      <c r="AY162"/>
      <c r="AZ162" s="44">
        <v>20</v>
      </c>
    </row>
    <row r="163" spans="1:52" x14ac:dyDescent="0.25">
      <c r="A163" s="25" t="s">
        <v>246</v>
      </c>
      <c r="B163" s="3" t="s">
        <v>473</v>
      </c>
      <c r="C163" s="3" t="s">
        <v>483</v>
      </c>
      <c r="D163" s="3" t="s">
        <v>537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T163" s="44">
        <v>0</v>
      </c>
      <c r="U163" s="44">
        <v>0</v>
      </c>
      <c r="X163" s="44">
        <v>0</v>
      </c>
      <c r="Y163" s="44">
        <v>0</v>
      </c>
      <c r="Z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/>
      <c r="AJ163" s="44">
        <v>0</v>
      </c>
      <c r="AK163" s="44">
        <v>0</v>
      </c>
      <c r="AL163" s="44">
        <v>0</v>
      </c>
      <c r="AM163" s="44">
        <v>0</v>
      </c>
      <c r="AN163" s="44">
        <v>0</v>
      </c>
      <c r="AO163" s="44">
        <v>0</v>
      </c>
      <c r="AP163" s="44">
        <v>0</v>
      </c>
      <c r="AQ163"/>
      <c r="AR163" s="44">
        <v>0</v>
      </c>
      <c r="AS163" s="44">
        <v>0</v>
      </c>
      <c r="AT163" s="44">
        <v>0</v>
      </c>
      <c r="AU163" s="44">
        <v>0</v>
      </c>
      <c r="AV163"/>
      <c r="AW163" s="44">
        <v>0</v>
      </c>
      <c r="AX163"/>
      <c r="AY163"/>
      <c r="AZ163" s="44">
        <v>0</v>
      </c>
    </row>
    <row r="164" spans="1:52" x14ac:dyDescent="0.25">
      <c r="A164" s="25" t="s">
        <v>247</v>
      </c>
      <c r="B164" s="3" t="s">
        <v>473</v>
      </c>
      <c r="C164" s="3" t="s">
        <v>483</v>
      </c>
      <c r="D164" s="3" t="s">
        <v>537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T164" s="44">
        <v>1</v>
      </c>
      <c r="U164" s="44">
        <v>1</v>
      </c>
      <c r="X164" s="44">
        <v>1</v>
      </c>
      <c r="Y164" s="44">
        <v>1</v>
      </c>
      <c r="Z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/>
      <c r="AJ164" s="44">
        <v>1</v>
      </c>
      <c r="AK164" s="44">
        <v>1</v>
      </c>
      <c r="AL164" s="44">
        <v>1</v>
      </c>
      <c r="AM164" s="44">
        <v>1</v>
      </c>
      <c r="AN164" s="44">
        <v>1</v>
      </c>
      <c r="AO164" s="44">
        <v>1</v>
      </c>
      <c r="AP164" s="44">
        <v>1</v>
      </c>
      <c r="AQ164"/>
      <c r="AR164" s="44">
        <v>1</v>
      </c>
      <c r="AS164" s="44">
        <v>1</v>
      </c>
      <c r="AT164" s="44">
        <v>1</v>
      </c>
      <c r="AU164" s="44">
        <v>1</v>
      </c>
      <c r="AV164"/>
      <c r="AW164" s="44">
        <v>1</v>
      </c>
      <c r="AX164"/>
      <c r="AY164"/>
      <c r="AZ164" s="44">
        <v>1</v>
      </c>
    </row>
    <row r="165" spans="1:52" x14ac:dyDescent="0.25">
      <c r="A165" s="25" t="s">
        <v>248</v>
      </c>
      <c r="B165" s="3" t="s">
        <v>473</v>
      </c>
      <c r="C165" s="3" t="s">
        <v>483</v>
      </c>
      <c r="D165" s="3" t="s">
        <v>537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T165" s="44">
        <v>0</v>
      </c>
      <c r="U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/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 s="44">
        <v>0</v>
      </c>
      <c r="AP165" s="44">
        <v>0</v>
      </c>
      <c r="AQ165"/>
      <c r="AR165" s="44">
        <v>0</v>
      </c>
      <c r="AS165" s="44">
        <v>0</v>
      </c>
      <c r="AT165" s="44">
        <v>0</v>
      </c>
      <c r="AU165" s="44">
        <v>0</v>
      </c>
      <c r="AV165"/>
      <c r="AW165" s="44">
        <v>0</v>
      </c>
      <c r="AX165"/>
      <c r="AY165"/>
      <c r="AZ165" s="44">
        <v>0</v>
      </c>
    </row>
    <row r="166" spans="1:52" x14ac:dyDescent="0.25">
      <c r="A166" s="25" t="s">
        <v>79</v>
      </c>
      <c r="B166" s="3" t="s">
        <v>473</v>
      </c>
      <c r="C166" s="3" t="s">
        <v>483</v>
      </c>
      <c r="D166" s="3" t="s">
        <v>537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T166" s="44">
        <v>0.4</v>
      </c>
      <c r="U166" s="44">
        <v>0.4</v>
      </c>
      <c r="X166" s="44">
        <v>0.4</v>
      </c>
      <c r="Y166" s="44">
        <v>0.4</v>
      </c>
      <c r="Z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/>
      <c r="AJ166" s="44">
        <v>0.4</v>
      </c>
      <c r="AK166" s="44">
        <v>0.4</v>
      </c>
      <c r="AL166" s="44">
        <v>0.4</v>
      </c>
      <c r="AM166" s="44">
        <v>0.4</v>
      </c>
      <c r="AN166" s="44">
        <v>0.4</v>
      </c>
      <c r="AO166" s="44">
        <v>0.4</v>
      </c>
      <c r="AP166" s="44">
        <v>0.4</v>
      </c>
      <c r="AQ166"/>
      <c r="AR166" s="44">
        <v>0.4</v>
      </c>
      <c r="AS166" s="44">
        <v>0.4</v>
      </c>
      <c r="AT166" s="44">
        <v>0.4</v>
      </c>
      <c r="AU166" s="44">
        <v>0.4</v>
      </c>
      <c r="AV166"/>
      <c r="AW166" s="44">
        <v>0.4</v>
      </c>
      <c r="AX166"/>
      <c r="AY166"/>
      <c r="AZ166" s="44">
        <v>0.4</v>
      </c>
    </row>
    <row r="167" spans="1:52" x14ac:dyDescent="0.25">
      <c r="A167" s="31" t="s">
        <v>80</v>
      </c>
      <c r="B167" s="3" t="s">
        <v>473</v>
      </c>
      <c r="C167" s="3" t="s">
        <v>483</v>
      </c>
      <c r="D167" s="3" t="s">
        <v>537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U167" s="44">
        <v>2.0000000000000001E-9</v>
      </c>
      <c r="X167" s="44">
        <v>2.0000000000000001E-9</v>
      </c>
      <c r="Y167" s="44">
        <v>2.0000000000000001E-9</v>
      </c>
      <c r="Z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/>
      <c r="AJ167" s="44">
        <v>2.0000000000000001E-9</v>
      </c>
      <c r="AK167" s="44">
        <v>2.0000000000000001E-9</v>
      </c>
      <c r="AL167" s="44">
        <v>2.0000000000000001E-9</v>
      </c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/>
      <c r="AR167" s="44">
        <v>2.0000000000000001E-9</v>
      </c>
      <c r="AS167" s="44">
        <v>2.0000000000000001E-9</v>
      </c>
      <c r="AT167" s="44">
        <v>2.0000000000000001E-9</v>
      </c>
      <c r="AU167" s="44">
        <v>2.0000000000000001E-9</v>
      </c>
      <c r="AV167"/>
      <c r="AW167" s="44">
        <v>2.0000000000000001E-9</v>
      </c>
      <c r="AX167"/>
      <c r="AY167"/>
      <c r="AZ167" s="44">
        <v>2.0000000000000001E-9</v>
      </c>
    </row>
    <row r="168" spans="1:52" x14ac:dyDescent="0.25">
      <c r="A168" s="31" t="s">
        <v>249</v>
      </c>
      <c r="B168" s="3" t="s">
        <v>473</v>
      </c>
      <c r="C168" s="3" t="s">
        <v>483</v>
      </c>
      <c r="D168" s="3" t="s">
        <v>537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T168" s="44">
        <v>25</v>
      </c>
      <c r="U168" s="44">
        <v>25</v>
      </c>
      <c r="X168" s="44">
        <v>25</v>
      </c>
      <c r="Y168" s="44">
        <v>25</v>
      </c>
      <c r="Z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/>
      <c r="AJ168" s="44">
        <v>25</v>
      </c>
      <c r="AK168" s="44">
        <v>25</v>
      </c>
      <c r="AL168" s="44">
        <v>25</v>
      </c>
      <c r="AM168" s="44">
        <v>25</v>
      </c>
      <c r="AN168" s="44">
        <v>25</v>
      </c>
      <c r="AO168" s="44">
        <v>25</v>
      </c>
      <c r="AP168" s="44">
        <v>25</v>
      </c>
      <c r="AQ168"/>
      <c r="AR168" s="44">
        <v>25</v>
      </c>
      <c r="AS168" s="44">
        <v>25</v>
      </c>
      <c r="AT168" s="44">
        <v>25</v>
      </c>
      <c r="AU168" s="44">
        <v>25</v>
      </c>
      <c r="AV168"/>
      <c r="AW168" s="44">
        <v>25</v>
      </c>
      <c r="AX168"/>
      <c r="AY168"/>
      <c r="AZ168" s="44">
        <v>25</v>
      </c>
    </row>
    <row r="169" spans="1:52" x14ac:dyDescent="0.25">
      <c r="A169" s="31" t="s">
        <v>250</v>
      </c>
      <c r="B169" s="3" t="s">
        <v>473</v>
      </c>
      <c r="C169" s="3" t="s">
        <v>483</v>
      </c>
      <c r="D169" s="3" t="s">
        <v>537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T169" s="44">
        <v>0</v>
      </c>
      <c r="U169" s="44">
        <v>0</v>
      </c>
      <c r="X169" s="44">
        <v>0</v>
      </c>
      <c r="Y169" s="44">
        <v>0</v>
      </c>
      <c r="Z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/>
      <c r="AJ169" s="44">
        <v>0</v>
      </c>
      <c r="AK169" s="44">
        <v>0</v>
      </c>
      <c r="AL169" s="44">
        <v>0</v>
      </c>
      <c r="AM169" s="44">
        <v>0</v>
      </c>
      <c r="AN169" s="44">
        <v>0</v>
      </c>
      <c r="AO169" s="44">
        <v>0</v>
      </c>
      <c r="AP169" s="44">
        <v>0</v>
      </c>
      <c r="AQ169"/>
      <c r="AR169" s="44">
        <v>0</v>
      </c>
      <c r="AS169" s="44">
        <v>0</v>
      </c>
      <c r="AT169" s="44">
        <v>0</v>
      </c>
      <c r="AU169" s="44">
        <v>0</v>
      </c>
      <c r="AV169"/>
      <c r="AW169" s="44">
        <v>0</v>
      </c>
      <c r="AX169"/>
      <c r="AY169"/>
      <c r="AZ169" s="44">
        <v>0</v>
      </c>
    </row>
    <row r="170" spans="1:52" x14ac:dyDescent="0.25">
      <c r="A170" s="31" t="s">
        <v>251</v>
      </c>
      <c r="B170" s="3" t="s">
        <v>473</v>
      </c>
      <c r="C170" s="3" t="s">
        <v>483</v>
      </c>
      <c r="D170" s="3" t="s">
        <v>537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T170" s="44">
        <v>3.98</v>
      </c>
      <c r="U170" s="44">
        <v>3.98</v>
      </c>
      <c r="X170" s="44">
        <v>3.98</v>
      </c>
      <c r="Y170" s="44">
        <v>3.98</v>
      </c>
      <c r="Z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/>
      <c r="AJ170" s="44">
        <v>3.98</v>
      </c>
      <c r="AK170" s="44">
        <v>3.98</v>
      </c>
      <c r="AL170" s="44">
        <v>3.98</v>
      </c>
      <c r="AM170" s="44">
        <v>3.98</v>
      </c>
      <c r="AN170" s="44">
        <v>3.98</v>
      </c>
      <c r="AO170" s="44">
        <v>3.98</v>
      </c>
      <c r="AP170" s="44">
        <v>3.98</v>
      </c>
      <c r="AQ170"/>
      <c r="AR170" s="44">
        <v>3.98</v>
      </c>
      <c r="AS170" s="44">
        <v>3.98</v>
      </c>
      <c r="AT170" s="44">
        <v>3.98</v>
      </c>
      <c r="AU170" s="44">
        <v>3.98</v>
      </c>
      <c r="AV170"/>
      <c r="AW170" s="44">
        <v>3.98</v>
      </c>
      <c r="AX170"/>
      <c r="AY170"/>
      <c r="AZ170" s="44">
        <v>3.98</v>
      </c>
    </row>
    <row r="171" spans="1:52" x14ac:dyDescent="0.25">
      <c r="A171" s="31" t="s">
        <v>252</v>
      </c>
      <c r="B171" s="3" t="s">
        <v>473</v>
      </c>
      <c r="C171" s="3" t="s">
        <v>483</v>
      </c>
      <c r="D171" s="3" t="s">
        <v>537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T171" s="44">
        <v>1</v>
      </c>
      <c r="U171" s="44">
        <v>1</v>
      </c>
      <c r="X171" s="44">
        <v>1</v>
      </c>
      <c r="Y171" s="44">
        <v>1</v>
      </c>
      <c r="Z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/>
      <c r="AJ171" s="44">
        <v>1</v>
      </c>
      <c r="AK171" s="44">
        <v>1</v>
      </c>
      <c r="AL171" s="44">
        <v>1</v>
      </c>
      <c r="AM171" s="44">
        <v>1</v>
      </c>
      <c r="AN171" s="44">
        <v>1</v>
      </c>
      <c r="AO171" s="44">
        <v>1</v>
      </c>
      <c r="AP171" s="44">
        <v>1</v>
      </c>
      <c r="AQ171"/>
      <c r="AR171" s="44">
        <v>1</v>
      </c>
      <c r="AS171" s="44">
        <v>1</v>
      </c>
      <c r="AT171" s="44">
        <v>1</v>
      </c>
      <c r="AU171" s="44">
        <v>1</v>
      </c>
      <c r="AV171"/>
      <c r="AW171" s="44">
        <v>1</v>
      </c>
      <c r="AX171"/>
      <c r="AY171"/>
      <c r="AZ171" s="44">
        <v>1</v>
      </c>
    </row>
    <row r="172" spans="1:52" x14ac:dyDescent="0.25">
      <c r="A172" s="31" t="s">
        <v>81</v>
      </c>
      <c r="B172" s="3" t="s">
        <v>473</v>
      </c>
      <c r="C172" s="3" t="s">
        <v>483</v>
      </c>
      <c r="D172" s="3" t="s">
        <v>537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U172" s="44">
        <v>1.6666666666666666E-4</v>
      </c>
      <c r="X172" s="44">
        <v>1.6666666666666666E-4</v>
      </c>
      <c r="Y172" s="44">
        <v>1.6666666666666666E-4</v>
      </c>
      <c r="Z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/>
      <c r="AJ172" s="44">
        <v>1.6666666666666666E-4</v>
      </c>
      <c r="AK172" s="44">
        <v>1.6666666666666666E-4</v>
      </c>
      <c r="AL172" s="44">
        <v>1.6666666666666666E-4</v>
      </c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/>
      <c r="AR172" s="44">
        <v>1.6666666666666666E-4</v>
      </c>
      <c r="AS172" s="44">
        <v>1.6666666666666666E-4</v>
      </c>
      <c r="AT172" s="44">
        <v>1.6666666666666666E-4</v>
      </c>
      <c r="AU172" s="44">
        <v>1.6666666666666666E-4</v>
      </c>
      <c r="AV172"/>
      <c r="AW172" s="44">
        <v>1.6666666666666666E-4</v>
      </c>
      <c r="AX172"/>
      <c r="AY172"/>
      <c r="AZ172" s="44">
        <v>1.6666666666666666E-4</v>
      </c>
    </row>
    <row r="173" spans="1:52" x14ac:dyDescent="0.25">
      <c r="A173" s="11" t="s">
        <v>253</v>
      </c>
      <c r="B173" s="3" t="s">
        <v>473</v>
      </c>
      <c r="C173" s="3" t="s">
        <v>483</v>
      </c>
      <c r="D173" s="3" t="s">
        <v>537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T173" s="44">
        <v>1E-8</v>
      </c>
      <c r="U173" s="44">
        <v>1E-8</v>
      </c>
      <c r="X173" s="44">
        <v>1E-8</v>
      </c>
      <c r="Y173" s="44">
        <v>1E-8</v>
      </c>
      <c r="Z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/>
      <c r="AJ173" s="44">
        <v>1E-8</v>
      </c>
      <c r="AK173" s="44">
        <v>1E-8</v>
      </c>
      <c r="AL173" s="44">
        <v>1E-8</v>
      </c>
      <c r="AM173" s="44">
        <v>1E-8</v>
      </c>
      <c r="AN173" s="44">
        <v>1E-8</v>
      </c>
      <c r="AO173" s="44">
        <v>1E-8</v>
      </c>
      <c r="AP173" s="44">
        <v>1E-8</v>
      </c>
      <c r="AQ173"/>
      <c r="AR173" s="44">
        <v>1E-8</v>
      </c>
      <c r="AS173" s="44">
        <v>1E-8</v>
      </c>
      <c r="AT173" s="44">
        <v>1E-8</v>
      </c>
      <c r="AU173" s="44">
        <v>1E-8</v>
      </c>
      <c r="AV173"/>
      <c r="AW173" s="44">
        <v>1E-8</v>
      </c>
      <c r="AX173"/>
      <c r="AY173"/>
      <c r="AZ173" s="44">
        <v>1E-8</v>
      </c>
    </row>
    <row r="174" spans="1:52" x14ac:dyDescent="0.25">
      <c r="A174" s="11" t="s">
        <v>254</v>
      </c>
      <c r="B174" s="3" t="s">
        <v>473</v>
      </c>
      <c r="C174" s="3" t="s">
        <v>483</v>
      </c>
      <c r="D174" s="3" t="s">
        <v>537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T174" s="44">
        <v>20</v>
      </c>
      <c r="U174" s="44">
        <v>20</v>
      </c>
      <c r="X174" s="44">
        <v>20</v>
      </c>
      <c r="Y174" s="44">
        <v>20</v>
      </c>
      <c r="Z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/>
      <c r="AJ174" s="44">
        <v>20</v>
      </c>
      <c r="AK174" s="44">
        <v>20</v>
      </c>
      <c r="AL174" s="44">
        <v>20</v>
      </c>
      <c r="AM174" s="44">
        <v>20</v>
      </c>
      <c r="AN174" s="44">
        <v>20</v>
      </c>
      <c r="AO174" s="44">
        <v>20</v>
      </c>
      <c r="AP174" s="44">
        <v>20</v>
      </c>
      <c r="AQ174"/>
      <c r="AR174" s="44">
        <v>20</v>
      </c>
      <c r="AS174" s="44">
        <v>20</v>
      </c>
      <c r="AT174" s="44">
        <v>20</v>
      </c>
      <c r="AU174" s="44">
        <v>20</v>
      </c>
      <c r="AV174"/>
      <c r="AW174" s="44">
        <v>20</v>
      </c>
      <c r="AX174"/>
      <c r="AY174"/>
      <c r="AZ174" s="44">
        <v>20</v>
      </c>
    </row>
    <row r="175" spans="1:52" x14ac:dyDescent="0.25">
      <c r="A175" s="11" t="s">
        <v>255</v>
      </c>
      <c r="B175" s="3" t="s">
        <v>473</v>
      </c>
      <c r="C175" s="3" t="s">
        <v>483</v>
      </c>
      <c r="D175" s="3" t="s">
        <v>537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T175" s="44">
        <v>0</v>
      </c>
      <c r="U175" s="44">
        <v>0</v>
      </c>
      <c r="X175" s="44">
        <v>0</v>
      </c>
      <c r="Y175" s="44">
        <v>0</v>
      </c>
      <c r="Z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/>
      <c r="AJ175" s="44">
        <v>0</v>
      </c>
      <c r="AK175" s="44">
        <v>0</v>
      </c>
      <c r="AL175" s="44">
        <v>0</v>
      </c>
      <c r="AM175" s="44">
        <v>0</v>
      </c>
      <c r="AN175" s="44">
        <v>0</v>
      </c>
      <c r="AO175" s="44">
        <v>0</v>
      </c>
      <c r="AP175" s="44">
        <v>0</v>
      </c>
      <c r="AQ175"/>
      <c r="AR175" s="44">
        <v>0</v>
      </c>
      <c r="AS175" s="44">
        <v>0</v>
      </c>
      <c r="AT175" s="44">
        <v>0</v>
      </c>
      <c r="AU175" s="44">
        <v>0</v>
      </c>
      <c r="AV175"/>
      <c r="AW175" s="44">
        <v>0</v>
      </c>
      <c r="AX175"/>
      <c r="AY175"/>
      <c r="AZ175" s="44">
        <v>0</v>
      </c>
    </row>
    <row r="176" spans="1:52" x14ac:dyDescent="0.25">
      <c r="A176" s="11" t="s">
        <v>256</v>
      </c>
      <c r="B176" s="3" t="s">
        <v>473</v>
      </c>
      <c r="C176" s="3" t="s">
        <v>483</v>
      </c>
      <c r="D176" s="3" t="s">
        <v>537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T176" s="44">
        <v>2</v>
      </c>
      <c r="U176" s="44">
        <v>2</v>
      </c>
      <c r="X176" s="44">
        <v>2</v>
      </c>
      <c r="Y176" s="44">
        <v>2</v>
      </c>
      <c r="Z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/>
      <c r="AJ176" s="44">
        <v>2</v>
      </c>
      <c r="AK176" s="44">
        <v>2</v>
      </c>
      <c r="AL176" s="44">
        <v>2</v>
      </c>
      <c r="AM176" s="44">
        <v>2</v>
      </c>
      <c r="AN176" s="44">
        <v>2</v>
      </c>
      <c r="AO176" s="44">
        <v>2</v>
      </c>
      <c r="AP176" s="44">
        <v>2</v>
      </c>
      <c r="AQ176"/>
      <c r="AR176" s="44">
        <v>2</v>
      </c>
      <c r="AS176" s="44">
        <v>2</v>
      </c>
      <c r="AT176" s="44">
        <v>2</v>
      </c>
      <c r="AU176" s="44">
        <v>2</v>
      </c>
      <c r="AV176"/>
      <c r="AW176" s="44">
        <v>2</v>
      </c>
      <c r="AX176"/>
      <c r="AY176"/>
      <c r="AZ176" s="44">
        <v>2</v>
      </c>
    </row>
    <row r="177" spans="1:52" x14ac:dyDescent="0.25">
      <c r="A177" s="11" t="s">
        <v>257</v>
      </c>
      <c r="B177" s="3" t="s">
        <v>473</v>
      </c>
      <c r="C177" s="3" t="s">
        <v>483</v>
      </c>
      <c r="D177" s="3" t="s">
        <v>537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T177" s="44">
        <v>1</v>
      </c>
      <c r="U177" s="44">
        <v>1</v>
      </c>
      <c r="X177" s="44">
        <v>1</v>
      </c>
      <c r="Y177" s="44">
        <v>1</v>
      </c>
      <c r="Z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/>
      <c r="AJ177" s="44">
        <v>1</v>
      </c>
      <c r="AK177" s="44">
        <v>1</v>
      </c>
      <c r="AL177" s="44">
        <v>1</v>
      </c>
      <c r="AM177" s="44">
        <v>1</v>
      </c>
      <c r="AN177" s="44">
        <v>1</v>
      </c>
      <c r="AO177" s="44">
        <v>1</v>
      </c>
      <c r="AP177" s="44">
        <v>1</v>
      </c>
      <c r="AQ177"/>
      <c r="AR177" s="44">
        <v>1</v>
      </c>
      <c r="AS177" s="44">
        <v>1</v>
      </c>
      <c r="AT177" s="44">
        <v>1</v>
      </c>
      <c r="AU177" s="44">
        <v>1</v>
      </c>
      <c r="AV177"/>
      <c r="AW177" s="44">
        <v>1</v>
      </c>
      <c r="AX177"/>
      <c r="AY177"/>
      <c r="AZ177" s="44">
        <v>1</v>
      </c>
    </row>
    <row r="178" spans="1:52" x14ac:dyDescent="0.25">
      <c r="A178" s="11" t="s">
        <v>258</v>
      </c>
      <c r="B178" s="3" t="s">
        <v>473</v>
      </c>
      <c r="C178" s="3" t="s">
        <v>483</v>
      </c>
      <c r="D178" s="3" t="s">
        <v>537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U178" s="44">
        <v>8.3333333333333331E-5</v>
      </c>
      <c r="X178" s="44">
        <v>8.3333333333333331E-5</v>
      </c>
      <c r="Y178" s="44">
        <v>8.3333333333333331E-5</v>
      </c>
      <c r="Z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/>
      <c r="AJ178" s="44">
        <v>8.3333333333333331E-5</v>
      </c>
      <c r="AK178" s="44">
        <v>8.3333333333333331E-5</v>
      </c>
      <c r="AL178" s="44">
        <v>8.3333333333333331E-5</v>
      </c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/>
      <c r="AR178" s="44">
        <v>8.3333333333333331E-5</v>
      </c>
      <c r="AS178" s="44">
        <v>8.3333333333333331E-5</v>
      </c>
      <c r="AT178" s="44">
        <v>8.3333333333333331E-5</v>
      </c>
      <c r="AU178" s="44">
        <v>8.3333333333333331E-5</v>
      </c>
      <c r="AV178"/>
      <c r="AW178" s="44">
        <v>8.3333333333333331E-5</v>
      </c>
      <c r="AX178"/>
      <c r="AY178"/>
      <c r="AZ178" s="44">
        <v>8.3333333333333331E-5</v>
      </c>
    </row>
    <row r="179" spans="1:52" x14ac:dyDescent="0.25">
      <c r="A179" s="11" t="s">
        <v>259</v>
      </c>
      <c r="B179" s="3" t="s">
        <v>473</v>
      </c>
      <c r="C179" s="3" t="s">
        <v>483</v>
      </c>
      <c r="D179" s="3" t="s">
        <v>537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T179" s="44">
        <v>1</v>
      </c>
      <c r="U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/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 s="44">
        <v>1</v>
      </c>
      <c r="AP179" s="44">
        <v>1</v>
      </c>
      <c r="AQ179"/>
      <c r="AR179" s="44">
        <v>1</v>
      </c>
      <c r="AS179" s="44">
        <v>1</v>
      </c>
      <c r="AT179" s="44">
        <v>1</v>
      </c>
      <c r="AU179" s="44">
        <v>1</v>
      </c>
      <c r="AV179"/>
      <c r="AW179" s="44">
        <v>1</v>
      </c>
      <c r="AX179"/>
      <c r="AY179"/>
      <c r="AZ179" s="44">
        <v>1</v>
      </c>
    </row>
    <row r="180" spans="1:52" x14ac:dyDescent="0.25">
      <c r="A180" s="27" t="s">
        <v>260</v>
      </c>
      <c r="B180" s="3" t="s">
        <v>473</v>
      </c>
      <c r="C180" s="3" t="s">
        <v>483</v>
      </c>
      <c r="D180" s="3" t="s">
        <v>537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U180" s="44">
        <v>2.3533050791148899E-8</v>
      </c>
      <c r="X180" s="44">
        <v>2.3533050791148899E-8</v>
      </c>
      <c r="Y180" s="44">
        <v>2.3533050791148899E-8</v>
      </c>
      <c r="Z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/>
      <c r="AJ180" s="44">
        <v>2.3533050791148899E-8</v>
      </c>
      <c r="AK180" s="44">
        <v>2.3533050791148899E-8</v>
      </c>
      <c r="AL180" s="44">
        <v>2.3533050791148899E-8</v>
      </c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/>
      <c r="AR180" s="44">
        <v>2.3533050791148899E-8</v>
      </c>
      <c r="AS180" s="44">
        <v>2.3533050791148899E-8</v>
      </c>
      <c r="AT180" s="44">
        <v>2.3533050791148899E-8</v>
      </c>
      <c r="AU180" s="44">
        <v>2.3533050791148899E-8</v>
      </c>
      <c r="AV180"/>
      <c r="AW180" s="44">
        <v>2.3533050791148899E-8</v>
      </c>
      <c r="AX180"/>
      <c r="AY180"/>
      <c r="AZ180" s="44">
        <v>2.3533050791148899E-8</v>
      </c>
    </row>
    <row r="181" spans="1:52" x14ac:dyDescent="0.25">
      <c r="A181" s="27" t="s">
        <v>261</v>
      </c>
      <c r="B181" s="3" t="s">
        <v>473</v>
      </c>
      <c r="C181" s="3" t="s">
        <v>483</v>
      </c>
      <c r="D181" s="3" t="s">
        <v>537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T181" s="44">
        <v>20</v>
      </c>
      <c r="U181" s="44">
        <v>20</v>
      </c>
      <c r="X181" s="44">
        <v>20</v>
      </c>
      <c r="Y181" s="44">
        <v>20</v>
      </c>
      <c r="Z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/>
      <c r="AJ181" s="44">
        <v>20</v>
      </c>
      <c r="AK181" s="44">
        <v>20</v>
      </c>
      <c r="AL181" s="44">
        <v>20</v>
      </c>
      <c r="AM181" s="44">
        <v>20</v>
      </c>
      <c r="AN181" s="44">
        <v>20</v>
      </c>
      <c r="AO181" s="44">
        <v>20</v>
      </c>
      <c r="AP181" s="44">
        <v>20</v>
      </c>
      <c r="AQ181"/>
      <c r="AR181" s="44">
        <v>20</v>
      </c>
      <c r="AS181" s="44">
        <v>20</v>
      </c>
      <c r="AT181" s="44">
        <v>20</v>
      </c>
      <c r="AU181" s="44">
        <v>20</v>
      </c>
      <c r="AV181"/>
      <c r="AW181" s="44">
        <v>20</v>
      </c>
      <c r="AX181"/>
      <c r="AY181"/>
      <c r="AZ181" s="44">
        <v>20</v>
      </c>
    </row>
    <row r="182" spans="1:52" x14ac:dyDescent="0.25">
      <c r="A182" s="27" t="s">
        <v>262</v>
      </c>
      <c r="B182" s="3" t="s">
        <v>473</v>
      </c>
      <c r="C182" s="3" t="s">
        <v>483</v>
      </c>
      <c r="D182" s="3" t="s">
        <v>537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T182" s="44">
        <v>-0.187</v>
      </c>
      <c r="U182" s="44">
        <v>-0.187</v>
      </c>
      <c r="X182" s="44">
        <v>-0.187</v>
      </c>
      <c r="Y182" s="44">
        <v>-0.187</v>
      </c>
      <c r="Z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/>
      <c r="AJ182" s="44">
        <v>-0.187</v>
      </c>
      <c r="AK182" s="44">
        <v>-0.187</v>
      </c>
      <c r="AL182" s="44">
        <v>-0.187</v>
      </c>
      <c r="AM182" s="44">
        <v>-0.187</v>
      </c>
      <c r="AN182" s="44">
        <v>-0.187</v>
      </c>
      <c r="AO182" s="44">
        <v>-0.187</v>
      </c>
      <c r="AP182" s="44">
        <v>-0.187</v>
      </c>
      <c r="AQ182"/>
      <c r="AR182" s="44">
        <v>-0.187</v>
      </c>
      <c r="AS182" s="44">
        <v>-0.187</v>
      </c>
      <c r="AT182" s="44">
        <v>-0.187</v>
      </c>
      <c r="AU182" s="44">
        <v>-0.187</v>
      </c>
      <c r="AV182"/>
      <c r="AW182" s="44">
        <v>-0.187</v>
      </c>
      <c r="AX182"/>
      <c r="AY182"/>
      <c r="AZ182" s="44">
        <v>-0.187</v>
      </c>
    </row>
    <row r="183" spans="1:52" x14ac:dyDescent="0.25">
      <c r="A183" s="27" t="s">
        <v>263</v>
      </c>
      <c r="B183" s="3" t="s">
        <v>473</v>
      </c>
      <c r="C183" s="3" t="s">
        <v>483</v>
      </c>
      <c r="D183" s="3" t="s">
        <v>537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T183" s="44">
        <v>2.48</v>
      </c>
      <c r="U183" s="44">
        <v>2.48</v>
      </c>
      <c r="X183" s="44">
        <v>2.48</v>
      </c>
      <c r="Y183" s="44">
        <v>2.48</v>
      </c>
      <c r="Z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/>
      <c r="AJ183" s="44">
        <v>2.48</v>
      </c>
      <c r="AK183" s="44">
        <v>2.48</v>
      </c>
      <c r="AL183" s="44">
        <v>2.48</v>
      </c>
      <c r="AM183" s="44">
        <v>2.48</v>
      </c>
      <c r="AN183" s="44">
        <v>2.48</v>
      </c>
      <c r="AO183" s="44">
        <v>2.48</v>
      </c>
      <c r="AP183" s="44">
        <v>2.48</v>
      </c>
      <c r="AQ183"/>
      <c r="AR183" s="44">
        <v>2.48</v>
      </c>
      <c r="AS183" s="44">
        <v>2.48</v>
      </c>
      <c r="AT183" s="44">
        <v>2.48</v>
      </c>
      <c r="AU183" s="44">
        <v>2.48</v>
      </c>
      <c r="AV183"/>
      <c r="AW183" s="44">
        <v>2.48</v>
      </c>
      <c r="AX183"/>
      <c r="AY183"/>
      <c r="AZ183" s="44">
        <v>2.48</v>
      </c>
    </row>
    <row r="184" spans="1:52" x14ac:dyDescent="0.25">
      <c r="A184" s="27" t="s">
        <v>264</v>
      </c>
      <c r="B184" s="3" t="s">
        <v>473</v>
      </c>
      <c r="C184" s="3" t="s">
        <v>483</v>
      </c>
      <c r="D184" s="3" t="s">
        <v>537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T184" s="44">
        <v>1</v>
      </c>
      <c r="U184" s="44">
        <v>1</v>
      </c>
      <c r="X184" s="44">
        <v>1</v>
      </c>
      <c r="Y184" s="44">
        <v>1</v>
      </c>
      <c r="Z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/>
      <c r="AJ184" s="44">
        <v>1</v>
      </c>
      <c r="AK184" s="44">
        <v>1</v>
      </c>
      <c r="AL184" s="44">
        <v>1</v>
      </c>
      <c r="AM184" s="44">
        <v>1</v>
      </c>
      <c r="AN184" s="44">
        <v>1</v>
      </c>
      <c r="AO184" s="44">
        <v>1</v>
      </c>
      <c r="AP184" s="44">
        <v>1</v>
      </c>
      <c r="AQ184"/>
      <c r="AR184" s="44">
        <v>1</v>
      </c>
      <c r="AS184" s="44">
        <v>1</v>
      </c>
      <c r="AT184" s="44">
        <v>1</v>
      </c>
      <c r="AU184" s="44">
        <v>1</v>
      </c>
      <c r="AV184"/>
      <c r="AW184" s="44">
        <v>1</v>
      </c>
      <c r="AX184"/>
      <c r="AY184"/>
      <c r="AZ184" s="44">
        <v>1</v>
      </c>
    </row>
    <row r="185" spans="1:52" x14ac:dyDescent="0.25">
      <c r="A185" s="27" t="s">
        <v>265</v>
      </c>
      <c r="B185" s="3" t="s">
        <v>473</v>
      </c>
      <c r="C185" s="3" t="s">
        <v>483</v>
      </c>
      <c r="D185" s="3" t="s">
        <v>537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U185" s="44">
        <v>6.1060227588121015E-4</v>
      </c>
      <c r="X185" s="44">
        <v>6.1060227588121015E-4</v>
      </c>
      <c r="Y185" s="44">
        <v>6.1060227588121015E-4</v>
      </c>
      <c r="Z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/>
      <c r="AJ185" s="44">
        <v>6.1060227588121015E-4</v>
      </c>
      <c r="AK185" s="44">
        <v>6.1060227588121015E-4</v>
      </c>
      <c r="AL185" s="44">
        <v>6.1060227588121015E-4</v>
      </c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/>
      <c r="AR185" s="44">
        <v>6.1060227588121015E-4</v>
      </c>
      <c r="AS185" s="44">
        <v>6.1060227588121015E-4</v>
      </c>
      <c r="AT185" s="44">
        <v>6.1060227588121015E-4</v>
      </c>
      <c r="AU185" s="44">
        <v>6.1060227588121015E-4</v>
      </c>
      <c r="AV185"/>
      <c r="AW185" s="44">
        <v>6.1060227588121015E-4</v>
      </c>
      <c r="AX185"/>
      <c r="AY185"/>
      <c r="AZ185" s="44">
        <v>6.1060227588121015E-4</v>
      </c>
    </row>
    <row r="186" spans="1:52" x14ac:dyDescent="0.25">
      <c r="A186" s="23" t="s">
        <v>266</v>
      </c>
      <c r="B186" s="3" t="s">
        <v>473</v>
      </c>
      <c r="C186" s="3" t="s">
        <v>483</v>
      </c>
      <c r="D186" s="3" t="s">
        <v>537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U186" s="44">
        <v>3.9999999999999998E-7</v>
      </c>
      <c r="X186" s="44">
        <v>3.9999999999999998E-7</v>
      </c>
      <c r="Y186" s="44">
        <v>3.9999999999999998E-7</v>
      </c>
      <c r="Z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/>
      <c r="AJ186" s="44">
        <v>3.9999999999999998E-7</v>
      </c>
      <c r="AK186" s="44">
        <v>3.9999999999999998E-7</v>
      </c>
      <c r="AL186" s="44">
        <v>3.9999999999999998E-7</v>
      </c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/>
      <c r="AR186" s="44">
        <v>3.9999999999999998E-7</v>
      </c>
      <c r="AS186" s="44">
        <v>3.9999999999999998E-7</v>
      </c>
      <c r="AT186" s="44">
        <v>3.9999999999999998E-7</v>
      </c>
      <c r="AU186" s="44">
        <v>3.9999999999999998E-7</v>
      </c>
      <c r="AV186"/>
      <c r="AW186" s="44">
        <v>3.9999999999999998E-7</v>
      </c>
      <c r="AX186"/>
      <c r="AY186"/>
      <c r="AZ186" s="44">
        <v>3.9999999999999998E-7</v>
      </c>
    </row>
    <row r="187" spans="1:52" x14ac:dyDescent="0.25">
      <c r="A187" s="23" t="s">
        <v>267</v>
      </c>
      <c r="B187" s="3" t="s">
        <v>473</v>
      </c>
      <c r="C187" s="3" t="s">
        <v>483</v>
      </c>
      <c r="D187" s="3" t="s">
        <v>537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T187" s="44">
        <v>25</v>
      </c>
      <c r="U187" s="44">
        <v>25</v>
      </c>
      <c r="X187" s="44">
        <v>25</v>
      </c>
      <c r="Y187" s="44">
        <v>25</v>
      </c>
      <c r="Z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/>
      <c r="AJ187" s="44">
        <v>25</v>
      </c>
      <c r="AK187" s="44">
        <v>25</v>
      </c>
      <c r="AL187" s="44">
        <v>25</v>
      </c>
      <c r="AM187" s="44">
        <v>25</v>
      </c>
      <c r="AN187" s="44">
        <v>25</v>
      </c>
      <c r="AO187" s="44">
        <v>25</v>
      </c>
      <c r="AP187" s="44">
        <v>25</v>
      </c>
      <c r="AQ187"/>
      <c r="AR187" s="44">
        <v>25</v>
      </c>
      <c r="AS187" s="44">
        <v>25</v>
      </c>
      <c r="AT187" s="44">
        <v>25</v>
      </c>
      <c r="AU187" s="44">
        <v>25</v>
      </c>
      <c r="AV187"/>
      <c r="AW187" s="44">
        <v>25</v>
      </c>
      <c r="AX187"/>
      <c r="AY187"/>
      <c r="AZ187" s="44">
        <v>25</v>
      </c>
    </row>
    <row r="188" spans="1:52" x14ac:dyDescent="0.25">
      <c r="A188" s="23" t="s">
        <v>268</v>
      </c>
      <c r="B188" s="3" t="s">
        <v>473</v>
      </c>
      <c r="C188" s="3" t="s">
        <v>483</v>
      </c>
      <c r="D188" s="3" t="s">
        <v>537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T188" s="44">
        <v>0</v>
      </c>
      <c r="U188" s="44">
        <v>0</v>
      </c>
      <c r="X188" s="44">
        <v>0</v>
      </c>
      <c r="Y188" s="44">
        <v>0</v>
      </c>
      <c r="Z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/>
      <c r="AJ188" s="44">
        <v>0</v>
      </c>
      <c r="AK188" s="44">
        <v>0</v>
      </c>
      <c r="AL188" s="44">
        <v>0</v>
      </c>
      <c r="AM188" s="44">
        <v>0</v>
      </c>
      <c r="AN188" s="44">
        <v>0</v>
      </c>
      <c r="AO188" s="44">
        <v>0</v>
      </c>
      <c r="AP188" s="44">
        <v>0</v>
      </c>
      <c r="AQ188"/>
      <c r="AR188" s="44">
        <v>0</v>
      </c>
      <c r="AS188" s="44">
        <v>0</v>
      </c>
      <c r="AT188" s="44">
        <v>0</v>
      </c>
      <c r="AU188" s="44">
        <v>0</v>
      </c>
      <c r="AV188"/>
      <c r="AW188" s="44">
        <v>0</v>
      </c>
      <c r="AX188"/>
      <c r="AY188"/>
      <c r="AZ188" s="44">
        <v>0</v>
      </c>
    </row>
    <row r="189" spans="1:52" x14ac:dyDescent="0.25">
      <c r="A189" s="23" t="s">
        <v>269</v>
      </c>
      <c r="B189" s="3" t="s">
        <v>473</v>
      </c>
      <c r="C189" s="3" t="s">
        <v>483</v>
      </c>
      <c r="D189" s="3" t="s">
        <v>537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T189" s="44">
        <v>3.98</v>
      </c>
      <c r="U189" s="44">
        <v>3.98</v>
      </c>
      <c r="X189" s="44">
        <v>3.98</v>
      </c>
      <c r="Y189" s="44">
        <v>3.98</v>
      </c>
      <c r="Z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/>
      <c r="AJ189" s="44">
        <v>3.98</v>
      </c>
      <c r="AK189" s="44">
        <v>3.98</v>
      </c>
      <c r="AL189" s="44">
        <v>3.98</v>
      </c>
      <c r="AM189" s="44">
        <v>3.98</v>
      </c>
      <c r="AN189" s="44">
        <v>3.98</v>
      </c>
      <c r="AO189" s="44">
        <v>3.98</v>
      </c>
      <c r="AP189" s="44">
        <v>3.98</v>
      </c>
      <c r="AQ189"/>
      <c r="AR189" s="44">
        <v>3.98</v>
      </c>
      <c r="AS189" s="44">
        <v>3.98</v>
      </c>
      <c r="AT189" s="44">
        <v>3.98</v>
      </c>
      <c r="AU189" s="44">
        <v>3.98</v>
      </c>
      <c r="AV189"/>
      <c r="AW189" s="44">
        <v>3.98</v>
      </c>
      <c r="AX189"/>
      <c r="AY189"/>
      <c r="AZ189" s="44">
        <v>3.98</v>
      </c>
    </row>
    <row r="190" spans="1:52" x14ac:dyDescent="0.25">
      <c r="A190" s="23" t="s">
        <v>270</v>
      </c>
      <c r="B190" s="3" t="s">
        <v>473</v>
      </c>
      <c r="C190" s="3" t="s">
        <v>483</v>
      </c>
      <c r="D190" s="3" t="s">
        <v>537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T190" s="44">
        <v>1</v>
      </c>
      <c r="U190" s="44">
        <v>1</v>
      </c>
      <c r="X190" s="44">
        <v>1</v>
      </c>
      <c r="Y190" s="44">
        <v>1</v>
      </c>
      <c r="Z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/>
      <c r="AJ190" s="44">
        <v>1</v>
      </c>
      <c r="AK190" s="44">
        <v>1</v>
      </c>
      <c r="AL190" s="44">
        <v>1</v>
      </c>
      <c r="AM190" s="44">
        <v>1</v>
      </c>
      <c r="AN190" s="44">
        <v>1</v>
      </c>
      <c r="AO190" s="44">
        <v>1</v>
      </c>
      <c r="AP190" s="44">
        <v>1</v>
      </c>
      <c r="AQ190"/>
      <c r="AR190" s="44">
        <v>1</v>
      </c>
      <c r="AS190" s="44">
        <v>1</v>
      </c>
      <c r="AT190" s="44">
        <v>1</v>
      </c>
      <c r="AU190" s="44">
        <v>1</v>
      </c>
      <c r="AV190"/>
      <c r="AW190" s="44">
        <v>1</v>
      </c>
      <c r="AX190"/>
      <c r="AY190"/>
      <c r="AZ190" s="44">
        <v>1</v>
      </c>
    </row>
    <row r="191" spans="1:52" x14ac:dyDescent="0.25">
      <c r="A191" s="23" t="s">
        <v>271</v>
      </c>
      <c r="B191" s="3" t="s">
        <v>473</v>
      </c>
      <c r="C191" s="3" t="s">
        <v>483</v>
      </c>
      <c r="D191" s="3" t="s">
        <v>537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U191" s="44">
        <v>8.3333333333333331E-5</v>
      </c>
      <c r="X191" s="44">
        <v>8.3333333333333331E-5</v>
      </c>
      <c r="Y191" s="44">
        <v>8.3333333333333331E-5</v>
      </c>
      <c r="Z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/>
      <c r="AJ191" s="44">
        <v>8.3333333333333331E-5</v>
      </c>
      <c r="AK191" s="44">
        <v>8.3333333333333331E-5</v>
      </c>
      <c r="AL191" s="44">
        <v>8.3333333333333331E-5</v>
      </c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/>
      <c r="AR191" s="44">
        <v>8.3333333333333331E-5</v>
      </c>
      <c r="AS191" s="44">
        <v>8.3333333333333331E-5</v>
      </c>
      <c r="AT191" s="44">
        <v>8.3333333333333331E-5</v>
      </c>
      <c r="AU191" s="44">
        <v>8.3333333333333331E-5</v>
      </c>
      <c r="AV191"/>
      <c r="AW191" s="44">
        <v>8.3333333333333331E-5</v>
      </c>
      <c r="AX191"/>
      <c r="AY191"/>
      <c r="AZ191" s="44">
        <v>8.3333333333333331E-5</v>
      </c>
    </row>
    <row r="192" spans="1:52" x14ac:dyDescent="0.25">
      <c r="A192" s="7" t="s">
        <v>272</v>
      </c>
      <c r="B192" s="3" t="s">
        <v>473</v>
      </c>
      <c r="C192" s="3" t="s">
        <v>483</v>
      </c>
      <c r="D192" s="3" t="s">
        <v>537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U192" s="44">
        <v>3.9999999999999998E-7</v>
      </c>
      <c r="X192" s="44">
        <v>3.9999999999999998E-7</v>
      </c>
      <c r="Y192" s="44">
        <v>3.9999999999999998E-7</v>
      </c>
      <c r="Z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/>
      <c r="AJ192" s="44">
        <v>3.9999999999999998E-7</v>
      </c>
      <c r="AK192" s="44">
        <v>3.9999999999999998E-7</v>
      </c>
      <c r="AL192" s="44">
        <v>3.9999999999999998E-7</v>
      </c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/>
      <c r="AR192" s="44">
        <v>3.9999999999999998E-7</v>
      </c>
      <c r="AS192" s="44">
        <v>3.9999999999999998E-7</v>
      </c>
      <c r="AT192" s="44">
        <v>3.9999999999999998E-7</v>
      </c>
      <c r="AU192" s="44">
        <v>3.9999999999999998E-7</v>
      </c>
      <c r="AV192"/>
      <c r="AW192" s="44">
        <v>3.9999999999999998E-7</v>
      </c>
      <c r="AX192"/>
      <c r="AY192"/>
      <c r="AZ192" s="44">
        <v>3.9999999999999998E-7</v>
      </c>
    </row>
    <row r="193" spans="1:60" x14ac:dyDescent="0.25">
      <c r="A193" s="7" t="s">
        <v>273</v>
      </c>
      <c r="B193" s="3" t="s">
        <v>473</v>
      </c>
      <c r="C193" s="3" t="s">
        <v>483</v>
      </c>
      <c r="D193" s="3" t="s">
        <v>537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T193" s="44">
        <v>25</v>
      </c>
      <c r="U193" s="44">
        <v>25</v>
      </c>
      <c r="X193" s="44">
        <v>25</v>
      </c>
      <c r="Y193" s="44">
        <v>25</v>
      </c>
      <c r="Z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/>
      <c r="AJ193" s="44">
        <v>25</v>
      </c>
      <c r="AK193" s="44">
        <v>25</v>
      </c>
      <c r="AL193" s="44">
        <v>25</v>
      </c>
      <c r="AM193" s="44">
        <v>25</v>
      </c>
      <c r="AN193" s="44">
        <v>25</v>
      </c>
      <c r="AO193" s="44">
        <v>25</v>
      </c>
      <c r="AP193" s="44">
        <v>25</v>
      </c>
      <c r="AQ193"/>
      <c r="AR193" s="44">
        <v>25</v>
      </c>
      <c r="AS193" s="44">
        <v>25</v>
      </c>
      <c r="AT193" s="44">
        <v>25</v>
      </c>
      <c r="AU193" s="44">
        <v>25</v>
      </c>
      <c r="AV193"/>
      <c r="AW193" s="44">
        <v>25</v>
      </c>
      <c r="AX193"/>
      <c r="AY193"/>
      <c r="AZ193" s="44">
        <v>25</v>
      </c>
    </row>
    <row r="194" spans="1:60" x14ac:dyDescent="0.25">
      <c r="A194" s="7" t="s">
        <v>274</v>
      </c>
      <c r="B194" s="3" t="s">
        <v>473</v>
      </c>
      <c r="C194" s="3" t="s">
        <v>483</v>
      </c>
      <c r="D194" s="3" t="s">
        <v>537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T194" s="44">
        <v>0</v>
      </c>
      <c r="U194" s="44">
        <v>0</v>
      </c>
      <c r="X194" s="44">
        <v>0</v>
      </c>
      <c r="Y194" s="44">
        <v>0</v>
      </c>
      <c r="Z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/>
      <c r="AJ194" s="44">
        <v>0</v>
      </c>
      <c r="AK194" s="44">
        <v>0</v>
      </c>
      <c r="AL194" s="44">
        <v>0</v>
      </c>
      <c r="AM194" s="44">
        <v>0</v>
      </c>
      <c r="AN194" s="44">
        <v>0</v>
      </c>
      <c r="AO194" s="44">
        <v>0</v>
      </c>
      <c r="AP194" s="44">
        <v>0</v>
      </c>
      <c r="AQ194"/>
      <c r="AR194" s="44">
        <v>0</v>
      </c>
      <c r="AS194" s="44">
        <v>0</v>
      </c>
      <c r="AT194" s="44">
        <v>0</v>
      </c>
      <c r="AU194" s="44">
        <v>0</v>
      </c>
      <c r="AV194"/>
      <c r="AW194" s="44">
        <v>0</v>
      </c>
      <c r="AX194"/>
      <c r="AY194"/>
      <c r="AZ194" s="44">
        <v>0</v>
      </c>
    </row>
    <row r="195" spans="1:60" x14ac:dyDescent="0.25">
      <c r="A195" s="7" t="s">
        <v>275</v>
      </c>
      <c r="B195" s="3" t="s">
        <v>473</v>
      </c>
      <c r="C195" s="3" t="s">
        <v>483</v>
      </c>
      <c r="D195" s="3" t="s">
        <v>537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T195" s="44">
        <v>3.98</v>
      </c>
      <c r="U195" s="44">
        <v>3.98</v>
      </c>
      <c r="X195" s="44">
        <v>3.98</v>
      </c>
      <c r="Y195" s="44">
        <v>3.98</v>
      </c>
      <c r="Z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/>
      <c r="AJ195" s="44">
        <v>3.98</v>
      </c>
      <c r="AK195" s="44">
        <v>3.98</v>
      </c>
      <c r="AL195" s="44">
        <v>3.98</v>
      </c>
      <c r="AM195" s="44">
        <v>3.98</v>
      </c>
      <c r="AN195" s="44">
        <v>3.98</v>
      </c>
      <c r="AO195" s="44">
        <v>3.98</v>
      </c>
      <c r="AP195" s="44">
        <v>3.98</v>
      </c>
      <c r="AQ195"/>
      <c r="AR195" s="44">
        <v>3.98</v>
      </c>
      <c r="AS195" s="44">
        <v>3.98</v>
      </c>
      <c r="AT195" s="44">
        <v>3.98</v>
      </c>
      <c r="AU195" s="44">
        <v>3.98</v>
      </c>
      <c r="AV195"/>
      <c r="AW195" s="44">
        <v>3.98</v>
      </c>
      <c r="AX195"/>
      <c r="AY195"/>
      <c r="AZ195" s="44">
        <v>3.98</v>
      </c>
    </row>
    <row r="196" spans="1:60" x14ac:dyDescent="0.25">
      <c r="A196" s="7" t="s">
        <v>276</v>
      </c>
      <c r="B196" s="3" t="s">
        <v>473</v>
      </c>
      <c r="C196" s="3" t="s">
        <v>483</v>
      </c>
      <c r="D196" s="3" t="s">
        <v>537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T196" s="44">
        <v>1</v>
      </c>
      <c r="U196" s="44">
        <v>1</v>
      </c>
      <c r="X196" s="44">
        <v>1</v>
      </c>
      <c r="Y196" s="44">
        <v>1</v>
      </c>
      <c r="Z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/>
      <c r="AJ196" s="44">
        <v>1</v>
      </c>
      <c r="AK196" s="44">
        <v>1</v>
      </c>
      <c r="AL196" s="44">
        <v>1</v>
      </c>
      <c r="AM196" s="44">
        <v>1</v>
      </c>
      <c r="AN196" s="44">
        <v>1</v>
      </c>
      <c r="AO196" s="44">
        <v>1</v>
      </c>
      <c r="AP196" s="44">
        <v>1</v>
      </c>
      <c r="AQ196"/>
      <c r="AR196" s="44">
        <v>1</v>
      </c>
      <c r="AS196" s="44">
        <v>1</v>
      </c>
      <c r="AT196" s="44">
        <v>1</v>
      </c>
      <c r="AU196" s="44">
        <v>1</v>
      </c>
      <c r="AV196"/>
      <c r="AW196" s="44">
        <v>1</v>
      </c>
      <c r="AX196"/>
      <c r="AY196"/>
      <c r="AZ196" s="44">
        <v>1</v>
      </c>
    </row>
    <row r="197" spans="1:60" x14ac:dyDescent="0.25">
      <c r="A197" s="7" t="s">
        <v>277</v>
      </c>
      <c r="B197" s="3" t="s">
        <v>473</v>
      </c>
      <c r="C197" s="3" t="s">
        <v>483</v>
      </c>
      <c r="D197" s="3" t="s">
        <v>537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U197" s="44">
        <v>8.3333333333333331E-5</v>
      </c>
      <c r="X197" s="44">
        <v>8.3333333333333331E-5</v>
      </c>
      <c r="Y197" s="44">
        <v>8.3333333333333331E-5</v>
      </c>
      <c r="Z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/>
      <c r="AJ197" s="44">
        <v>8.3333333333333331E-5</v>
      </c>
      <c r="AK197" s="44">
        <v>8.3333333333333331E-5</v>
      </c>
      <c r="AL197" s="44">
        <v>8.3333333333333331E-5</v>
      </c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/>
      <c r="AR197" s="44">
        <v>8.3333333333333331E-5</v>
      </c>
      <c r="AS197" s="44">
        <v>8.3333333333333331E-5</v>
      </c>
      <c r="AT197" s="44">
        <v>8.3333333333333331E-5</v>
      </c>
      <c r="AU197" s="44">
        <v>8.3333333333333331E-5</v>
      </c>
      <c r="AV197"/>
      <c r="AW197" s="44">
        <v>8.3333333333333331E-5</v>
      </c>
      <c r="AX197"/>
      <c r="AY197"/>
      <c r="AZ197" s="44">
        <v>8.3333333333333331E-5</v>
      </c>
    </row>
    <row r="198" spans="1:60" x14ac:dyDescent="0.25">
      <c r="A198" s="29" t="s">
        <v>278</v>
      </c>
      <c r="B198" s="3" t="s">
        <v>473</v>
      </c>
      <c r="C198" s="3" t="s">
        <v>483</v>
      </c>
      <c r="D198" s="3" t="s">
        <v>537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U198" s="44">
        <v>1.9999999999999999E-7</v>
      </c>
      <c r="X198" s="44">
        <v>1.9999999999999999E-7</v>
      </c>
      <c r="Y198" s="44">
        <v>1.9999999999999999E-7</v>
      </c>
      <c r="Z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/>
      <c r="AJ198" s="44">
        <v>1.9999999999999999E-7</v>
      </c>
      <c r="AK198" s="44">
        <v>1.9999999999999999E-7</v>
      </c>
      <c r="AL198" s="44">
        <v>1.9999999999999999E-7</v>
      </c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/>
      <c r="AR198" s="44">
        <v>1.9999999999999999E-7</v>
      </c>
      <c r="AS198" s="44">
        <v>1.9999999999999999E-7</v>
      </c>
      <c r="AT198" s="44">
        <v>1.9999999999999999E-7</v>
      </c>
      <c r="AU198" s="44">
        <v>1.9999999999999999E-7</v>
      </c>
      <c r="AV198"/>
      <c r="AW198" s="44">
        <v>1.9999999999999999E-7</v>
      </c>
      <c r="AX198"/>
      <c r="AY198"/>
      <c r="AZ198" s="44">
        <v>1.9999999999999999E-7</v>
      </c>
    </row>
    <row r="199" spans="1:60" x14ac:dyDescent="0.25">
      <c r="A199" s="29" t="s">
        <v>279</v>
      </c>
      <c r="B199" s="3" t="s">
        <v>473</v>
      </c>
      <c r="C199" s="3" t="s">
        <v>483</v>
      </c>
      <c r="D199" s="3" t="s">
        <v>537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T199" s="44">
        <v>25</v>
      </c>
      <c r="U199" s="44">
        <v>25</v>
      </c>
      <c r="X199" s="44">
        <v>25</v>
      </c>
      <c r="Y199" s="44">
        <v>25</v>
      </c>
      <c r="Z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/>
      <c r="AJ199" s="44">
        <v>25</v>
      </c>
      <c r="AK199" s="44">
        <v>25</v>
      </c>
      <c r="AL199" s="44">
        <v>25</v>
      </c>
      <c r="AM199" s="44">
        <v>25</v>
      </c>
      <c r="AN199" s="44">
        <v>25</v>
      </c>
      <c r="AO199" s="44">
        <v>25</v>
      </c>
      <c r="AP199" s="44">
        <v>25</v>
      </c>
      <c r="AQ199"/>
      <c r="AR199" s="44">
        <v>25</v>
      </c>
      <c r="AS199" s="44">
        <v>25</v>
      </c>
      <c r="AT199" s="44">
        <v>25</v>
      </c>
      <c r="AU199" s="44">
        <v>25</v>
      </c>
      <c r="AV199"/>
      <c r="AW199" s="44">
        <v>25</v>
      </c>
      <c r="AX199"/>
      <c r="AY199"/>
      <c r="AZ199" s="44">
        <v>25</v>
      </c>
    </row>
    <row r="200" spans="1:60" x14ac:dyDescent="0.25">
      <c r="A200" s="29" t="s">
        <v>280</v>
      </c>
      <c r="B200" s="3" t="s">
        <v>473</v>
      </c>
      <c r="C200" s="3" t="s">
        <v>483</v>
      </c>
      <c r="D200" s="3" t="s">
        <v>537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T200" s="44">
        <v>0</v>
      </c>
      <c r="U200" s="44">
        <v>0</v>
      </c>
      <c r="X200" s="44">
        <v>0</v>
      </c>
      <c r="Y200" s="44">
        <v>0</v>
      </c>
      <c r="Z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/>
      <c r="AJ200" s="44">
        <v>0</v>
      </c>
      <c r="AK200" s="44">
        <v>0</v>
      </c>
      <c r="AL200" s="44">
        <v>0</v>
      </c>
      <c r="AM200" s="44">
        <v>0</v>
      </c>
      <c r="AN200" s="44">
        <v>0</v>
      </c>
      <c r="AO200" s="44">
        <v>0</v>
      </c>
      <c r="AP200" s="44">
        <v>0</v>
      </c>
      <c r="AQ200"/>
      <c r="AR200" s="44">
        <v>0</v>
      </c>
      <c r="AS200" s="44">
        <v>0</v>
      </c>
      <c r="AT200" s="44">
        <v>0</v>
      </c>
      <c r="AU200" s="44">
        <v>0</v>
      </c>
      <c r="AV200"/>
      <c r="AW200" s="44">
        <v>0</v>
      </c>
      <c r="AX200"/>
      <c r="AY200"/>
      <c r="AZ200" s="44">
        <v>0</v>
      </c>
    </row>
    <row r="201" spans="1:60" x14ac:dyDescent="0.25">
      <c r="A201" s="29" t="s">
        <v>281</v>
      </c>
      <c r="B201" s="3" t="s">
        <v>473</v>
      </c>
      <c r="C201" s="3" t="s">
        <v>483</v>
      </c>
      <c r="D201" s="3" t="s">
        <v>537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T201" s="44">
        <v>3.98</v>
      </c>
      <c r="U201" s="44">
        <v>3.98</v>
      </c>
      <c r="X201" s="44">
        <v>3.98</v>
      </c>
      <c r="Y201" s="44">
        <v>3.98</v>
      </c>
      <c r="Z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/>
      <c r="AJ201" s="44">
        <v>3.98</v>
      </c>
      <c r="AK201" s="44">
        <v>3.98</v>
      </c>
      <c r="AL201" s="44">
        <v>3.98</v>
      </c>
      <c r="AM201" s="44">
        <v>3.98</v>
      </c>
      <c r="AN201" s="44">
        <v>3.98</v>
      </c>
      <c r="AO201" s="44">
        <v>3.98</v>
      </c>
      <c r="AP201" s="44">
        <v>3.98</v>
      </c>
      <c r="AQ201"/>
      <c r="AR201" s="44">
        <v>3.98</v>
      </c>
      <c r="AS201" s="44">
        <v>3.98</v>
      </c>
      <c r="AT201" s="44">
        <v>3.98</v>
      </c>
      <c r="AU201" s="44">
        <v>3.98</v>
      </c>
      <c r="AV201"/>
      <c r="AW201" s="44">
        <v>3.98</v>
      </c>
      <c r="AX201"/>
      <c r="AY201"/>
      <c r="AZ201" s="44">
        <v>3.98</v>
      </c>
    </row>
    <row r="202" spans="1:60" x14ac:dyDescent="0.25">
      <c r="A202" s="29" t="s">
        <v>282</v>
      </c>
      <c r="B202" s="3" t="s">
        <v>473</v>
      </c>
      <c r="C202" s="3" t="s">
        <v>483</v>
      </c>
      <c r="D202" s="3" t="s">
        <v>537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T202" s="44">
        <v>1</v>
      </c>
      <c r="U202" s="44">
        <v>1</v>
      </c>
      <c r="X202" s="44">
        <v>1</v>
      </c>
      <c r="Y202" s="44">
        <v>1</v>
      </c>
      <c r="Z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/>
      <c r="AJ202" s="44">
        <v>1</v>
      </c>
      <c r="AK202" s="44">
        <v>1</v>
      </c>
      <c r="AL202" s="44">
        <v>1</v>
      </c>
      <c r="AM202" s="44">
        <v>1</v>
      </c>
      <c r="AN202" s="44">
        <v>1</v>
      </c>
      <c r="AO202" s="44">
        <v>1</v>
      </c>
      <c r="AP202" s="44">
        <v>1</v>
      </c>
      <c r="AQ202"/>
      <c r="AR202" s="44">
        <v>1</v>
      </c>
      <c r="AS202" s="44">
        <v>1</v>
      </c>
      <c r="AT202" s="44">
        <v>1</v>
      </c>
      <c r="AU202" s="44">
        <v>1</v>
      </c>
      <c r="AV202"/>
      <c r="AW202" s="44">
        <v>1</v>
      </c>
      <c r="AX202"/>
      <c r="AY202"/>
      <c r="AZ202" s="44">
        <v>1</v>
      </c>
    </row>
    <row r="203" spans="1:60" x14ac:dyDescent="0.25">
      <c r="A203" s="29" t="s">
        <v>283</v>
      </c>
      <c r="B203" s="3" t="s">
        <v>473</v>
      </c>
      <c r="C203" s="3" t="s">
        <v>483</v>
      </c>
      <c r="D203" s="3" t="s">
        <v>537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U203" s="44">
        <v>8.3333333333333331E-5</v>
      </c>
      <c r="X203" s="44">
        <v>8.3333333333333331E-5</v>
      </c>
      <c r="Y203" s="44">
        <v>8.3333333333333331E-5</v>
      </c>
      <c r="Z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/>
      <c r="AJ203" s="44">
        <v>8.3333333333333331E-5</v>
      </c>
      <c r="AK203" s="44">
        <v>8.3333333333333331E-5</v>
      </c>
      <c r="AL203" s="44">
        <v>8.3333333333333331E-5</v>
      </c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/>
      <c r="AR203" s="44">
        <v>8.3333333333333331E-5</v>
      </c>
      <c r="AS203" s="44">
        <v>8.3333333333333331E-5</v>
      </c>
      <c r="AT203" s="44">
        <v>8.3333333333333331E-5</v>
      </c>
      <c r="AU203" s="44">
        <v>8.3333333333333331E-5</v>
      </c>
      <c r="AV203"/>
      <c r="AW203" s="44">
        <v>8.3333333333333331E-5</v>
      </c>
      <c r="AX203"/>
      <c r="AY203"/>
      <c r="AZ203" s="44">
        <v>8.3333333333333331E-5</v>
      </c>
    </row>
    <row r="204" spans="1:60" x14ac:dyDescent="0.25">
      <c r="A204" s="47" t="s">
        <v>361</v>
      </c>
      <c r="B204" s="48" t="s">
        <v>473</v>
      </c>
      <c r="C204" s="48" t="s">
        <v>483</v>
      </c>
      <c r="D204" s="3" t="s">
        <v>537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T204" s="44" t="s">
        <v>89</v>
      </c>
      <c r="U204" s="44" t="s">
        <v>89</v>
      </c>
      <c r="X204" s="44" t="s">
        <v>89</v>
      </c>
      <c r="Y204" s="44" t="s">
        <v>89</v>
      </c>
      <c r="Z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/>
      <c r="AJ204" s="44" t="s">
        <v>89</v>
      </c>
      <c r="AK204" s="44" t="s">
        <v>89</v>
      </c>
      <c r="AL204" s="44" t="s">
        <v>89</v>
      </c>
      <c r="AM204" s="44" t="s">
        <v>89</v>
      </c>
      <c r="AN204" s="44" t="s">
        <v>89</v>
      </c>
      <c r="AO204" s="44" t="s">
        <v>89</v>
      </c>
      <c r="AP204" s="44" t="s">
        <v>89</v>
      </c>
      <c r="AQ204"/>
      <c r="AR204" s="44" t="s">
        <v>89</v>
      </c>
      <c r="AS204" s="44" t="s">
        <v>89</v>
      </c>
      <c r="AT204" s="44" t="s">
        <v>89</v>
      </c>
      <c r="AU204" s="44" t="s">
        <v>89</v>
      </c>
      <c r="AV204"/>
      <c r="AW204" s="44" t="s">
        <v>89</v>
      </c>
      <c r="AX204"/>
      <c r="AY204"/>
      <c r="AZ204" s="44" t="s">
        <v>89</v>
      </c>
    </row>
    <row r="205" spans="1:60" x14ac:dyDescent="0.25">
      <c r="A205" s="2" t="s">
        <v>550</v>
      </c>
      <c r="B205" s="3" t="s">
        <v>473</v>
      </c>
      <c r="C205" s="3" t="s">
        <v>483</v>
      </c>
      <c r="D205" s="3" t="s">
        <v>537</v>
      </c>
      <c r="E205" s="30" t="s">
        <v>553</v>
      </c>
      <c r="F205" s="30" t="s">
        <v>552</v>
      </c>
      <c r="G205" s="44">
        <f>0.00002</f>
        <v>2.0000000000000002E-5</v>
      </c>
      <c r="H205" s="44">
        <f t="shared" ref="H205:AZ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 t="shared" si="21"/>
        <v>2.0000000000000002E-5</v>
      </c>
      <c r="S205" s="44">
        <f t="shared" si="21"/>
        <v>2.0000000000000002E-5</v>
      </c>
      <c r="T205" s="44">
        <f t="shared" si="21"/>
        <v>2.0000000000000002E-5</v>
      </c>
      <c r="U205" s="44">
        <f t="shared" si="21"/>
        <v>2.0000000000000002E-5</v>
      </c>
      <c r="X205" s="44">
        <f t="shared" si="21"/>
        <v>2.0000000000000002E-5</v>
      </c>
      <c r="Y205" s="44">
        <f t="shared" si="21"/>
        <v>2.0000000000000002E-5</v>
      </c>
      <c r="Z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/>
      <c r="AJ205" s="44">
        <f t="shared" si="21"/>
        <v>2.0000000000000002E-5</v>
      </c>
      <c r="AK205" s="44">
        <f t="shared" si="21"/>
        <v>2.0000000000000002E-5</v>
      </c>
      <c r="AL205" s="44">
        <f t="shared" si="21"/>
        <v>2.0000000000000002E-5</v>
      </c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/>
      <c r="AR205" s="44">
        <f t="shared" si="21"/>
        <v>2.0000000000000002E-5</v>
      </c>
      <c r="AS205" s="44">
        <f t="shared" si="21"/>
        <v>2.0000000000000002E-5</v>
      </c>
      <c r="AT205" s="44">
        <f t="shared" si="21"/>
        <v>2.0000000000000002E-5</v>
      </c>
      <c r="AU205" s="44">
        <f t="shared" si="21"/>
        <v>2.0000000000000002E-5</v>
      </c>
      <c r="AV205"/>
      <c r="AW205" s="44">
        <f t="shared" si="21"/>
        <v>2.0000000000000002E-5</v>
      </c>
      <c r="AX205"/>
      <c r="AY205"/>
      <c r="AZ205" s="44">
        <f t="shared" si="21"/>
        <v>2.0000000000000002E-5</v>
      </c>
      <c r="BA205" s="1"/>
      <c r="BB205" s="1"/>
      <c r="BC205" s="1"/>
      <c r="BD205" s="1"/>
      <c r="BE205" s="1"/>
      <c r="BF205" s="1"/>
      <c r="BG205" s="1"/>
      <c r="BH205" s="1"/>
    </row>
    <row r="206" spans="1:60" x14ac:dyDescent="0.25">
      <c r="A206" s="2" t="s">
        <v>549</v>
      </c>
      <c r="B206" s="3" t="s">
        <v>473</v>
      </c>
      <c r="C206" s="3" t="s">
        <v>483</v>
      </c>
      <c r="D206" s="3" t="s">
        <v>537</v>
      </c>
      <c r="E206" s="30" t="s">
        <v>554</v>
      </c>
      <c r="F206" s="30" t="s">
        <v>555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0.3</v>
      </c>
      <c r="S206" s="44">
        <v>0.3</v>
      </c>
      <c r="T206" s="44">
        <v>0.3</v>
      </c>
      <c r="U206" s="44">
        <v>0.3</v>
      </c>
      <c r="X206" s="44">
        <v>0.3</v>
      </c>
      <c r="Y206" s="44">
        <v>0.3</v>
      </c>
      <c r="Z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/>
      <c r="AJ206" s="44">
        <v>0.3</v>
      </c>
      <c r="AK206" s="44">
        <v>0.3</v>
      </c>
      <c r="AL206" s="44">
        <v>0.3</v>
      </c>
      <c r="AM206" s="44">
        <v>0.3</v>
      </c>
      <c r="AN206" s="44">
        <v>0.15</v>
      </c>
      <c r="AO206" s="44">
        <v>0.15</v>
      </c>
      <c r="AP206" s="44">
        <v>0.15</v>
      </c>
      <c r="AQ206"/>
      <c r="AR206" s="44">
        <v>0.15</v>
      </c>
      <c r="AS206" s="44">
        <v>0.15</v>
      </c>
      <c r="AT206" s="44">
        <v>0.15</v>
      </c>
      <c r="AU206" s="44">
        <v>0.15</v>
      </c>
      <c r="AV206"/>
      <c r="AW206" s="44">
        <v>0.15</v>
      </c>
      <c r="AX206"/>
      <c r="AY206"/>
      <c r="AZ206" s="44">
        <v>0.3</v>
      </c>
      <c r="BA206" s="51"/>
      <c r="BB206" s="51"/>
      <c r="BC206" s="51"/>
      <c r="BD206" s="51"/>
      <c r="BE206" s="51"/>
      <c r="BF206" s="51"/>
      <c r="BG206" s="51"/>
      <c r="BH206" s="51"/>
    </row>
    <row r="207" spans="1:60" x14ac:dyDescent="0.25">
      <c r="A207" s="2" t="s">
        <v>490</v>
      </c>
      <c r="B207" s="3" t="s">
        <v>473</v>
      </c>
      <c r="C207" s="3" t="s">
        <v>483</v>
      </c>
      <c r="D207" s="3" t="s">
        <v>537</v>
      </c>
      <c r="E207" s="30" t="s">
        <v>491</v>
      </c>
      <c r="F207" s="30" t="s">
        <v>489</v>
      </c>
      <c r="G207" s="44">
        <v>-100000</v>
      </c>
      <c r="H207" s="44">
        <f t="shared" ref="H207" si="22">H206</f>
        <v>0.3</v>
      </c>
      <c r="I207" s="44">
        <v>-100000</v>
      </c>
      <c r="J207" s="44">
        <v>-100000</v>
      </c>
      <c r="K207" s="44">
        <v>-100000</v>
      </c>
      <c r="L207" s="44">
        <v>-100000</v>
      </c>
      <c r="M207" s="44">
        <v>-100000</v>
      </c>
      <c r="N207" s="44">
        <v>-100000</v>
      </c>
      <c r="O207" s="44">
        <v>-100000</v>
      </c>
      <c r="P207" s="44">
        <v>-100000</v>
      </c>
      <c r="R207" s="44">
        <v>-100000</v>
      </c>
      <c r="S207" s="44">
        <v>-100000</v>
      </c>
      <c r="T207" s="44">
        <v>-100000</v>
      </c>
      <c r="U207" s="44">
        <v>-100000</v>
      </c>
      <c r="X207" s="44">
        <v>-100000</v>
      </c>
      <c r="Y207" s="44">
        <v>-100000</v>
      </c>
      <c r="Z207" s="44">
        <v>-100000</v>
      </c>
      <c r="AA207" s="44">
        <v>-100000</v>
      </c>
      <c r="AB207" s="44">
        <v>-100000</v>
      </c>
      <c r="AC207" s="44">
        <v>-100000</v>
      </c>
      <c r="AD207" s="44">
        <v>-100000</v>
      </c>
      <c r="AE207" s="44">
        <v>-100000</v>
      </c>
      <c r="AF207" s="44">
        <v>-100000</v>
      </c>
      <c r="AG207" s="44">
        <v>-100000</v>
      </c>
      <c r="AH207" s="44">
        <v>-100000</v>
      </c>
      <c r="AI207"/>
      <c r="AJ207" s="44">
        <v>-100000</v>
      </c>
      <c r="AK207" s="44">
        <v>-100000</v>
      </c>
      <c r="AL207" s="44">
        <v>-100000</v>
      </c>
      <c r="AM207" s="44">
        <v>-100000</v>
      </c>
      <c r="AN207" s="44">
        <v>-100000</v>
      </c>
      <c r="AO207" s="44">
        <v>-100000</v>
      </c>
      <c r="AP207" s="44">
        <v>-100000</v>
      </c>
      <c r="AQ207"/>
      <c r="AR207" s="44">
        <v>-100000</v>
      </c>
      <c r="AS207" s="44">
        <v>-100000</v>
      </c>
      <c r="AT207" s="44">
        <v>-100000</v>
      </c>
      <c r="AU207" s="44">
        <v>-100000</v>
      </c>
      <c r="AV207"/>
      <c r="AW207" s="44">
        <v>-100000</v>
      </c>
      <c r="AX207"/>
      <c r="AY207"/>
      <c r="AZ207" s="44">
        <v>-100000</v>
      </c>
      <c r="BA207" s="51"/>
      <c r="BB207" s="51"/>
      <c r="BC207" s="51"/>
      <c r="BD207" s="51"/>
      <c r="BE207" s="51"/>
      <c r="BF207" s="51"/>
      <c r="BG207" s="51"/>
      <c r="BH207" s="51"/>
    </row>
    <row r="208" spans="1:60" x14ac:dyDescent="0.25">
      <c r="A208" s="2" t="s">
        <v>551</v>
      </c>
      <c r="B208" s="3" t="s">
        <v>473</v>
      </c>
      <c r="C208" s="3" t="s">
        <v>483</v>
      </c>
      <c r="D208" s="3" t="s">
        <v>537</v>
      </c>
      <c r="E208" s="50" t="s">
        <v>492</v>
      </c>
      <c r="F208" s="50" t="s">
        <v>488</v>
      </c>
      <c r="G208" s="44">
        <f t="shared" ref="G208:AZ208" si="23">0.00002 / 14</f>
        <v>1.4285714285714286E-6</v>
      </c>
      <c r="H208" s="44">
        <f t="shared" si="23"/>
        <v>1.4285714285714286E-6</v>
      </c>
      <c r="I208" s="44">
        <f t="shared" si="23"/>
        <v>1.4285714285714286E-6</v>
      </c>
      <c r="J208" s="44">
        <f t="shared" si="23"/>
        <v>1.4285714285714286E-6</v>
      </c>
      <c r="K208" s="44">
        <f t="shared" si="23"/>
        <v>1.4285714285714286E-6</v>
      </c>
      <c r="L208" s="44">
        <f t="shared" si="23"/>
        <v>1.4285714285714286E-6</v>
      </c>
      <c r="M208" s="44">
        <f t="shared" si="23"/>
        <v>1.4285714285714286E-6</v>
      </c>
      <c r="N208" s="44">
        <f t="shared" si="23"/>
        <v>1.4285714285714286E-6</v>
      </c>
      <c r="O208" s="44">
        <f t="shared" si="23"/>
        <v>1.4285714285714286E-6</v>
      </c>
      <c r="P208" s="44">
        <f t="shared" si="23"/>
        <v>1.4285714285714286E-6</v>
      </c>
      <c r="R208" s="44">
        <f t="shared" si="23"/>
        <v>1.4285714285714286E-6</v>
      </c>
      <c r="S208" s="44">
        <f t="shared" si="23"/>
        <v>1.4285714285714286E-6</v>
      </c>
      <c r="T208" s="44">
        <v>2E-3</v>
      </c>
      <c r="U208" s="44">
        <f t="shared" si="23"/>
        <v>1.4285714285714286E-6</v>
      </c>
      <c r="X208" s="44">
        <f t="shared" si="23"/>
        <v>1.4285714285714286E-6</v>
      </c>
      <c r="Y208" s="44">
        <f t="shared" si="23"/>
        <v>1.4285714285714286E-6</v>
      </c>
      <c r="Z208" s="44">
        <f t="shared" si="23"/>
        <v>1.4285714285714286E-6</v>
      </c>
      <c r="AA208" s="44">
        <f t="shared" si="23"/>
        <v>1.4285714285714286E-6</v>
      </c>
      <c r="AB208" s="44">
        <f t="shared" si="23"/>
        <v>1.4285714285714286E-6</v>
      </c>
      <c r="AC208" s="44">
        <f t="shared" si="23"/>
        <v>1.4285714285714286E-6</v>
      </c>
      <c r="AD208" s="44">
        <f t="shared" si="23"/>
        <v>1.4285714285714286E-6</v>
      </c>
      <c r="AE208" s="44">
        <f t="shared" si="23"/>
        <v>1.4285714285714286E-6</v>
      </c>
      <c r="AF208" s="44">
        <f t="shared" si="23"/>
        <v>1.4285714285714286E-6</v>
      </c>
      <c r="AG208" s="44">
        <f t="shared" si="23"/>
        <v>1.4285714285714286E-6</v>
      </c>
      <c r="AH208" s="44">
        <f t="shared" si="23"/>
        <v>1.4285714285714286E-6</v>
      </c>
      <c r="AI208"/>
      <c r="AJ208" s="44">
        <f t="shared" si="23"/>
        <v>1.4285714285714286E-6</v>
      </c>
      <c r="AK208" s="44">
        <f t="shared" si="23"/>
        <v>1.4285714285714286E-6</v>
      </c>
      <c r="AL208" s="44">
        <f t="shared" si="23"/>
        <v>1.4285714285714286E-6</v>
      </c>
      <c r="AM208" s="44">
        <f t="shared" si="23"/>
        <v>1.4285714285714286E-6</v>
      </c>
      <c r="AN208" s="44">
        <f t="shared" si="23"/>
        <v>1.4285714285714286E-6</v>
      </c>
      <c r="AO208" s="44">
        <f t="shared" si="23"/>
        <v>1.4285714285714286E-6</v>
      </c>
      <c r="AP208" s="44">
        <f t="shared" si="23"/>
        <v>1.4285714285714286E-6</v>
      </c>
      <c r="AQ208"/>
      <c r="AR208" s="44">
        <f t="shared" si="23"/>
        <v>1.4285714285714286E-6</v>
      </c>
      <c r="AS208" s="44">
        <f t="shared" si="23"/>
        <v>1.4285714285714286E-6</v>
      </c>
      <c r="AT208" s="44">
        <f t="shared" si="23"/>
        <v>1.4285714285714286E-6</v>
      </c>
      <c r="AU208" s="44">
        <f t="shared" si="23"/>
        <v>1.4285714285714286E-6</v>
      </c>
      <c r="AV208"/>
      <c r="AW208" s="44">
        <v>2E-3</v>
      </c>
      <c r="AX208"/>
      <c r="AY208"/>
      <c r="AZ208" s="44">
        <f t="shared" si="23"/>
        <v>1.4285714285714286E-6</v>
      </c>
      <c r="BA208" s="37"/>
      <c r="BB208" s="37"/>
      <c r="BC208" s="37"/>
      <c r="BD208" s="37"/>
      <c r="BE208" s="37"/>
      <c r="BF208" s="37"/>
      <c r="BG208" s="37"/>
      <c r="BH208" s="37"/>
    </row>
    <row r="209" spans="1:75" x14ac:dyDescent="0.25">
      <c r="A209" s="2" t="s">
        <v>493</v>
      </c>
      <c r="B209" s="3" t="s">
        <v>473</v>
      </c>
      <c r="C209" s="3" t="s">
        <v>483</v>
      </c>
      <c r="D209" s="3" t="s">
        <v>537</v>
      </c>
      <c r="E209" s="50" t="s">
        <v>494</v>
      </c>
      <c r="F209" s="50" t="s">
        <v>495</v>
      </c>
      <c r="G209" s="44" t="s">
        <v>485</v>
      </c>
      <c r="H209" s="44" t="s">
        <v>485</v>
      </c>
      <c r="I209" s="44" t="s">
        <v>485</v>
      </c>
      <c r="J209" s="44" t="s">
        <v>485</v>
      </c>
      <c r="K209" s="44" t="s">
        <v>485</v>
      </c>
      <c r="L209" s="44" t="s">
        <v>485</v>
      </c>
      <c r="M209" s="44" t="s">
        <v>485</v>
      </c>
      <c r="N209" s="44" t="s">
        <v>485</v>
      </c>
      <c r="O209" s="44" t="s">
        <v>485</v>
      </c>
      <c r="P209" s="44" t="s">
        <v>485</v>
      </c>
      <c r="R209" s="44" t="s">
        <v>485</v>
      </c>
      <c r="S209" s="44" t="s">
        <v>485</v>
      </c>
      <c r="T209" s="44">
        <v>0.1</v>
      </c>
      <c r="U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 s="44" t="s">
        <v>485</v>
      </c>
      <c r="AD209" s="44" t="s">
        <v>485</v>
      </c>
      <c r="AE209" s="44" t="s">
        <v>485</v>
      </c>
      <c r="AF209" s="44" t="s">
        <v>485</v>
      </c>
      <c r="AG209" s="44" t="s">
        <v>485</v>
      </c>
      <c r="AH209" s="44" t="s">
        <v>485</v>
      </c>
      <c r="AI209"/>
      <c r="AJ209" s="44" t="s">
        <v>485</v>
      </c>
      <c r="AK209" s="44" t="s">
        <v>485</v>
      </c>
      <c r="AL209" s="44" t="s">
        <v>485</v>
      </c>
      <c r="AM209" s="44" t="s">
        <v>485</v>
      </c>
      <c r="AN209" s="44" t="s">
        <v>485</v>
      </c>
      <c r="AO209" s="44" t="s">
        <v>485</v>
      </c>
      <c r="AP209" s="44" t="s">
        <v>485</v>
      </c>
      <c r="AQ209"/>
      <c r="AR209" s="44" t="s">
        <v>485</v>
      </c>
      <c r="AS209" s="44" t="s">
        <v>485</v>
      </c>
      <c r="AT209" s="44" t="s">
        <v>485</v>
      </c>
      <c r="AU209" s="44" t="s">
        <v>485</v>
      </c>
      <c r="AV209"/>
      <c r="AW209" s="44">
        <v>0.1</v>
      </c>
      <c r="AX209"/>
      <c r="AY209"/>
      <c r="AZ209" s="44" t="s">
        <v>485</v>
      </c>
      <c r="BA209" s="37"/>
      <c r="BB209" s="37"/>
      <c r="BC209" s="37"/>
      <c r="BD209" s="37"/>
      <c r="BE209" s="37"/>
      <c r="BF209" s="37"/>
      <c r="BG209" s="37"/>
      <c r="BH209" s="37"/>
    </row>
    <row r="210" spans="1:75" x14ac:dyDescent="0.25">
      <c r="A210" s="2" t="s">
        <v>496</v>
      </c>
      <c r="B210" s="3" t="s">
        <v>473</v>
      </c>
      <c r="C210" s="3" t="s">
        <v>483</v>
      </c>
      <c r="D210" s="3" t="s">
        <v>537</v>
      </c>
      <c r="E210" s="50" t="s">
        <v>497</v>
      </c>
      <c r="F210" s="50" t="s">
        <v>495</v>
      </c>
      <c r="G210" s="44">
        <v>0</v>
      </c>
      <c r="H210" s="44">
        <v>0</v>
      </c>
      <c r="I210" s="44">
        <v>0</v>
      </c>
      <c r="J210" s="44">
        <v>0</v>
      </c>
      <c r="K210" s="44">
        <v>0</v>
      </c>
      <c r="L210" s="44">
        <v>0</v>
      </c>
      <c r="M210" s="44">
        <v>0</v>
      </c>
      <c r="N210" s="44">
        <v>0</v>
      </c>
      <c r="O210" s="44">
        <v>0</v>
      </c>
      <c r="P210" s="44">
        <v>0</v>
      </c>
      <c r="R210" s="44">
        <v>0</v>
      </c>
      <c r="S210" s="44">
        <v>0</v>
      </c>
      <c r="T210" s="44">
        <v>0.04</v>
      </c>
      <c r="U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 s="44">
        <v>0</v>
      </c>
      <c r="AD210" s="44">
        <v>0</v>
      </c>
      <c r="AE210" s="44">
        <v>0</v>
      </c>
      <c r="AF210" s="44">
        <v>0</v>
      </c>
      <c r="AG210" s="44">
        <v>0</v>
      </c>
      <c r="AH210" s="44">
        <v>0</v>
      </c>
      <c r="AI210"/>
      <c r="AJ210" s="44">
        <v>0</v>
      </c>
      <c r="AK210" s="44">
        <v>0</v>
      </c>
      <c r="AL210" s="44">
        <v>0</v>
      </c>
      <c r="AM210" s="44">
        <v>0</v>
      </c>
      <c r="AN210" s="44">
        <v>0</v>
      </c>
      <c r="AO210" s="44">
        <v>0</v>
      </c>
      <c r="AP210" s="44">
        <v>0</v>
      </c>
      <c r="AQ210"/>
      <c r="AR210" s="44">
        <v>0</v>
      </c>
      <c r="AS210" s="44">
        <v>0</v>
      </c>
      <c r="AT210" s="44">
        <v>0</v>
      </c>
      <c r="AU210" s="44">
        <v>0</v>
      </c>
      <c r="AV210"/>
      <c r="AW210" s="44">
        <v>0.04</v>
      </c>
      <c r="AX210"/>
      <c r="AY210"/>
      <c r="AZ210" s="44">
        <v>0</v>
      </c>
      <c r="BA210" s="37"/>
      <c r="BB210" s="37"/>
      <c r="BC210" s="37"/>
      <c r="BD210" s="37"/>
      <c r="BE210" s="37"/>
      <c r="BF210" s="37"/>
      <c r="BG210" s="37"/>
      <c r="BH210" s="37"/>
    </row>
    <row r="211" spans="1:75" x14ac:dyDescent="0.25">
      <c r="A211" s="2" t="s">
        <v>498</v>
      </c>
      <c r="B211" s="3" t="s">
        <v>473</v>
      </c>
      <c r="C211" s="3" t="s">
        <v>483</v>
      </c>
      <c r="D211" s="3" t="s">
        <v>537</v>
      </c>
      <c r="E211" s="50" t="s">
        <v>499</v>
      </c>
      <c r="F211" s="50" t="s">
        <v>495</v>
      </c>
      <c r="G211" s="44">
        <v>1E-3</v>
      </c>
      <c r="H211" s="44">
        <v>1E-3</v>
      </c>
      <c r="I211" s="44">
        <v>1E-3</v>
      </c>
      <c r="J211" s="44">
        <v>1E-3</v>
      </c>
      <c r="K211" s="44">
        <v>1E-3</v>
      </c>
      <c r="L211" s="44">
        <v>1E-3</v>
      </c>
      <c r="M211" s="44">
        <v>1E-3</v>
      </c>
      <c r="N211" s="44">
        <v>1E-3</v>
      </c>
      <c r="O211" s="44">
        <v>1E-3</v>
      </c>
      <c r="P211" s="44">
        <v>1E-3</v>
      </c>
      <c r="R211" s="44">
        <v>1E-3</v>
      </c>
      <c r="S211" s="44">
        <v>1E-3</v>
      </c>
      <c r="T211" s="44">
        <v>1E-3</v>
      </c>
      <c r="U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 s="44">
        <v>1E-3</v>
      </c>
      <c r="AD211" s="44">
        <v>1E-3</v>
      </c>
      <c r="AE211" s="44">
        <v>1E-3</v>
      </c>
      <c r="AF211" s="44">
        <v>1E-3</v>
      </c>
      <c r="AG211" s="44">
        <v>1E-3</v>
      </c>
      <c r="AH211" s="44">
        <v>1E-3</v>
      </c>
      <c r="AI211"/>
      <c r="AJ211" s="44">
        <v>1E-3</v>
      </c>
      <c r="AK211" s="44">
        <v>1E-3</v>
      </c>
      <c r="AL211" s="44">
        <v>1E-3</v>
      </c>
      <c r="AM211" s="44">
        <v>1E-3</v>
      </c>
      <c r="AN211" s="44">
        <v>1E-3</v>
      </c>
      <c r="AO211" s="44">
        <v>1E-3</v>
      </c>
      <c r="AP211" s="44">
        <v>1E-3</v>
      </c>
      <c r="AQ211"/>
      <c r="AR211" s="44">
        <v>1E-3</v>
      </c>
      <c r="AS211" s="44">
        <v>1E-3</v>
      </c>
      <c r="AT211" s="44">
        <v>1E-3</v>
      </c>
      <c r="AU211" s="44">
        <v>1E-3</v>
      </c>
      <c r="AV211"/>
      <c r="AW211" s="44">
        <v>1E-3</v>
      </c>
      <c r="AX211"/>
      <c r="AY211"/>
      <c r="AZ211" s="44">
        <v>1E-3</v>
      </c>
      <c r="BA211" s="37"/>
      <c r="BB211" s="37"/>
      <c r="BC211" s="37"/>
      <c r="BD211" s="37"/>
      <c r="BE211" s="37"/>
      <c r="BF211" s="37"/>
      <c r="BG211" s="37"/>
      <c r="BH211" s="37"/>
    </row>
    <row r="212" spans="1:75" x14ac:dyDescent="0.25">
      <c r="A212" s="2" t="s">
        <v>500</v>
      </c>
      <c r="B212" s="3" t="s">
        <v>473</v>
      </c>
      <c r="C212" s="3" t="s">
        <v>483</v>
      </c>
      <c r="D212" s="3" t="s">
        <v>537</v>
      </c>
      <c r="E212" s="50" t="s">
        <v>501</v>
      </c>
      <c r="F212" s="50" t="s">
        <v>487</v>
      </c>
      <c r="G212" s="44">
        <v>29</v>
      </c>
      <c r="H212" s="44">
        <v>29</v>
      </c>
      <c r="I212" s="44">
        <v>29</v>
      </c>
      <c r="J212" s="44">
        <v>29</v>
      </c>
      <c r="K212" s="44">
        <v>29</v>
      </c>
      <c r="L212" s="44">
        <v>29</v>
      </c>
      <c r="M212" s="44">
        <v>29</v>
      </c>
      <c r="N212" s="44">
        <v>29</v>
      </c>
      <c r="O212" s="44">
        <v>29</v>
      </c>
      <c r="P212" s="44">
        <v>29</v>
      </c>
      <c r="R212" s="44">
        <v>29</v>
      </c>
      <c r="S212" s="44">
        <v>29</v>
      </c>
      <c r="T212" s="44">
        <v>29</v>
      </c>
      <c r="U212" s="44">
        <v>29</v>
      </c>
      <c r="X212" s="44">
        <v>29</v>
      </c>
      <c r="Y212" s="44">
        <v>29</v>
      </c>
      <c r="Z212" s="44">
        <v>29</v>
      </c>
      <c r="AA212" s="44">
        <v>29</v>
      </c>
      <c r="AB212" s="44">
        <v>29</v>
      </c>
      <c r="AC212" s="44">
        <v>29</v>
      </c>
      <c r="AD212" s="44">
        <v>29</v>
      </c>
      <c r="AE212" s="44">
        <v>29</v>
      </c>
      <c r="AF212" s="44">
        <v>29</v>
      </c>
      <c r="AG212" s="44">
        <v>29</v>
      </c>
      <c r="AH212" s="44">
        <v>29</v>
      </c>
      <c r="AI212"/>
      <c r="AJ212" s="44">
        <v>29</v>
      </c>
      <c r="AK212" s="44">
        <v>29</v>
      </c>
      <c r="AL212" s="44">
        <v>29</v>
      </c>
      <c r="AM212" s="44">
        <v>29</v>
      </c>
      <c r="AN212" s="44">
        <v>29</v>
      </c>
      <c r="AO212" s="44">
        <v>29</v>
      </c>
      <c r="AP212" s="44">
        <v>29</v>
      </c>
      <c r="AQ212"/>
      <c r="AR212" s="44">
        <v>29</v>
      </c>
      <c r="AS212" s="44">
        <v>29</v>
      </c>
      <c r="AT212" s="44">
        <v>29</v>
      </c>
      <c r="AU212" s="44">
        <v>29</v>
      </c>
      <c r="AV212"/>
      <c r="AW212" s="44">
        <v>29</v>
      </c>
      <c r="AX212"/>
      <c r="AY212"/>
      <c r="AZ212" s="44">
        <v>29</v>
      </c>
      <c r="BA212" s="1"/>
      <c r="BB212" s="1"/>
      <c r="BC212" s="1"/>
      <c r="BD212" s="1"/>
      <c r="BE212" s="1"/>
      <c r="BF212" s="1"/>
      <c r="BG212" s="1"/>
      <c r="BH212" s="1"/>
    </row>
    <row r="213" spans="1:75" x14ac:dyDescent="0.25">
      <c r="A213" s="2" t="s">
        <v>502</v>
      </c>
      <c r="B213" s="3" t="s">
        <v>473</v>
      </c>
      <c r="C213" s="3" t="s">
        <v>483</v>
      </c>
      <c r="D213" s="3" t="s">
        <v>537</v>
      </c>
      <c r="E213" s="50" t="s">
        <v>503</v>
      </c>
      <c r="F213" s="50" t="s">
        <v>504</v>
      </c>
      <c r="G213" s="44">
        <f>1.25*0.000001</f>
        <v>1.2499999999999999E-6</v>
      </c>
      <c r="H213" s="44">
        <f t="shared" ref="H213:AZ213" si="24">1250*0.000001/5</f>
        <v>2.5000000000000001E-4</v>
      </c>
      <c r="I213" s="44">
        <f t="shared" si="24"/>
        <v>2.5000000000000001E-4</v>
      </c>
      <c r="J213" s="44">
        <f t="shared" si="24"/>
        <v>2.5000000000000001E-4</v>
      </c>
      <c r="K213" s="44">
        <f t="shared" si="24"/>
        <v>2.5000000000000001E-4</v>
      </c>
      <c r="L213" s="44">
        <f t="shared" si="24"/>
        <v>2.5000000000000001E-4</v>
      </c>
      <c r="M213" s="44">
        <f t="shared" si="24"/>
        <v>2.5000000000000001E-4</v>
      </c>
      <c r="N213" s="44">
        <f t="shared" si="24"/>
        <v>2.5000000000000001E-4</v>
      </c>
      <c r="O213" s="44">
        <f t="shared" si="24"/>
        <v>2.5000000000000001E-4</v>
      </c>
      <c r="P213" s="44">
        <f t="shared" si="24"/>
        <v>2.5000000000000001E-4</v>
      </c>
      <c r="R213" s="44">
        <f t="shared" si="24"/>
        <v>2.5000000000000001E-4</v>
      </c>
      <c r="S213" s="44">
        <f t="shared" si="24"/>
        <v>2.5000000000000001E-4</v>
      </c>
      <c r="T213" s="44">
        <f t="shared" si="24"/>
        <v>2.5000000000000001E-4</v>
      </c>
      <c r="U213" s="44">
        <f t="shared" si="24"/>
        <v>2.5000000000000001E-4</v>
      </c>
      <c r="X213" s="44">
        <f t="shared" si="24"/>
        <v>2.5000000000000001E-4</v>
      </c>
      <c r="Y213" s="44">
        <f t="shared" si="24"/>
        <v>2.5000000000000001E-4</v>
      </c>
      <c r="Z213" s="44">
        <f t="shared" si="24"/>
        <v>2.5000000000000001E-4</v>
      </c>
      <c r="AA213" s="44">
        <f t="shared" si="24"/>
        <v>2.5000000000000001E-4</v>
      </c>
      <c r="AB213" s="44">
        <f t="shared" si="24"/>
        <v>2.5000000000000001E-4</v>
      </c>
      <c r="AC213" s="44">
        <f t="shared" si="24"/>
        <v>2.5000000000000001E-4</v>
      </c>
      <c r="AD213" s="44">
        <f t="shared" si="24"/>
        <v>2.5000000000000001E-4</v>
      </c>
      <c r="AE213" s="44">
        <f t="shared" si="24"/>
        <v>2.5000000000000001E-4</v>
      </c>
      <c r="AF213" s="44">
        <f t="shared" si="24"/>
        <v>2.5000000000000001E-4</v>
      </c>
      <c r="AG213" s="44">
        <f t="shared" si="24"/>
        <v>2.5000000000000001E-4</v>
      </c>
      <c r="AH213" s="44">
        <f t="shared" si="24"/>
        <v>2.5000000000000001E-4</v>
      </c>
      <c r="AI213"/>
      <c r="AJ213" s="44">
        <f t="shared" si="24"/>
        <v>2.5000000000000001E-4</v>
      </c>
      <c r="AK213" s="44">
        <f t="shared" si="24"/>
        <v>2.5000000000000001E-4</v>
      </c>
      <c r="AL213" s="44">
        <f t="shared" si="24"/>
        <v>2.5000000000000001E-4</v>
      </c>
      <c r="AM213" s="44">
        <f t="shared" si="24"/>
        <v>2.5000000000000001E-4</v>
      </c>
      <c r="AN213" s="44">
        <f t="shared" si="24"/>
        <v>2.5000000000000001E-4</v>
      </c>
      <c r="AO213" s="44">
        <f t="shared" si="24"/>
        <v>2.5000000000000001E-4</v>
      </c>
      <c r="AP213" s="44">
        <f t="shared" si="24"/>
        <v>2.5000000000000001E-4</v>
      </c>
      <c r="AQ213"/>
      <c r="AR213" s="44">
        <f t="shared" si="24"/>
        <v>2.5000000000000001E-4</v>
      </c>
      <c r="AS213" s="44">
        <f t="shared" si="24"/>
        <v>2.5000000000000001E-4</v>
      </c>
      <c r="AT213" s="44">
        <f t="shared" si="24"/>
        <v>2.5000000000000001E-4</v>
      </c>
      <c r="AU213" s="44">
        <f t="shared" si="24"/>
        <v>2.5000000000000001E-4</v>
      </c>
      <c r="AV213"/>
      <c r="AW213" s="44">
        <f t="shared" si="24"/>
        <v>2.5000000000000001E-4</v>
      </c>
      <c r="AX213"/>
      <c r="AY213"/>
      <c r="AZ213" s="44">
        <f t="shared" si="24"/>
        <v>2.5000000000000001E-4</v>
      </c>
      <c r="BA213" s="51"/>
      <c r="BB213" s="51"/>
      <c r="BC213" s="51"/>
      <c r="BD213" s="51"/>
      <c r="BE213" s="51"/>
      <c r="BF213" s="51"/>
      <c r="BG213" s="51"/>
      <c r="BH213" s="51"/>
    </row>
    <row r="214" spans="1:75" x14ac:dyDescent="0.25">
      <c r="A214" s="2" t="s">
        <v>505</v>
      </c>
      <c r="B214" s="3" t="s">
        <v>473</v>
      </c>
      <c r="C214" s="3" t="s">
        <v>483</v>
      </c>
      <c r="D214" s="3" t="s">
        <v>537</v>
      </c>
      <c r="E214" s="50" t="s">
        <v>506</v>
      </c>
      <c r="F214" s="50" t="s">
        <v>507</v>
      </c>
      <c r="G214" s="44">
        <v>2.0000000000000001E-4</v>
      </c>
      <c r="H214" s="44">
        <v>2.0000000000000001E-4</v>
      </c>
      <c r="I214" s="44">
        <v>2.0000000000000001E-4</v>
      </c>
      <c r="J214" s="44">
        <v>2.0000000000000001E-4</v>
      </c>
      <c r="K214" s="44">
        <v>2.0000000000000001E-4</v>
      </c>
      <c r="L214" s="44">
        <v>2.0000000000000001E-4</v>
      </c>
      <c r="M214" s="44">
        <v>2.0000000000000001E-4</v>
      </c>
      <c r="N214" s="44">
        <v>2.0000000000000001E-4</v>
      </c>
      <c r="O214" s="44">
        <v>2.0000000000000001E-4</v>
      </c>
      <c r="P214" s="44">
        <v>2.0000000000000001E-4</v>
      </c>
      <c r="R214" s="44">
        <v>2.0000000000000001E-4</v>
      </c>
      <c r="S214" s="44">
        <v>2.0000000000000001E-4</v>
      </c>
      <c r="T214" s="44">
        <v>2.0000000000000001E-4</v>
      </c>
      <c r="U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 s="44">
        <v>2.0000000000000001E-4</v>
      </c>
      <c r="AH214" s="44">
        <v>2.0000000000000001E-4</v>
      </c>
      <c r="AI214"/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 s="44">
        <v>2.0000000000000001E-4</v>
      </c>
      <c r="AP214" s="44">
        <v>2.0000000000000001E-4</v>
      </c>
      <c r="AQ214"/>
      <c r="AR214" s="44">
        <v>2.0000000000000001E-4</v>
      </c>
      <c r="AS214" s="44">
        <v>2.0000000000000001E-4</v>
      </c>
      <c r="AT214" s="44">
        <v>2.0000000000000001E-4</v>
      </c>
      <c r="AU214" s="44">
        <v>2.0000000000000001E-4</v>
      </c>
      <c r="AV214"/>
      <c r="AW214" s="44">
        <v>2.0000000000000001E-4</v>
      </c>
      <c r="AX214"/>
      <c r="AY214"/>
      <c r="AZ214" s="44">
        <v>2.0000000000000001E-4</v>
      </c>
      <c r="BA214" s="51"/>
      <c r="BB214" s="51"/>
      <c r="BC214" s="51"/>
      <c r="BD214" s="51"/>
      <c r="BE214" s="51"/>
      <c r="BF214" s="51"/>
      <c r="BG214" s="51"/>
      <c r="BH214" s="51"/>
    </row>
    <row r="215" spans="1:75" x14ac:dyDescent="0.25">
      <c r="A215" s="2" t="s">
        <v>508</v>
      </c>
      <c r="B215" s="3" t="s">
        <v>473</v>
      </c>
      <c r="C215" s="3" t="s">
        <v>483</v>
      </c>
      <c r="D215" s="3" t="s">
        <v>537</v>
      </c>
      <c r="E215" s="50" t="s">
        <v>509</v>
      </c>
      <c r="F215" s="50" t="s">
        <v>510</v>
      </c>
      <c r="G215" s="44">
        <v>2.4999999999999998E-12</v>
      </c>
      <c r="H215" s="44">
        <v>2.4999999999999998E-12</v>
      </c>
      <c r="I215" s="44">
        <v>2.4999999999999999E-13</v>
      </c>
      <c r="J215" s="44">
        <v>2.4999999999999999E-13</v>
      </c>
      <c r="K215" s="44">
        <v>2.4999999999999999E-13</v>
      </c>
      <c r="L215" s="44">
        <v>2.4999999999999999E-13</v>
      </c>
      <c r="M215" s="44">
        <v>2.4999999999999999E-13</v>
      </c>
      <c r="N215" s="44">
        <v>2.4999999999999999E-13</v>
      </c>
      <c r="O215" s="44">
        <v>2.4999999999999999E-13</v>
      </c>
      <c r="P215" s="44">
        <v>2.4999999999999999E-13</v>
      </c>
      <c r="R215" s="44">
        <v>2.4999999999999999E-13</v>
      </c>
      <c r="S215" s="44">
        <v>2.4999999999999999E-13</v>
      </c>
      <c r="T215" s="44">
        <v>2.4999999999999999E-13</v>
      </c>
      <c r="U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 s="44">
        <v>2.4999999999999999E-13</v>
      </c>
      <c r="AH215" s="44">
        <v>2.4999999999999999E-13</v>
      </c>
      <c r="AI215"/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 s="44">
        <v>2.4999999999999999E-13</v>
      </c>
      <c r="AP215" s="44">
        <v>2.4999999999999999E-13</v>
      </c>
      <c r="AQ215"/>
      <c r="AR215" s="44">
        <v>2.4999999999999999E-13</v>
      </c>
      <c r="AS215" s="44">
        <v>2.4999999999999999E-13</v>
      </c>
      <c r="AT215" s="44">
        <v>2.4999999999999999E-13</v>
      </c>
      <c r="AU215" s="44">
        <v>2.4999999999999999E-13</v>
      </c>
      <c r="AV215"/>
      <c r="AW215" s="44">
        <v>2.4999999999999999E-13</v>
      </c>
      <c r="AX215"/>
      <c r="AY215"/>
      <c r="AZ215" s="44">
        <v>2.4999999999999999E-13</v>
      </c>
      <c r="BA215" s="51"/>
      <c r="BB215" s="51"/>
      <c r="BC215" s="51"/>
      <c r="BD215" s="51"/>
      <c r="BE215" s="51"/>
      <c r="BF215" s="51"/>
      <c r="BG215" s="51"/>
      <c r="BH215" s="51"/>
    </row>
    <row r="216" spans="1:75" x14ac:dyDescent="0.25">
      <c r="A216" s="2" t="s">
        <v>511</v>
      </c>
      <c r="B216" s="3" t="s">
        <v>473</v>
      </c>
      <c r="C216" s="3" t="s">
        <v>483</v>
      </c>
      <c r="D216" s="3" t="s">
        <v>537</v>
      </c>
      <c r="E216" s="50" t="s">
        <v>512</v>
      </c>
      <c r="F216" s="50" t="s">
        <v>510</v>
      </c>
      <c r="G216" s="44">
        <v>1.2E-8</v>
      </c>
      <c r="H216" s="44">
        <v>1.2E-8</v>
      </c>
      <c r="I216" s="44">
        <f t="shared" ref="I216:AW216" si="25">0.00000012*100</f>
        <v>1.1999999999999999E-5</v>
      </c>
      <c r="J216" s="44">
        <f t="shared" si="25"/>
        <v>1.1999999999999999E-5</v>
      </c>
      <c r="K216" s="44">
        <f t="shared" si="25"/>
        <v>1.1999999999999999E-5</v>
      </c>
      <c r="L216" s="44">
        <f t="shared" si="25"/>
        <v>1.1999999999999999E-5</v>
      </c>
      <c r="M216" s="44">
        <f t="shared" si="25"/>
        <v>1.1999999999999999E-5</v>
      </c>
      <c r="N216" s="44">
        <f t="shared" si="25"/>
        <v>1.1999999999999999E-5</v>
      </c>
      <c r="O216" s="44">
        <f t="shared" si="25"/>
        <v>1.1999999999999999E-5</v>
      </c>
      <c r="P216" s="44">
        <f t="shared" si="25"/>
        <v>1.1999999999999999E-5</v>
      </c>
      <c r="R216" s="44">
        <f t="shared" si="25"/>
        <v>1.1999999999999999E-5</v>
      </c>
      <c r="S216" s="44">
        <f t="shared" si="25"/>
        <v>1.1999999999999999E-5</v>
      </c>
      <c r="T216" s="44">
        <f t="shared" si="25"/>
        <v>1.1999999999999999E-5</v>
      </c>
      <c r="U216" s="44">
        <f t="shared" si="25"/>
        <v>1.1999999999999999E-5</v>
      </c>
      <c r="X216" s="44">
        <f t="shared" si="25"/>
        <v>1.1999999999999999E-5</v>
      </c>
      <c r="Y216" s="44">
        <f t="shared" si="25"/>
        <v>1.1999999999999999E-5</v>
      </c>
      <c r="Z216" s="44">
        <f t="shared" si="25"/>
        <v>1.1999999999999999E-5</v>
      </c>
      <c r="AA216" s="44">
        <f t="shared" si="25"/>
        <v>1.1999999999999999E-5</v>
      </c>
      <c r="AB216" s="44">
        <f t="shared" si="25"/>
        <v>1.1999999999999999E-5</v>
      </c>
      <c r="AC216" s="44">
        <f t="shared" si="25"/>
        <v>1.1999999999999999E-5</v>
      </c>
      <c r="AD216" s="44">
        <f t="shared" si="25"/>
        <v>1.1999999999999999E-5</v>
      </c>
      <c r="AE216" s="44">
        <f t="shared" si="25"/>
        <v>1.1999999999999999E-5</v>
      </c>
      <c r="AF216" s="44">
        <f t="shared" si="25"/>
        <v>1.1999999999999999E-5</v>
      </c>
      <c r="AG216" s="44">
        <f t="shared" si="25"/>
        <v>1.1999999999999999E-5</v>
      </c>
      <c r="AH216" s="44">
        <f t="shared" si="25"/>
        <v>1.1999999999999999E-5</v>
      </c>
      <c r="AI216"/>
      <c r="AJ216" s="44">
        <f t="shared" si="25"/>
        <v>1.1999999999999999E-5</v>
      </c>
      <c r="AK216" s="44">
        <f t="shared" si="25"/>
        <v>1.1999999999999999E-5</v>
      </c>
      <c r="AL216" s="44">
        <f t="shared" si="25"/>
        <v>1.1999999999999999E-5</v>
      </c>
      <c r="AM216" s="44">
        <f t="shared" si="25"/>
        <v>1.1999999999999999E-5</v>
      </c>
      <c r="AN216" s="44">
        <f t="shared" si="25"/>
        <v>1.1999999999999999E-5</v>
      </c>
      <c r="AO216" s="44">
        <f t="shared" si="25"/>
        <v>1.1999999999999999E-5</v>
      </c>
      <c r="AP216" s="44">
        <f t="shared" si="25"/>
        <v>1.1999999999999999E-5</v>
      </c>
      <c r="AQ216"/>
      <c r="AR216" s="44">
        <f t="shared" si="25"/>
        <v>1.1999999999999999E-5</v>
      </c>
      <c r="AS216" s="44">
        <f t="shared" si="25"/>
        <v>1.1999999999999999E-5</v>
      </c>
      <c r="AT216" s="44">
        <f t="shared" si="25"/>
        <v>1.1999999999999999E-5</v>
      </c>
      <c r="AU216" s="44">
        <f t="shared" si="25"/>
        <v>1.1999999999999999E-5</v>
      </c>
      <c r="AV216"/>
      <c r="AW216" s="44">
        <f t="shared" si="25"/>
        <v>1.1999999999999999E-5</v>
      </c>
      <c r="AX216"/>
      <c r="AY216"/>
      <c r="AZ216" s="44">
        <f>0.00000012*100</f>
        <v>1.1999999999999999E-5</v>
      </c>
      <c r="BA216" s="51"/>
      <c r="BB216" s="51"/>
      <c r="BC216" s="51"/>
      <c r="BD216" s="51"/>
      <c r="BE216" s="51"/>
      <c r="BF216" s="51"/>
      <c r="BG216" s="51"/>
      <c r="BH216" s="51"/>
    </row>
    <row r="217" spans="1:75" x14ac:dyDescent="0.25">
      <c r="A217" s="2" t="s">
        <v>513</v>
      </c>
      <c r="B217" s="3" t="s">
        <v>473</v>
      </c>
      <c r="C217" s="3" t="s">
        <v>483</v>
      </c>
      <c r="D217" s="3" t="s">
        <v>537</v>
      </c>
      <c r="E217" s="50" t="s">
        <v>514</v>
      </c>
      <c r="F217" s="50" t="s">
        <v>515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v>9.9999999999999995E-7</v>
      </c>
      <c r="S217" s="44">
        <v>9.9999999999999995E-7</v>
      </c>
      <c r="T217" s="44">
        <v>9.9999999999999995E-7</v>
      </c>
      <c r="U217" s="44">
        <v>9.9999999999999995E-7</v>
      </c>
      <c r="X217" s="44">
        <v>9.9999999999999995E-7</v>
      </c>
      <c r="Y217" s="44">
        <v>9.9999999999999995E-7</v>
      </c>
      <c r="Z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/>
      <c r="AJ217" s="44">
        <v>9.9999999999999995E-7</v>
      </c>
      <c r="AK217" s="44">
        <v>9.9999999999999995E-7</v>
      </c>
      <c r="AL217" s="44">
        <v>9.9999999999999995E-7</v>
      </c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/>
      <c r="AR217" s="44">
        <v>9.9999999999999995E-7</v>
      </c>
      <c r="AS217" s="44">
        <v>9.9999999999999995E-7</v>
      </c>
      <c r="AT217" s="44">
        <v>9.9999999999999995E-7</v>
      </c>
      <c r="AU217" s="44">
        <v>9.9999999999999995E-7</v>
      </c>
      <c r="AV217"/>
      <c r="AW217" s="44">
        <v>9.9999999999999995E-7</v>
      </c>
      <c r="AX217"/>
      <c r="AY217"/>
      <c r="AZ217" s="44">
        <v>9.9999999999999995E-7</v>
      </c>
      <c r="BA217" s="51"/>
      <c r="BB217" s="51"/>
      <c r="BC217" s="51"/>
      <c r="BD217" s="51"/>
      <c r="BE217" s="51"/>
      <c r="BF217" s="51"/>
      <c r="BG217" s="51"/>
      <c r="BH217" s="51"/>
    </row>
    <row r="218" spans="1:75" x14ac:dyDescent="0.25">
      <c r="A218" s="2" t="s">
        <v>516</v>
      </c>
      <c r="B218" s="3" t="s">
        <v>473</v>
      </c>
      <c r="C218" s="3" t="s">
        <v>483</v>
      </c>
      <c r="D218" s="3" t="s">
        <v>537</v>
      </c>
      <c r="E218" s="50" t="s">
        <v>517</v>
      </c>
      <c r="F218" s="50" t="s">
        <v>518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v>2E-8</v>
      </c>
      <c r="S218" s="44">
        <v>2E-8</v>
      </c>
      <c r="T218" s="44">
        <v>2E-8</v>
      </c>
      <c r="U218" s="44">
        <v>2E-8</v>
      </c>
      <c r="X218" s="44">
        <v>5.0000000000000002E-5</v>
      </c>
      <c r="Y218" s="44">
        <v>5.0000000000000002E-5</v>
      </c>
      <c r="Z218" s="44">
        <v>5.0000000000000002E-5</v>
      </c>
      <c r="AA218" s="44">
        <v>5.0000000000000002E-5</v>
      </c>
      <c r="AB218" s="44">
        <v>2.0000000000000002E-5</v>
      </c>
      <c r="AC218" s="44">
        <v>1.0000000000000001E-5</v>
      </c>
      <c r="AD218" s="44">
        <v>5.0000000000000004E-6</v>
      </c>
      <c r="AE218" s="44">
        <v>1.9999999999999999E-6</v>
      </c>
      <c r="AF218" s="44">
        <v>9.9999999999999995E-7</v>
      </c>
      <c r="AG218" s="44">
        <v>4.9999999999999998E-7</v>
      </c>
      <c r="AH218" s="44">
        <v>1.9999999999999999E-7</v>
      </c>
      <c r="AI218"/>
      <c r="AJ218" s="44">
        <v>2.0000000000000002E-5</v>
      </c>
      <c r="AK218" s="44">
        <v>1.0000000000000001E-5</v>
      </c>
      <c r="AL218" s="44">
        <v>5.0000000000000004E-6</v>
      </c>
      <c r="AM218" s="44">
        <v>1.9999999999999999E-6</v>
      </c>
      <c r="AN218" s="44">
        <v>9.9999999999999995E-7</v>
      </c>
      <c r="AO218" s="44">
        <v>4.9999999999999998E-7</v>
      </c>
      <c r="AP218" s="44">
        <v>1.9999999999999999E-7</v>
      </c>
      <c r="AQ218"/>
      <c r="AR218" s="44">
        <v>2E-8</v>
      </c>
      <c r="AS218" s="44">
        <v>2E-8</v>
      </c>
      <c r="AT218" s="44">
        <v>2.0000000000000001E-9</v>
      </c>
      <c r="AU218" s="44">
        <v>2.0000000000000001E-9</v>
      </c>
      <c r="AV218"/>
      <c r="AW218" s="44">
        <v>9.9999999999999995E-7</v>
      </c>
      <c r="AX218"/>
      <c r="AY218"/>
      <c r="AZ218" s="44">
        <v>5.0000000000000002E-5</v>
      </c>
      <c r="BA218" s="51"/>
      <c r="BB218" s="51"/>
      <c r="BC218" s="51"/>
      <c r="BD218" s="51"/>
      <c r="BE218" s="51"/>
      <c r="BF218" s="51"/>
      <c r="BG218" s="51"/>
      <c r="BH218" s="51"/>
    </row>
    <row r="219" spans="1:75" x14ac:dyDescent="0.25">
      <c r="A219" s="2" t="s">
        <v>519</v>
      </c>
      <c r="B219" s="3" t="s">
        <v>473</v>
      </c>
      <c r="C219" s="3" t="s">
        <v>483</v>
      </c>
      <c r="D219" s="3" t="s">
        <v>537</v>
      </c>
      <c r="E219" s="50" t="s">
        <v>520</v>
      </c>
      <c r="F219" s="50" t="s">
        <v>521</v>
      </c>
      <c r="G219" s="44">
        <f>0.00000000000001 * 1000</f>
        <v>9.9999999999999994E-12</v>
      </c>
      <c r="H219" s="44">
        <f>0.00000000000001 * 1000</f>
        <v>9.9999999999999994E-12</v>
      </c>
      <c r="I219" s="44">
        <f t="shared" ref="I219:AZ219" si="26">0.00000000000001*10000*8</f>
        <v>8.0000000000000003E-10</v>
      </c>
      <c r="J219" s="44">
        <f t="shared" si="26"/>
        <v>8.0000000000000003E-10</v>
      </c>
      <c r="K219" s="44">
        <f t="shared" si="26"/>
        <v>8.0000000000000003E-10</v>
      </c>
      <c r="L219" s="44">
        <f t="shared" si="26"/>
        <v>8.0000000000000003E-10</v>
      </c>
      <c r="M219" s="44">
        <f t="shared" si="26"/>
        <v>8.0000000000000003E-10</v>
      </c>
      <c r="N219" s="44">
        <f t="shared" si="26"/>
        <v>8.0000000000000003E-10</v>
      </c>
      <c r="O219" s="44">
        <f t="shared" si="26"/>
        <v>8.0000000000000003E-10</v>
      </c>
      <c r="P219" s="44">
        <f t="shared" si="26"/>
        <v>8.0000000000000003E-10</v>
      </c>
      <c r="R219" s="44">
        <f t="shared" si="26"/>
        <v>8.0000000000000003E-10</v>
      </c>
      <c r="S219" s="44">
        <f t="shared" si="26"/>
        <v>8.0000000000000003E-10</v>
      </c>
      <c r="T219" s="44">
        <f t="shared" si="26"/>
        <v>8.0000000000000003E-10</v>
      </c>
      <c r="U219" s="44">
        <f t="shared" si="26"/>
        <v>8.0000000000000003E-10</v>
      </c>
      <c r="X219" s="44">
        <f t="shared" si="26"/>
        <v>8.0000000000000003E-10</v>
      </c>
      <c r="Y219" s="44">
        <f t="shared" si="26"/>
        <v>8.0000000000000003E-10</v>
      </c>
      <c r="Z219" s="44">
        <f t="shared" si="26"/>
        <v>8.0000000000000003E-10</v>
      </c>
      <c r="AA219" s="44">
        <f t="shared" si="26"/>
        <v>8.0000000000000003E-10</v>
      </c>
      <c r="AB219" s="44">
        <f t="shared" si="26"/>
        <v>8.0000000000000003E-10</v>
      </c>
      <c r="AC219" s="44">
        <f t="shared" si="26"/>
        <v>8.0000000000000003E-10</v>
      </c>
      <c r="AD219" s="44">
        <f t="shared" si="26"/>
        <v>8.0000000000000003E-10</v>
      </c>
      <c r="AE219" s="44">
        <f t="shared" si="26"/>
        <v>8.0000000000000003E-10</v>
      </c>
      <c r="AF219" s="44">
        <f t="shared" si="26"/>
        <v>8.0000000000000003E-10</v>
      </c>
      <c r="AG219" s="44">
        <f t="shared" si="26"/>
        <v>8.0000000000000003E-10</v>
      </c>
      <c r="AH219" s="44">
        <f t="shared" si="26"/>
        <v>8.0000000000000003E-10</v>
      </c>
      <c r="AI219"/>
      <c r="AJ219" s="44">
        <f t="shared" si="26"/>
        <v>8.0000000000000003E-10</v>
      </c>
      <c r="AK219" s="44">
        <f t="shared" si="26"/>
        <v>8.0000000000000003E-10</v>
      </c>
      <c r="AL219" s="44">
        <f t="shared" si="26"/>
        <v>8.0000000000000003E-10</v>
      </c>
      <c r="AM219" s="44">
        <f t="shared" si="26"/>
        <v>8.0000000000000003E-10</v>
      </c>
      <c r="AN219" s="44">
        <f t="shared" si="26"/>
        <v>8.0000000000000003E-10</v>
      </c>
      <c r="AO219" s="44">
        <f t="shared" si="26"/>
        <v>8.0000000000000003E-10</v>
      </c>
      <c r="AP219" s="44">
        <f t="shared" si="26"/>
        <v>8.0000000000000003E-10</v>
      </c>
      <c r="AQ219"/>
      <c r="AR219" s="44">
        <f t="shared" si="26"/>
        <v>8.0000000000000003E-10</v>
      </c>
      <c r="AS219" s="44">
        <f t="shared" si="26"/>
        <v>8.0000000000000003E-10</v>
      </c>
      <c r="AT219" s="44">
        <f t="shared" si="26"/>
        <v>8.0000000000000003E-10</v>
      </c>
      <c r="AU219" s="44">
        <f t="shared" si="26"/>
        <v>8.0000000000000003E-10</v>
      </c>
      <c r="AV219"/>
      <c r="AW219" s="44">
        <f t="shared" si="26"/>
        <v>8.0000000000000003E-10</v>
      </c>
      <c r="AX219"/>
      <c r="AY219"/>
      <c r="AZ219" s="44">
        <f t="shared" si="26"/>
        <v>8.0000000000000003E-10</v>
      </c>
      <c r="BA219" s="51"/>
      <c r="BB219" s="51"/>
      <c r="BC219" s="51"/>
      <c r="BD219" s="51"/>
      <c r="BE219" s="51"/>
      <c r="BF219" s="51"/>
      <c r="BG219" s="51"/>
      <c r="BH219" s="51"/>
    </row>
    <row r="220" spans="1:75" x14ac:dyDescent="0.25">
      <c r="A220" s="2" t="s">
        <v>522</v>
      </c>
      <c r="B220" s="3" t="s">
        <v>473</v>
      </c>
      <c r="C220" s="3" t="s">
        <v>483</v>
      </c>
      <c r="D220" s="3" t="s">
        <v>537</v>
      </c>
      <c r="E220" s="50" t="s">
        <v>523</v>
      </c>
      <c r="F220" s="50" t="s">
        <v>524</v>
      </c>
      <c r="G220" s="44">
        <f>0.00000000000001 * 10000</f>
        <v>1E-10</v>
      </c>
      <c r="H220" s="44">
        <f>0.00000000000001 * 10000</f>
        <v>1E-10</v>
      </c>
      <c r="I220" s="44">
        <f t="shared" ref="I220" si="27">I219*10</f>
        <v>8.0000000000000005E-9</v>
      </c>
      <c r="J220" s="44">
        <f t="shared" ref="J220:K220" si="28">J219*10</f>
        <v>8.0000000000000005E-9</v>
      </c>
      <c r="K220" s="44">
        <f t="shared" si="28"/>
        <v>8.0000000000000005E-9</v>
      </c>
      <c r="L220" s="44">
        <f t="shared" ref="L220:M220" si="29">L219*10</f>
        <v>8.0000000000000005E-9</v>
      </c>
      <c r="M220" s="44">
        <f t="shared" si="29"/>
        <v>8.0000000000000005E-9</v>
      </c>
      <c r="N220" s="44">
        <f t="shared" ref="N220:O220" si="30">N219*10</f>
        <v>8.0000000000000005E-9</v>
      </c>
      <c r="O220" s="44">
        <f t="shared" si="30"/>
        <v>8.0000000000000005E-9</v>
      </c>
      <c r="P220" s="44">
        <f t="shared" ref="P220:R220" si="31">P219*10</f>
        <v>8.0000000000000005E-9</v>
      </c>
      <c r="R220" s="44">
        <f t="shared" si="31"/>
        <v>8.0000000000000005E-9</v>
      </c>
      <c r="S220" s="44">
        <f t="shared" ref="S220" si="32">S219*10</f>
        <v>8.0000000000000005E-9</v>
      </c>
      <c r="T220" s="44">
        <f t="shared" ref="T220:U220" si="33">T219*10</f>
        <v>8.0000000000000005E-9</v>
      </c>
      <c r="U220" s="44">
        <f t="shared" si="33"/>
        <v>8.0000000000000005E-9</v>
      </c>
      <c r="X220" s="44">
        <f t="shared" ref="X220:Y220" si="34">X219*10</f>
        <v>8.0000000000000005E-9</v>
      </c>
      <c r="Y220" s="44">
        <f t="shared" si="34"/>
        <v>8.0000000000000005E-9</v>
      </c>
      <c r="Z220" s="44">
        <f t="shared" ref="Z220:AA220" si="35">Z219*10</f>
        <v>8.0000000000000005E-9</v>
      </c>
      <c r="AA220" s="44">
        <f t="shared" si="35"/>
        <v>8.0000000000000005E-9</v>
      </c>
      <c r="AB220" s="44">
        <f t="shared" ref="AB220:AC220" si="36">AB219*10</f>
        <v>8.0000000000000005E-9</v>
      </c>
      <c r="AC220" s="44">
        <f t="shared" si="36"/>
        <v>8.0000000000000005E-9</v>
      </c>
      <c r="AD220" s="44">
        <f t="shared" ref="AD220:AE220" si="37">AD219*10</f>
        <v>8.0000000000000005E-9</v>
      </c>
      <c r="AE220" s="44">
        <f t="shared" si="37"/>
        <v>8.0000000000000005E-9</v>
      </c>
      <c r="AF220" s="44">
        <f t="shared" ref="AF220:AH220" si="38">AF219*10</f>
        <v>8.0000000000000005E-9</v>
      </c>
      <c r="AG220" s="44">
        <f t="shared" si="38"/>
        <v>8.0000000000000005E-9</v>
      </c>
      <c r="AH220" s="44">
        <f t="shared" si="38"/>
        <v>8.0000000000000005E-9</v>
      </c>
      <c r="AI220"/>
      <c r="AJ220" s="44">
        <f t="shared" ref="AJ220:AP220" si="39">AJ219*10</f>
        <v>8.0000000000000005E-9</v>
      </c>
      <c r="AK220" s="44">
        <f t="shared" si="39"/>
        <v>8.0000000000000005E-9</v>
      </c>
      <c r="AL220" s="44">
        <f t="shared" si="39"/>
        <v>8.0000000000000005E-9</v>
      </c>
      <c r="AM220" s="44">
        <f t="shared" si="39"/>
        <v>8.0000000000000005E-9</v>
      </c>
      <c r="AN220" s="44">
        <f t="shared" si="39"/>
        <v>8.0000000000000005E-9</v>
      </c>
      <c r="AO220" s="44">
        <f t="shared" si="39"/>
        <v>8.0000000000000005E-9</v>
      </c>
      <c r="AP220" s="44">
        <f t="shared" si="39"/>
        <v>8.0000000000000005E-9</v>
      </c>
      <c r="AQ220"/>
      <c r="AR220" s="44">
        <f t="shared" ref="AR220:AS220" si="40">AR219*10</f>
        <v>8.0000000000000005E-9</v>
      </c>
      <c r="AS220" s="44">
        <f t="shared" si="40"/>
        <v>8.0000000000000005E-9</v>
      </c>
      <c r="AT220" s="44">
        <f t="shared" ref="AT220:AU220" si="41">AT219*10</f>
        <v>8.0000000000000005E-9</v>
      </c>
      <c r="AU220" s="44">
        <f t="shared" si="41"/>
        <v>8.0000000000000005E-9</v>
      </c>
      <c r="AV220"/>
      <c r="AW220" s="44">
        <f t="shared" ref="AW220" si="42">AW219*10</f>
        <v>8.0000000000000005E-9</v>
      </c>
      <c r="AX220"/>
      <c r="AY220"/>
      <c r="AZ220" s="44">
        <f t="shared" ref="AZ220" si="43">AZ219*10</f>
        <v>8.0000000000000005E-9</v>
      </c>
      <c r="BA220" s="51"/>
      <c r="BB220" s="51"/>
      <c r="BC220" s="51"/>
      <c r="BD220" s="51"/>
      <c r="BE220" s="51"/>
      <c r="BF220" s="51"/>
      <c r="BG220" s="51"/>
      <c r="BH220" s="51"/>
    </row>
    <row r="221" spans="1:75" x14ac:dyDescent="0.25">
      <c r="A221" s="2" t="s">
        <v>486</v>
      </c>
      <c r="B221" s="3" t="s">
        <v>473</v>
      </c>
      <c r="C221" s="3" t="s">
        <v>483</v>
      </c>
      <c r="D221" s="3" t="s">
        <v>537</v>
      </c>
      <c r="E221" s="50" t="s">
        <v>525</v>
      </c>
      <c r="F221" s="50" t="s">
        <v>487</v>
      </c>
      <c r="G221" s="44">
        <f t="shared" ref="G221:AZ221" si="44">0.84*(0.36^2)</f>
        <v>0.10886399999999999</v>
      </c>
      <c r="H221" s="44">
        <f t="shared" si="44"/>
        <v>0.10886399999999999</v>
      </c>
      <c r="I221" s="44">
        <f t="shared" si="44"/>
        <v>0.10886399999999999</v>
      </c>
      <c r="J221" s="44">
        <f t="shared" si="44"/>
        <v>0.10886399999999999</v>
      </c>
      <c r="K221" s="44">
        <f t="shared" si="44"/>
        <v>0.10886399999999999</v>
      </c>
      <c r="L221" s="44">
        <f t="shared" si="44"/>
        <v>0.10886399999999999</v>
      </c>
      <c r="M221" s="44">
        <f t="shared" si="44"/>
        <v>0.10886399999999999</v>
      </c>
      <c r="N221" s="44">
        <f t="shared" si="44"/>
        <v>0.10886399999999999</v>
      </c>
      <c r="O221" s="44">
        <f t="shared" si="44"/>
        <v>0.10886399999999999</v>
      </c>
      <c r="P221" s="44">
        <f t="shared" si="44"/>
        <v>0.10886399999999999</v>
      </c>
      <c r="R221" s="44">
        <f t="shared" si="44"/>
        <v>0.10886399999999999</v>
      </c>
      <c r="S221" s="44">
        <f t="shared" si="44"/>
        <v>0.10886399999999999</v>
      </c>
      <c r="T221" s="44">
        <f t="shared" si="44"/>
        <v>0.10886399999999999</v>
      </c>
      <c r="U221" s="44">
        <f t="shared" si="44"/>
        <v>0.10886399999999999</v>
      </c>
      <c r="X221" s="44">
        <f t="shared" si="44"/>
        <v>0.10886399999999999</v>
      </c>
      <c r="Y221" s="44">
        <f t="shared" si="44"/>
        <v>0.10886399999999999</v>
      </c>
      <c r="Z221" s="44">
        <f t="shared" si="44"/>
        <v>0.10886399999999999</v>
      </c>
      <c r="AA221" s="44">
        <f t="shared" si="44"/>
        <v>0.10886399999999999</v>
      </c>
      <c r="AB221" s="44">
        <f t="shared" si="44"/>
        <v>0.10886399999999999</v>
      </c>
      <c r="AC221" s="44">
        <f t="shared" si="44"/>
        <v>0.10886399999999999</v>
      </c>
      <c r="AD221" s="44">
        <f t="shared" si="44"/>
        <v>0.10886399999999999</v>
      </c>
      <c r="AE221" s="44">
        <f t="shared" si="44"/>
        <v>0.10886399999999999</v>
      </c>
      <c r="AF221" s="44">
        <f t="shared" si="44"/>
        <v>0.10886399999999999</v>
      </c>
      <c r="AG221" s="44">
        <f t="shared" si="44"/>
        <v>0.10886399999999999</v>
      </c>
      <c r="AH221" s="44">
        <f t="shared" si="44"/>
        <v>0.10886399999999999</v>
      </c>
      <c r="AI221"/>
      <c r="AJ221" s="44">
        <f t="shared" si="44"/>
        <v>0.10886399999999999</v>
      </c>
      <c r="AK221" s="44">
        <f t="shared" si="44"/>
        <v>0.10886399999999999</v>
      </c>
      <c r="AL221" s="44">
        <f t="shared" si="44"/>
        <v>0.10886399999999999</v>
      </c>
      <c r="AM221" s="44">
        <f t="shared" si="44"/>
        <v>0.10886399999999999</v>
      </c>
      <c r="AN221" s="44">
        <f t="shared" si="44"/>
        <v>0.10886399999999999</v>
      </c>
      <c r="AO221" s="44">
        <f t="shared" si="44"/>
        <v>0.10886399999999999</v>
      </c>
      <c r="AP221" s="44">
        <f t="shared" si="44"/>
        <v>0.10886399999999999</v>
      </c>
      <c r="AQ221"/>
      <c r="AR221" s="44">
        <f t="shared" si="44"/>
        <v>0.10886399999999999</v>
      </c>
      <c r="AS221" s="44">
        <f t="shared" si="44"/>
        <v>0.10886399999999999</v>
      </c>
      <c r="AT221" s="44">
        <f t="shared" si="44"/>
        <v>0.10886399999999999</v>
      </c>
      <c r="AU221" s="44">
        <f t="shared" si="44"/>
        <v>0.10886399999999999</v>
      </c>
      <c r="AV221"/>
      <c r="AW221" s="44">
        <f t="shared" si="44"/>
        <v>0.10886399999999999</v>
      </c>
      <c r="AX221"/>
      <c r="AY221"/>
      <c r="AZ221" s="44">
        <f t="shared" si="44"/>
        <v>0.10886399999999999</v>
      </c>
      <c r="BA221" s="51"/>
      <c r="BB221" s="51"/>
      <c r="BC221" s="51"/>
      <c r="BD221" s="51"/>
      <c r="BE221" s="51"/>
      <c r="BF221" s="51"/>
      <c r="BG221" s="51"/>
      <c r="BH221" s="51"/>
    </row>
    <row r="222" spans="1:75" ht="14.25" customHeight="1" x14ac:dyDescent="0.25">
      <c r="A222" s="53" t="s">
        <v>533</v>
      </c>
      <c r="B222" s="3" t="s">
        <v>473</v>
      </c>
      <c r="C222" s="3" t="s">
        <v>534</v>
      </c>
      <c r="D222" s="3" t="s">
        <v>537</v>
      </c>
      <c r="E222" s="50" t="s">
        <v>535</v>
      </c>
      <c r="F222" s="50" t="s">
        <v>536</v>
      </c>
      <c r="G222" s="44">
        <v>9.9999999999999995E-8</v>
      </c>
      <c r="H222" s="44">
        <f>G222</f>
        <v>9.9999999999999995E-8</v>
      </c>
      <c r="I222" s="44">
        <v>9.9999999999999995E-8</v>
      </c>
      <c r="J222" s="44">
        <v>9.9999999999999995E-8</v>
      </c>
      <c r="K222" s="44">
        <v>4.9999999999999998E-8</v>
      </c>
      <c r="L222" s="44">
        <v>2E-8</v>
      </c>
      <c r="M222" s="44">
        <v>1E-8</v>
      </c>
      <c r="N222" s="44">
        <v>5.0000000000000001E-9</v>
      </c>
      <c r="O222" s="44">
        <v>2.0000000000000001E-9</v>
      </c>
      <c r="P222" s="44">
        <v>1.0000000000000001E-9</v>
      </c>
      <c r="R222" s="44">
        <v>5.0000000000000003E-10</v>
      </c>
      <c r="S222" s="44">
        <v>5.0000000000000003E-10</v>
      </c>
      <c r="T222" s="44">
        <v>5.0000000000000003E-10</v>
      </c>
      <c r="U222" s="44">
        <v>9.9999999999999995E-8</v>
      </c>
      <c r="X222" s="44">
        <v>4.9999999999999998E-8</v>
      </c>
      <c r="Y222" s="44">
        <v>2E-8</v>
      </c>
      <c r="Z222" s="44">
        <v>1E-8</v>
      </c>
      <c r="AA222" s="44">
        <v>1.0000000000000001E-9</v>
      </c>
      <c r="AB222" s="44">
        <v>1E-8</v>
      </c>
      <c r="AC222" s="44">
        <v>1E-8</v>
      </c>
      <c r="AD222" s="44">
        <v>1E-8</v>
      </c>
      <c r="AE222" s="44">
        <v>1E-8</v>
      </c>
      <c r="AF222" s="44">
        <v>1E-8</v>
      </c>
      <c r="AG222" s="44">
        <v>1E-8</v>
      </c>
      <c r="AH222" s="44">
        <v>1E-8</v>
      </c>
      <c r="AI222"/>
      <c r="AJ222" s="44">
        <v>1.0000000000000001E-9</v>
      </c>
      <c r="AK222" s="44">
        <v>1.0000000000000001E-9</v>
      </c>
      <c r="AL222" s="44">
        <v>1.0000000000000001E-9</v>
      </c>
      <c r="AM222" s="44">
        <v>1.0000000000000001E-9</v>
      </c>
      <c r="AN222" s="44">
        <v>1.0000000000000001E-9</v>
      </c>
      <c r="AO222" s="44">
        <v>1.0000000000000001E-9</v>
      </c>
      <c r="AP222" s="44">
        <v>1.0000000000000001E-9</v>
      </c>
      <c r="AQ222"/>
      <c r="AR222" s="44">
        <v>1E-8</v>
      </c>
      <c r="AS222" s="44">
        <v>1.0000000000000001E-9</v>
      </c>
      <c r="AT222" s="44">
        <v>1E-8</v>
      </c>
      <c r="AU222" s="44">
        <v>1.0000000000000001E-9</v>
      </c>
      <c r="AV222"/>
      <c r="AW222" s="44">
        <v>1.0000000000000001E-9</v>
      </c>
      <c r="AX222"/>
      <c r="AY222"/>
      <c r="AZ222" s="44">
        <v>9.9999999999999995E-8</v>
      </c>
    </row>
    <row r="223" spans="1:75" x14ac:dyDescent="0.25">
      <c r="A223" s="2" t="s">
        <v>539</v>
      </c>
      <c r="B223" s="3" t="s">
        <v>473</v>
      </c>
      <c r="C223" s="3" t="s">
        <v>483</v>
      </c>
      <c r="D223" s="3" t="s">
        <v>537</v>
      </c>
      <c r="E223" s="50" t="s">
        <v>540</v>
      </c>
      <c r="F223" s="50" t="s">
        <v>488</v>
      </c>
      <c r="G223" s="44">
        <v>0.2</v>
      </c>
      <c r="H223" s="44">
        <v>0.2</v>
      </c>
      <c r="I223" s="44">
        <v>0.2</v>
      </c>
      <c r="J223" s="44">
        <v>0.2</v>
      </c>
      <c r="K223" s="44">
        <v>0.2</v>
      </c>
      <c r="L223" s="44">
        <v>0.2</v>
      </c>
      <c r="M223" s="44">
        <v>0.2</v>
      </c>
      <c r="N223" s="44">
        <v>0.2</v>
      </c>
      <c r="O223" s="44">
        <v>0.2</v>
      </c>
      <c r="P223" s="44">
        <v>0.2</v>
      </c>
      <c r="R223" s="44">
        <v>0.2</v>
      </c>
      <c r="S223" s="44">
        <v>0.2</v>
      </c>
      <c r="T223" s="44">
        <v>0.2</v>
      </c>
      <c r="U223" s="44">
        <v>0.2</v>
      </c>
      <c r="X223" s="44">
        <v>0.2</v>
      </c>
      <c r="Y223" s="44">
        <v>0.2</v>
      </c>
      <c r="Z223" s="44">
        <v>0.2</v>
      </c>
      <c r="AA223" s="44">
        <v>0.2</v>
      </c>
      <c r="AB223" s="44">
        <v>0.2</v>
      </c>
      <c r="AC223" s="44">
        <v>0.2</v>
      </c>
      <c r="AD223" s="44">
        <v>0.2</v>
      </c>
      <c r="AE223" s="44">
        <v>0.2</v>
      </c>
      <c r="AF223" s="44">
        <v>0.2</v>
      </c>
      <c r="AG223" s="44">
        <v>0.2</v>
      </c>
      <c r="AH223" s="44">
        <v>0.2</v>
      </c>
      <c r="AI223"/>
      <c r="AJ223" s="44">
        <v>0.2</v>
      </c>
      <c r="AK223" s="44">
        <v>0.2</v>
      </c>
      <c r="AL223" s="44">
        <v>0.2</v>
      </c>
      <c r="AM223" s="44">
        <v>0.2</v>
      </c>
      <c r="AN223" s="44">
        <v>0.2</v>
      </c>
      <c r="AO223" s="44">
        <v>0.2</v>
      </c>
      <c r="AP223" s="44">
        <v>0.2</v>
      </c>
      <c r="AQ223"/>
      <c r="AR223" s="44">
        <v>0.2</v>
      </c>
      <c r="AS223" s="44">
        <v>0.2</v>
      </c>
      <c r="AT223" s="44">
        <v>0.2</v>
      </c>
      <c r="AU223" s="44">
        <v>0.2</v>
      </c>
      <c r="AV223"/>
      <c r="AW223" s="44">
        <v>0.2</v>
      </c>
      <c r="AX223"/>
      <c r="AY223"/>
      <c r="AZ223" s="44">
        <v>0.2</v>
      </c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</row>
    <row r="224" spans="1:75" x14ac:dyDescent="0.25">
      <c r="A224" s="2" t="s">
        <v>541</v>
      </c>
      <c r="B224" s="3" t="s">
        <v>473</v>
      </c>
      <c r="C224" s="3" t="s">
        <v>483</v>
      </c>
      <c r="D224" s="3" t="s">
        <v>537</v>
      </c>
      <c r="E224" s="50" t="s">
        <v>542</v>
      </c>
      <c r="F224" s="50" t="s">
        <v>495</v>
      </c>
      <c r="G224" s="44" t="s">
        <v>485</v>
      </c>
      <c r="H224" s="44" t="s">
        <v>485</v>
      </c>
      <c r="I224" s="44" t="s">
        <v>485</v>
      </c>
      <c r="J224" s="44" t="s">
        <v>485</v>
      </c>
      <c r="K224" s="44" t="s">
        <v>485</v>
      </c>
      <c r="L224" s="44" t="s">
        <v>485</v>
      </c>
      <c r="M224" s="44" t="s">
        <v>485</v>
      </c>
      <c r="N224" s="44" t="s">
        <v>485</v>
      </c>
      <c r="O224" s="44" t="s">
        <v>485</v>
      </c>
      <c r="P224" s="44" t="s">
        <v>485</v>
      </c>
      <c r="R224" s="44" t="s">
        <v>485</v>
      </c>
      <c r="S224" s="44" t="s">
        <v>485</v>
      </c>
      <c r="T224" s="44" t="s">
        <v>485</v>
      </c>
      <c r="U224" s="44" t="s">
        <v>485</v>
      </c>
      <c r="X224" s="44" t="s">
        <v>485</v>
      </c>
      <c r="Y224" s="44" t="s">
        <v>485</v>
      </c>
      <c r="Z224" s="44" t="s">
        <v>485</v>
      </c>
      <c r="AA224" s="44" t="s">
        <v>485</v>
      </c>
      <c r="AB224" s="44" t="s">
        <v>485</v>
      </c>
      <c r="AC224" s="44" t="s">
        <v>485</v>
      </c>
      <c r="AD224" s="44" t="s">
        <v>485</v>
      </c>
      <c r="AE224" s="44" t="s">
        <v>485</v>
      </c>
      <c r="AF224" s="44" t="s">
        <v>485</v>
      </c>
      <c r="AG224" s="44" t="s">
        <v>485</v>
      </c>
      <c r="AH224" s="44" t="s">
        <v>485</v>
      </c>
      <c r="AI224"/>
      <c r="AJ224" s="44" t="s">
        <v>485</v>
      </c>
      <c r="AK224" s="44" t="s">
        <v>485</v>
      </c>
      <c r="AL224" s="44" t="s">
        <v>485</v>
      </c>
      <c r="AM224" s="44" t="s">
        <v>485</v>
      </c>
      <c r="AN224" s="44" t="s">
        <v>485</v>
      </c>
      <c r="AO224" s="44" t="s">
        <v>485</v>
      </c>
      <c r="AP224" s="44" t="s">
        <v>485</v>
      </c>
      <c r="AQ224"/>
      <c r="AR224" s="44" t="s">
        <v>485</v>
      </c>
      <c r="AS224" s="44" t="s">
        <v>485</v>
      </c>
      <c r="AT224" s="44" t="s">
        <v>485</v>
      </c>
      <c r="AU224" s="44" t="s">
        <v>485</v>
      </c>
      <c r="AV224"/>
      <c r="AW224" s="44" t="s">
        <v>485</v>
      </c>
      <c r="AX224"/>
      <c r="AY224"/>
      <c r="AZ224" s="44" t="s">
        <v>485</v>
      </c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</row>
    <row r="225" spans="1:75" x14ac:dyDescent="0.25">
      <c r="A225" s="2" t="s">
        <v>543</v>
      </c>
      <c r="B225" s="3" t="s">
        <v>473</v>
      </c>
      <c r="C225" s="3" t="s">
        <v>483</v>
      </c>
      <c r="D225" s="3" t="s">
        <v>537</v>
      </c>
      <c r="E225" s="50" t="s">
        <v>544</v>
      </c>
      <c r="F225" s="50" t="s">
        <v>495</v>
      </c>
      <c r="G225" s="44">
        <f t="shared" ref="G225:AZ225" si="45">2*0.1</f>
        <v>0.2</v>
      </c>
      <c r="H225" s="44">
        <f t="shared" si="45"/>
        <v>0.2</v>
      </c>
      <c r="I225" s="44">
        <f t="shared" si="45"/>
        <v>0.2</v>
      </c>
      <c r="J225" s="44">
        <f t="shared" si="45"/>
        <v>0.2</v>
      </c>
      <c r="K225" s="44">
        <f t="shared" si="45"/>
        <v>0.2</v>
      </c>
      <c r="L225" s="44">
        <f t="shared" si="45"/>
        <v>0.2</v>
      </c>
      <c r="M225" s="44">
        <f t="shared" si="45"/>
        <v>0.2</v>
      </c>
      <c r="N225" s="44">
        <f t="shared" si="45"/>
        <v>0.2</v>
      </c>
      <c r="O225" s="44">
        <f t="shared" si="45"/>
        <v>0.2</v>
      </c>
      <c r="P225" s="44">
        <f t="shared" si="45"/>
        <v>0.2</v>
      </c>
      <c r="R225" s="44">
        <f t="shared" si="45"/>
        <v>0.2</v>
      </c>
      <c r="S225" s="44">
        <f t="shared" si="45"/>
        <v>0.2</v>
      </c>
      <c r="T225" s="44">
        <f t="shared" si="45"/>
        <v>0.2</v>
      </c>
      <c r="U225" s="44">
        <f t="shared" si="45"/>
        <v>0.2</v>
      </c>
      <c r="X225" s="44">
        <f t="shared" si="45"/>
        <v>0.2</v>
      </c>
      <c r="Y225" s="44">
        <f t="shared" si="45"/>
        <v>0.2</v>
      </c>
      <c r="Z225" s="44">
        <f t="shared" si="45"/>
        <v>0.2</v>
      </c>
      <c r="AA225" s="44">
        <f t="shared" si="45"/>
        <v>0.2</v>
      </c>
      <c r="AB225" s="44">
        <f t="shared" si="45"/>
        <v>0.2</v>
      </c>
      <c r="AC225" s="44">
        <f t="shared" si="45"/>
        <v>0.2</v>
      </c>
      <c r="AD225" s="44">
        <f t="shared" si="45"/>
        <v>0.2</v>
      </c>
      <c r="AE225" s="44">
        <f t="shared" si="45"/>
        <v>0.2</v>
      </c>
      <c r="AF225" s="44">
        <f t="shared" si="45"/>
        <v>0.2</v>
      </c>
      <c r="AG225" s="44">
        <f t="shared" si="45"/>
        <v>0.2</v>
      </c>
      <c r="AH225" s="44">
        <f t="shared" si="45"/>
        <v>0.2</v>
      </c>
      <c r="AI225"/>
      <c r="AJ225" s="44">
        <f t="shared" si="45"/>
        <v>0.2</v>
      </c>
      <c r="AK225" s="44">
        <f t="shared" si="45"/>
        <v>0.2</v>
      </c>
      <c r="AL225" s="44">
        <f t="shared" si="45"/>
        <v>0.2</v>
      </c>
      <c r="AM225" s="44">
        <f t="shared" si="45"/>
        <v>0.2</v>
      </c>
      <c r="AN225" s="44">
        <f t="shared" si="45"/>
        <v>0.2</v>
      </c>
      <c r="AO225" s="44">
        <f t="shared" si="45"/>
        <v>0.2</v>
      </c>
      <c r="AP225" s="44">
        <f t="shared" si="45"/>
        <v>0.2</v>
      </c>
      <c r="AQ225"/>
      <c r="AR225" s="44">
        <f t="shared" si="45"/>
        <v>0.2</v>
      </c>
      <c r="AS225" s="44">
        <f t="shared" si="45"/>
        <v>0.2</v>
      </c>
      <c r="AT225" s="44">
        <f t="shared" si="45"/>
        <v>0.2</v>
      </c>
      <c r="AU225" s="44">
        <f t="shared" si="45"/>
        <v>0.2</v>
      </c>
      <c r="AV225"/>
      <c r="AW225" s="44">
        <f t="shared" si="45"/>
        <v>0.2</v>
      </c>
      <c r="AX225"/>
      <c r="AY225"/>
      <c r="AZ225" s="44">
        <f t="shared" si="45"/>
        <v>0.2</v>
      </c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</row>
    <row r="226" spans="1:75" x14ac:dyDescent="0.25">
      <c r="A226" s="2" t="s">
        <v>545</v>
      </c>
      <c r="B226" s="3" t="s">
        <v>473</v>
      </c>
      <c r="C226" s="3" t="s">
        <v>483</v>
      </c>
      <c r="D226" s="3" t="s">
        <v>537</v>
      </c>
      <c r="E226" s="50" t="s">
        <v>546</v>
      </c>
      <c r="F226" s="50" t="s">
        <v>495</v>
      </c>
      <c r="G226" s="44">
        <v>1E-3</v>
      </c>
      <c r="H226" s="44">
        <v>1E-3</v>
      </c>
      <c r="I226" s="44">
        <v>1E-3</v>
      </c>
      <c r="J226" s="44">
        <v>1E-3</v>
      </c>
      <c r="K226" s="44">
        <v>1E-3</v>
      </c>
      <c r="L226" s="44">
        <v>1E-3</v>
      </c>
      <c r="M226" s="44">
        <v>1E-3</v>
      </c>
      <c r="N226" s="44">
        <v>1E-3</v>
      </c>
      <c r="O226" s="44">
        <v>1E-3</v>
      </c>
      <c r="P226" s="44">
        <v>1E-3</v>
      </c>
      <c r="R226" s="44">
        <v>1E-3</v>
      </c>
      <c r="S226" s="44">
        <v>1E-3</v>
      </c>
      <c r="T226" s="44">
        <v>1E-3</v>
      </c>
      <c r="U226" s="44">
        <v>1E-3</v>
      </c>
      <c r="X226" s="44">
        <v>1E-3</v>
      </c>
      <c r="Y226" s="44">
        <v>1E-3</v>
      </c>
      <c r="Z226" s="44">
        <v>1E-3</v>
      </c>
      <c r="AA226" s="44">
        <v>1E-3</v>
      </c>
      <c r="AB226" s="44">
        <v>1E-3</v>
      </c>
      <c r="AC226" s="44">
        <v>1E-3</v>
      </c>
      <c r="AD226" s="44">
        <v>1E-3</v>
      </c>
      <c r="AE226" s="44">
        <v>1E-3</v>
      </c>
      <c r="AF226" s="44">
        <v>1E-3</v>
      </c>
      <c r="AG226" s="44">
        <v>1E-3</v>
      </c>
      <c r="AH226" s="44">
        <v>1E-3</v>
      </c>
      <c r="AI226"/>
      <c r="AJ226" s="44">
        <v>1E-3</v>
      </c>
      <c r="AK226" s="44">
        <v>1E-3</v>
      </c>
      <c r="AL226" s="44">
        <v>1E-3</v>
      </c>
      <c r="AM226" s="44">
        <v>1E-3</v>
      </c>
      <c r="AN226" s="44">
        <v>1E-3</v>
      </c>
      <c r="AO226" s="44">
        <v>1E-3</v>
      </c>
      <c r="AP226" s="44">
        <v>1E-3</v>
      </c>
      <c r="AQ226"/>
      <c r="AR226" s="44">
        <v>1E-3</v>
      </c>
      <c r="AS226" s="44">
        <v>1E-3</v>
      </c>
      <c r="AT226" s="44">
        <v>1E-3</v>
      </c>
      <c r="AU226" s="44">
        <v>1E-3</v>
      </c>
      <c r="AV226"/>
      <c r="AW226" s="44">
        <v>1E-3</v>
      </c>
      <c r="AX226"/>
      <c r="AY226"/>
      <c r="AZ226" s="44">
        <v>1E-3</v>
      </c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</row>
    <row r="227" spans="1:75" x14ac:dyDescent="0.25">
      <c r="A227" s="2" t="s">
        <v>547</v>
      </c>
      <c r="B227" s="3" t="s">
        <v>473</v>
      </c>
      <c r="C227" s="3" t="s">
        <v>483</v>
      </c>
      <c r="D227" s="3" t="s">
        <v>537</v>
      </c>
      <c r="E227" s="50" t="s">
        <v>548</v>
      </c>
      <c r="F227" s="50" t="s">
        <v>579</v>
      </c>
      <c r="G227" s="44">
        <v>1.0000000000000001E-5</v>
      </c>
      <c r="H227" s="44">
        <v>1.0000000000000001E-5</v>
      </c>
      <c r="I227" s="44">
        <v>1.0000000000000001E-5</v>
      </c>
      <c r="J227" s="44">
        <v>1.0000000000000001E-5</v>
      </c>
      <c r="K227" s="44">
        <v>1.0000000000000001E-5</v>
      </c>
      <c r="L227" s="44">
        <v>1.0000000000000001E-5</v>
      </c>
      <c r="M227" s="44">
        <v>1.0000000000000001E-5</v>
      </c>
      <c r="N227" s="44">
        <v>1.0000000000000001E-5</v>
      </c>
      <c r="O227" s="44">
        <v>1.0000000000000001E-5</v>
      </c>
      <c r="P227" s="44">
        <v>1.0000000000000001E-5</v>
      </c>
      <c r="R227" s="44">
        <v>1.0000000000000001E-5</v>
      </c>
      <c r="S227" s="44">
        <v>1.0000000000000001E-5</v>
      </c>
      <c r="T227" s="44">
        <v>1.0000000000000001E-5</v>
      </c>
      <c r="U227" s="44">
        <v>1.0000000000000001E-5</v>
      </c>
      <c r="X227" s="44">
        <v>1.0000000000000001E-5</v>
      </c>
      <c r="Y227" s="44">
        <v>1.0000000000000001E-5</v>
      </c>
      <c r="Z227" s="44">
        <v>1.0000000000000001E-5</v>
      </c>
      <c r="AA227" s="44">
        <v>1.0000000000000001E-5</v>
      </c>
      <c r="AB227" s="44">
        <v>1.0000000000000001E-5</v>
      </c>
      <c r="AC227" s="44">
        <v>1.0000000000000001E-5</v>
      </c>
      <c r="AD227" s="44">
        <v>1.0000000000000001E-5</v>
      </c>
      <c r="AE227" s="44">
        <v>1.0000000000000001E-5</v>
      </c>
      <c r="AF227" s="44">
        <v>1.0000000000000001E-5</v>
      </c>
      <c r="AG227" s="44">
        <v>1.0000000000000001E-5</v>
      </c>
      <c r="AH227" s="44">
        <v>1.0000000000000001E-5</v>
      </c>
      <c r="AI227"/>
      <c r="AJ227" s="44">
        <v>1.0000000000000001E-5</v>
      </c>
      <c r="AK227" s="44">
        <v>1.0000000000000001E-5</v>
      </c>
      <c r="AL227" s="44">
        <v>1.0000000000000001E-5</v>
      </c>
      <c r="AM227" s="44">
        <v>1.0000000000000001E-5</v>
      </c>
      <c r="AN227" s="44">
        <v>1.0000000000000001E-5</v>
      </c>
      <c r="AO227" s="44">
        <v>1.0000000000000001E-5</v>
      </c>
      <c r="AP227" s="44">
        <v>1.0000000000000001E-5</v>
      </c>
      <c r="AQ227"/>
      <c r="AR227" s="44">
        <v>1.0000000000000001E-5</v>
      </c>
      <c r="AS227" s="44">
        <v>1.0000000000000001E-5</v>
      </c>
      <c r="AT227" s="44">
        <v>1.0000000000000001E-5</v>
      </c>
      <c r="AU227" s="44">
        <v>1.0000000000000001E-5</v>
      </c>
      <c r="AV227"/>
      <c r="AW227" s="44">
        <v>1.0000000000000001E-5</v>
      </c>
      <c r="AX227"/>
      <c r="AY227"/>
      <c r="AZ227" s="44">
        <v>1.0000000000000001E-5</v>
      </c>
      <c r="BA227" s="52"/>
      <c r="BB227" s="52"/>
      <c r="BC227" s="52"/>
      <c r="BD227" s="52"/>
      <c r="BE227" s="52"/>
      <c r="BF227" s="52"/>
      <c r="BG227" s="52"/>
      <c r="BH227" s="52"/>
      <c r="BI227" s="52"/>
      <c r="BJ227" s="52"/>
      <c r="BK227" s="52"/>
      <c r="BL227" s="1"/>
      <c r="BM227" s="52"/>
      <c r="BN227" s="52"/>
      <c r="BO227" s="52"/>
      <c r="BP227" s="52"/>
      <c r="BQ227" s="52"/>
      <c r="BR227" s="52"/>
      <c r="BS227" s="52"/>
      <c r="BT227" s="52"/>
      <c r="BU227" s="52"/>
      <c r="BV227" s="52"/>
      <c r="BW227" s="52"/>
    </row>
    <row r="228" spans="1:75" x14ac:dyDescent="0.25">
      <c r="A228" s="2" t="s">
        <v>577</v>
      </c>
      <c r="B228" s="3" t="s">
        <v>473</v>
      </c>
      <c r="C228" s="3" t="s">
        <v>483</v>
      </c>
      <c r="D228" s="3" t="s">
        <v>537</v>
      </c>
      <c r="E228" s="50" t="s">
        <v>578</v>
      </c>
      <c r="F228" s="50" t="s">
        <v>579</v>
      </c>
      <c r="G228" s="44">
        <v>5.0000000000000001E-9</v>
      </c>
      <c r="H228" s="44">
        <v>5.0000000000000001E-9</v>
      </c>
      <c r="I228" s="44">
        <v>5.0000000000000001E-9</v>
      </c>
      <c r="J228" s="44">
        <v>1.0000000000000001E-9</v>
      </c>
      <c r="K228" s="44">
        <v>1.0000000000000001E-9</v>
      </c>
      <c r="L228" s="44">
        <v>1.0000000000000001E-9</v>
      </c>
      <c r="M228" s="44">
        <v>1.0000000000000001E-9</v>
      </c>
      <c r="N228" s="44">
        <v>1.0000000000000001E-9</v>
      </c>
      <c r="O228" s="44">
        <v>1.0000000000000001E-9</v>
      </c>
      <c r="P228" s="44">
        <v>1.0000000000000001E-9</v>
      </c>
      <c r="R228" s="44">
        <v>1.0000000000000001E-9</v>
      </c>
      <c r="S228" s="44">
        <v>1.0000000000000001E-9</v>
      </c>
      <c r="T228" s="44">
        <v>1.0000000000000001E-9</v>
      </c>
      <c r="U228" s="44">
        <v>1.0000000000000001E-9</v>
      </c>
      <c r="X228" s="44">
        <v>5.0000000000000001E-9</v>
      </c>
      <c r="Y228" s="44">
        <v>5.0000000000000001E-9</v>
      </c>
      <c r="Z228" s="44">
        <v>5.0000000000000001E-9</v>
      </c>
      <c r="AA228" s="44">
        <v>5.0000000000000001E-9</v>
      </c>
      <c r="AB228" s="44">
        <v>5.0000000000000001E-9</v>
      </c>
      <c r="AC228" s="44">
        <v>5.0000000000000001E-9</v>
      </c>
      <c r="AD228" s="44">
        <v>5.0000000000000001E-9</v>
      </c>
      <c r="AE228" s="44">
        <v>5.0000000000000001E-9</v>
      </c>
      <c r="AF228" s="44">
        <v>5.0000000000000001E-9</v>
      </c>
      <c r="AG228" s="44">
        <v>5.0000000000000001E-9</v>
      </c>
      <c r="AH228" s="44">
        <v>5.0000000000000001E-9</v>
      </c>
      <c r="AI228"/>
      <c r="AJ228" s="44">
        <v>5.0000000000000001E-9</v>
      </c>
      <c r="AK228" s="44">
        <v>5.0000000000000001E-9</v>
      </c>
      <c r="AL228" s="44">
        <v>5.0000000000000001E-9</v>
      </c>
      <c r="AM228" s="44">
        <v>5.0000000000000001E-9</v>
      </c>
      <c r="AN228" s="44">
        <v>5.0000000000000001E-9</v>
      </c>
      <c r="AO228" s="44">
        <v>5.0000000000000001E-9</v>
      </c>
      <c r="AP228" s="44">
        <v>5.0000000000000001E-9</v>
      </c>
      <c r="AQ228"/>
      <c r="AR228" s="44">
        <v>1.0000000000000001E-9</v>
      </c>
      <c r="AS228" s="44">
        <v>1.0000000000000001E-9</v>
      </c>
      <c r="AT228" s="44">
        <v>1.0000000000000001E-9</v>
      </c>
      <c r="AU228" s="44">
        <v>1.0000000000000001E-9</v>
      </c>
      <c r="AV228"/>
      <c r="AW228" s="44">
        <v>5.0000000000000001E-9</v>
      </c>
      <c r="AX228"/>
      <c r="AY228"/>
      <c r="AZ228" s="44"/>
      <c r="BA228" s="52"/>
      <c r="BB228" s="52"/>
      <c r="BC228" s="52"/>
      <c r="BD228" s="52"/>
      <c r="BE228" s="52"/>
      <c r="BF228" s="52"/>
      <c r="BG228" s="52"/>
      <c r="BH228" s="52"/>
      <c r="BI228" s="52"/>
      <c r="BJ228" s="52"/>
      <c r="BK228" s="52"/>
      <c r="BL228" s="1"/>
      <c r="BM228" s="52"/>
      <c r="BN228" s="52"/>
      <c r="BO228" s="52"/>
      <c r="BP228" s="52"/>
      <c r="BQ228" s="52"/>
      <c r="BR228" s="52"/>
      <c r="BS228" s="52"/>
      <c r="BT228" s="52"/>
      <c r="BU228" s="52"/>
      <c r="BV228" s="52"/>
      <c r="BW228" s="52"/>
    </row>
    <row r="229" spans="1:75" x14ac:dyDescent="0.25">
      <c r="A229" s="2" t="s">
        <v>556</v>
      </c>
      <c r="B229" s="3" t="s">
        <v>473</v>
      </c>
      <c r="C229" s="3" t="s">
        <v>483</v>
      </c>
      <c r="D229" s="3" t="s">
        <v>537</v>
      </c>
      <c r="E229" s="30" t="s">
        <v>553</v>
      </c>
      <c r="F229" s="30" t="s">
        <v>552</v>
      </c>
      <c r="G229" s="44">
        <f t="shared" ref="G229:AZ230" si="46">0.00002 / 14 / 5</f>
        <v>2.8571428571428575E-7</v>
      </c>
      <c r="H229" s="44">
        <f t="shared" si="46"/>
        <v>2.8571428571428575E-7</v>
      </c>
      <c r="I229" s="44">
        <f t="shared" si="46"/>
        <v>2.8571428571428575E-7</v>
      </c>
      <c r="J229" s="44">
        <f t="shared" si="46"/>
        <v>2.8571428571428575E-7</v>
      </c>
      <c r="K229" s="44">
        <f t="shared" si="46"/>
        <v>2.8571428571428575E-7</v>
      </c>
      <c r="L229" s="44">
        <f t="shared" si="46"/>
        <v>2.8571428571428575E-7</v>
      </c>
      <c r="M229" s="44">
        <f t="shared" si="46"/>
        <v>2.8571428571428575E-7</v>
      </c>
      <c r="N229" s="44">
        <f t="shared" si="46"/>
        <v>2.8571428571428575E-7</v>
      </c>
      <c r="O229" s="44">
        <f t="shared" si="46"/>
        <v>2.8571428571428575E-7</v>
      </c>
      <c r="P229" s="44">
        <f t="shared" si="46"/>
        <v>2.8571428571428575E-7</v>
      </c>
      <c r="R229" s="44">
        <f t="shared" si="46"/>
        <v>2.8571428571428575E-7</v>
      </c>
      <c r="S229" s="44">
        <f t="shared" si="46"/>
        <v>2.8571428571428575E-7</v>
      </c>
      <c r="T229" s="44">
        <f t="shared" si="46"/>
        <v>2.8571428571428575E-7</v>
      </c>
      <c r="U229" s="44">
        <f t="shared" si="46"/>
        <v>2.8571428571428575E-7</v>
      </c>
      <c r="X229" s="44">
        <f t="shared" si="46"/>
        <v>2.8571428571428575E-7</v>
      </c>
      <c r="Y229" s="44">
        <f t="shared" si="46"/>
        <v>2.8571428571428575E-7</v>
      </c>
      <c r="Z229" s="44">
        <f t="shared" si="46"/>
        <v>2.8571428571428575E-7</v>
      </c>
      <c r="AA229" s="44">
        <f t="shared" si="46"/>
        <v>2.8571428571428575E-7</v>
      </c>
      <c r="AB229" s="44">
        <f t="shared" si="46"/>
        <v>2.8571428571428575E-7</v>
      </c>
      <c r="AC229" s="44">
        <f t="shared" si="46"/>
        <v>2.8571428571428575E-7</v>
      </c>
      <c r="AD229" s="44">
        <f t="shared" si="46"/>
        <v>2.8571428571428575E-7</v>
      </c>
      <c r="AE229" s="44">
        <f t="shared" si="46"/>
        <v>2.8571428571428575E-7</v>
      </c>
      <c r="AF229" s="44">
        <f t="shared" si="46"/>
        <v>2.8571428571428575E-7</v>
      </c>
      <c r="AG229" s="44">
        <f t="shared" si="46"/>
        <v>2.8571428571428575E-7</v>
      </c>
      <c r="AH229" s="44">
        <f t="shared" si="46"/>
        <v>2.8571428571428575E-7</v>
      </c>
      <c r="AI229"/>
      <c r="AJ229" s="44">
        <f t="shared" si="46"/>
        <v>2.8571428571428575E-7</v>
      </c>
      <c r="AK229" s="44">
        <f t="shared" si="46"/>
        <v>2.8571428571428575E-7</v>
      </c>
      <c r="AL229" s="44">
        <f t="shared" si="46"/>
        <v>2.8571428571428575E-7</v>
      </c>
      <c r="AM229" s="44">
        <f t="shared" si="46"/>
        <v>2.8571428571428575E-7</v>
      </c>
      <c r="AN229" s="44">
        <f t="shared" si="46"/>
        <v>2.8571428571428575E-7</v>
      </c>
      <c r="AO229" s="44">
        <f t="shared" si="46"/>
        <v>2.8571428571428575E-7</v>
      </c>
      <c r="AP229" s="44">
        <f t="shared" si="46"/>
        <v>2.8571428571428575E-7</v>
      </c>
      <c r="AQ229"/>
      <c r="AR229" s="44">
        <f t="shared" si="46"/>
        <v>2.8571428571428575E-7</v>
      </c>
      <c r="AS229" s="44">
        <f t="shared" si="46"/>
        <v>2.8571428571428575E-7</v>
      </c>
      <c r="AT229" s="44">
        <f t="shared" si="46"/>
        <v>2.8571428571428575E-7</v>
      </c>
      <c r="AU229" s="44">
        <f t="shared" si="46"/>
        <v>2.8571428571428575E-7</v>
      </c>
      <c r="AV229"/>
      <c r="AW229" s="44">
        <f t="shared" si="46"/>
        <v>2.8571428571428575E-7</v>
      </c>
      <c r="AX229"/>
      <c r="AY229"/>
      <c r="AZ229" s="44">
        <f t="shared" si="46"/>
        <v>2.8571428571428575E-7</v>
      </c>
      <c r="BA229" s="1"/>
      <c r="BB229" s="1"/>
      <c r="BC229" s="1"/>
      <c r="BD229" s="1"/>
      <c r="BE229" s="1"/>
      <c r="BF229" s="1"/>
      <c r="BG229" s="1"/>
      <c r="BH229" s="1"/>
    </row>
    <row r="230" spans="1:75" x14ac:dyDescent="0.25">
      <c r="A230" s="2" t="s">
        <v>557</v>
      </c>
      <c r="B230" s="3" t="s">
        <v>473</v>
      </c>
      <c r="C230" s="3" t="s">
        <v>483</v>
      </c>
      <c r="D230" s="3" t="s">
        <v>537</v>
      </c>
      <c r="E230" s="30" t="s">
        <v>553</v>
      </c>
      <c r="F230" s="30" t="s">
        <v>552</v>
      </c>
      <c r="G230" s="44">
        <f t="shared" ref="G230:AW230" si="47">0.00002 / 14 / 5 /10</f>
        <v>2.8571428571428575E-8</v>
      </c>
      <c r="H230" s="44">
        <f t="shared" si="47"/>
        <v>2.8571428571428575E-8</v>
      </c>
      <c r="I230" s="44">
        <f t="shared" si="47"/>
        <v>2.8571428571428575E-8</v>
      </c>
      <c r="J230" s="44">
        <f t="shared" si="47"/>
        <v>2.8571428571428575E-8</v>
      </c>
      <c r="K230" s="44">
        <f t="shared" si="47"/>
        <v>2.8571428571428575E-8</v>
      </c>
      <c r="L230" s="44">
        <f t="shared" si="47"/>
        <v>2.8571428571428575E-8</v>
      </c>
      <c r="M230" s="44">
        <f t="shared" si="47"/>
        <v>2.8571428571428575E-8</v>
      </c>
      <c r="N230" s="44">
        <f t="shared" si="47"/>
        <v>2.8571428571428575E-8</v>
      </c>
      <c r="O230" s="44">
        <f t="shared" si="47"/>
        <v>2.8571428571428575E-8</v>
      </c>
      <c r="P230" s="44">
        <f t="shared" si="47"/>
        <v>2.8571428571428575E-8</v>
      </c>
      <c r="R230" s="44">
        <f t="shared" si="47"/>
        <v>2.8571428571428575E-8</v>
      </c>
      <c r="S230" s="44">
        <f t="shared" si="47"/>
        <v>2.8571428571428575E-8</v>
      </c>
      <c r="T230" s="44">
        <f t="shared" si="47"/>
        <v>2.8571428571428575E-8</v>
      </c>
      <c r="U230" s="44">
        <f t="shared" si="47"/>
        <v>2.8571428571428575E-8</v>
      </c>
      <c r="X230" s="44">
        <f t="shared" si="47"/>
        <v>2.8571428571428575E-8</v>
      </c>
      <c r="Y230" s="44">
        <f t="shared" si="47"/>
        <v>2.8571428571428575E-8</v>
      </c>
      <c r="Z230" s="44">
        <f t="shared" si="47"/>
        <v>2.8571428571428575E-8</v>
      </c>
      <c r="AA230" s="44">
        <f t="shared" si="47"/>
        <v>2.8571428571428575E-8</v>
      </c>
      <c r="AB230" s="44">
        <f t="shared" si="47"/>
        <v>2.8571428571428575E-8</v>
      </c>
      <c r="AC230" s="44">
        <f t="shared" si="47"/>
        <v>2.8571428571428575E-8</v>
      </c>
      <c r="AD230" s="44">
        <f t="shared" si="47"/>
        <v>2.8571428571428575E-8</v>
      </c>
      <c r="AE230" s="44">
        <f t="shared" si="47"/>
        <v>2.8571428571428575E-8</v>
      </c>
      <c r="AF230" s="44">
        <f t="shared" si="47"/>
        <v>2.8571428571428575E-8</v>
      </c>
      <c r="AG230" s="44">
        <f t="shared" si="47"/>
        <v>2.8571428571428575E-8</v>
      </c>
      <c r="AH230" s="44">
        <f t="shared" si="47"/>
        <v>2.8571428571428575E-8</v>
      </c>
      <c r="AI230"/>
      <c r="AJ230" s="44">
        <f t="shared" si="47"/>
        <v>2.8571428571428575E-8</v>
      </c>
      <c r="AK230" s="44">
        <f t="shared" si="47"/>
        <v>2.8571428571428575E-8</v>
      </c>
      <c r="AL230" s="44">
        <f t="shared" si="47"/>
        <v>2.8571428571428575E-8</v>
      </c>
      <c r="AM230" s="44">
        <f t="shared" si="47"/>
        <v>2.8571428571428575E-8</v>
      </c>
      <c r="AN230" s="44">
        <f t="shared" si="47"/>
        <v>2.8571428571428575E-8</v>
      </c>
      <c r="AO230" s="44">
        <f t="shared" si="47"/>
        <v>2.8571428571428575E-8</v>
      </c>
      <c r="AP230" s="44">
        <f t="shared" si="47"/>
        <v>2.8571428571428575E-8</v>
      </c>
      <c r="AQ230"/>
      <c r="AR230" s="44">
        <f t="shared" si="47"/>
        <v>2.8571428571428575E-8</v>
      </c>
      <c r="AS230" s="44">
        <f t="shared" si="47"/>
        <v>2.8571428571428575E-8</v>
      </c>
      <c r="AT230" s="44">
        <f t="shared" si="47"/>
        <v>2.8571428571428575E-8</v>
      </c>
      <c r="AU230" s="44">
        <f t="shared" si="47"/>
        <v>2.8571428571428575E-8</v>
      </c>
      <c r="AV230"/>
      <c r="AW230" s="44">
        <f t="shared" si="47"/>
        <v>2.8571428571428575E-8</v>
      </c>
      <c r="AX230"/>
      <c r="AY230"/>
      <c r="AZ230" s="44">
        <f t="shared" si="46"/>
        <v>2.8571428571428575E-7</v>
      </c>
      <c r="BA230" s="1"/>
      <c r="BB230" s="1"/>
      <c r="BC230" s="1"/>
      <c r="BD230" s="1"/>
      <c r="BE230" s="1"/>
      <c r="BF230" s="1"/>
      <c r="BG230" s="1"/>
      <c r="BH230" s="1"/>
    </row>
  </sheetData>
  <phoneticPr fontId="19" type="noConversion"/>
  <conditionalFormatting sqref="T20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AA2 AZ2 G2:P2 R2:U2">
    <cfRule type="colorScale" priority="28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:AA3 AZ3 G3:P3 R3:U3">
    <cfRule type="colorScale" priority="2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:AA4 AZ4 G4:P4 R4:U4">
    <cfRule type="colorScale" priority="28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:AA5 AZ5 G5:P5 R5:U5">
    <cfRule type="colorScale" priority="2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AA6 AZ6 G6:P6 R6:U6">
    <cfRule type="colorScale" priority="2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AA7 AZ7 G7:P7 R7:U7">
    <cfRule type="colorScale" priority="2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:AA8 AZ8 G8:P8 R8:U8">
    <cfRule type="colorScale" priority="28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:AA9 AZ9 G9:P9 R9:U9">
    <cfRule type="colorScale" priority="2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:AA10 AZ10 G10:P10 R10:U10">
    <cfRule type="colorScale" priority="28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:AA11 AZ11 G11:P11 R11:U11">
    <cfRule type="colorScale" priority="2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:AA12 AZ12 G12:P12 R12:U12">
    <cfRule type="colorScale" priority="2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AA13 AZ13 G13:P13 R13:U13">
    <cfRule type="colorScale" priority="2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:AA14 AZ14 G14:P14 R14:U14">
    <cfRule type="colorScale" priority="2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:AA15 AZ15 G15:P15 R15:U15">
    <cfRule type="colorScale" priority="2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:AA16 AZ16 G16:P16 R16:U16">
    <cfRule type="colorScale" priority="2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:AA17 AZ17 G17:P17 R17:U17">
    <cfRule type="colorScale" priority="2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:AA18 AZ18 G18:P18 R18:U18">
    <cfRule type="colorScale" priority="28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AA19 AZ19 G19:P19 R19:U19">
    <cfRule type="colorScale" priority="2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:AA20 AZ20 G20:P20 R20:U20">
    <cfRule type="colorScale" priority="2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:AA21 AZ21 G21:P21 R21:U21">
    <cfRule type="colorScale" priority="2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:AA24 AZ24 G24:P24 R24:U24">
    <cfRule type="colorScale" priority="2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AA25 AZ25 G25:P25 R25:U25">
    <cfRule type="colorScale" priority="28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:AA26 AZ26 G26:P26 R26:U26">
    <cfRule type="colorScale" priority="2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:AA27 AZ27 G27:P27 R27:U27"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:AA28 AZ28 G28:P28 R28:U28"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:AA29 AZ29 G29:P29 R29:U29"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:AA30 AZ30 G30:P30 R30:U30"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AA31 AZ31 G31:P31 R31:U31"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:AA32 AZ32 G32:P32 R32:U32"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:AA33 AZ33 G33:P33 R33:U33"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:AA34 AZ34 G34:P34 R34:U34"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:AA35 AZ35 G35:P35 R35:U35"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6:AA36 AZ36 G36:P36 R36:U36"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AA37 AZ37 G37:P37 R37:U37"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8:AA38 AZ38 G38:P38 R38:U38"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9:AA39 AZ39 G39:P39 R39:U39"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0:AA40 AZ40 G40:P40 R40:U40"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1:AA41 AZ41 G41:P41 R41:U41"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2:AA42 AZ42 G42:P42 R42:U42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AA43 AZ43 G43:P43 R43:U43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AA44 AZ44 G44:P44 R44:U44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5:AA45 AZ45 G45:P45 R45:U45"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6:AA46 AZ46 G46:P46 R46:U46"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7:AA47 AZ47 G47:P47 R47:U47"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8:AA48 AZ48 G48:P48 R48:U48"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AA49 AZ49 G49:P49 R49:U49"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0:AA50 AZ50 G50:P50 R50:U50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1:AA51 AZ51 G51:P51 R51:U51"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2:AA52 AZ52 G52:P52 R52:U52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3:AA53 AZ53 G53:P53 R53:U53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4:AA54 AZ54 G54:P54 R54:U54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AA55 AZ55 G55:P55 R55:U55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6:AA56 AZ56 G56:P56 R56:U56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7:AA57 AZ57 G57:P57 R57:U5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8:AA58 AZ58 G58:P58 R58:U58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9:AA59 AZ59 G59:P59 R59:U59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0:AA60 AZ60 G60:P60 R60:U6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1:AA61 AZ61 G61:P61 R61:U61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2:AA62 AZ62 G62:P62 R62:U62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3:AA63 AZ63 G63:P63 R63:U63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4:AA64 AZ64 G64:P64 R64:U64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5:AA65 AZ65 G65:P65 R65:U65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6:AA66 AZ66 G66:P66 R66:U66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7:AA67 AZ67 G67:P67 R67:U67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8:AA68 AZ68 G68:P68 R68:U6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9:AA69 AZ69 G69:P69 R69:U69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0:AA70 AZ70 G70:P70 R70:U70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1:AA71 AZ71 G71:P71 R71:U7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2:AA72 AZ72 G72:P72 R72:U7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3:AA73 AZ73 G73:P73 R73:U73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4:AA74 AZ74 G74:P74 R74:U74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5:AA75 AZ75 G75:P75 R75:U75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6:AA76 AZ76 G76:P76 R76:U76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7:AA77 AZ77 G77:P77 R77:U77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8:AA78 AZ78 G78:P78 R78:U78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9:AA79 AZ79 G79:P79 R79:U79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0:AA80 AZ80 G80:P80 R80:U80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1:AA81 AZ81 G81:P81 R81:U81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2:AA82 AZ82 G82:P82 R82:U82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3:AA83 AZ83 G83:P83 R83:U83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4:AA84 AZ84 G84:P84 R84:U84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5:AA85 AZ85 G85:P85 R85:U85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6:AA86 AZ86 G86:P86 R86:U86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7:AA87 AZ87 G87:P87 R87:U87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8:AA88 AZ88 G88:P88 R88:U88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9:AA89 AZ89 G89:P89 R89:U89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0:AA90 AZ90 G90:P90 R90:U90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1:AA91 AZ91 G91:P91 R91:U91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2:AA92 AZ92 G92:P92 R92:U92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3:AA93 AZ93 G93:P93 R93:U93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4:AA94 AZ94 G94:P94 R94:U94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5:AA95 AZ95 G95:P95 R95:U95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6:AA96 AZ96 G96:P96 R96:U96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7:AA97 AZ97 G97:P97 R97:U97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8:AA98 AZ98 G98:P98 R98:U98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9:AA99 AZ99 G99:P99 R99:U99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0:AA100 AZ100 G100:P100 R100:U100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1:AA101 AZ101 G101:P101 R101:U101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2:AA102 AZ102 G102:P102 R102:U102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3:AA103 AZ103 G103:P103 R103:U103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4:AA104 AZ104 G104:P104 R104:U104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5:AA105 AZ105 G105:P105 R105:U105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6:AA106 AZ106 G106:P106 R106:U106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7:AA107 AZ107 G107:P107 R107:U107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8:AA108 AZ108 G108:P108 R108:U108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9:AA109 AZ109 G109:P109 R109:U109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0:AA110 AZ110 G110:P110 R110:U110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1:AA111 AZ111 G111:P111 R111:U111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2:AA112 AZ112 G112:P112 R112:U112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3:AA113 AZ113 G113:P113 R113:U113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4:AA114 AZ114 G114:P114 R114:U114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5:AA115 AZ115 G115:P115 R115:U115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6:AA116 AZ116 G116:P116 R116:U116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7:AA117 AZ117 G117:P117 R117:U117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8:AA118 AZ118 G118:P118 R118:U118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9:AA119 AZ119 G119:P119 R119:U119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0:AA120 AZ120 G120:P120 R120:U120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1:AA121 AZ121 G121:P121 R121:U121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2:AA122 AZ122 G122:P122 R122:U122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3:AA123 AZ123 G123:P123 R123:U123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4:AA124 AZ124 G124:P124 R124:U124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5:AA125 AZ125 G125:P125 R125:U125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6:AA126 AZ126 G126:P126 R126:U126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7:AA127 AZ127 G127:P127 R127:U127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8:AA128 AZ128 G128:P128 R128:U128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9:AA129 AZ129 G129:P129 R129:U129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0:AA130 AZ130 G130:P130 R130:U130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1:AA131 AZ131 G131:P131 R131:U131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2:AA132 AZ132 G132:P132 R132:U132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3:AA133 AZ133 G133:P133 R133:U133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4:AA134 AZ134 G134:P134 R134:U134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5:AA135 AZ135 G135:P135 R135:U135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6:AA136 AZ136 G136:P136 R136:U136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7:AA137 AZ137 G137:P137 R137:U137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8:AA138 AZ138 G138:P138 R138:U138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9:AA139 AZ139 G139:P139 R139:U139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0:AA140 AZ140 G140:P140 R140:U140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1:AA141 AZ141 G141:P141 R141:U141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2:AA142 AZ142 G142:P142 R142:U142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3:AA143 AZ143 G143:P143 R143:U143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4:AA144 AZ144 G144:P144 R144:U144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5:AA145 AZ145 G145:P145 R145:U145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6:AA146 AZ146 G146:P146 R146:U146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7:AA147 AZ147 G147:P147 R147:U147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8:AA148 AZ148 G148:P148 R148:U148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9:AA149 AZ149 G149:P149 R149:U149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0:AA150 AZ150 G150:P150 R150:U150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1:AA151 AZ151 G151:P151 R151:U151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2:AA152 AZ152 G152:P152 R152:U152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3:AA153 AZ153 G153:P153 R153:U153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4:AA154 AZ154 G154:P154 R154:U154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5:AA155 AZ155 G155:P155 R155:U155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6:AA156 AZ156 G156:P156 R156:U156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7:AA157 AZ157 G157:P157 R157:U157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8:AA158 AZ158 G158:P158 R158:U158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9:AA159 AZ159 G159:P159 R159:U159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0:AA160 AZ160 G160:P160 R160:U160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1:AA161 AZ161 G161:P161 R161:U161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2:AA162 AZ162 G162:P162 R162:U162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3:AA163 AZ163 G163:P163 R163:U163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4:AA164 AZ164 G164:P164 R164:U164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5:AA165 AZ165 G165:P165 R165:U165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6:AA166 AZ166 G166:P166 R166:U166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7:AA167 AZ167 G167:P167 R167:U167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8:AA168 AZ168 G168:P168 R168:U168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9:AA169 AZ169 G169:P169 R169:U169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0:AA170 AZ170 G170:P170 R170:U170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1:AA171 AZ171 G171:P171 R171:U171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2:AA172 AZ172 G172:P172 R172:U172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3:AA173 AZ173 G173:P173 R173:U173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4:AA174 AZ174 G174:P174 R174:U174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5:AA175 AZ175 G175:P175 R175:U175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6:AA176 AZ176 G176:P176 R176:U176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7:AA177 AZ177 G177:P177 R177:U177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8:AA178 AZ178 G178:P178 R178:U178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9:AA179 AZ179 G179:P179 R179:U179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0:AA180 AZ180 G180:P180 R180:U180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1:AA181 AZ181 G181:P181 R181:U181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2:AA182 AZ182 G182:P182 R182:U182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3:AA183 AZ183 G183:P183 R183:U183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4:AA184 AZ184 G184:P184 R184:U184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5:AA185 AZ185 G185:P185 R185:U185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6:AA186 AZ186 G186:P186 R186:U186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7:AA187 AZ187 G187:P187 R187:U187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8:AA188 AZ188 G188:P188 R188:U188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9:AA189 AZ189 G189:P189 R189:U189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0:AA190 AZ190 G190:P190 R190:U190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1:AA191 AZ191 G191:P191 R191:U191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2:AA192 AZ192 G192:P192 R192:U192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3:AA193 AZ193 G193:P193 R193:U193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4:AA194 AZ194 G194:P194 R194:U194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5:AA195 AZ195 G195:P195 R195:U195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6:AA196 AZ196 G196:P196 R196:U196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7:AA197 AZ197 G197:P197 R197:U197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8:AA198 AZ198 G198:P198 R198:U198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9:AA199 AZ199 G199:P199 R199:U199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0:AA200 AZ200 G200:P200 R200:U200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1:AA201 AZ201 G201:P201 R201:U201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2:AA202 AZ202 G202:P202 R202:U202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3:AA203 AZ203 G203:P203 R203:U203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4:AA204 AZ204 G204:P204 R204:U204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5:AA205 AZ205 G205:P205 R205:U205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6:AA206 AZ206 G206:P206 R206:U206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:AA207 AZ207 G207:P207 R207:U207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:AA208 AZ208 G208:P208 R208:S208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:AA209 AZ209 G209:P209 R209:S209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:AA210 AZ210 G210:P210 R210:S210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:AA211 AZ211 G211:P211 R211:S211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2:AA212 AZ212 G212:P212 R212:U212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3:AA213 AZ213 G213:P213 R213:U213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4:AA214 AZ214 G214:P214 R214:U214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5:AA215 AZ215 G215:P215 R215:U215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6:AA216 AZ216 G216:P216 R216:U216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7:AA217 AZ217 G217:P217 R217:U217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8:AA218 AZ218 G218:P218 R218:U218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9:AA219 AZ219 G219:P219 R219:U219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0:AA220 AZ220 G220:P220 R220:U220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1:AA221 AZ221 G221:P221 R221:U221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2:AA222 AZ222 G222:P222 R222:U222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:AB23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3:AB227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9:AB230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H2">
    <cfRule type="colorScale" priority="1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:AH3">
    <cfRule type="colorScale" priority="1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:AH4">
    <cfRule type="colorScale" priority="1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:AH5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H6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:AH7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:AH8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:AH9"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:AH10"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:AH11"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:AH12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:AH13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:AH14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:AH15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:AH16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:AH17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:AH18"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:AH19"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:AH20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:AH21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4:AH24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5:AH25"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6:AH26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7:AH27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8:AH28"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9:AH29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0:AH30"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1:AH31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2:AH32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3:AH33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4:AH34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5:AH35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6:AH36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7:AH37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8:AH38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39:AH39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0:AH40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1:AH41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2:AH42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3:AH4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4:AH4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5:AH45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6:AH46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7:AH47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8:AH48"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49:AH49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0:AH50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1:AH5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2:AH52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3:AH53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4:AH5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5:AH55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6:AH56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7:AH5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8:AH5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9:AH5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0:AH6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1:AH61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2:AH6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3:AH6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4:AH6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5:AH65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6:AH66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7:AH6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8:AH6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9:AH6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0:AH70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1:AH71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2:AH72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3:AH73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4:AH74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5:AH75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6:AH76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7:AH77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8:AH78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79:AH79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0:AH80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1:AH81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2:AH82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3:AH83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4:AH84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5:AH85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6:AH86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7:AH87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8:AH88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89:AH89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0:AH90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1:AH91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2:AH92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3:AH93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4:AH94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5:AH95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6:AH96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7:AH97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8:AH98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99:AH99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0:AH100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1:AH101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2:AH102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3:AH103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4:AH104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5:AH105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6:AH106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7:AH107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8:AH108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09:AH109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0:AH110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1:AH111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2:AH112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3:AH113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4:AH114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5:AH115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6:AH116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7:AH117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8:AH118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19:AH119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0:AH120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1:AH121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2:AH122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3:AH123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4:AH124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5:AH125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6:AH126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7:AH127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8:AH128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9:AH129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0:AH130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1:AH131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2:AH132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3:AH133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4:AH134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5:AH135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6:AH136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7:AH137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8:AH138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39:AH139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0:AH140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1:AH141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2:AH142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3:AH143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4:AH144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5:AH145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6:AH146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7:AH147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8:AH148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49:AH149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0:AH150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1:AH151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2:AH152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3:AH153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4:AH154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5:AH155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6:AH156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7:AH157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8:AH158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59:AH159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0:AH160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1:AH161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2:AH162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3:AH163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4:AH164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5:AH165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6:AH166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7:AH167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8:AH168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69:AH169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0:AH170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1:AH171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2:AH172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3:AH173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4:AH174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5:AH175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6:AH176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7:AH177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8:AH178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79:AH179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0:AH180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1:AH181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2:AH182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3:AH183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4:AH184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5:AH185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6:AH186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7:AH187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8:AH188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89:AH189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0:AH190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1:AH191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2:AH192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3:AH193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4:AH194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5:AH195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6:AH196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7:AH197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8:AH198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99:AH199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0:AH200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1:AH201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2:AH202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3:AH203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4:AH204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5:AH205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6:AH206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7:AH207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8:AH208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09:AH209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0:AH210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1:AH211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2:AH212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3:AH213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4:AH214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5:AH215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6:AH216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7:AH217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8:AH218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19:AH219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0:AH220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1:AH221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2:AH222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:AC23">
    <cfRule type="colorScale" priority="1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3:AC227">
    <cfRule type="colorScale" priority="1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8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9:AC230">
    <cfRule type="colorScale" priority="1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D23">
    <cfRule type="colorScale" priority="1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:AD227">
    <cfRule type="colorScale" priority="1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8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9:AD230">
    <cfRule type="colorScale" priority="1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E227">
    <cfRule type="colorScale" priority="1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9:AE230">
    <cfRule type="colorScale" priority="1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:AF227">
    <cfRule type="colorScale" priority="1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9:AF230">
    <cfRule type="colorScale" priority="1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3:AG227">
    <cfRule type="colorScale" priority="1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9:AG230">
    <cfRule type="colorScale" priority="1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:AH227">
    <cfRule type="colorScale" priority="1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9:AH230">
    <cfRule type="colorScale" priority="1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"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3:AJ227"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9:AJ230">
    <cfRule type="colorScale" priority="1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:AP2 AR2:AU2">
    <cfRule type="colorScale" priority="37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:AP3 AR3:AU3">
    <cfRule type="colorScale" priority="3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:AP4 AR4:AU4">
    <cfRule type="colorScale" priority="3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P5 AR5:AU5">
    <cfRule type="colorScale" priority="3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:AP6 AR6:AU6">
    <cfRule type="colorScale" priority="3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P7 AR7:AU7">
    <cfRule type="colorScale" priority="3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:AP8 AR8:AU8">
    <cfRule type="colorScale" priority="3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:AP9 AR9:AU9">
    <cfRule type="colorScale" priority="3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:AP10 AR10:AU10">
    <cfRule type="colorScale" priority="3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:AP11 AR11:AU11">
    <cfRule type="colorScale" priority="37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:AP12 AR12:AU12">
    <cfRule type="colorScale" priority="3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:AP13 AR13:AU13">
    <cfRule type="colorScale" priority="3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:AP14 AR14:AU14"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:AP15 AR15:AU15"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:AP16 AR16:AU16"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:AP17 AR17:AU17"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:AP18 AR18:AU18"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:AP19 AR19:AU19"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:AP20 AR20:AU20"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:AP21 AR21:AU21"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4:AP24 AR24:AU24"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5:AP25 AR25:AU25"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6:AP26 AR26:AU26"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7:AP27 AR27:AU27"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8:AP28 AR28:AU28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9:AP29 AR29:AU29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0:AP30 AR30:AU30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P31 AR31:AU31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2:AP32 AR32:AU32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3:AP33 AR33:AU33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4:AP34 AR34:AU34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5:AP35 AR35:AU35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6:AP36 AR36:AU36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7:AP37 AR37:AU37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8:AP38 AR38:AU38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9:AP39 AR39:AU39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P40 AR40:AU40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1:AP41 AR41:AU41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2:AP42 AR42:AU42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3:AP43 AR43:AU43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4:AP44 AR44:AU44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5:AP45 AR45:AU45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6:AP46 AR46:AU46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7:AP47 AR47:AU47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8:AP48 AR48:AU48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9:AP49 AR49:AU49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0:AP50 AR50:AU50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1:AP51 AR51:AU51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2:AP52 AR52:AU52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3:AP53 AR53:AU53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4:AP54 AR54:AU54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5:AP55 AR55:AU55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6:AP56 AR56:AU56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7:AP57 AR57:AU57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8:AP58 AR58:AU58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9:AP59 AR59:AU59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0:AP60 AR60:AU60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1:AP61 AR61:AU61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2:AP62 AR62:AU62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3:AP63 AR63:AU63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4:AP64 AR64:AU64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5:AP65 AR65:AU65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6:AP66 AR66:AU66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7:AP67 AR67:AU67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8:AP68 AR68:AU68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9:AP69 AR69:AU69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0:AP70 AR70:AU70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1:AP71 AR71:AU71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2:AP72 AR72:AU72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3:AP73 AR73:AU73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4:AP74 AR74:AU74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5:AP75 AR75:AU75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6:AP76 AR76:AU76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7:AP77 AR77:AU77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8:AP78 AR78:AU78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9:AP79 AR79:AU79"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0:AP80 AR80:AU80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1:AP81 AR81:AU81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2:AP82 AR82:AU82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3:AP83 AR83:AU83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4:AP84 AR84:AU84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5:AP85 AR85:AU85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6:AP86 AR86:AU86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7:AP87 AR87:AU87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8:AP88 AR88:AU88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89:AP89 AR89:AU89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0:AP90 AR90:AU90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1:AP91 AR91:AU91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2:AP92 AR92:AU92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3:AP93 AR93:AU93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4:AP94 AR94:AU94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5:AP95 AR95:AU95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6:AP96 AR96:AU96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7:AP97 AR97:AU97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8:AP98 AR98:AU98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99:AP99 AR99:AU99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0:AP100 AR100:AU100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1:AP101 AR101:AU101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2:AP102 AR102:AU102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3:AP103 AR103:AU103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4:AP104 AR104:AU104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5:AP105 AR105:AU105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6:AP106 AR106:AU106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7:AP107 AR107:AU107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8:AP108 AR108:AU108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09:AP109 AR109:AU109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0:AP110 AR110:AU110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1:AP111 AR111:AU111"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2:AP112 AR112:AU112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3:AP113 AR113:AU113"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4:AP114 AR114:AU114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5:AP115 AR115:AU115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6:AP116 AR116:AU116"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7:AP117 AR117:AU117"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8:AP118 AR118:AU118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19:AP119 AR119:AU119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0:AP120 AR120:AU120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1:AP121 AR121:AU121"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2:AP122 AR122:AU122"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3:AP123 AR123:AU123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4:AP124 AR124:AU124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5:AP125 AR125:AU125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6:AP126 AR126:AU126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7:AP127 AR127:AU127"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8:AP128 AR128:AU128"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29:AP129 AR129:AU129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0:AP130 AR130:AU130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1:AP131 AR131:AU131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2:AP132 AR132:AU132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3:AP133 AR133:AU133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4:AP134 AR134:AU134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5:AP135 AR135:AU135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6:AP136 AR136:AU136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7:AP137 AR137:AU137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8:AP138 AR138:AU138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39:AP139 AR139:AU139"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0:AP140 AR140:AU140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1:AP141 AR141:AU141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2:AP142 AR142:AU142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3:AP143 AR143:AU143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4:AP144 AR144:AU144"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5:AP145 AR145:AU145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6:AP146 AR146:AU146"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7:AP147 AR147:AU147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8:AP148 AR148:AU148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49:AP149 AR149:AU149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0:AP150 AR150:AU150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1:AP151 AR151:AU151"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2:AP152 AR152:AU152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3:AP153 AR153:AU153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4:AP154 AR154:AU154"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5:AP155 AR155:AU155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6:AP156 AR156:AU156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7:AP157 AR157:AU157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8:AP158 AR158:AU158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59:AP159 AR159:AU159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0:AP160 AR160:AU160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1:AP161 AR161:AU161"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2:AP162 AR162:AU162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3:AP163 AR163:AU163"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4:AP164 AR164:AU164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5:AP165 AR165:AU165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6:AP166 AR166:AU166"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7:AP167 AR167:AU167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8:AP168 AR168:AU168"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69:AP169 AR169:AU169"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0:AP170 AR170:AU170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1:AP171 AR171:AU171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2:AP172 AR172:AU172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3:AP173 AR173:AU173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4:AP174 AR174:AU174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5:AP175 AR175:AU175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6:AP176 AR176:AU176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7:AP177 AR177:AU177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8:AP178 AR178:AU178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79:AP179 AR179:AU179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0:AP180 AR180:AU180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1:AP181 AR181:AU181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2:AP182 AR182:AU182"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3:AP183 AR183:AU183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4:AP184 AR184:AU184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5:AP185 AR185:AU185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6:AP186 AR186:AU186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7:AP187 AR187:AU187"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8:AP188 AR188:AU188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89:AP189 AR189:AU189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0:AP190 AR190:AU190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1:AP191 AR191:AU191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2:AP192 AR192:AU192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3:AP193 AR193:AU193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4:AP194 AR194:AU194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5:AP195 AR195:AU195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6:AP196 AR196:AU196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7:AP197 AR197:AU197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8:AP198 AR198:AU198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199:AP199 AR199:AU199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0:AP200 AR200:AU200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1:AP201 AR201:AU201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2:AP202 AR202:AU202"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3:AP203 AR203:AU203"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4:AP204 AR204:AU204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5:AP205 AR205:AU205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6:AP206 AR206:AU206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7:AP207 AR207:AU207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8:AP208 AR208:AU208"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09:AP209 AR209:AU209"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0:AP210 AR210:AU210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1:AP211 AR211:AU211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2:AP212 AR212:AU212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3:AP213 AR213:AU213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4:AP214 AR214:AU214"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5:AP215 AR215:AU215"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6:AP216 AR216:AU216"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7:AP217 AR217:AU217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8:AP218 AR218:AU218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19:AP219 AR219:AU219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0:AP220 AR220:AU220"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1:AP221 AR221:AU221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P222 AR222:AU222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"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3:AK227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9:AK230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3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2"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3:AL227"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8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9:AL230"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"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3:AM227">
    <cfRule type="colorScale" priority="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9:AM230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3:AN227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9:AN230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3:AO227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8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9:AO230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3:AP227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9:AP230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U2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3:AU22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8:AU22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9:AU230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:AW23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4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5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7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8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9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2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3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4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5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6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3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0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2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3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4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5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6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7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8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49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0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1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2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3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4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5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6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7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8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59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0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1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2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3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4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5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6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7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8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69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0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1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2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3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4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5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6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7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79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0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1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2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3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4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5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6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7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8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89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0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1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2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3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4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5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6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7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8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99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0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1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2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3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4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5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6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7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8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09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0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1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2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3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4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5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6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7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8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19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0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1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2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3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4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5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6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7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8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29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0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1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2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3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4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5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6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7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8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39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0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1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2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3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4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5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6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7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8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49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0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1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2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3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4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5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6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7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8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59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0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1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2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3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4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5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6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7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8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69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0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1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2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3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4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5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6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7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8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79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0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1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2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3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4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5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6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7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8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89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0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1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2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3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4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5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6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7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8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199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0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1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2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3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4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5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6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7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8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09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0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1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2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3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4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5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6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7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8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19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0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1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2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3:AW22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8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W229:AW230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 X22:AA23 G22:P23 R22:U23">
    <cfRule type="colorScale" priority="2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3:AZ228 X223:AA228 G223:P228 R223:U228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9:AZ230 X229:AA230 G229:P230 R229:U230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2025-01-31T09:30:14Z</dcterms:modified>
</cp:coreProperties>
</file>