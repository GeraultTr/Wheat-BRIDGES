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sshfs\torisuten@192.168.12.9\package\Wheat-BRIDGES\simulations\single_plant\inputs\"/>
    </mc:Choice>
  </mc:AlternateContent>
  <xr:revisionPtr revIDLastSave="0" documentId="13_ncr:1_{12A7C0F5-C782-4C8D-BFA2-2764FDC9781F}" xr6:coauthVersionLast="47" xr6:coauthVersionMax="47" xr10:uidLastSave="{00000000-0000-0000-0000-000000000000}"/>
  <bookViews>
    <workbookView xWindow="-48120" yWindow="4200" windowWidth="29040" windowHeight="18240" xr2:uid="{00000000-000D-0000-FFFF-FFFF00000000}"/>
  </bookViews>
  <sheets>
    <sheet name="scenarios_as_columns" sheetId="2" r:id="rId1"/>
    <sheet name="Comparison_with_parameters.py" sheetId="4" state="hidden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0" i="2" l="1"/>
  <c r="S229" i="2"/>
  <c r="S225" i="2"/>
  <c r="S221" i="2"/>
  <c r="S220" i="2"/>
  <c r="S219" i="2"/>
  <c r="S216" i="2"/>
  <c r="S213" i="2"/>
  <c r="S208" i="2"/>
  <c r="S205" i="2"/>
  <c r="S124" i="2"/>
  <c r="S114" i="2"/>
  <c r="S111" i="2"/>
  <c r="S108" i="2"/>
  <c r="S107" i="2"/>
  <c r="S106" i="2"/>
  <c r="S105" i="2"/>
  <c r="S104" i="2"/>
  <c r="S103" i="2"/>
  <c r="S102" i="2"/>
  <c r="S101" i="2"/>
  <c r="U230" i="2"/>
  <c r="U229" i="2"/>
  <c r="U225" i="2"/>
  <c r="U221" i="2"/>
  <c r="U219" i="2"/>
  <c r="U220" i="2" s="1"/>
  <c r="U216" i="2"/>
  <c r="U213" i="2"/>
  <c r="U208" i="2"/>
  <c r="U205" i="2"/>
  <c r="U124" i="2"/>
  <c r="U114" i="2"/>
  <c r="U111" i="2"/>
  <c r="U108" i="2"/>
  <c r="U107" i="2"/>
  <c r="U106" i="2"/>
  <c r="U105" i="2"/>
  <c r="U104" i="2"/>
  <c r="U103" i="2"/>
  <c r="U102" i="2"/>
  <c r="U101" i="2"/>
  <c r="T230" i="2"/>
  <c r="T229" i="2"/>
  <c r="T225" i="2"/>
  <c r="T221" i="2"/>
  <c r="T219" i="2"/>
  <c r="T220" i="2" s="1"/>
  <c r="T216" i="2"/>
  <c r="T213" i="2"/>
  <c r="T205" i="2"/>
  <c r="T124" i="2"/>
  <c r="T114" i="2"/>
  <c r="T111" i="2"/>
  <c r="T108" i="2"/>
  <c r="T107" i="2"/>
  <c r="T106" i="2"/>
  <c r="T105" i="2"/>
  <c r="T104" i="2"/>
  <c r="T103" i="2"/>
  <c r="T102" i="2"/>
  <c r="T101" i="2"/>
  <c r="R230" i="2"/>
  <c r="R229" i="2"/>
  <c r="R225" i="2"/>
  <c r="R221" i="2"/>
  <c r="R219" i="2"/>
  <c r="R220" i="2" s="1"/>
  <c r="R216" i="2"/>
  <c r="R213" i="2"/>
  <c r="R208" i="2"/>
  <c r="R205" i="2"/>
  <c r="R124" i="2"/>
  <c r="R114" i="2"/>
  <c r="R111" i="2"/>
  <c r="R108" i="2"/>
  <c r="R107" i="2"/>
  <c r="R106" i="2"/>
  <c r="R105" i="2"/>
  <c r="R104" i="2"/>
  <c r="R103" i="2"/>
  <c r="R102" i="2"/>
  <c r="R101" i="2"/>
  <c r="P230" i="2"/>
  <c r="P229" i="2"/>
  <c r="P225" i="2"/>
  <c r="P221" i="2"/>
  <c r="P219" i="2"/>
  <c r="P220" i="2" s="1"/>
  <c r="P216" i="2"/>
  <c r="P213" i="2"/>
  <c r="P208" i="2"/>
  <c r="P205" i="2"/>
  <c r="P124" i="2"/>
  <c r="P114" i="2"/>
  <c r="P111" i="2"/>
  <c r="P108" i="2"/>
  <c r="P107" i="2"/>
  <c r="P106" i="2"/>
  <c r="P105" i="2"/>
  <c r="P104" i="2"/>
  <c r="P103" i="2"/>
  <c r="P102" i="2"/>
  <c r="P101" i="2"/>
  <c r="N230" i="2"/>
  <c r="N229" i="2"/>
  <c r="N225" i="2"/>
  <c r="N221" i="2"/>
  <c r="N220" i="2"/>
  <c r="N219" i="2"/>
  <c r="N216" i="2"/>
  <c r="N213" i="2"/>
  <c r="N208" i="2"/>
  <c r="N205" i="2"/>
  <c r="N124" i="2"/>
  <c r="N114" i="2"/>
  <c r="N111" i="2"/>
  <c r="N108" i="2"/>
  <c r="N107" i="2"/>
  <c r="N106" i="2"/>
  <c r="N105" i="2"/>
  <c r="N104" i="2"/>
  <c r="N103" i="2"/>
  <c r="N102" i="2"/>
  <c r="N101" i="2"/>
  <c r="O230" i="2"/>
  <c r="O229" i="2"/>
  <c r="O225" i="2"/>
  <c r="O221" i="2"/>
  <c r="O219" i="2"/>
  <c r="O220" i="2" s="1"/>
  <c r="O216" i="2"/>
  <c r="O213" i="2"/>
  <c r="O208" i="2"/>
  <c r="O205" i="2"/>
  <c r="O124" i="2"/>
  <c r="O114" i="2"/>
  <c r="O111" i="2"/>
  <c r="O108" i="2"/>
  <c r="O107" i="2"/>
  <c r="O106" i="2"/>
  <c r="O105" i="2"/>
  <c r="O104" i="2"/>
  <c r="O103" i="2"/>
  <c r="O102" i="2"/>
  <c r="O101" i="2"/>
  <c r="M230" i="2"/>
  <c r="M229" i="2"/>
  <c r="M225" i="2"/>
  <c r="M221" i="2"/>
  <c r="M219" i="2"/>
  <c r="M220" i="2" s="1"/>
  <c r="M216" i="2"/>
  <c r="M213" i="2"/>
  <c r="M208" i="2"/>
  <c r="M205" i="2"/>
  <c r="M124" i="2"/>
  <c r="M114" i="2"/>
  <c r="M111" i="2"/>
  <c r="M108" i="2"/>
  <c r="M107" i="2"/>
  <c r="M106" i="2"/>
  <c r="M105" i="2"/>
  <c r="M104" i="2"/>
  <c r="M103" i="2"/>
  <c r="M102" i="2"/>
  <c r="M101" i="2"/>
  <c r="L230" i="2"/>
  <c r="L229" i="2"/>
  <c r="L225" i="2"/>
  <c r="L221" i="2"/>
  <c r="L219" i="2"/>
  <c r="L220" i="2" s="1"/>
  <c r="L216" i="2"/>
  <c r="L213" i="2"/>
  <c r="L208" i="2"/>
  <c r="L205" i="2"/>
  <c r="L124" i="2"/>
  <c r="L114" i="2"/>
  <c r="L111" i="2"/>
  <c r="L108" i="2"/>
  <c r="L107" i="2"/>
  <c r="L106" i="2"/>
  <c r="L105" i="2"/>
  <c r="L104" i="2"/>
  <c r="L103" i="2"/>
  <c r="L102" i="2"/>
  <c r="L101" i="2"/>
  <c r="K230" i="2"/>
  <c r="K229" i="2"/>
  <c r="K225" i="2"/>
  <c r="K221" i="2"/>
  <c r="K219" i="2"/>
  <c r="K220" i="2" s="1"/>
  <c r="K216" i="2"/>
  <c r="K213" i="2"/>
  <c r="K208" i="2"/>
  <c r="K205" i="2"/>
  <c r="K124" i="2"/>
  <c r="K114" i="2"/>
  <c r="K111" i="2"/>
  <c r="K108" i="2"/>
  <c r="K107" i="2"/>
  <c r="K106" i="2"/>
  <c r="K105" i="2"/>
  <c r="K104" i="2"/>
  <c r="K103" i="2"/>
  <c r="K102" i="2"/>
  <c r="K101" i="2"/>
  <c r="J101" i="2"/>
  <c r="J102" i="2"/>
  <c r="J103" i="2"/>
  <c r="J104" i="2"/>
  <c r="J105" i="2"/>
  <c r="J106" i="2"/>
  <c r="J107" i="2"/>
  <c r="J108" i="2"/>
  <c r="J111" i="2"/>
  <c r="J114" i="2"/>
  <c r="J124" i="2"/>
  <c r="J205" i="2"/>
  <c r="J208" i="2"/>
  <c r="J213" i="2"/>
  <c r="J216" i="2"/>
  <c r="J219" i="2"/>
  <c r="J220" i="2" s="1"/>
  <c r="J221" i="2"/>
  <c r="J225" i="2"/>
  <c r="J229" i="2"/>
  <c r="J230" i="2"/>
  <c r="AU230" i="2"/>
  <c r="AT230" i="2"/>
  <c r="AU229" i="2"/>
  <c r="AT229" i="2"/>
  <c r="AU225" i="2"/>
  <c r="AT225" i="2"/>
  <c r="AU221" i="2"/>
  <c r="AT221" i="2"/>
  <c r="AU219" i="2"/>
  <c r="AU220" i="2" s="1"/>
  <c r="AT219" i="2"/>
  <c r="AT220" i="2" s="1"/>
  <c r="AU216" i="2"/>
  <c r="AT216" i="2"/>
  <c r="AU213" i="2"/>
  <c r="AT213" i="2"/>
  <c r="AU208" i="2"/>
  <c r="AT208" i="2"/>
  <c r="AU205" i="2"/>
  <c r="AT205" i="2"/>
  <c r="AU124" i="2"/>
  <c r="AT124" i="2"/>
  <c r="AU114" i="2"/>
  <c r="AT114" i="2"/>
  <c r="AU111" i="2"/>
  <c r="AT111" i="2"/>
  <c r="AU108" i="2"/>
  <c r="AT108" i="2"/>
  <c r="AU107" i="2"/>
  <c r="AT107" i="2"/>
  <c r="AU106" i="2"/>
  <c r="AT106" i="2"/>
  <c r="AU105" i="2"/>
  <c r="AT105" i="2"/>
  <c r="AU104" i="2"/>
  <c r="AT104" i="2"/>
  <c r="AU103" i="2"/>
  <c r="AT103" i="2"/>
  <c r="AU102" i="2"/>
  <c r="AT102" i="2"/>
  <c r="AU101" i="2"/>
  <c r="AT101" i="2"/>
  <c r="AS230" i="2"/>
  <c r="AS229" i="2"/>
  <c r="AS225" i="2"/>
  <c r="AS221" i="2"/>
  <c r="AS219" i="2"/>
  <c r="AS220" i="2" s="1"/>
  <c r="AS216" i="2"/>
  <c r="AS213" i="2"/>
  <c r="AS208" i="2"/>
  <c r="AS205" i="2"/>
  <c r="AS124" i="2"/>
  <c r="AS114" i="2"/>
  <c r="AS111" i="2"/>
  <c r="AS108" i="2"/>
  <c r="AS107" i="2"/>
  <c r="AS106" i="2"/>
  <c r="AS105" i="2"/>
  <c r="AS104" i="2"/>
  <c r="AS103" i="2"/>
  <c r="AS102" i="2"/>
  <c r="AS101" i="2"/>
  <c r="AR230" i="2"/>
  <c r="AR229" i="2"/>
  <c r="AR225" i="2"/>
  <c r="AR221" i="2"/>
  <c r="AR219" i="2"/>
  <c r="AR220" i="2" s="1"/>
  <c r="AR216" i="2"/>
  <c r="AR213" i="2"/>
  <c r="AR208" i="2"/>
  <c r="AR205" i="2"/>
  <c r="AR124" i="2"/>
  <c r="AR114" i="2"/>
  <c r="AR111" i="2"/>
  <c r="AR108" i="2"/>
  <c r="AR107" i="2"/>
  <c r="AR106" i="2"/>
  <c r="AR105" i="2"/>
  <c r="AR104" i="2"/>
  <c r="AR103" i="2"/>
  <c r="AR102" i="2"/>
  <c r="AR101" i="2"/>
  <c r="AW230" i="2"/>
  <c r="AW229" i="2"/>
  <c r="AW225" i="2"/>
  <c r="AW221" i="2"/>
  <c r="AW219" i="2"/>
  <c r="AW220" i="2" s="1"/>
  <c r="AW216" i="2"/>
  <c r="AW213" i="2"/>
  <c r="AW205" i="2"/>
  <c r="AW124" i="2"/>
  <c r="AW114" i="2"/>
  <c r="AW111" i="2"/>
  <c r="AW108" i="2"/>
  <c r="AW107" i="2"/>
  <c r="AW106" i="2"/>
  <c r="AW105" i="2"/>
  <c r="AW104" i="2"/>
  <c r="AW103" i="2"/>
  <c r="AW102" i="2"/>
  <c r="AW101" i="2"/>
  <c r="AP230" i="2"/>
  <c r="AO230" i="2"/>
  <c r="AN230" i="2"/>
  <c r="AM230" i="2"/>
  <c r="AL230" i="2"/>
  <c r="AK230" i="2"/>
  <c r="AJ230" i="2"/>
  <c r="AP229" i="2"/>
  <c r="AO229" i="2"/>
  <c r="AN229" i="2"/>
  <c r="AM229" i="2"/>
  <c r="AL229" i="2"/>
  <c r="AK229" i="2"/>
  <c r="AJ229" i="2"/>
  <c r="AP225" i="2"/>
  <c r="AO225" i="2"/>
  <c r="AN225" i="2"/>
  <c r="AM225" i="2"/>
  <c r="AL225" i="2"/>
  <c r="AK225" i="2"/>
  <c r="AJ225" i="2"/>
  <c r="AP221" i="2"/>
  <c r="AO221" i="2"/>
  <c r="AN221" i="2"/>
  <c r="AM221" i="2"/>
  <c r="AL221" i="2"/>
  <c r="AK221" i="2"/>
  <c r="AJ221" i="2"/>
  <c r="AP219" i="2"/>
  <c r="AP220" i="2" s="1"/>
  <c r="AO219" i="2"/>
  <c r="AO220" i="2" s="1"/>
  <c r="AN219" i="2"/>
  <c r="AN220" i="2" s="1"/>
  <c r="AM219" i="2"/>
  <c r="AM220" i="2" s="1"/>
  <c r="AL219" i="2"/>
  <c r="AL220" i="2" s="1"/>
  <c r="AK219" i="2"/>
  <c r="AK220" i="2" s="1"/>
  <c r="AJ219" i="2"/>
  <c r="AJ220" i="2" s="1"/>
  <c r="AP216" i="2"/>
  <c r="AO216" i="2"/>
  <c r="AN216" i="2"/>
  <c r="AM216" i="2"/>
  <c r="AL216" i="2"/>
  <c r="AK216" i="2"/>
  <c r="AJ216" i="2"/>
  <c r="AP213" i="2"/>
  <c r="AO213" i="2"/>
  <c r="AN213" i="2"/>
  <c r="AM213" i="2"/>
  <c r="AL213" i="2"/>
  <c r="AK213" i="2"/>
  <c r="AJ213" i="2"/>
  <c r="AP208" i="2"/>
  <c r="AO208" i="2"/>
  <c r="AN208" i="2"/>
  <c r="AM208" i="2"/>
  <c r="AL208" i="2"/>
  <c r="AK208" i="2"/>
  <c r="AJ208" i="2"/>
  <c r="AP205" i="2"/>
  <c r="AO205" i="2"/>
  <c r="AN205" i="2"/>
  <c r="AM205" i="2"/>
  <c r="AL205" i="2"/>
  <c r="AK205" i="2"/>
  <c r="AJ205" i="2"/>
  <c r="AP124" i="2"/>
  <c r="AO124" i="2"/>
  <c r="AN124" i="2"/>
  <c r="AM124" i="2"/>
  <c r="AL124" i="2"/>
  <c r="AK124" i="2"/>
  <c r="AJ124" i="2"/>
  <c r="AP114" i="2"/>
  <c r="AO114" i="2"/>
  <c r="AN114" i="2"/>
  <c r="AM114" i="2"/>
  <c r="AL114" i="2"/>
  <c r="AK114" i="2"/>
  <c r="AJ114" i="2"/>
  <c r="AP111" i="2"/>
  <c r="AO111" i="2"/>
  <c r="AN111" i="2"/>
  <c r="AM111" i="2"/>
  <c r="AL111" i="2"/>
  <c r="AK111" i="2"/>
  <c r="AJ111" i="2"/>
  <c r="AP108" i="2"/>
  <c r="AO108" i="2"/>
  <c r="AN108" i="2"/>
  <c r="AM108" i="2"/>
  <c r="AL108" i="2"/>
  <c r="AK108" i="2"/>
  <c r="AJ108" i="2"/>
  <c r="AP107" i="2"/>
  <c r="AO107" i="2"/>
  <c r="AN107" i="2"/>
  <c r="AM107" i="2"/>
  <c r="AL107" i="2"/>
  <c r="AK107" i="2"/>
  <c r="AJ107" i="2"/>
  <c r="AP106" i="2"/>
  <c r="AO106" i="2"/>
  <c r="AN106" i="2"/>
  <c r="AM106" i="2"/>
  <c r="AL106" i="2"/>
  <c r="AK106" i="2"/>
  <c r="AJ106" i="2"/>
  <c r="AP105" i="2"/>
  <c r="AO105" i="2"/>
  <c r="AN105" i="2"/>
  <c r="AM105" i="2"/>
  <c r="AL105" i="2"/>
  <c r="AK105" i="2"/>
  <c r="AJ105" i="2"/>
  <c r="AP104" i="2"/>
  <c r="AO104" i="2"/>
  <c r="AN104" i="2"/>
  <c r="AM104" i="2"/>
  <c r="AL104" i="2"/>
  <c r="AK104" i="2"/>
  <c r="AJ104" i="2"/>
  <c r="AP103" i="2"/>
  <c r="AO103" i="2"/>
  <c r="AN103" i="2"/>
  <c r="AM103" i="2"/>
  <c r="AL103" i="2"/>
  <c r="AK103" i="2"/>
  <c r="AJ103" i="2"/>
  <c r="AP102" i="2"/>
  <c r="AO102" i="2"/>
  <c r="AN102" i="2"/>
  <c r="AM102" i="2"/>
  <c r="AL102" i="2"/>
  <c r="AK102" i="2"/>
  <c r="AJ102" i="2"/>
  <c r="AP101" i="2"/>
  <c r="AO101" i="2"/>
  <c r="AN101" i="2"/>
  <c r="AM101" i="2"/>
  <c r="AL101" i="2"/>
  <c r="AK101" i="2"/>
  <c r="AJ101" i="2"/>
  <c r="AH230" i="2"/>
  <c r="AH229" i="2"/>
  <c r="AH225" i="2"/>
  <c r="AH221" i="2"/>
  <c r="AH219" i="2"/>
  <c r="AH220" i="2" s="1"/>
  <c r="AH216" i="2"/>
  <c r="AH213" i="2"/>
  <c r="AH208" i="2"/>
  <c r="AH205" i="2"/>
  <c r="AH124" i="2"/>
  <c r="AH114" i="2"/>
  <c r="AH111" i="2"/>
  <c r="AH108" i="2"/>
  <c r="AH107" i="2"/>
  <c r="AH106" i="2"/>
  <c r="AH105" i="2"/>
  <c r="AH104" i="2"/>
  <c r="AH103" i="2"/>
  <c r="AH102" i="2"/>
  <c r="AH101" i="2"/>
  <c r="AG230" i="2"/>
  <c r="AG229" i="2"/>
  <c r="AG225" i="2"/>
  <c r="AG221" i="2"/>
  <c r="AG219" i="2"/>
  <c r="AG220" i="2" s="1"/>
  <c r="AG216" i="2"/>
  <c r="AG213" i="2"/>
  <c r="AG208" i="2"/>
  <c r="AG205" i="2"/>
  <c r="AG124" i="2"/>
  <c r="AG114" i="2"/>
  <c r="AG111" i="2"/>
  <c r="AG108" i="2"/>
  <c r="AG107" i="2"/>
  <c r="AG106" i="2"/>
  <c r="AG105" i="2"/>
  <c r="AG104" i="2"/>
  <c r="AG103" i="2"/>
  <c r="AG102" i="2"/>
  <c r="AG101" i="2"/>
  <c r="AF230" i="2"/>
  <c r="AF229" i="2"/>
  <c r="AF225" i="2"/>
  <c r="AF221" i="2"/>
  <c r="AF219" i="2"/>
  <c r="AF220" i="2" s="1"/>
  <c r="AF216" i="2"/>
  <c r="AF213" i="2"/>
  <c r="AF208" i="2"/>
  <c r="AF205" i="2"/>
  <c r="AF124" i="2"/>
  <c r="AF114" i="2"/>
  <c r="AF111" i="2"/>
  <c r="AF108" i="2"/>
  <c r="AF107" i="2"/>
  <c r="AF106" i="2"/>
  <c r="AF105" i="2"/>
  <c r="AF104" i="2"/>
  <c r="AF103" i="2"/>
  <c r="AF102" i="2"/>
  <c r="AF101" i="2"/>
  <c r="AE230" i="2"/>
  <c r="AE229" i="2"/>
  <c r="AE225" i="2"/>
  <c r="AE221" i="2"/>
  <c r="AE219" i="2"/>
  <c r="AE220" i="2" s="1"/>
  <c r="AE216" i="2"/>
  <c r="AE213" i="2"/>
  <c r="AE208" i="2"/>
  <c r="AE205" i="2"/>
  <c r="AE124" i="2"/>
  <c r="AE114" i="2"/>
  <c r="AE111" i="2"/>
  <c r="AE108" i="2"/>
  <c r="AE107" i="2"/>
  <c r="AE106" i="2"/>
  <c r="AE105" i="2"/>
  <c r="AE104" i="2"/>
  <c r="AE103" i="2"/>
  <c r="AE102" i="2"/>
  <c r="AE101" i="2"/>
  <c r="AD230" i="2"/>
  <c r="AD229" i="2"/>
  <c r="AD225" i="2"/>
  <c r="AD221" i="2"/>
  <c r="AD219" i="2"/>
  <c r="AD220" i="2" s="1"/>
  <c r="AD216" i="2"/>
  <c r="AD213" i="2"/>
  <c r="AD208" i="2"/>
  <c r="AD205" i="2"/>
  <c r="AD124" i="2"/>
  <c r="AD114" i="2"/>
  <c r="AD111" i="2"/>
  <c r="AD108" i="2"/>
  <c r="AD107" i="2"/>
  <c r="AD106" i="2"/>
  <c r="AD105" i="2"/>
  <c r="AD104" i="2"/>
  <c r="AD103" i="2"/>
  <c r="AD102" i="2"/>
  <c r="AD101" i="2"/>
  <c r="AC230" i="2"/>
  <c r="AC229" i="2"/>
  <c r="AC225" i="2"/>
  <c r="AC221" i="2"/>
  <c r="AC219" i="2"/>
  <c r="AC220" i="2" s="1"/>
  <c r="AC216" i="2"/>
  <c r="AC213" i="2"/>
  <c r="AC208" i="2"/>
  <c r="AC205" i="2"/>
  <c r="AC124" i="2"/>
  <c r="AC114" i="2"/>
  <c r="AC111" i="2"/>
  <c r="AC108" i="2"/>
  <c r="AC107" i="2"/>
  <c r="AC106" i="2"/>
  <c r="AC105" i="2"/>
  <c r="AC104" i="2"/>
  <c r="AC103" i="2"/>
  <c r="AC102" i="2"/>
  <c r="AC101" i="2"/>
  <c r="AB230" i="2"/>
  <c r="AB229" i="2"/>
  <c r="AB225" i="2"/>
  <c r="AB221" i="2"/>
  <c r="AB219" i="2"/>
  <c r="AB220" i="2" s="1"/>
  <c r="AB216" i="2"/>
  <c r="AB213" i="2"/>
  <c r="AB208" i="2"/>
  <c r="AB205" i="2"/>
  <c r="AB124" i="2"/>
  <c r="AB114" i="2"/>
  <c r="AB111" i="2"/>
  <c r="AB108" i="2"/>
  <c r="AB107" i="2"/>
  <c r="AB106" i="2"/>
  <c r="AB105" i="2"/>
  <c r="AB104" i="2"/>
  <c r="AB103" i="2"/>
  <c r="AB102" i="2"/>
  <c r="AB101" i="2"/>
  <c r="AA230" i="2"/>
  <c r="Z230" i="2"/>
  <c r="Y230" i="2"/>
  <c r="X230" i="2"/>
  <c r="I230" i="2"/>
  <c r="H230" i="2"/>
  <c r="G230" i="2"/>
  <c r="AA229" i="2" l="1"/>
  <c r="AA225" i="2"/>
  <c r="AA221" i="2"/>
  <c r="AA219" i="2"/>
  <c r="AA220" i="2" s="1"/>
  <c r="AA216" i="2"/>
  <c r="AA213" i="2"/>
  <c r="AA208" i="2"/>
  <c r="AA205" i="2"/>
  <c r="AA124" i="2"/>
  <c r="AA114" i="2"/>
  <c r="AA111" i="2"/>
  <c r="AA108" i="2"/>
  <c r="AA107" i="2"/>
  <c r="AA106" i="2"/>
  <c r="AA105" i="2"/>
  <c r="AA104" i="2"/>
  <c r="AA103" i="2"/>
  <c r="AA102" i="2"/>
  <c r="AA101" i="2"/>
  <c r="Z229" i="2"/>
  <c r="Z225" i="2"/>
  <c r="Z221" i="2"/>
  <c r="Z219" i="2"/>
  <c r="Z220" i="2" s="1"/>
  <c r="Z216" i="2"/>
  <c r="Z213" i="2"/>
  <c r="Z208" i="2"/>
  <c r="Z205" i="2"/>
  <c r="Z124" i="2"/>
  <c r="Z114" i="2"/>
  <c r="Z111" i="2"/>
  <c r="Z108" i="2"/>
  <c r="Z107" i="2"/>
  <c r="Z106" i="2"/>
  <c r="Z105" i="2"/>
  <c r="Z104" i="2"/>
  <c r="Z103" i="2"/>
  <c r="Z102" i="2"/>
  <c r="Z101" i="2"/>
  <c r="Y229" i="2"/>
  <c r="Y225" i="2"/>
  <c r="Y221" i="2"/>
  <c r="Y219" i="2"/>
  <c r="Y220" i="2" s="1"/>
  <c r="Y216" i="2"/>
  <c r="Y213" i="2"/>
  <c r="Y208" i="2"/>
  <c r="Y205" i="2"/>
  <c r="Y124" i="2"/>
  <c r="Y114" i="2"/>
  <c r="Y111" i="2"/>
  <c r="Y108" i="2"/>
  <c r="Y107" i="2"/>
  <c r="Y106" i="2"/>
  <c r="Y105" i="2"/>
  <c r="Y104" i="2"/>
  <c r="Y103" i="2"/>
  <c r="Y102" i="2"/>
  <c r="Y101" i="2"/>
  <c r="X229" i="2"/>
  <c r="X225" i="2"/>
  <c r="X221" i="2"/>
  <c r="X219" i="2"/>
  <c r="X220" i="2" s="1"/>
  <c r="X216" i="2"/>
  <c r="X213" i="2"/>
  <c r="X208" i="2"/>
  <c r="X205" i="2"/>
  <c r="X124" i="2"/>
  <c r="X114" i="2"/>
  <c r="X111" i="2"/>
  <c r="X108" i="2"/>
  <c r="X107" i="2"/>
  <c r="X106" i="2"/>
  <c r="X105" i="2"/>
  <c r="X104" i="2"/>
  <c r="X103" i="2"/>
  <c r="X102" i="2"/>
  <c r="X101" i="2"/>
  <c r="AZ230" i="2"/>
  <c r="AZ229" i="2"/>
  <c r="AZ225" i="2"/>
  <c r="AZ221" i="2"/>
  <c r="AZ219" i="2"/>
  <c r="AZ220" i="2" s="1"/>
  <c r="AZ216" i="2"/>
  <c r="AZ213" i="2"/>
  <c r="AZ208" i="2"/>
  <c r="AZ205" i="2"/>
  <c r="AZ124" i="2"/>
  <c r="AZ114" i="2"/>
  <c r="AZ111" i="2"/>
  <c r="AZ108" i="2"/>
  <c r="AZ107" i="2"/>
  <c r="AZ106" i="2"/>
  <c r="AZ105" i="2"/>
  <c r="AZ104" i="2"/>
  <c r="AZ103" i="2"/>
  <c r="AZ102" i="2"/>
  <c r="AZ101" i="2"/>
  <c r="H205" i="2" l="1"/>
  <c r="I205" i="2"/>
  <c r="G205" i="2"/>
  <c r="I229" i="2"/>
  <c r="H229" i="2"/>
  <c r="G229" i="2"/>
  <c r="H208" i="2" l="1"/>
  <c r="I208" i="2"/>
  <c r="G208" i="2"/>
  <c r="I216" i="2"/>
  <c r="H225" i="2"/>
  <c r="I225" i="2"/>
  <c r="G225" i="2"/>
  <c r="I124" i="2" l="1"/>
  <c r="I221" i="2"/>
  <c r="H133" i="2" l="1"/>
  <c r="G124" i="2"/>
  <c r="H222" i="2" l="1"/>
  <c r="H149" i="2"/>
  <c r="H150" i="2"/>
  <c r="H151" i="2"/>
  <c r="H152" i="2"/>
  <c r="H153" i="2"/>
  <c r="I114" i="2"/>
  <c r="I111" i="2"/>
  <c r="I104" i="2"/>
  <c r="I103" i="2"/>
  <c r="I102" i="2"/>
  <c r="I101" i="2"/>
  <c r="G104" i="2"/>
  <c r="G103" i="2"/>
  <c r="G102" i="2"/>
  <c r="G101" i="2"/>
  <c r="I105" i="2"/>
  <c r="I108" i="2"/>
  <c r="I107" i="2"/>
  <c r="I106" i="2"/>
  <c r="H221" i="2"/>
  <c r="G221" i="2"/>
  <c r="H220" i="2"/>
  <c r="G220" i="2"/>
  <c r="I219" i="2"/>
  <c r="I220" i="2" s="1"/>
  <c r="H219" i="2"/>
  <c r="G219" i="2"/>
  <c r="H218" i="2"/>
  <c r="G218" i="2"/>
  <c r="I213" i="2"/>
  <c r="H213" i="2"/>
  <c r="G213" i="2"/>
  <c r="H207" i="2"/>
  <c r="H2" i="2" l="1"/>
  <c r="H42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7" i="2"/>
  <c r="H128" i="2"/>
  <c r="H129" i="2"/>
  <c r="H130" i="2"/>
  <c r="H131" i="2"/>
  <c r="H132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4" i="2"/>
  <c r="H155" i="2"/>
  <c r="H156" i="2"/>
  <c r="H157" i="2"/>
  <c r="H158" i="2"/>
  <c r="H159" i="2"/>
  <c r="H160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4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2" i="4"/>
  <c r="H103" i="2" l="1"/>
  <c r="H104" i="2"/>
  <c r="H102" i="2"/>
  <c r="H101" i="2"/>
  <c r="H106" i="2"/>
  <c r="H105" i="2"/>
  <c r="H107" i="2"/>
  <c r="H108" i="2"/>
</calcChain>
</file>

<file path=xl/sharedStrings.xml><?xml version="1.0" encoding="utf-8"?>
<sst xmlns="http://schemas.openxmlformats.org/spreadsheetml/2006/main" count="2969" uniqueCount="597">
  <si>
    <t>input_file</t>
  </si>
  <si>
    <t>input_file_time_step_in_days</t>
  </si>
  <si>
    <t>random</t>
  </si>
  <si>
    <t>random_choice</t>
  </si>
  <si>
    <t>simulation_period_in_days</t>
  </si>
  <si>
    <t>time_step_in_days</t>
  </si>
  <si>
    <t>forcing_constant_inputs</t>
  </si>
  <si>
    <t>constant_sucrose_input_rate</t>
  </si>
  <si>
    <t>constant_soil_temperature_in_Celsius</t>
  </si>
  <si>
    <t>nodules_option</t>
  </si>
  <si>
    <t>root_order_limitation</t>
  </si>
  <si>
    <t>root_order_treshold</t>
  </si>
  <si>
    <t>ArchiSimple</t>
  </si>
  <si>
    <t>ArchiSimple_C_fraction</t>
  </si>
  <si>
    <t>radial_growth</t>
  </si>
  <si>
    <t>recording_images</t>
  </si>
  <si>
    <t>classification_by_layers</t>
  </si>
  <si>
    <t>layers_z_min</t>
  </si>
  <si>
    <t>layers_z_max</t>
  </si>
  <si>
    <t>layers_thickness</t>
  </si>
  <si>
    <t>recording_interval_in_days</t>
  </si>
  <si>
    <t>plotting</t>
  </si>
  <si>
    <t>displayed_property</t>
  </si>
  <si>
    <t>displayed_min_value</t>
  </si>
  <si>
    <t>displayed_max_value</t>
  </si>
  <si>
    <t>log_scale</t>
  </si>
  <si>
    <t>color_map</t>
  </si>
  <si>
    <t>root_hairs_display</t>
  </si>
  <si>
    <t>camera_rotation</t>
  </si>
  <si>
    <t>camera_rotation_n_points</t>
  </si>
  <si>
    <t>x_center</t>
  </si>
  <si>
    <t>y_center</t>
  </si>
  <si>
    <t>z_center</t>
  </si>
  <si>
    <t>z_camera</t>
  </si>
  <si>
    <t>camera_distance</t>
  </si>
  <si>
    <t>step_back_coefficient</t>
  </si>
  <si>
    <t>initial_segment_length</t>
  </si>
  <si>
    <t>initial_C_sucrose_root</t>
  </si>
  <si>
    <t>initial_C_hexose_root</t>
  </si>
  <si>
    <t>D_ini</t>
  </si>
  <si>
    <t>Dmin</t>
  </si>
  <si>
    <t>D_adv_to_D_ini_ratio</t>
  </si>
  <si>
    <t>n_adventitious_roots</t>
  </si>
  <si>
    <t>ER</t>
  </si>
  <si>
    <t>EL</t>
  </si>
  <si>
    <t>IPD</t>
  </si>
  <si>
    <t>emergence_delay</t>
  </si>
  <si>
    <t>RMD</t>
  </si>
  <si>
    <t>CVDD</t>
  </si>
  <si>
    <t>SGC</t>
  </si>
  <si>
    <t>GDs</t>
  </si>
  <si>
    <t>LDs</t>
  </si>
  <si>
    <t>root_tissue_density</t>
  </si>
  <si>
    <t>struct_mass_C_content</t>
  </si>
  <si>
    <t>segment_length</t>
  </si>
  <si>
    <t>gravitropism_coefficient</t>
  </si>
  <si>
    <t>C_hexose_reserve_min</t>
  </si>
  <si>
    <t>C_hexose_reserve_max</t>
  </si>
  <si>
    <t>C_hexose_root_min_for_reserve</t>
  </si>
  <si>
    <t>growing_zone_factor</t>
  </si>
  <si>
    <t>T_ref_growth</t>
  </si>
  <si>
    <t>yield_growth</t>
  </si>
  <si>
    <t>Km_elongation</t>
  </si>
  <si>
    <t>relative_root_thickening_rate_max</t>
  </si>
  <si>
    <t>Km_thickening</t>
  </si>
  <si>
    <t>phloem_surfacic_fraction</t>
  </si>
  <si>
    <t>phloem_permeability</t>
  </si>
  <si>
    <t>Km_unloading</t>
  </si>
  <si>
    <t>surfacic_loading_rate_reference</t>
  </si>
  <si>
    <t>gamma_loading</t>
  </si>
  <si>
    <t>Km_loading</t>
  </si>
  <si>
    <t>max_immobilization_rate</t>
  </si>
  <si>
    <t>Km_immobilization</t>
  </si>
  <si>
    <t>max_mobilization_rate</t>
  </si>
  <si>
    <t>Km_mobilization</t>
  </si>
  <si>
    <t>resp_maintenance_max</t>
  </si>
  <si>
    <t>Km_maintenance</t>
  </si>
  <si>
    <t>symplasm_surfacic_fraction</t>
  </si>
  <si>
    <t>Pmax_apex</t>
  </si>
  <si>
    <t>gamma_exudation</t>
  </si>
  <si>
    <t>uptake_rate_max</t>
  </si>
  <si>
    <t>Km_uptake</t>
  </si>
  <si>
    <t>nodule_formation_probability</t>
  </si>
  <si>
    <t>nodule_max_radius</t>
  </si>
  <si>
    <t>relative_nodule_thickening_rate_max</t>
  </si>
  <si>
    <t>Km_nodule_thickening</t>
  </si>
  <si>
    <t>True</t>
  </si>
  <si>
    <t>False</t>
  </si>
  <si>
    <t>jet</t>
  </si>
  <si>
    <t>WHEAT</t>
  </si>
  <si>
    <t>n_seminal_roots</t>
  </si>
  <si>
    <t>Character / [no units]</t>
  </si>
  <si>
    <t>Type/ Unit</t>
  </si>
  <si>
    <t>Real number /days</t>
  </si>
  <si>
    <t>Boolean / [no units]</t>
  </si>
  <si>
    <t>Integer / [no units]</t>
  </si>
  <si>
    <t>Real number / mol of sucrose per second</t>
  </si>
  <si>
    <t>Real number / mol of C per mol of C</t>
  </si>
  <si>
    <t>Real number / meters</t>
  </si>
  <si>
    <t>Real number / [units of the selected property]</t>
  </si>
  <si>
    <t>Real number / [no units]</t>
  </si>
  <si>
    <t>Real number / [meters per meter per step]</t>
  </si>
  <si>
    <t>Real number / [meters per meter]</t>
  </si>
  <si>
    <t>Integer / [number of roots]</t>
  </si>
  <si>
    <t>Real number / number of roots per second</t>
  </si>
  <si>
    <t>Real number / meters of root per meter of radius per second-equivalent-to-T_ref_growth</t>
  </si>
  <si>
    <t>Real number / second-equivalent-to-T_ref_growth</t>
  </si>
  <si>
    <t>Real number / [square meters per square meters]</t>
  </si>
  <si>
    <t>Real number / second-equivalent-to-temperature-T_ref_growth x meter4 x gram-1</t>
  </si>
  <si>
    <t>Real number / degree Celsius</t>
  </si>
  <si>
    <t>Real number / meters per meter per second</t>
  </si>
  <si>
    <t>Real number / mol of respired CO2 per mol of C used for structural mass</t>
  </si>
  <si>
    <t>Explanation</t>
  </si>
  <si>
    <t>Time step used in the input file</t>
  </si>
  <si>
    <t>Total duration of the simulation</t>
  </si>
  <si>
    <t>Time step used in the simulation</t>
  </si>
  <si>
    <t>Constant input of sucrose to apply</t>
  </si>
  <si>
    <t>Constant soil temperature to apply</t>
  </si>
  <si>
    <t>Maximal order of roots that can emerge</t>
  </si>
  <si>
    <t>Fraction of the input of C provided as sucrose to the root system that is actually considered as "biomass" by ArchiSimple</t>
  </si>
  <si>
    <t>Minimal soil depth of the first soil layer</t>
  </si>
  <si>
    <t>Maximal soil depth of the last soil layer</t>
  </si>
  <si>
    <t>Thickness of each soil layer</t>
  </si>
  <si>
    <t>Time interval separating the automatic recording of simulation results</t>
  </si>
  <si>
    <t>Name of the variable to be displayed on the graph</t>
  </si>
  <si>
    <t>Minimum value of the displayed property on the scale</t>
  </si>
  <si>
    <t>Maximum value of the displayed property on the scale</t>
  </si>
  <si>
    <t>Name of the color range to apply to the scale of the graph</t>
  </si>
  <si>
    <t>Option to allow displaying root hairs (True/False)</t>
  </si>
  <si>
    <t>Option to introduce stochastic processes (True/False)</t>
  </si>
  <si>
    <t>Random seed to specify a repeatable random Option</t>
  </si>
  <si>
    <t>Option to set constant inputs and ignore input file (True/False)</t>
  </si>
  <si>
    <t>Option to allow nodule growth (True/False)</t>
  </si>
  <si>
    <t>Option to limit the emergence of roots of high orders (True/False)</t>
  </si>
  <si>
    <t>Option to allow radial growth (True/False)</t>
  </si>
  <si>
    <t>Option to allow recording the images from PlantGL over time (True/False)</t>
  </si>
  <si>
    <t>Option to allow computing the distribution of various variables per layers of soil (True/False)</t>
  </si>
  <si>
    <t>Option to allow the display of the root system in PlantGL (True/False)</t>
  </si>
  <si>
    <t>Option to set the scale of the graph as a logarithmic scale (True/False)</t>
  </si>
  <si>
    <t>Option to simulate with ArchiSimple only and ignore additional processes</t>
  </si>
  <si>
    <t>Option to allow rotating the camera around the root system (True/False)</t>
  </si>
  <si>
    <t>Total number of camera positions over its rotation around the root system</t>
  </si>
  <si>
    <t>x coordinate of the center of the graph relative to the growth start</t>
  </si>
  <si>
    <t>y coordinate of the center of the graph relative to the growth start</t>
  </si>
  <si>
    <t>z coordinate of the center of the graph relative to the growth start</t>
  </si>
  <si>
    <t>Initial z coordinate of the camera</t>
  </si>
  <si>
    <t>Initial distance of the camera</t>
  </si>
  <si>
    <t>Relative increase in distance of the camera for each new simulation step</t>
  </si>
  <si>
    <t>Length of the root segment of the initial root system at the beginning of the simulation</t>
  </si>
  <si>
    <t>Sucrose concentration of the root segment of the initial root system at the beginning of the simulation</t>
  </si>
  <si>
    <t>Hexose concentration of the root segment of the initial root system at the beginning of the simulation</t>
  </si>
  <si>
    <t>Diameter of the primary root</t>
  </si>
  <si>
    <t>Minimum diameter below which no root is allowed to emerge</t>
  </si>
  <si>
    <t>Total number of seminal roots</t>
  </si>
  <si>
    <t>Total number of adventitious roots</t>
  </si>
  <si>
    <t>Ratio between the mean diameter of adventitious roots and the diameter of the primary root</t>
  </si>
  <si>
    <t>Elongation rate of a given root relative to its diameter</t>
  </si>
  <si>
    <t>Inter primordia distance</t>
  </si>
  <si>
    <t>Time period below which a newly-formed root primordium cannot emerge</t>
  </si>
  <si>
    <t>Average ratio of the diameter of the daughter root to that of the mother root</t>
  </si>
  <si>
    <t>Relative variation of the daughter root diameter around its average value defined by the diameter of the mother root</t>
  </si>
  <si>
    <t>Proportionality coefficient between the section area of the segment and the sum of distal section areas, based on the pipe model</t>
  </si>
  <si>
    <t>Coefficient of life duration</t>
  </si>
  <si>
    <t>Root tissue density</t>
  </si>
  <si>
    <t>Carbon content of the dry structural mass</t>
  </si>
  <si>
    <t>Length of each root segment</t>
  </si>
  <si>
    <t>Coefficient of gravitropism (the higher it is, the faster the roots are growing downwards)</t>
  </si>
  <si>
    <t>Minimal concentration of hexose in the reserve pool</t>
  </si>
  <si>
    <t>Maximal concentration of hexose in the reserve pool</t>
  </si>
  <si>
    <t>Minimal concentration of hexose in the root below which no immobilization into the reserve pool can occur</t>
  </si>
  <si>
    <t>Relative ratio between the length of growing zone of the root (including meristem and elongation zone) and its radius</t>
  </si>
  <si>
    <t>Reference temperature for all root growth processes, which is supposed to correspond to the optimal temperature for maximizing potential growth in ArchiSimple</t>
  </si>
  <si>
    <t>Growth yield as defined by Thornley and Cannell (2000), which corresponds to the fraction of C used for biomass production as opposed to the fraction of C used for growth respiration</t>
  </si>
  <si>
    <t>Affinity constant (in terms of Michaelis-Menten formalism) for root elongation, corresponding to the concentration for which the rate is equal to half of the maximal rate</t>
  </si>
  <si>
    <t>Maximal rate of radial growth, expressed as the maximal relative increase of radius over time</t>
  </si>
  <si>
    <t>Affinity constant (in terms of Michaelis-Menten formalism) for radial growth, corresponding to the concentration for which the rate is equal to half of the maximal rate</t>
  </si>
  <si>
    <t>Proportionality coefficient between the total exchange surface of phloem tissues and the total external surface of the root</t>
  </si>
  <si>
    <t>Coefficient of "permeability" of phloem vessels</t>
  </si>
  <si>
    <t>Maximum unloading rate of sucrose through the surface of the phloem vessels</t>
  </si>
  <si>
    <t>Real number / mol of sucrose per square meter of phloem per second</t>
  </si>
  <si>
    <t>Exponential coefficient affecting the increase of loading with distance from the apex</t>
  </si>
  <si>
    <t>Affinity constant (in terms of Michaelis-Menten formalism) for phloem loading, corresponding to the concentration for which the rate is equal to half of the maximal rate</t>
  </si>
  <si>
    <t>Real number / [square meters per square meter]</t>
  </si>
  <si>
    <t>Maximal immobilization rate of hexose into the reserve pool</t>
  </si>
  <si>
    <t>Affinity constant (in terms of Michaelis-Menten formalism) for hexose immobilization, corresponding to the concentration for which the rate is equal to half of the maximal rate</t>
  </si>
  <si>
    <t>Affinity constant (in terms of Michaelis-Menten formalism) for hexose mobilization from reserve, corresponding to the concentration for which the rate is equal to half of the maximal rate</t>
  </si>
  <si>
    <t>Maximal mobilization rate of hexose from the reserve</t>
  </si>
  <si>
    <t>Maximal rate of maintenance respiration</t>
  </si>
  <si>
    <t>Affinity constant (in terms of Michaelis-Menten formalism) for maintenance respiration, corresponding to the concentration for which the rate is equal to half of the maximal rate</t>
  </si>
  <si>
    <t>Coefficient of permeability of root cortical and epidermal symplasm</t>
  </si>
  <si>
    <t>Exponential coefficient affecting the decrease of exudation with distance from the apex</t>
  </si>
  <si>
    <t>Maximal rate of hexose uptake from the soil-root interface</t>
  </si>
  <si>
    <t>Affinity constant (in terms of Michaelis-Menten formalism) for hexose uptake from the soil-root interface, corresponding to the concentration for which the rate is equal to half of the maximal rate</t>
  </si>
  <si>
    <t>Maximal rate of hexose consumption at the soil-root interface</t>
  </si>
  <si>
    <t>Affinity constant (in terms of Michaelis-Menten formalism) for hexose consumption at the soil-root interface, corresponding to the concentration for which the rate is equal to half of the maximal rate</t>
  </si>
  <si>
    <t>Real number / mol of sucrose per gram of root dry structural biomass</t>
  </si>
  <si>
    <t>Real number / gram of root dry structural mass per cubic meter</t>
  </si>
  <si>
    <t>Real number / mol of C per gram of root dry structural mass</t>
  </si>
  <si>
    <t>Real number / mol of hexose per gram of root dry structural mass</t>
  </si>
  <si>
    <t>Real number / gram of root dry structural biomass per square meter of phloem per second</t>
  </si>
  <si>
    <t>Real number / mol of hexose per gram of root dry structural mass per second</t>
  </si>
  <si>
    <t>Real number / gram of root dry structural biomass per square meter of symplasm per second</t>
  </si>
  <si>
    <t>Real number / [second per second]</t>
  </si>
  <si>
    <t>Plant genotype (not used in the simulation)</t>
  </si>
  <si>
    <t>main_roots_growth_extender</t>
  </si>
  <si>
    <t>pi</t>
  </si>
  <si>
    <t>D_sem_to_D_ini_ratio</t>
  </si>
  <si>
    <t>starting_time_for_adventitious_roots_emergence</t>
  </si>
  <si>
    <t>relative_process_value_at_T_ref_growth</t>
  </si>
  <si>
    <t>root_growth_T_ref</t>
  </si>
  <si>
    <t>root_growth_A</t>
  </si>
  <si>
    <t>root_growth_B</t>
  </si>
  <si>
    <t>root_growth_C</t>
  </si>
  <si>
    <t>root_hair_radius</t>
  </si>
  <si>
    <t>root_hair_max_length</t>
  </si>
  <si>
    <t>root_hairs_density</t>
  </si>
  <si>
    <t>root_hairs_elongation_rate</t>
  </si>
  <si>
    <t>root_hairs_lifespan</t>
  </si>
  <si>
    <t>resp_maintenance_max_T_ref</t>
  </si>
  <si>
    <t>resp_maintenance_max_A</t>
  </si>
  <si>
    <t>resp_maintenance_max_B</t>
  </si>
  <si>
    <t>resp_maintenance_max_C</t>
  </si>
  <si>
    <t>expected_C_sucrose_root</t>
  </si>
  <si>
    <t>expected_C_hexose_root</t>
  </si>
  <si>
    <t>expected_C_hexose_soil</t>
  </si>
  <si>
    <t>expected_C_hexose_reserve</t>
  </si>
  <si>
    <t>surfacic_unloading_rate_reference</t>
  </si>
  <si>
    <t>surfacic_unloading_rate_primordium</t>
  </si>
  <si>
    <t>phloem_permeability_T_ref</t>
  </si>
  <si>
    <t>phloem_permeability_A</t>
  </si>
  <si>
    <t>phloem_permeability_B</t>
  </si>
  <si>
    <t>phloem_permeability_C</t>
  </si>
  <si>
    <t>max_loading_rate_T_ref</t>
  </si>
  <si>
    <t>max_loading_rate_A</t>
  </si>
  <si>
    <t>max_loading_rate_B</t>
  </si>
  <si>
    <t>max_loading_rate_C</t>
  </si>
  <si>
    <t>max_immobilization_rate_T_ref</t>
  </si>
  <si>
    <t>max_immobilization_rate_A</t>
  </si>
  <si>
    <t>max_immobilization_rate_B</t>
  </si>
  <si>
    <t>max_immobilization_rate_C</t>
  </si>
  <si>
    <t>max_mobilization_rate_T_ref</t>
  </si>
  <si>
    <t>max_mobilization_rate_A</t>
  </si>
  <si>
    <t>max_mobilization_rate_B</t>
  </si>
  <si>
    <t>max_mobilization_rate_C</t>
  </si>
  <si>
    <t>expected_exudation_efflux</t>
  </si>
  <si>
    <t>permeability_coeff_T_ref</t>
  </si>
  <si>
    <t>permeability_coeff_A</t>
  </si>
  <si>
    <t>permeability_coeff_B</t>
  </si>
  <si>
    <t>permeability_coeff_C</t>
  </si>
  <si>
    <t>uptake_rate_max_T_ref</t>
  </si>
  <si>
    <t>uptake_rate_max_A</t>
  </si>
  <si>
    <t>uptake_rate_max_B</t>
  </si>
  <si>
    <t>uptake_rate_max_C</t>
  </si>
  <si>
    <t>secretion_rate_max</t>
  </si>
  <si>
    <t>secretion_rate_max_T_ref</t>
  </si>
  <si>
    <t>secretion_rate_max_A</t>
  </si>
  <si>
    <t>secretion_rate_max_B</t>
  </si>
  <si>
    <t>secretion_rate_max_C</t>
  </si>
  <si>
    <t>Km_secretion</t>
  </si>
  <si>
    <t>gamma_secretion</t>
  </si>
  <si>
    <t>surfacic_cells_release_rate</t>
  </si>
  <si>
    <t>surfacic_cells_release_rate_T_ref</t>
  </si>
  <si>
    <t>surfacic_cells_release_rate_A</t>
  </si>
  <si>
    <t>surfacic_cells_release_rate_B</t>
  </si>
  <si>
    <t>surfacic_cells_release_rate_C</t>
  </si>
  <si>
    <t>C_cells_soil_max</t>
  </si>
  <si>
    <t>hexose_degradation_rate_max</t>
  </si>
  <si>
    <t>hexose_degradation_rate_max_T_ref</t>
  </si>
  <si>
    <t>hexose_degradation_rate_max_A</t>
  </si>
  <si>
    <t>hexose_degradation_rate_max_B</t>
  </si>
  <si>
    <t>hexose_degradation_rate_max_C</t>
  </si>
  <si>
    <t>Km_hexose_degradation</t>
  </si>
  <si>
    <t>mucilage_degradation_rate_max</t>
  </si>
  <si>
    <t>mucilage_degradation_rate_max_T_ref</t>
  </si>
  <si>
    <t>mucilage_degradation_rate_max_A</t>
  </si>
  <si>
    <t>mucilage_degradation_rate_max_B</t>
  </si>
  <si>
    <t>mucilage_degradation_rate_max_C</t>
  </si>
  <si>
    <t>Km_mucilage_degradation</t>
  </si>
  <si>
    <t>cells_degradation_rate_max</t>
  </si>
  <si>
    <t>cells_degradation_rate_max_T_ref</t>
  </si>
  <si>
    <t>cells_degradation_rate_max_A</t>
  </si>
  <si>
    <t>cells_degradation_rate_max_B</t>
  </si>
  <si>
    <t>cells_degradation_rate_max_C</t>
  </si>
  <si>
    <t>Km_cells_degradation</t>
  </si>
  <si>
    <t>Ratio between the mean diameter of seminal roots and the diameter of the primary root</t>
  </si>
  <si>
    <t>List from 'updated_parameters.csv'</t>
  </si>
  <si>
    <t>List from 'scenario_as_columns' sheet</t>
  </si>
  <si>
    <t>Missing parameters in 'scenario_as_columns' sheet</t>
  </si>
  <si>
    <t>Time period below which no primordium of adventitious roots can emerge</t>
  </si>
  <si>
    <t>Relative value of a growth process when reaching the soil temperature of T_ref_growth (1 by default)</t>
  </si>
  <si>
    <t>Mean radius of a root hair</t>
  </si>
  <si>
    <t>Maximal length of a root hair</t>
  </si>
  <si>
    <t>Maximal elongation rate of a root hair</t>
  </si>
  <si>
    <t>Life duration of a root hair</t>
  </si>
  <si>
    <t>Real number / number of hairs par meter of root per meter of root radius</t>
  </si>
  <si>
    <t>Coefficient of density of root hairs along a root</t>
  </si>
  <si>
    <t>Real number / seconds</t>
  </si>
  <si>
    <t>Real number / meters of hair per meter of root radius per second</t>
  </si>
  <si>
    <t>Reference temperature for setting the temperature-dependence of the maximal rate of maintenance respiration</t>
  </si>
  <si>
    <t>Coefficient A used for setting the temperature-dependence of the maximal rate of maintenance respiration</t>
  </si>
  <si>
    <t>Coefficient B used for setting the temperature-dependence of the maximal rate of maintenance respiration</t>
  </si>
  <si>
    <t>Real number / per degree Celsius</t>
  </si>
  <si>
    <t>Coefficient C used for setting the temperature-dependence of the maximal rate of maintenance respiration (0 / 1)</t>
  </si>
  <si>
    <t>Reference temperature for setting the temperature-dependence of hexose immobilization</t>
  </si>
  <si>
    <t>Coefficient A used for setting the temperature-dependence of hexose immobilization</t>
  </si>
  <si>
    <t>Coefficient B used for setting the temperature-dependence of hexose immobilization</t>
  </si>
  <si>
    <t>Coefficient C used for setting the temperature-dependence of hexose immobilization (0 / 1)</t>
  </si>
  <si>
    <t>Reference temperature for setting the temperature-dependence of hexose mobilization</t>
  </si>
  <si>
    <t>Coefficient A used for setting the temperature-dependence of hexose mobilization</t>
  </si>
  <si>
    <t>Coefficient B used for setting the temperature-dependence of hexose mobilization</t>
  </si>
  <si>
    <t>Coefficient C used for setting the temperature-dependence of hexose mobilization (0 / 1)</t>
  </si>
  <si>
    <t>Reference temperature for setting the temperature-dependence of phloem unloading</t>
  </si>
  <si>
    <t>Coefficient A used for setting the temperature-dependence of phloem unloading</t>
  </si>
  <si>
    <t>Coefficient B used for setting the temperature-dependence of phloem unloading</t>
  </si>
  <si>
    <t>Coefficient C used for setting the temperature-dependence of phloem unloading (0 / 1)</t>
  </si>
  <si>
    <t>Reference temperature for setting the temperature-dependence of phloem loading</t>
  </si>
  <si>
    <t>Coefficient A used for setting the temperature-dependence of phloem loading</t>
  </si>
  <si>
    <t>Coefficient B used for setting the temperature-dependence of phloem loading</t>
  </si>
  <si>
    <t>Coefficient C used for setting the temperature-dependence of phloem loading (0 / 1)</t>
  </si>
  <si>
    <t>Reference temperature for setting the temperature-dependence of exudation rate</t>
  </si>
  <si>
    <t>Coefficient A used for setting the temperature-dependence of exudation rate</t>
  </si>
  <si>
    <t>Coefficient B used for setting the temperature-dependence of exudation rate</t>
  </si>
  <si>
    <t>Coefficient C used for setting the temperature-dependence of exudation rate (0 / 1)</t>
  </si>
  <si>
    <t>Reference temperature for setting the temperature-dependence of the maximal rate of hexose uptake</t>
  </si>
  <si>
    <t>Coefficient A used for setting the temperature-dependence of the maximal rate of hexose uptake</t>
  </si>
  <si>
    <t>Coefficient B used for setting the temperature-dependence of the maximal rate of hexose uptake</t>
  </si>
  <si>
    <t>Coefficient C used for setting the temperature-dependence of the maximal rate of hexose uptake (0 / 1)</t>
  </si>
  <si>
    <t>Maximum rate of mucilage secretion</t>
  </si>
  <si>
    <t>Real number / mol of hexose per square meter per second</t>
  </si>
  <si>
    <t>Reference temperature for setting the temperature-dependence of the maximal rate of mucilage secretion</t>
  </si>
  <si>
    <t>Coefficient A used for setting the temperature-dependence of the maximal rate of mucilage secretion</t>
  </si>
  <si>
    <t>Coefficient B used for setting the temperature-dependence of the maximal rate of mucilage secretion</t>
  </si>
  <si>
    <t>Coefficient C used for setting the temperature-dependence of the maximal rate of mucilage secretion (0 / 1)</t>
  </si>
  <si>
    <t>Reference temperature for setting the temperature-dependence of the maximal rate of cells release</t>
  </si>
  <si>
    <t>Coefficient A used for setting the temperature-dependence of the maximal rate of cells release</t>
  </si>
  <si>
    <t>Coefficient B used for setting the temperature-dependence of the maximal rate of cells release</t>
  </si>
  <si>
    <t>Coefficient C used for setting the temperature-dependence of the maximal rate of cells release (0 / 1)</t>
  </si>
  <si>
    <t>Reference temperature for setting the temperature-dependence of the maximal rate of hexose degradation</t>
  </si>
  <si>
    <t>Coefficient A used for setting the temperature-dependence of the maximal rate of hexose degradation</t>
  </si>
  <si>
    <t>Coefficient B used for setting the temperature-dependence of the maximal rate of hexose degradation</t>
  </si>
  <si>
    <t>Coefficient C used for setting the temperature-dependence of the maximal rate of hexose degradation (0 / 1)</t>
  </si>
  <si>
    <t>Reference temperature for setting the temperature-dependence of the maximal rate of mucilage degradation</t>
  </si>
  <si>
    <t>Coefficient A used for setting the temperature-dependence of the maximal rate of mucilage degradation</t>
  </si>
  <si>
    <t>Coefficient B used for setting the temperature-dependence of the maximal rate of mucilage degradation</t>
  </si>
  <si>
    <t>Coefficient C used for setting the temperature-dependence of the maximal rate of mucilage degradation (0 / 1)</t>
  </si>
  <si>
    <t>Reference temperature for setting the temperature-dependence of the maximal rate of root cells degradation</t>
  </si>
  <si>
    <t>Coefficient A used for setting the temperature-dependence of the maximal rate of root cells degradation</t>
  </si>
  <si>
    <t>Coefficient B used for setting the temperature-dependence of the maximal rate of root cells degradation</t>
  </si>
  <si>
    <t>Coefficient C used for setting the temperature-dependence of the maximal rate of root cells degradation (0 / 1)</t>
  </si>
  <si>
    <t>Affinity constant (in terms of Michaelis-Menten formalism) for mucilage secretion, corresponding to the concentration for which the rate is equal to half of the maximal rate</t>
  </si>
  <si>
    <t>Exponential coefficient affecting the secretion of mucilage with the distance from the apex</t>
  </si>
  <si>
    <t>Maximum rate of root cells release</t>
  </si>
  <si>
    <t>Real number / mol of equivalent hexose per square meter per second</t>
  </si>
  <si>
    <t>Maximal concentration of root cells in soil, above which no release of cells is possible</t>
  </si>
  <si>
    <t>Real number / mol of equivalent-hexose per gram of root dry structural mass</t>
  </si>
  <si>
    <t>Maximal rate of mucilage degradation at the soil-root interface</t>
  </si>
  <si>
    <t>Maximal rate of root cells degradation at the soil-root interface</t>
  </si>
  <si>
    <t>Real number / mol of equivalent hexose per gram of root dry structural mass per second</t>
  </si>
  <si>
    <t>Affinity constant (in terms of Michaelis-Menten formalism) for mucilage degradation at the soil-root interface, corresponding to the concentration for which the rate is equal to half of the maximal rate</t>
  </si>
  <si>
    <t>Real number / mol of equivalent hexose per gram of root dry structural mass</t>
  </si>
  <si>
    <t>Affinity constant (in terms of Michaelis-Menten formalism) for cells degradation at the soil-root interface, corresponding to the concentration for which the rate is equal to half of the maximal rate</t>
  </si>
  <si>
    <t>Plant_genotype</t>
  </si>
  <si>
    <t>using_solver</t>
  </si>
  <si>
    <t>Option to use a solver for calculating the equilibrium C concentrations at each time step and for each root element</t>
  </si>
  <si>
    <t>printing_solver_outputs</t>
  </si>
  <si>
    <t>Option to print the outputs of the solver</t>
  </si>
  <si>
    <t>stelar_parenchyma_surfacic_fraction</t>
  </si>
  <si>
    <t>cortical_parenchyma_surfacic_fraction</t>
  </si>
  <si>
    <t>epidermal_parenchyma_surfacic_fraction</t>
  </si>
  <si>
    <t>Proportionality coefficient between the total exchange surface of stelar parenchyma and the total external surface of the root</t>
  </si>
  <si>
    <t>Proportionality coefficient between the total exchange surface of cortical parenchyma and the total external surface of the root</t>
  </si>
  <si>
    <t>Proportionality coefficient between the total exchange surface of epidermis and the total external surface of the root</t>
  </si>
  <si>
    <t>Option to record the properties of each node in an Excel file, for each time step</t>
  </si>
  <si>
    <t>Option to record the MTG in a pickle file, for each time step</t>
  </si>
  <si>
    <t>recording_MTG_properties</t>
  </si>
  <si>
    <t>recording_MTG_files</t>
  </si>
  <si>
    <t>printing_warnings</t>
  </si>
  <si>
    <t>Option to print all warnings</t>
  </si>
  <si>
    <t>Reference_value</t>
  </si>
  <si>
    <t>initial_apex_length</t>
  </si>
  <si>
    <t>Length of the apex of the initial root system at the beginning of the simulation</t>
  </si>
  <si>
    <t>Emission rate of seminal/adventitious roots over time</t>
  </si>
  <si>
    <t>total_exchange_surface_with_soil_solution</t>
  </si>
  <si>
    <t>meristem_limite_zone_factor</t>
  </si>
  <si>
    <t>Ratio between the length of the meristem zone and root radius</t>
  </si>
  <si>
    <t>relative_conductance_at_meristem</t>
  </si>
  <si>
    <t>Relative conductance of cell walls in the meristem zone</t>
  </si>
  <si>
    <t>start_thermal_time_for_endodermis_formation</t>
  </si>
  <si>
    <t>Thermal age of root cells at which the formation of endodermis starts</t>
  </si>
  <si>
    <t>end_thermal_time_for_endodermis_formation</t>
  </si>
  <si>
    <t>Thermal age of root cells at which the formation of endodermis ends</t>
  </si>
  <si>
    <t>start_thermal_time_for_exodermis_formation</t>
  </si>
  <si>
    <t>Thermal age of root cells at which the formation of exodermis starts</t>
  </si>
  <si>
    <t>end_thermal_time_for_exodermis_formation</t>
  </si>
  <si>
    <t>Thermal age of root cells at which the formation of exodermis ends</t>
  </si>
  <si>
    <t>max_thermal_time_since_endodermis_disruption</t>
  </si>
  <si>
    <t>Thermal time above which no endodermis disruption in the mother root is considered anymore once a lateral root has started to emerge</t>
  </si>
  <si>
    <t>max_thermal_time_since_exodermis_disruption</t>
  </si>
  <si>
    <t>Thermal time above which no exodermis disruption in the mother root is considered anymore once a lateral root has started to emerge</t>
  </si>
  <si>
    <t>Real number / meters per square meter</t>
  </si>
  <si>
    <t>GD_low</t>
  </si>
  <si>
    <t>GD_medium</t>
  </si>
  <si>
    <t>GD_high</t>
  </si>
  <si>
    <t>Growth duration for short-growing roots</t>
  </si>
  <si>
    <t>Growth duration for long-growing roots</t>
  </si>
  <si>
    <t>Growth duration for seminal and adventitious roots</t>
  </si>
  <si>
    <t>forcing_seminal_roots_events</t>
  </si>
  <si>
    <t>Option to force the regular apparition of seminal roots with ER parameter (True/False)</t>
  </si>
  <si>
    <t>forcing_adventitious_roots_events</t>
  </si>
  <si>
    <t>Option to force the regular apparition of adventitious roots with ER parameter (True/False)</t>
  </si>
  <si>
    <t>GD_prob_low</t>
  </si>
  <si>
    <t>GD_prob_medium</t>
  </si>
  <si>
    <t>GD_highest</t>
  </si>
  <si>
    <t>Coefficient of growth duration extension, by which the theoretical growth duration is multiplied for seminal and adventitious roots</t>
  </si>
  <si>
    <t>GD_by_frequency</t>
  </si>
  <si>
    <t>Growth duration for intermediate-growing roots</t>
  </si>
  <si>
    <t>Probability of getting the GD_low value</t>
  </si>
  <si>
    <t>Probability of getting the GD_low or the GD_medium value</t>
  </si>
  <si>
    <t>Real number / second-equivalent-to-temperature-T_ref_growth per square meter of diameter</t>
  </si>
  <si>
    <t>Coefficient of growth duration relative to the square of the root radius</t>
  </si>
  <si>
    <t>Option to force the growth duration to be defined according to a few possible values, depending on their respective probability</t>
  </si>
  <si>
    <t>endodermis_a</t>
  </si>
  <si>
    <t>Maximal relative resistance (%) of endodermis to apoplastic transport (100% = no apoplastic transport)</t>
  </si>
  <si>
    <t>endodermis_b</t>
  </si>
  <si>
    <t>Gompertz parameter b for endodermis - period since cells formation before the significant increase in relative resistance due to endodermis formation</t>
  </si>
  <si>
    <t>endodermis_c</t>
  </si>
  <si>
    <t>Gompertz parameter c for endodermis - slope of the significant increase in relative resistance due to endodermis formation</t>
  </si>
  <si>
    <t>exodermis_a</t>
  </si>
  <si>
    <t>Maximal relative resistance (%) of exodermis to apoplastic transport (100% = no apoplastic transport)</t>
  </si>
  <si>
    <t>exodermis_b</t>
  </si>
  <si>
    <t>Gompertz parameter b for exodermis - period since cells formation before the significant increase in relative resistance due to endodermis formation</t>
  </si>
  <si>
    <t>exodermis_c</t>
  </si>
  <si>
    <t>Gompertz parameter c for exodermis - slope of the significant increase in relative resistance due to endodermis formation</t>
  </si>
  <si>
    <t>Real number / %</t>
  </si>
  <si>
    <t>Real number / seconds-equivalent-to-T_ref_growth</t>
  </si>
  <si>
    <t>Real number / seconds-1 (equivalent-to-T_ref_growth)</t>
  </si>
  <si>
    <t>C_hexose_root</t>
  </si>
  <si>
    <t>PlantGL_window_width</t>
  </si>
  <si>
    <t>PlantGL_window_height</t>
  </si>
  <si>
    <t>Width of the window opened by PlantGL to display the graph (and eventually of the image that will be registered)</t>
  </si>
  <si>
    <t>Height of the window opened by PlantGL to display the graph (and eventually of the image that will be registered)</t>
  </si>
  <si>
    <t>reference_rate_of_hexose_consumption_by_growth</t>
  </si>
  <si>
    <t>Reference rate of hexose consumption for growth (used to proportionnally increase the permeability of phloem according to the actual rate of hexose consumption)</t>
  </si>
  <si>
    <t>Real number / mol of hexose per second</t>
  </si>
  <si>
    <t>max_unloading_rate</t>
  </si>
  <si>
    <t>Affinity constant (in terms of Michaelis-Menten formalism) for phloem unloading, corresponding to the concentration for which the rate is equal to half of the maximal rate</t>
  </si>
  <si>
    <t>Real number / mol of sucrose per gram of root dry structural mass</t>
  </si>
  <si>
    <t>Name of the root MTG file to be loaded (if the option above has been declared True)</t>
  </si>
  <si>
    <t>unloading_by_diffusion</t>
  </si>
  <si>
    <t>Option to select a diffusion process rather than a Michaelis-Menten to describe phloem unloading (True/False)</t>
  </si>
  <si>
    <t>starting_time_in_days</t>
  </si>
  <si>
    <t xml:space="preserve">Time in the input file at which the simulation will start </t>
  </si>
  <si>
    <t>C_hexose_min_for_elongation</t>
  </si>
  <si>
    <t>Treshold hexose concentration for elongation, below which no elongation occurs</t>
  </si>
  <si>
    <t>C_hexose_min_for_thickening</t>
  </si>
  <si>
    <t>Treshold hexose concentration for elongation, below which no thickening occurs</t>
  </si>
  <si>
    <t>mycorrhizal_fungus</t>
  </si>
  <si>
    <t>Option to allow interaction with mycorrhizal fungi (True/False)</t>
  </si>
  <si>
    <t>Option to artiticially rehomogenize the concentrations of sugars along the roots at the end of the time step (True/False)</t>
  </si>
  <si>
    <t>background_color</t>
  </si>
  <si>
    <t>RGB vector describing the color of the background of the MTG (from 0 to 255 for each value, 0=black and 255=white)</t>
  </si>
  <si>
    <t>3D vector / [no units]</t>
  </si>
  <si>
    <t>[94,76,64]</t>
  </si>
  <si>
    <t>homogenizing_root_sugar_concentrations</t>
  </si>
  <si>
    <t>homogenizing_soil_concentrations</t>
  </si>
  <si>
    <t>Option to artiticially rehomogenize the concentrations of rhizodeposits along the roots at the end of the time step (True/False)</t>
  </si>
  <si>
    <t>Real number /degree Celsius</t>
  </si>
  <si>
    <t>renewal_of_soil_solution</t>
  </si>
  <si>
    <t>Option to artificially renew the soil solution and set the rhizodeposits concentrations to 0, at regular interval of time</t>
  </si>
  <si>
    <t>interval_between_renewal_events</t>
  </si>
  <si>
    <t>Interval of time between two soil solution's renewal events</t>
  </si>
  <si>
    <t>Input</t>
  </si>
  <si>
    <t>Input_type</t>
  </si>
  <si>
    <t>parameter</t>
  </si>
  <si>
    <t>input_tables</t>
  </si>
  <si>
    <t>input_mtg</t>
  </si>
  <si>
    <t>meteo_Ljutovac2002.csv</t>
  </si>
  <si>
    <t>Input file containing soil temperature evolution over time for the soil model</t>
  </si>
  <si>
    <t>root_3_leaves.pckl</t>
  </si>
  <si>
    <t>soil_temperature</t>
  </si>
  <si>
    <t>°C</t>
  </si>
  <si>
    <t>root_mtg_file</t>
  </si>
  <si>
    <t>Dedicated_to</t>
  </si>
  <si>
    <t>root_bridges</t>
  </si>
  <si>
    <t>Organ_label</t>
  </si>
  <si>
    <t>None</t>
  </si>
  <si>
    <t>xylem_cross_area_ratio</t>
  </si>
  <si>
    <t>adim</t>
  </si>
  <si>
    <t>mol.m-3</t>
  </si>
  <si>
    <t>Pa</t>
  </si>
  <si>
    <t>xylem_total_pressure</t>
  </si>
  <si>
    <t>xylem uniform pressure</t>
  </si>
  <si>
    <t>Mineral nitrogen concentration in a located patch in soil</t>
  </si>
  <si>
    <t>patch_depth_mineralN</t>
  </si>
  <si>
    <t>Depth of a nitrate patch in soil</t>
  </si>
  <si>
    <t>m</t>
  </si>
  <si>
    <t>patch_uniform_width_mineralN</t>
  </si>
  <si>
    <t>Width of the zone of the patch with uniform concentration of nitrate</t>
  </si>
  <si>
    <t>patch_transition_mineralN</t>
  </si>
  <si>
    <t>Variance of the normal law smooting the boundary transition of a nitrate patch with the background concentration</t>
  </si>
  <si>
    <t>cortical_surfacic_fraction</t>
  </si>
  <si>
    <t>Cortex (+epidermis) parenchyma surface ratio over root segment's cylinder surface</t>
  </si>
  <si>
    <t>Km_elongation_amino_acids</t>
  </si>
  <si>
    <t>Affinity constant for root elongation regarding amino_acids consumption</t>
  </si>
  <si>
    <t>mol.g-1 DW</t>
  </si>
  <si>
    <t>span_N_regulation</t>
  </si>
  <si>
    <t>Variation range of concentration during which Km changes occur</t>
  </si>
  <si>
    <t>mol.g-1</t>
  </si>
  <si>
    <t>diffusion_soil</t>
  </si>
  <si>
    <t>Diffusion paramenter for exchanges between cortex symplasm and soil solution</t>
  </si>
  <si>
    <t>g.s-1.m-2</t>
  </si>
  <si>
    <t>diffusion_phloem</t>
  </si>
  <si>
    <t>Diffusion paramenter for exchanges between phloem symplasm and cortex symplasm</t>
  </si>
  <si>
    <t>diffusion_xylem</t>
  </si>
  <si>
    <t>Diffusion paramenter for exchanges between xylem apoplasm and cortex symplasm</t>
  </si>
  <si>
    <t>g.s-1.m-3</t>
  </si>
  <si>
    <t>vmax_Nm_xylem</t>
  </si>
  <si>
    <t>Vmax parameter for mineral nitrogen xylem loading</t>
  </si>
  <si>
    <t>mol.s-1.m-2</t>
  </si>
  <si>
    <t>cortex_water_conductivity</t>
  </si>
  <si>
    <t>Transmembrane water conductivity</t>
  </si>
  <si>
    <t>m.s-1.Pa-1</t>
  </si>
  <si>
    <t>apoplasmic_water_conductivity</t>
  </si>
  <si>
    <t>Apoplasmic water conductivity</t>
  </si>
  <si>
    <t>m.s-1.Pa-2</t>
  </si>
  <si>
    <t>ratio of water volume relative to segment volume. In principle &lt;1, but can be increased to prevent too harsh pressure and water content drop</t>
  </si>
  <si>
    <t>start_distance_for_endodermis_factor</t>
  </si>
  <si>
    <t>Ratio between the distance from tip where barriers formation starts/ends, and root radius</t>
  </si>
  <si>
    <t>end_distance_for_endodermis_factor</t>
  </si>
  <si>
    <t>start_distance_for_exodermis_factor</t>
  </si>
  <si>
    <t>end_distance_for_exodermis_factor</t>
  </si>
  <si>
    <t>WB_Reference</t>
  </si>
  <si>
    <t>Wheat_Reference_Rhizodep</t>
  </si>
  <si>
    <t>SIGMA_SUCROSE</t>
  </si>
  <si>
    <t>cnwheat</t>
  </si>
  <si>
    <t xml:space="preserve">Conductance parameter </t>
  </si>
  <si>
    <t>g2.mol-1.m-2.s-1</t>
  </si>
  <si>
    <t>roots</t>
  </si>
  <si>
    <t>max_loading_rate</t>
  </si>
  <si>
    <t>water_moisture_patch</t>
  </si>
  <si>
    <t>water moisture in a located patch in soil</t>
  </si>
  <si>
    <t>patch_depth_water_moisture</t>
  </si>
  <si>
    <t>Depth of a water moisture patch in soil</t>
  </si>
  <si>
    <t>patch_uniform_width_water_moisture</t>
  </si>
  <si>
    <t>Width of the zone of the patch with uniform water moisture</t>
  </si>
  <si>
    <t>patch_transition_water_moisture</t>
  </si>
  <si>
    <t>Variance of the normal law smooting the boundary transition of a moisture patch with the background concentration</t>
  </si>
  <si>
    <t>smax_AA</t>
  </si>
  <si>
    <t>Maximal rate of amino acid synthesis in the root segment</t>
  </si>
  <si>
    <t>soil_moisture</t>
  </si>
  <si>
    <t>dissolved_mineral_N</t>
  </si>
  <si>
    <t>dissolved_mineral_N_patch</t>
  </si>
  <si>
    <t>g.g-1</t>
  </si>
  <si>
    <t>Intitialization soil nitrate content</t>
  </si>
  <si>
    <t>initialization soil water content</t>
  </si>
  <si>
    <t>m3.m-3</t>
  </si>
  <si>
    <t>DOC</t>
  </si>
  <si>
    <t>DON</t>
  </si>
  <si>
    <t>WB_S1</t>
  </si>
  <si>
    <t>WB_R2</t>
  </si>
  <si>
    <t>WB_R3</t>
  </si>
  <si>
    <t>WB_R4</t>
  </si>
  <si>
    <t>WB_R5</t>
  </si>
  <si>
    <t>WB_R6</t>
  </si>
  <si>
    <t>WB_R7</t>
  </si>
  <si>
    <t>WB_R8</t>
  </si>
  <si>
    <t>WB_R9</t>
  </si>
  <si>
    <t>WB_R10</t>
  </si>
  <si>
    <t>WB_R11</t>
  </si>
  <si>
    <t>WB_R12</t>
  </si>
  <si>
    <t>WB_R13</t>
  </si>
  <si>
    <t>WB_R14</t>
  </si>
  <si>
    <t>WB_R15</t>
  </si>
  <si>
    <t>WB_R16</t>
  </si>
  <si>
    <t>WB_R17</t>
  </si>
  <si>
    <t>WB_R18</t>
  </si>
  <si>
    <t>WB_R19</t>
  </si>
  <si>
    <t>cmax_AA</t>
  </si>
  <si>
    <t>Maximal rate of amino acid degradation in the root segment</t>
  </si>
  <si>
    <t>mol.s-1.g-1</t>
  </si>
  <si>
    <t>WB_R17_patch</t>
  </si>
  <si>
    <t>WB_R21</t>
  </si>
  <si>
    <t>WB_R22</t>
  </si>
  <si>
    <t>WB_R23</t>
  </si>
  <si>
    <t>WB_R24</t>
  </si>
  <si>
    <t>WB_Reference_V1</t>
  </si>
  <si>
    <t>Old simulations</t>
  </si>
  <si>
    <t>WB_lowS1</t>
  </si>
  <si>
    <t>WB_lowS2</t>
  </si>
  <si>
    <t>WB_lowS3</t>
  </si>
  <si>
    <t>WB_lowS4</t>
  </si>
  <si>
    <t>WB_lowS5</t>
  </si>
  <si>
    <t>WB_lowS6</t>
  </si>
  <si>
    <t>WB_lowS7</t>
  </si>
  <si>
    <t>WB_lowS7_patch</t>
  </si>
  <si>
    <t>WB_lowS8</t>
  </si>
  <si>
    <t>WB_lowS7_O2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</si>
</sst>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18" fillId="34" borderId="10" xfId="0" applyFont="1" applyFill="1" applyBorder="1"/>
    <xf numFmtId="0" fontId="0" fillId="34" borderId="10" xfId="0" applyFill="1" applyBorder="1"/>
    <xf numFmtId="0" fontId="18" fillId="44" borderId="10" xfId="0" applyFont="1" applyFill="1" applyBorder="1"/>
    <xf numFmtId="0" fontId="0" fillId="44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8" fillId="41" borderId="10" xfId="0" applyFont="1" applyFill="1" applyBorder="1"/>
    <xf numFmtId="0" fontId="0" fillId="41" borderId="10" xfId="0" applyFill="1" applyBorder="1"/>
    <xf numFmtId="0" fontId="18" fillId="42" borderId="10" xfId="0" applyFont="1" applyFill="1" applyBorder="1"/>
    <xf numFmtId="0" fontId="0" fillId="42" borderId="10" xfId="0" applyFill="1" applyBorder="1"/>
    <xf numFmtId="0" fontId="18" fillId="45" borderId="10" xfId="0" applyFont="1" applyFill="1" applyBorder="1"/>
    <xf numFmtId="0" fontId="0" fillId="45" borderId="10" xfId="0" applyFill="1" applyBorder="1"/>
    <xf numFmtId="0" fontId="18" fillId="39" borderId="10" xfId="0" applyFont="1" applyFill="1" applyBorder="1"/>
    <xf numFmtId="0" fontId="0" fillId="39" borderId="10" xfId="0" applyFill="1" applyBorder="1"/>
    <xf numFmtId="0" fontId="18" fillId="43" borderId="10" xfId="0" applyFont="1" applyFill="1" applyBorder="1"/>
    <xf numFmtId="0" fontId="0" fillId="43" borderId="10" xfId="0" applyFill="1" applyBorder="1"/>
    <xf numFmtId="0" fontId="18" fillId="35" borderId="10" xfId="0" applyFont="1" applyFill="1" applyBorder="1"/>
    <xf numFmtId="0" fontId="0" fillId="35" borderId="10" xfId="0" applyFill="1" applyBorder="1"/>
    <xf numFmtId="0" fontId="18" fillId="47" borderId="10" xfId="0" applyFont="1" applyFill="1" applyBorder="1"/>
    <xf numFmtId="0" fontId="0" fillId="47" borderId="10" xfId="0" applyFill="1" applyBorder="1"/>
    <xf numFmtId="0" fontId="18" fillId="46" borderId="10" xfId="0" applyFont="1" applyFill="1" applyBorder="1"/>
    <xf numFmtId="0" fontId="0" fillId="46" borderId="10" xfId="0" applyFill="1" applyBorder="1"/>
    <xf numFmtId="0" fontId="18" fillId="48" borderId="10" xfId="0" applyFont="1" applyFill="1" applyBorder="1"/>
    <xf numFmtId="0" fontId="0" fillId="48" borderId="10" xfId="0" applyFill="1" applyBorder="1"/>
    <xf numFmtId="0" fontId="18" fillId="49" borderId="10" xfId="0" applyFont="1" applyFill="1" applyBorder="1"/>
    <xf numFmtId="0" fontId="0" fillId="49" borderId="10" xfId="0" applyFill="1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50" borderId="10" xfId="0" applyFont="1" applyFill="1" applyBorder="1"/>
    <xf numFmtId="0" fontId="0" fillId="50" borderId="10" xfId="0" applyFill="1" applyBorder="1"/>
    <xf numFmtId="11" fontId="18" fillId="39" borderId="10" xfId="0" applyNumberFormat="1" applyFont="1" applyFill="1" applyBorder="1"/>
    <xf numFmtId="11" fontId="0" fillId="39" borderId="10" xfId="0" applyNumberFormat="1" applyFill="1" applyBorder="1"/>
    <xf numFmtId="0" fontId="18" fillId="52" borderId="10" xfId="0" applyFont="1" applyFill="1" applyBorder="1"/>
    <xf numFmtId="0" fontId="0" fillId="52" borderId="10" xfId="0" applyFill="1" applyBorder="1"/>
    <xf numFmtId="11" fontId="16" fillId="51" borderId="10" xfId="0" applyNumberFormat="1" applyFont="1" applyFill="1" applyBorder="1" applyAlignment="1">
      <alignment horizontal="left" vertical="center"/>
    </xf>
    <xf numFmtId="11" fontId="16" fillId="50" borderId="10" xfId="0" applyNumberFormat="1" applyFont="1" applyFill="1" applyBorder="1" applyAlignment="1">
      <alignment horizontal="left" vertical="center"/>
    </xf>
    <xf numFmtId="0" fontId="0" fillId="46" borderId="11" xfId="0" applyFill="1" applyBorder="1"/>
    <xf numFmtId="0" fontId="18" fillId="40" borderId="12" xfId="0" applyFont="1" applyFill="1" applyBorder="1"/>
    <xf numFmtId="0" fontId="18" fillId="34" borderId="12" xfId="0" applyFont="1" applyFill="1" applyBorder="1"/>
    <xf numFmtId="0" fontId="0" fillId="40" borderId="12" xfId="0" applyFill="1" applyBorder="1"/>
    <xf numFmtId="0" fontId="0" fillId="0" borderId="10" xfId="0" applyBorder="1"/>
    <xf numFmtId="11" fontId="16" fillId="0" borderId="0" xfId="0" applyNumberFormat="1" applyFont="1"/>
    <xf numFmtId="11" fontId="0" fillId="0" borderId="0" xfId="0" applyNumberFormat="1" applyAlignment="1">
      <alignment horizontal="left"/>
    </xf>
    <xf numFmtId="0" fontId="16" fillId="53" borderId="10" xfId="0" applyFont="1" applyFill="1" applyBorder="1"/>
    <xf numFmtId="0" fontId="16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30"/>
  <sheetViews>
    <sheetView tabSelected="1" zoomScale="79" zoomScaleNormal="100" workbookViewId="0">
      <pane xSplit="6" ySplit="1" topLeftCell="P2" activePane="bottomRight" state="frozen"/>
      <selection pane="topRight" activeCell="G1" sqref="G1"/>
      <selection pane="bottomLeft" activeCell="A2" sqref="A2"/>
      <selection pane="bottomRight" activeCell="V8" sqref="V8"/>
    </sheetView>
  </sheetViews>
  <sheetFormatPr defaultColWidth="11.42578125" defaultRowHeight="15" x14ac:dyDescent="0.25"/>
  <cols>
    <col min="1" max="1" width="32.7109375" style="1" customWidth="1"/>
    <col min="2" max="2" width="13.7109375" style="1" customWidth="1"/>
    <col min="3" max="3" width="16.140625" style="1" customWidth="1"/>
    <col min="4" max="4" width="12.85546875" style="1" customWidth="1"/>
    <col min="5" max="5" width="13.85546875" customWidth="1"/>
    <col min="6" max="6" width="22.7109375" customWidth="1"/>
    <col min="7" max="7" width="16.140625" style="37" customWidth="1"/>
    <col min="8" max="8" width="16.5703125" style="37" customWidth="1"/>
    <col min="9" max="52" width="21.5703125" style="1" customWidth="1"/>
  </cols>
  <sheetData>
    <row r="1" spans="1:52" s="1" customFormat="1" x14ac:dyDescent="0.25">
      <c r="A1" s="2" t="s">
        <v>471</v>
      </c>
      <c r="B1" s="2" t="s">
        <v>472</v>
      </c>
      <c r="C1" s="2" t="s">
        <v>482</v>
      </c>
      <c r="D1" s="2" t="s">
        <v>484</v>
      </c>
      <c r="E1" s="2" t="s">
        <v>112</v>
      </c>
      <c r="F1" s="2" t="s">
        <v>92</v>
      </c>
      <c r="G1" s="35" t="s">
        <v>378</v>
      </c>
      <c r="H1" s="35" t="s">
        <v>532</v>
      </c>
      <c r="I1" s="36" t="s">
        <v>531</v>
      </c>
      <c r="J1" s="36" t="s">
        <v>585</v>
      </c>
      <c r="K1" s="54" t="s">
        <v>587</v>
      </c>
      <c r="L1" s="54" t="s">
        <v>588</v>
      </c>
      <c r="M1" s="54" t="s">
        <v>589</v>
      </c>
      <c r="N1" s="54" t="s">
        <v>590</v>
      </c>
      <c r="O1" s="54" t="s">
        <v>591</v>
      </c>
      <c r="P1" s="54" t="s">
        <v>592</v>
      </c>
      <c r="R1" s="54" t="s">
        <v>593</v>
      </c>
      <c r="S1" s="54" t="s">
        <v>596</v>
      </c>
      <c r="T1" s="54" t="s">
        <v>594</v>
      </c>
      <c r="U1" s="54" t="s">
        <v>595</v>
      </c>
      <c r="W1" s="1" t="s">
        <v>586</v>
      </c>
      <c r="X1" s="36" t="s">
        <v>559</v>
      </c>
      <c r="Y1" s="36" t="s">
        <v>560</v>
      </c>
      <c r="Z1" s="36" t="s">
        <v>561</v>
      </c>
      <c r="AA1" s="36" t="s">
        <v>562</v>
      </c>
      <c r="AB1" s="36" t="s">
        <v>563</v>
      </c>
      <c r="AC1" s="36" t="s">
        <v>564</v>
      </c>
      <c r="AD1" s="36" t="s">
        <v>565</v>
      </c>
      <c r="AE1" s="36" t="s">
        <v>566</v>
      </c>
      <c r="AF1" s="36" t="s">
        <v>567</v>
      </c>
      <c r="AG1" s="36" t="s">
        <v>568</v>
      </c>
      <c r="AH1" s="36" t="s">
        <v>569</v>
      </c>
      <c r="AI1"/>
      <c r="AJ1" s="36" t="s">
        <v>570</v>
      </c>
      <c r="AK1" s="36" t="s">
        <v>571</v>
      </c>
      <c r="AL1" s="36" t="s">
        <v>572</v>
      </c>
      <c r="AM1" s="36" t="s">
        <v>573</v>
      </c>
      <c r="AN1" s="36" t="s">
        <v>574</v>
      </c>
      <c r="AO1" s="36" t="s">
        <v>575</v>
      </c>
      <c r="AP1" s="36" t="s">
        <v>576</v>
      </c>
      <c r="AQ1"/>
      <c r="AR1" s="36" t="s">
        <v>581</v>
      </c>
      <c r="AS1" s="36" t="s">
        <v>582</v>
      </c>
      <c r="AT1" s="36" t="s">
        <v>583</v>
      </c>
      <c r="AU1" s="36" t="s">
        <v>584</v>
      </c>
      <c r="AV1"/>
      <c r="AW1" s="36" t="s">
        <v>580</v>
      </c>
      <c r="AX1"/>
      <c r="AY1"/>
      <c r="AZ1" s="36" t="s">
        <v>558</v>
      </c>
    </row>
    <row r="2" spans="1:52" s="1" customFormat="1" x14ac:dyDescent="0.25">
      <c r="A2" s="42" t="s">
        <v>481</v>
      </c>
      <c r="B2" s="3" t="s">
        <v>475</v>
      </c>
      <c r="C2" s="3" t="s">
        <v>483</v>
      </c>
      <c r="D2" s="3" t="s">
        <v>537</v>
      </c>
      <c r="E2" s="43" t="s">
        <v>447</v>
      </c>
      <c r="F2" s="43" t="s">
        <v>91</v>
      </c>
      <c r="G2" s="44" t="s">
        <v>478</v>
      </c>
      <c r="H2" s="44" t="str">
        <f t="shared" ref="H2" si="0">G2</f>
        <v>root_3_leaves.pckl</v>
      </c>
      <c r="I2" s="44" t="s">
        <v>478</v>
      </c>
      <c r="J2" s="44" t="s">
        <v>478</v>
      </c>
      <c r="K2" s="44" t="s">
        <v>478</v>
      </c>
      <c r="L2" s="44" t="s">
        <v>478</v>
      </c>
      <c r="M2" s="44" t="s">
        <v>478</v>
      </c>
      <c r="N2" s="44" t="s">
        <v>478</v>
      </c>
      <c r="O2" s="44" t="s">
        <v>478</v>
      </c>
      <c r="P2" s="44" t="s">
        <v>478</v>
      </c>
      <c r="R2" s="44" t="s">
        <v>478</v>
      </c>
      <c r="S2" s="44" t="s">
        <v>478</v>
      </c>
      <c r="T2" s="44" t="s">
        <v>478</v>
      </c>
      <c r="U2" s="44" t="s">
        <v>478</v>
      </c>
      <c r="X2" s="44" t="s">
        <v>478</v>
      </c>
      <c r="Y2" s="44" t="s">
        <v>478</v>
      </c>
      <c r="Z2" s="44" t="s">
        <v>478</v>
      </c>
      <c r="AA2" s="44" t="s">
        <v>478</v>
      </c>
      <c r="AB2" s="44" t="s">
        <v>478</v>
      </c>
      <c r="AC2" s="44" t="s">
        <v>478</v>
      </c>
      <c r="AD2" s="44" t="s">
        <v>478</v>
      </c>
      <c r="AE2" s="44" t="s">
        <v>478</v>
      </c>
      <c r="AF2" s="44" t="s">
        <v>478</v>
      </c>
      <c r="AG2" s="44" t="s">
        <v>478</v>
      </c>
      <c r="AH2" s="44" t="s">
        <v>478</v>
      </c>
      <c r="AI2"/>
      <c r="AJ2" s="44" t="s">
        <v>478</v>
      </c>
      <c r="AK2" s="44" t="s">
        <v>478</v>
      </c>
      <c r="AL2" s="44" t="s">
        <v>478</v>
      </c>
      <c r="AM2" s="44" t="s">
        <v>478</v>
      </c>
      <c r="AN2" s="44" t="s">
        <v>478</v>
      </c>
      <c r="AO2" s="44" t="s">
        <v>478</v>
      </c>
      <c r="AP2" s="44" t="s">
        <v>478</v>
      </c>
      <c r="AQ2"/>
      <c r="AR2" s="44" t="s">
        <v>478</v>
      </c>
      <c r="AS2" s="44" t="s">
        <v>478</v>
      </c>
      <c r="AT2" s="44" t="s">
        <v>478</v>
      </c>
      <c r="AU2" s="44" t="s">
        <v>478</v>
      </c>
      <c r="AV2"/>
      <c r="AW2" s="44" t="s">
        <v>478</v>
      </c>
      <c r="AX2"/>
      <c r="AY2"/>
      <c r="AZ2" s="44" t="s">
        <v>478</v>
      </c>
    </row>
    <row r="3" spans="1:52" s="1" customFormat="1" x14ac:dyDescent="0.25">
      <c r="A3" s="42" t="s">
        <v>479</v>
      </c>
      <c r="B3" s="3" t="s">
        <v>474</v>
      </c>
      <c r="C3" s="3" t="s">
        <v>483</v>
      </c>
      <c r="D3" s="3" t="s">
        <v>537</v>
      </c>
      <c r="E3" s="46" t="s">
        <v>477</v>
      </c>
      <c r="F3" s="46" t="s">
        <v>480</v>
      </c>
      <c r="G3" s="44" t="s">
        <v>476</v>
      </c>
      <c r="H3" s="44" t="s">
        <v>476</v>
      </c>
      <c r="I3" s="44" t="s">
        <v>476</v>
      </c>
      <c r="J3" s="44" t="s">
        <v>476</v>
      </c>
      <c r="K3" s="44" t="s">
        <v>476</v>
      </c>
      <c r="L3" s="44" t="s">
        <v>476</v>
      </c>
      <c r="M3" s="44" t="s">
        <v>476</v>
      </c>
      <c r="N3" s="44" t="s">
        <v>476</v>
      </c>
      <c r="O3" s="44" t="s">
        <v>476</v>
      </c>
      <c r="P3" s="44" t="s">
        <v>476</v>
      </c>
      <c r="R3" s="44" t="s">
        <v>476</v>
      </c>
      <c r="S3" s="44" t="s">
        <v>476</v>
      </c>
      <c r="T3" s="44" t="s">
        <v>476</v>
      </c>
      <c r="U3" s="44" t="s">
        <v>476</v>
      </c>
      <c r="X3" s="44" t="s">
        <v>476</v>
      </c>
      <c r="Y3" s="44" t="s">
        <v>476</v>
      </c>
      <c r="Z3" s="44" t="s">
        <v>476</v>
      </c>
      <c r="AA3" s="44" t="s">
        <v>476</v>
      </c>
      <c r="AB3" s="44" t="s">
        <v>476</v>
      </c>
      <c r="AC3" s="44" t="s">
        <v>476</v>
      </c>
      <c r="AD3" s="44" t="s">
        <v>476</v>
      </c>
      <c r="AE3" s="44" t="s">
        <v>476</v>
      </c>
      <c r="AF3" s="44" t="s">
        <v>476</v>
      </c>
      <c r="AG3" s="44" t="s">
        <v>476</v>
      </c>
      <c r="AH3" s="44" t="s">
        <v>476</v>
      </c>
      <c r="AI3"/>
      <c r="AJ3" s="44" t="s">
        <v>476</v>
      </c>
      <c r="AK3" s="44" t="s">
        <v>476</v>
      </c>
      <c r="AL3" s="44" t="s">
        <v>476</v>
      </c>
      <c r="AM3" s="44" t="s">
        <v>476</v>
      </c>
      <c r="AN3" s="44" t="s">
        <v>476</v>
      </c>
      <c r="AO3" s="44" t="s">
        <v>476</v>
      </c>
      <c r="AP3" s="44" t="s">
        <v>476</v>
      </c>
      <c r="AQ3"/>
      <c r="AR3" s="44" t="s">
        <v>476</v>
      </c>
      <c r="AS3" s="44" t="s">
        <v>476</v>
      </c>
      <c r="AT3" s="44" t="s">
        <v>476</v>
      </c>
      <c r="AU3" s="44" t="s">
        <v>476</v>
      </c>
      <c r="AV3"/>
      <c r="AW3" s="44" t="s">
        <v>476</v>
      </c>
      <c r="AX3"/>
      <c r="AY3"/>
      <c r="AZ3" s="44" t="s">
        <v>476</v>
      </c>
    </row>
    <row r="4" spans="1:52" x14ac:dyDescent="0.25">
      <c r="A4" s="3" t="s">
        <v>2</v>
      </c>
      <c r="B4" s="3" t="s">
        <v>473</v>
      </c>
      <c r="C4" s="3" t="s">
        <v>483</v>
      </c>
      <c r="D4" s="3" t="s">
        <v>537</v>
      </c>
      <c r="E4" s="4" t="s">
        <v>129</v>
      </c>
      <c r="F4" s="4" t="s">
        <v>94</v>
      </c>
      <c r="G4" s="44" t="s">
        <v>86</v>
      </c>
      <c r="H4" s="44" t="str">
        <f>G4</f>
        <v>True</v>
      </c>
      <c r="I4" s="44" t="s">
        <v>86</v>
      </c>
      <c r="J4" s="44" t="s">
        <v>86</v>
      </c>
      <c r="K4" s="44" t="s">
        <v>86</v>
      </c>
      <c r="L4" s="44" t="s">
        <v>86</v>
      </c>
      <c r="M4" s="44" t="s">
        <v>86</v>
      </c>
      <c r="N4" s="44" t="s">
        <v>86</v>
      </c>
      <c r="O4" s="44" t="s">
        <v>86</v>
      </c>
      <c r="P4" s="44" t="s">
        <v>86</v>
      </c>
      <c r="R4" s="44" t="s">
        <v>86</v>
      </c>
      <c r="S4" s="44" t="s">
        <v>86</v>
      </c>
      <c r="T4" s="44" t="s">
        <v>86</v>
      </c>
      <c r="U4" s="44" t="s">
        <v>86</v>
      </c>
      <c r="X4" s="44" t="s">
        <v>86</v>
      </c>
      <c r="Y4" s="44" t="s">
        <v>86</v>
      </c>
      <c r="Z4" s="44" t="s">
        <v>86</v>
      </c>
      <c r="AA4" s="44" t="s">
        <v>86</v>
      </c>
      <c r="AB4" s="44" t="s">
        <v>86</v>
      </c>
      <c r="AC4" s="44" t="s">
        <v>86</v>
      </c>
      <c r="AD4" s="44" t="s">
        <v>86</v>
      </c>
      <c r="AE4" s="44" t="s">
        <v>86</v>
      </c>
      <c r="AF4" s="44" t="s">
        <v>86</v>
      </c>
      <c r="AG4" s="44" t="s">
        <v>86</v>
      </c>
      <c r="AH4" s="44" t="s">
        <v>86</v>
      </c>
      <c r="AI4"/>
      <c r="AJ4" s="44" t="s">
        <v>86</v>
      </c>
      <c r="AK4" s="44" t="s">
        <v>86</v>
      </c>
      <c r="AL4" s="44" t="s">
        <v>86</v>
      </c>
      <c r="AM4" s="44" t="s">
        <v>86</v>
      </c>
      <c r="AN4" s="44" t="s">
        <v>86</v>
      </c>
      <c r="AO4" s="44" t="s">
        <v>86</v>
      </c>
      <c r="AP4" s="44" t="s">
        <v>86</v>
      </c>
      <c r="AQ4"/>
      <c r="AR4" s="44" t="s">
        <v>86</v>
      </c>
      <c r="AS4" s="44" t="s">
        <v>86</v>
      </c>
      <c r="AT4" s="44" t="s">
        <v>86</v>
      </c>
      <c r="AU4" s="44" t="s">
        <v>86</v>
      </c>
      <c r="AV4"/>
      <c r="AW4" s="44" t="s">
        <v>86</v>
      </c>
      <c r="AX4"/>
      <c r="AY4"/>
      <c r="AZ4" s="44" t="s">
        <v>86</v>
      </c>
    </row>
    <row r="5" spans="1:52" x14ac:dyDescent="0.25">
      <c r="A5" s="3" t="s">
        <v>3</v>
      </c>
      <c r="B5" s="3" t="s">
        <v>473</v>
      </c>
      <c r="C5" s="3" t="s">
        <v>483</v>
      </c>
      <c r="D5" s="3" t="s">
        <v>537</v>
      </c>
      <c r="E5" s="4" t="s">
        <v>130</v>
      </c>
      <c r="F5" s="4" t="s">
        <v>95</v>
      </c>
      <c r="G5" s="44">
        <v>1</v>
      </c>
      <c r="H5" s="44">
        <f t="shared" ref="H5:H64" si="1">G5</f>
        <v>1</v>
      </c>
      <c r="I5" s="44">
        <v>1</v>
      </c>
      <c r="J5" s="44">
        <v>1</v>
      </c>
      <c r="K5" s="44">
        <v>1</v>
      </c>
      <c r="L5" s="44">
        <v>1</v>
      </c>
      <c r="M5" s="44">
        <v>1</v>
      </c>
      <c r="N5" s="44">
        <v>1</v>
      </c>
      <c r="O5" s="44">
        <v>1</v>
      </c>
      <c r="P5" s="44">
        <v>1</v>
      </c>
      <c r="R5" s="44">
        <v>1</v>
      </c>
      <c r="S5" s="44">
        <v>1</v>
      </c>
      <c r="T5" s="44">
        <v>1</v>
      </c>
      <c r="U5" s="44">
        <v>1</v>
      </c>
      <c r="X5" s="44">
        <v>1</v>
      </c>
      <c r="Y5" s="44">
        <v>1</v>
      </c>
      <c r="Z5" s="44">
        <v>1</v>
      </c>
      <c r="AA5" s="44">
        <v>1</v>
      </c>
      <c r="AB5" s="44">
        <v>1</v>
      </c>
      <c r="AC5" s="44">
        <v>1</v>
      </c>
      <c r="AD5" s="44">
        <v>1</v>
      </c>
      <c r="AE5" s="44">
        <v>1</v>
      </c>
      <c r="AF5" s="44">
        <v>1</v>
      </c>
      <c r="AG5" s="44">
        <v>1</v>
      </c>
      <c r="AH5" s="44">
        <v>1</v>
      </c>
      <c r="AI5"/>
      <c r="AJ5" s="44">
        <v>1</v>
      </c>
      <c r="AK5" s="44">
        <v>1</v>
      </c>
      <c r="AL5" s="44">
        <v>1</v>
      </c>
      <c r="AM5" s="44">
        <v>1</v>
      </c>
      <c r="AN5" s="44">
        <v>1</v>
      </c>
      <c r="AO5" s="44">
        <v>1</v>
      </c>
      <c r="AP5" s="44">
        <v>1</v>
      </c>
      <c r="AQ5"/>
      <c r="AR5" s="44">
        <v>1</v>
      </c>
      <c r="AS5" s="44">
        <v>1</v>
      </c>
      <c r="AT5" s="44">
        <v>1</v>
      </c>
      <c r="AU5" s="44">
        <v>1</v>
      </c>
      <c r="AV5"/>
      <c r="AW5" s="44">
        <v>1</v>
      </c>
      <c r="AX5"/>
      <c r="AY5"/>
      <c r="AZ5" s="44">
        <v>1</v>
      </c>
    </row>
    <row r="6" spans="1:52" x14ac:dyDescent="0.25">
      <c r="A6" s="5" t="s">
        <v>4</v>
      </c>
      <c r="B6" s="3" t="s">
        <v>473</v>
      </c>
      <c r="C6" s="3" t="s">
        <v>483</v>
      </c>
      <c r="D6" s="3" t="s">
        <v>537</v>
      </c>
      <c r="E6" s="6" t="s">
        <v>114</v>
      </c>
      <c r="F6" s="6" t="s">
        <v>93</v>
      </c>
      <c r="G6" s="44">
        <v>60</v>
      </c>
      <c r="H6" s="44">
        <f t="shared" si="1"/>
        <v>60</v>
      </c>
      <c r="I6" s="44">
        <v>180</v>
      </c>
      <c r="J6" s="44">
        <v>180</v>
      </c>
      <c r="K6" s="44">
        <v>180</v>
      </c>
      <c r="L6" s="44">
        <v>180</v>
      </c>
      <c r="M6" s="44">
        <v>180</v>
      </c>
      <c r="N6" s="44">
        <v>180</v>
      </c>
      <c r="O6" s="44">
        <v>180</v>
      </c>
      <c r="P6" s="44">
        <v>180</v>
      </c>
      <c r="R6" s="44">
        <v>180</v>
      </c>
      <c r="S6" s="44">
        <v>180</v>
      </c>
      <c r="T6" s="44">
        <v>180</v>
      </c>
      <c r="U6" s="44">
        <v>180</v>
      </c>
      <c r="X6" s="44">
        <v>180</v>
      </c>
      <c r="Y6" s="44">
        <v>180</v>
      </c>
      <c r="Z6" s="44">
        <v>180</v>
      </c>
      <c r="AA6" s="44">
        <v>180</v>
      </c>
      <c r="AB6" s="44">
        <v>180</v>
      </c>
      <c r="AC6" s="44">
        <v>180</v>
      </c>
      <c r="AD6" s="44">
        <v>180</v>
      </c>
      <c r="AE6" s="44">
        <v>180</v>
      </c>
      <c r="AF6" s="44">
        <v>180</v>
      </c>
      <c r="AG6" s="44">
        <v>180</v>
      </c>
      <c r="AH6" s="44">
        <v>180</v>
      </c>
      <c r="AI6"/>
      <c r="AJ6" s="44">
        <v>180</v>
      </c>
      <c r="AK6" s="44">
        <v>180</v>
      </c>
      <c r="AL6" s="44">
        <v>180</v>
      </c>
      <c r="AM6" s="44">
        <v>180</v>
      </c>
      <c r="AN6" s="44">
        <v>180</v>
      </c>
      <c r="AO6" s="44">
        <v>180</v>
      </c>
      <c r="AP6" s="44">
        <v>180</v>
      </c>
      <c r="AQ6"/>
      <c r="AR6" s="44">
        <v>180</v>
      </c>
      <c r="AS6" s="44">
        <v>180</v>
      </c>
      <c r="AT6" s="44">
        <v>180</v>
      </c>
      <c r="AU6" s="44">
        <v>180</v>
      </c>
      <c r="AV6"/>
      <c r="AW6" s="44">
        <v>180</v>
      </c>
      <c r="AX6"/>
      <c r="AY6"/>
      <c r="AZ6" s="44">
        <v>180</v>
      </c>
    </row>
    <row r="7" spans="1:52" x14ac:dyDescent="0.25">
      <c r="A7" s="5" t="s">
        <v>5</v>
      </c>
      <c r="B7" s="3" t="s">
        <v>473</v>
      </c>
      <c r="C7" s="3" t="s">
        <v>483</v>
      </c>
      <c r="D7" s="3" t="s">
        <v>537</v>
      </c>
      <c r="E7" s="6" t="s">
        <v>115</v>
      </c>
      <c r="F7" s="6" t="s">
        <v>93</v>
      </c>
      <c r="G7" s="44">
        <v>4.1666666999999998E-2</v>
      </c>
      <c r="H7" s="44">
        <f t="shared" si="1"/>
        <v>4.1666666999999998E-2</v>
      </c>
      <c r="I7" s="44">
        <v>4.1666666999999998E-2</v>
      </c>
      <c r="J7" s="44">
        <v>4.1666666999999998E-2</v>
      </c>
      <c r="K7" s="44">
        <v>4.1666666999999998E-2</v>
      </c>
      <c r="L7" s="44">
        <v>4.1666666999999998E-2</v>
      </c>
      <c r="M7" s="44">
        <v>4.1666666999999998E-2</v>
      </c>
      <c r="N7" s="44">
        <v>4.1666666999999998E-2</v>
      </c>
      <c r="O7" s="44">
        <v>4.1666666999999998E-2</v>
      </c>
      <c r="P7" s="44">
        <v>4.1666666999999998E-2</v>
      </c>
      <c r="R7" s="44">
        <v>4.1666666999999998E-2</v>
      </c>
      <c r="S7" s="44">
        <v>4.1666666999999998E-2</v>
      </c>
      <c r="T7" s="44">
        <v>4.1666666999999998E-2</v>
      </c>
      <c r="U7" s="44">
        <v>4.1666666999999998E-2</v>
      </c>
      <c r="X7" s="44">
        <v>4.1666666999999998E-2</v>
      </c>
      <c r="Y7" s="44">
        <v>4.1666666999999998E-2</v>
      </c>
      <c r="Z7" s="44">
        <v>4.1666666999999998E-2</v>
      </c>
      <c r="AA7" s="44">
        <v>4.1666666999999998E-2</v>
      </c>
      <c r="AB7" s="44">
        <v>4.1666666999999998E-2</v>
      </c>
      <c r="AC7" s="44">
        <v>4.1666666999999998E-2</v>
      </c>
      <c r="AD7" s="44">
        <v>4.1666666999999998E-2</v>
      </c>
      <c r="AE7" s="44">
        <v>4.1666666999999998E-2</v>
      </c>
      <c r="AF7" s="44">
        <v>4.1666666999999998E-2</v>
      </c>
      <c r="AG7" s="44">
        <v>4.1666666999999998E-2</v>
      </c>
      <c r="AH7" s="44">
        <v>4.1666666999999998E-2</v>
      </c>
      <c r="AI7"/>
      <c r="AJ7" s="44">
        <v>4.1666666999999998E-2</v>
      </c>
      <c r="AK7" s="44">
        <v>4.1666666999999998E-2</v>
      </c>
      <c r="AL7" s="44">
        <v>4.1666666999999998E-2</v>
      </c>
      <c r="AM7" s="44">
        <v>4.1666666999999998E-2</v>
      </c>
      <c r="AN7" s="44">
        <v>4.1666666999999998E-2</v>
      </c>
      <c r="AO7" s="44">
        <v>4.1666666999999998E-2</v>
      </c>
      <c r="AP7" s="44">
        <v>4.1666666999999998E-2</v>
      </c>
      <c r="AQ7"/>
      <c r="AR7" s="44">
        <v>4.1666666999999998E-2</v>
      </c>
      <c r="AS7" s="44">
        <v>4.1666666999999998E-2</v>
      </c>
      <c r="AT7" s="44">
        <v>4.1666666999999998E-2</v>
      </c>
      <c r="AU7" s="44">
        <v>4.1666666999999998E-2</v>
      </c>
      <c r="AV7"/>
      <c r="AW7" s="44">
        <v>4.1666666999999998E-2</v>
      </c>
      <c r="AX7"/>
      <c r="AY7"/>
      <c r="AZ7" s="44">
        <v>4.1666666999999998E-2</v>
      </c>
    </row>
    <row r="8" spans="1:52" x14ac:dyDescent="0.25">
      <c r="A8" s="5" t="s">
        <v>20</v>
      </c>
      <c r="B8" s="3" t="s">
        <v>473</v>
      </c>
      <c r="C8" s="3" t="s">
        <v>483</v>
      </c>
      <c r="D8" s="3" t="s">
        <v>537</v>
      </c>
      <c r="E8" s="6" t="s">
        <v>123</v>
      </c>
      <c r="F8" s="6" t="s">
        <v>93</v>
      </c>
      <c r="G8" s="44">
        <v>5</v>
      </c>
      <c r="H8" s="44">
        <f t="shared" si="1"/>
        <v>5</v>
      </c>
      <c r="I8" s="44">
        <v>4.1666666999999998E-2</v>
      </c>
      <c r="J8" s="44">
        <v>4.1666666999999998E-2</v>
      </c>
      <c r="K8" s="44">
        <v>4.1666666999999998E-2</v>
      </c>
      <c r="L8" s="44">
        <v>4.1666666999999998E-2</v>
      </c>
      <c r="M8" s="44">
        <v>4.1666666999999998E-2</v>
      </c>
      <c r="N8" s="44">
        <v>4.1666666999999998E-2</v>
      </c>
      <c r="O8" s="44">
        <v>4.1666666999999998E-2</v>
      </c>
      <c r="P8" s="44">
        <v>4.1666666999999998E-2</v>
      </c>
      <c r="R8" s="44">
        <v>4.1666666999999998E-2</v>
      </c>
      <c r="S8" s="44">
        <v>4.1666666999999998E-2</v>
      </c>
      <c r="T8" s="44">
        <v>4.1666666999999998E-2</v>
      </c>
      <c r="U8" s="44">
        <v>4.1666666999999998E-2</v>
      </c>
      <c r="X8" s="44">
        <v>4.1666666999999998E-2</v>
      </c>
      <c r="Y8" s="44">
        <v>4.1666666999999998E-2</v>
      </c>
      <c r="Z8" s="44">
        <v>4.1666666999999998E-2</v>
      </c>
      <c r="AA8" s="44">
        <v>4.1666666999999998E-2</v>
      </c>
      <c r="AB8" s="44">
        <v>4.1666666999999998E-2</v>
      </c>
      <c r="AC8" s="44">
        <v>4.1666666999999998E-2</v>
      </c>
      <c r="AD8" s="44">
        <v>4.1666666999999998E-2</v>
      </c>
      <c r="AE8" s="44">
        <v>4.1666666999999998E-2</v>
      </c>
      <c r="AF8" s="44">
        <v>4.1666666999999998E-2</v>
      </c>
      <c r="AG8" s="44">
        <v>4.1666666999999998E-2</v>
      </c>
      <c r="AH8" s="44">
        <v>4.1666666999999998E-2</v>
      </c>
      <c r="AI8"/>
      <c r="AJ8" s="44">
        <v>4.1666666999999998E-2</v>
      </c>
      <c r="AK8" s="44">
        <v>4.1666666999999998E-2</v>
      </c>
      <c r="AL8" s="44">
        <v>4.1666666999999998E-2</v>
      </c>
      <c r="AM8" s="44">
        <v>4.1666666999999998E-2</v>
      </c>
      <c r="AN8" s="44">
        <v>4.1666666999999998E-2</v>
      </c>
      <c r="AO8" s="44">
        <v>4.1666666999999998E-2</v>
      </c>
      <c r="AP8" s="44">
        <v>4.1666666999999998E-2</v>
      </c>
      <c r="AQ8"/>
      <c r="AR8" s="44">
        <v>4.1666666999999998E-2</v>
      </c>
      <c r="AS8" s="44">
        <v>4.1666666999999998E-2</v>
      </c>
      <c r="AT8" s="44">
        <v>4.1666666999999998E-2</v>
      </c>
      <c r="AU8" s="44">
        <v>4.1666666999999998E-2</v>
      </c>
      <c r="AV8"/>
      <c r="AW8" s="44">
        <v>4.1666666999999998E-2</v>
      </c>
      <c r="AX8"/>
      <c r="AY8"/>
      <c r="AZ8" s="44">
        <v>4.1666666999999998E-2</v>
      </c>
    </row>
    <row r="9" spans="1:52" x14ac:dyDescent="0.25">
      <c r="A9" s="7" t="s">
        <v>1</v>
      </c>
      <c r="B9" s="3" t="s">
        <v>473</v>
      </c>
      <c r="C9" s="3" t="s">
        <v>483</v>
      </c>
      <c r="D9" s="3" t="s">
        <v>537</v>
      </c>
      <c r="E9" s="8" t="s">
        <v>113</v>
      </c>
      <c r="F9" s="8" t="s">
        <v>93</v>
      </c>
      <c r="G9" s="44">
        <v>1</v>
      </c>
      <c r="H9" s="44">
        <f t="shared" si="1"/>
        <v>1</v>
      </c>
      <c r="I9" s="44">
        <v>1</v>
      </c>
      <c r="J9" s="44">
        <v>1</v>
      </c>
      <c r="K9" s="44">
        <v>1</v>
      </c>
      <c r="L9" s="44">
        <v>1</v>
      </c>
      <c r="M9" s="44">
        <v>1</v>
      </c>
      <c r="N9" s="44">
        <v>1</v>
      </c>
      <c r="O9" s="44">
        <v>1</v>
      </c>
      <c r="P9" s="44">
        <v>1</v>
      </c>
      <c r="R9" s="44">
        <v>1</v>
      </c>
      <c r="S9" s="44">
        <v>1</v>
      </c>
      <c r="T9" s="44">
        <v>1</v>
      </c>
      <c r="U9" s="44">
        <v>1</v>
      </c>
      <c r="X9" s="44">
        <v>1</v>
      </c>
      <c r="Y9" s="44">
        <v>1</v>
      </c>
      <c r="Z9" s="44">
        <v>1</v>
      </c>
      <c r="AA9" s="44">
        <v>1</v>
      </c>
      <c r="AB9" s="44">
        <v>1</v>
      </c>
      <c r="AC9" s="44">
        <v>1</v>
      </c>
      <c r="AD9" s="44">
        <v>1</v>
      </c>
      <c r="AE9" s="44">
        <v>1</v>
      </c>
      <c r="AF9" s="44">
        <v>1</v>
      </c>
      <c r="AG9" s="44">
        <v>1</v>
      </c>
      <c r="AH9" s="44">
        <v>1</v>
      </c>
      <c r="AI9"/>
      <c r="AJ9" s="44">
        <v>1</v>
      </c>
      <c r="AK9" s="44">
        <v>1</v>
      </c>
      <c r="AL9" s="44">
        <v>1</v>
      </c>
      <c r="AM9" s="44">
        <v>1</v>
      </c>
      <c r="AN9" s="44">
        <v>1</v>
      </c>
      <c r="AO9" s="44">
        <v>1</v>
      </c>
      <c r="AP9" s="44">
        <v>1</v>
      </c>
      <c r="AQ9"/>
      <c r="AR9" s="44">
        <v>1</v>
      </c>
      <c r="AS9" s="44">
        <v>1</v>
      </c>
      <c r="AT9" s="44">
        <v>1</v>
      </c>
      <c r="AU9" s="44">
        <v>1</v>
      </c>
      <c r="AV9"/>
      <c r="AW9" s="44">
        <v>1</v>
      </c>
      <c r="AX9"/>
      <c r="AY9"/>
      <c r="AZ9" s="44">
        <v>1</v>
      </c>
    </row>
    <row r="10" spans="1:52" x14ac:dyDescent="0.25">
      <c r="A10" s="7" t="s">
        <v>450</v>
      </c>
      <c r="B10" s="3" t="s">
        <v>473</v>
      </c>
      <c r="C10" s="3" t="s">
        <v>483</v>
      </c>
      <c r="D10" s="3" t="s">
        <v>537</v>
      </c>
      <c r="E10" s="8" t="s">
        <v>451</v>
      </c>
      <c r="F10" s="8" t="s">
        <v>93</v>
      </c>
      <c r="G10" s="44">
        <v>0</v>
      </c>
      <c r="H10" s="44">
        <f t="shared" si="1"/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R10" s="44">
        <v>0</v>
      </c>
      <c r="S10" s="44">
        <v>0</v>
      </c>
      <c r="T10" s="44">
        <v>0</v>
      </c>
      <c r="U10" s="44">
        <v>0</v>
      </c>
      <c r="X10" s="44">
        <v>0</v>
      </c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/>
      <c r="AJ10" s="44">
        <v>0</v>
      </c>
      <c r="AK10" s="44">
        <v>0</v>
      </c>
      <c r="AL10" s="44">
        <v>0</v>
      </c>
      <c r="AM10" s="44">
        <v>0</v>
      </c>
      <c r="AN10" s="44">
        <v>0</v>
      </c>
      <c r="AO10" s="44">
        <v>0</v>
      </c>
      <c r="AP10" s="44">
        <v>0</v>
      </c>
      <c r="AQ10"/>
      <c r="AR10" s="44">
        <v>0</v>
      </c>
      <c r="AS10" s="44">
        <v>0</v>
      </c>
      <c r="AT10" s="44">
        <v>0</v>
      </c>
      <c r="AU10" s="44">
        <v>0</v>
      </c>
      <c r="AV10"/>
      <c r="AW10" s="44">
        <v>0</v>
      </c>
      <c r="AX10"/>
      <c r="AY10"/>
      <c r="AZ10" s="44">
        <v>0</v>
      </c>
    </row>
    <row r="11" spans="1:52" x14ac:dyDescent="0.25">
      <c r="A11" s="7" t="s">
        <v>6</v>
      </c>
      <c r="B11" s="3" t="s">
        <v>473</v>
      </c>
      <c r="C11" s="3" t="s">
        <v>483</v>
      </c>
      <c r="D11" s="3" t="s">
        <v>537</v>
      </c>
      <c r="E11" s="8" t="s">
        <v>131</v>
      </c>
      <c r="F11" s="8" t="s">
        <v>94</v>
      </c>
      <c r="G11" s="44" t="s">
        <v>87</v>
      </c>
      <c r="H11" s="44" t="str">
        <f t="shared" si="1"/>
        <v>False</v>
      </c>
      <c r="I11" s="44" t="s">
        <v>87</v>
      </c>
      <c r="J11" s="44" t="s">
        <v>87</v>
      </c>
      <c r="K11" s="44" t="s">
        <v>87</v>
      </c>
      <c r="L11" s="44" t="s">
        <v>87</v>
      </c>
      <c r="M11" s="44" t="s">
        <v>87</v>
      </c>
      <c r="N11" s="44" t="s">
        <v>87</v>
      </c>
      <c r="O11" s="44" t="s">
        <v>87</v>
      </c>
      <c r="P11" s="44" t="s">
        <v>87</v>
      </c>
      <c r="R11" s="44" t="s">
        <v>87</v>
      </c>
      <c r="S11" s="44" t="s">
        <v>87</v>
      </c>
      <c r="T11" s="44" t="s">
        <v>87</v>
      </c>
      <c r="U11" s="44" t="s">
        <v>87</v>
      </c>
      <c r="X11" s="44" t="s">
        <v>87</v>
      </c>
      <c r="Y11" s="44" t="s">
        <v>87</v>
      </c>
      <c r="Z11" s="44" t="s">
        <v>87</v>
      </c>
      <c r="AA11" s="44" t="s">
        <v>87</v>
      </c>
      <c r="AB11" s="44" t="s">
        <v>87</v>
      </c>
      <c r="AC11" s="44" t="s">
        <v>87</v>
      </c>
      <c r="AD11" s="44" t="s">
        <v>87</v>
      </c>
      <c r="AE11" s="44" t="s">
        <v>87</v>
      </c>
      <c r="AF11" s="44" t="s">
        <v>87</v>
      </c>
      <c r="AG11" s="44" t="s">
        <v>87</v>
      </c>
      <c r="AH11" s="44" t="s">
        <v>87</v>
      </c>
      <c r="AI11"/>
      <c r="AJ11" s="44" t="s">
        <v>87</v>
      </c>
      <c r="AK11" s="44" t="s">
        <v>87</v>
      </c>
      <c r="AL11" s="44" t="s">
        <v>87</v>
      </c>
      <c r="AM11" s="44" t="s">
        <v>87</v>
      </c>
      <c r="AN11" s="44" t="s">
        <v>87</v>
      </c>
      <c r="AO11" s="44" t="s">
        <v>87</v>
      </c>
      <c r="AP11" s="44" t="s">
        <v>87</v>
      </c>
      <c r="AQ11"/>
      <c r="AR11" s="44" t="s">
        <v>87</v>
      </c>
      <c r="AS11" s="44" t="s">
        <v>87</v>
      </c>
      <c r="AT11" s="44" t="s">
        <v>87</v>
      </c>
      <c r="AU11" s="44" t="s">
        <v>87</v>
      </c>
      <c r="AV11"/>
      <c r="AW11" s="44" t="s">
        <v>87</v>
      </c>
      <c r="AX11"/>
      <c r="AY11"/>
      <c r="AZ11" s="44" t="s">
        <v>87</v>
      </c>
    </row>
    <row r="12" spans="1:52" x14ac:dyDescent="0.25">
      <c r="A12" s="7" t="s">
        <v>7</v>
      </c>
      <c r="B12" s="3" t="s">
        <v>473</v>
      </c>
      <c r="C12" s="3" t="s">
        <v>483</v>
      </c>
      <c r="D12" s="3" t="s">
        <v>537</v>
      </c>
      <c r="E12" s="8" t="s">
        <v>116</v>
      </c>
      <c r="F12" s="8" t="s">
        <v>96</v>
      </c>
      <c r="G12" s="44">
        <v>5.0000000000000001E-9</v>
      </c>
      <c r="H12" s="44">
        <f t="shared" si="1"/>
        <v>5.0000000000000001E-9</v>
      </c>
      <c r="I12" s="44">
        <v>5.0000000000000001E-9</v>
      </c>
      <c r="J12" s="44">
        <v>5.0000000000000001E-9</v>
      </c>
      <c r="K12" s="44">
        <v>5.0000000000000001E-9</v>
      </c>
      <c r="L12" s="44">
        <v>5.0000000000000001E-9</v>
      </c>
      <c r="M12" s="44">
        <v>5.0000000000000001E-9</v>
      </c>
      <c r="N12" s="44">
        <v>5.0000000000000001E-9</v>
      </c>
      <c r="O12" s="44">
        <v>5.0000000000000001E-9</v>
      </c>
      <c r="P12" s="44">
        <v>5.0000000000000001E-9</v>
      </c>
      <c r="R12" s="44">
        <v>5.0000000000000001E-9</v>
      </c>
      <c r="S12" s="44">
        <v>5.0000000000000001E-9</v>
      </c>
      <c r="T12" s="44">
        <v>5.0000000000000001E-9</v>
      </c>
      <c r="U12" s="44">
        <v>5.0000000000000001E-9</v>
      </c>
      <c r="X12" s="44">
        <v>5.0000000000000001E-9</v>
      </c>
      <c r="Y12" s="44">
        <v>5.0000000000000001E-9</v>
      </c>
      <c r="Z12" s="44">
        <v>5.0000000000000001E-9</v>
      </c>
      <c r="AA12" s="44">
        <v>5.0000000000000001E-9</v>
      </c>
      <c r="AB12" s="44">
        <v>5.0000000000000001E-9</v>
      </c>
      <c r="AC12" s="44">
        <v>5.0000000000000001E-9</v>
      </c>
      <c r="AD12" s="44">
        <v>5.0000000000000001E-9</v>
      </c>
      <c r="AE12" s="44">
        <v>5.0000000000000001E-9</v>
      </c>
      <c r="AF12" s="44">
        <v>5.0000000000000001E-9</v>
      </c>
      <c r="AG12" s="44">
        <v>5.0000000000000001E-9</v>
      </c>
      <c r="AH12" s="44">
        <v>5.0000000000000001E-9</v>
      </c>
      <c r="AI12"/>
      <c r="AJ12" s="44">
        <v>5.0000000000000001E-9</v>
      </c>
      <c r="AK12" s="44">
        <v>5.0000000000000001E-9</v>
      </c>
      <c r="AL12" s="44">
        <v>5.0000000000000001E-9</v>
      </c>
      <c r="AM12" s="44">
        <v>5.0000000000000001E-9</v>
      </c>
      <c r="AN12" s="44">
        <v>5.0000000000000001E-9</v>
      </c>
      <c r="AO12" s="44">
        <v>5.0000000000000001E-9</v>
      </c>
      <c r="AP12" s="44">
        <v>5.0000000000000001E-9</v>
      </c>
      <c r="AQ12"/>
      <c r="AR12" s="44">
        <v>5.0000000000000001E-9</v>
      </c>
      <c r="AS12" s="44">
        <v>5.0000000000000001E-9</v>
      </c>
      <c r="AT12" s="44">
        <v>5.0000000000000001E-9</v>
      </c>
      <c r="AU12" s="44">
        <v>5.0000000000000001E-9</v>
      </c>
      <c r="AV12"/>
      <c r="AW12" s="44">
        <v>5.0000000000000001E-9</v>
      </c>
      <c r="AX12"/>
      <c r="AY12"/>
      <c r="AZ12" s="44">
        <v>5.0000000000000001E-9</v>
      </c>
    </row>
    <row r="13" spans="1:52" x14ac:dyDescent="0.25">
      <c r="A13" s="7" t="s">
        <v>8</v>
      </c>
      <c r="B13" s="3" t="s">
        <v>473</v>
      </c>
      <c r="C13" s="3" t="s">
        <v>483</v>
      </c>
      <c r="D13" s="3" t="s">
        <v>537</v>
      </c>
      <c r="E13" s="8" t="s">
        <v>117</v>
      </c>
      <c r="F13" s="8" t="s">
        <v>466</v>
      </c>
      <c r="G13" s="44">
        <v>10</v>
      </c>
      <c r="H13" s="44">
        <f t="shared" si="1"/>
        <v>10</v>
      </c>
      <c r="I13" s="44">
        <v>10</v>
      </c>
      <c r="J13" s="44">
        <v>10</v>
      </c>
      <c r="K13" s="44">
        <v>10</v>
      </c>
      <c r="L13" s="44">
        <v>10</v>
      </c>
      <c r="M13" s="44">
        <v>10</v>
      </c>
      <c r="N13" s="44">
        <v>10</v>
      </c>
      <c r="O13" s="44">
        <v>10</v>
      </c>
      <c r="P13" s="44">
        <v>10</v>
      </c>
      <c r="R13" s="44">
        <v>10</v>
      </c>
      <c r="S13" s="44">
        <v>10</v>
      </c>
      <c r="T13" s="44">
        <v>10</v>
      </c>
      <c r="U13" s="44">
        <v>10</v>
      </c>
      <c r="X13" s="44">
        <v>10</v>
      </c>
      <c r="Y13" s="44">
        <v>10</v>
      </c>
      <c r="Z13" s="44">
        <v>10</v>
      </c>
      <c r="AA13" s="44">
        <v>10</v>
      </c>
      <c r="AB13" s="44">
        <v>10</v>
      </c>
      <c r="AC13" s="44">
        <v>10</v>
      </c>
      <c r="AD13" s="44">
        <v>10</v>
      </c>
      <c r="AE13" s="44">
        <v>10</v>
      </c>
      <c r="AF13" s="44">
        <v>10</v>
      </c>
      <c r="AG13" s="44">
        <v>10</v>
      </c>
      <c r="AH13" s="44">
        <v>10</v>
      </c>
      <c r="AI13"/>
      <c r="AJ13" s="44">
        <v>10</v>
      </c>
      <c r="AK13" s="44">
        <v>10</v>
      </c>
      <c r="AL13" s="44">
        <v>10</v>
      </c>
      <c r="AM13" s="44">
        <v>10</v>
      </c>
      <c r="AN13" s="44">
        <v>10</v>
      </c>
      <c r="AO13" s="44">
        <v>10</v>
      </c>
      <c r="AP13" s="44">
        <v>10</v>
      </c>
      <c r="AQ13"/>
      <c r="AR13" s="44">
        <v>10</v>
      </c>
      <c r="AS13" s="44">
        <v>10</v>
      </c>
      <c r="AT13" s="44">
        <v>10</v>
      </c>
      <c r="AU13" s="44">
        <v>10</v>
      </c>
      <c r="AV13"/>
      <c r="AW13" s="44">
        <v>10</v>
      </c>
      <c r="AX13"/>
      <c r="AY13"/>
      <c r="AZ13" s="44">
        <v>10</v>
      </c>
    </row>
    <row r="14" spans="1:52" x14ac:dyDescent="0.25">
      <c r="A14" s="7" t="s">
        <v>463</v>
      </c>
      <c r="B14" s="3" t="s">
        <v>473</v>
      </c>
      <c r="C14" s="3" t="s">
        <v>483</v>
      </c>
      <c r="D14" s="3" t="s">
        <v>537</v>
      </c>
      <c r="E14" s="8" t="s">
        <v>458</v>
      </c>
      <c r="F14" s="8" t="s">
        <v>94</v>
      </c>
      <c r="G14" s="44" t="s">
        <v>87</v>
      </c>
      <c r="H14" s="44" t="str">
        <f t="shared" si="1"/>
        <v>False</v>
      </c>
      <c r="I14" s="44" t="s">
        <v>87</v>
      </c>
      <c r="J14" s="44" t="s">
        <v>87</v>
      </c>
      <c r="K14" s="44" t="s">
        <v>87</v>
      </c>
      <c r="L14" s="44" t="s">
        <v>87</v>
      </c>
      <c r="M14" s="44" t="s">
        <v>87</v>
      </c>
      <c r="N14" s="44" t="s">
        <v>87</v>
      </c>
      <c r="O14" s="44" t="s">
        <v>87</v>
      </c>
      <c r="P14" s="44" t="s">
        <v>87</v>
      </c>
      <c r="R14" s="44" t="s">
        <v>87</v>
      </c>
      <c r="S14" s="44" t="s">
        <v>87</v>
      </c>
      <c r="T14" s="44" t="s">
        <v>87</v>
      </c>
      <c r="U14" s="44" t="s">
        <v>87</v>
      </c>
      <c r="X14" s="44" t="s">
        <v>87</v>
      </c>
      <c r="Y14" s="44" t="s">
        <v>87</v>
      </c>
      <c r="Z14" s="44" t="s">
        <v>87</v>
      </c>
      <c r="AA14" s="44" t="s">
        <v>87</v>
      </c>
      <c r="AB14" s="44" t="s">
        <v>87</v>
      </c>
      <c r="AC14" s="44" t="s">
        <v>87</v>
      </c>
      <c r="AD14" s="44" t="s">
        <v>87</v>
      </c>
      <c r="AE14" s="44" t="s">
        <v>87</v>
      </c>
      <c r="AF14" s="44" t="s">
        <v>87</v>
      </c>
      <c r="AG14" s="44" t="s">
        <v>87</v>
      </c>
      <c r="AH14" s="44" t="s">
        <v>87</v>
      </c>
      <c r="AI14"/>
      <c r="AJ14" s="44" t="s">
        <v>87</v>
      </c>
      <c r="AK14" s="44" t="s">
        <v>87</v>
      </c>
      <c r="AL14" s="44" t="s">
        <v>87</v>
      </c>
      <c r="AM14" s="44" t="s">
        <v>87</v>
      </c>
      <c r="AN14" s="44" t="s">
        <v>87</v>
      </c>
      <c r="AO14" s="44" t="s">
        <v>87</v>
      </c>
      <c r="AP14" s="44" t="s">
        <v>87</v>
      </c>
      <c r="AQ14"/>
      <c r="AR14" s="44" t="s">
        <v>87</v>
      </c>
      <c r="AS14" s="44" t="s">
        <v>87</v>
      </c>
      <c r="AT14" s="44" t="s">
        <v>87</v>
      </c>
      <c r="AU14" s="44" t="s">
        <v>87</v>
      </c>
      <c r="AV14"/>
      <c r="AW14" s="44" t="s">
        <v>87</v>
      </c>
      <c r="AX14"/>
      <c r="AY14"/>
      <c r="AZ14" s="44" t="s">
        <v>87</v>
      </c>
    </row>
    <row r="15" spans="1:52" x14ac:dyDescent="0.25">
      <c r="A15" s="7" t="s">
        <v>464</v>
      </c>
      <c r="B15" s="3" t="s">
        <v>473</v>
      </c>
      <c r="C15" s="3" t="s">
        <v>483</v>
      </c>
      <c r="D15" s="3" t="s">
        <v>537</v>
      </c>
      <c r="E15" s="8" t="s">
        <v>465</v>
      </c>
      <c r="F15" s="8" t="s">
        <v>94</v>
      </c>
      <c r="G15" s="44" t="s">
        <v>87</v>
      </c>
      <c r="H15" s="44" t="str">
        <f t="shared" si="1"/>
        <v>False</v>
      </c>
      <c r="I15" s="44" t="s">
        <v>87</v>
      </c>
      <c r="J15" s="44" t="s">
        <v>87</v>
      </c>
      <c r="K15" s="44" t="s">
        <v>87</v>
      </c>
      <c r="L15" s="44" t="s">
        <v>87</v>
      </c>
      <c r="M15" s="44" t="s">
        <v>87</v>
      </c>
      <c r="N15" s="44" t="s">
        <v>87</v>
      </c>
      <c r="O15" s="44" t="s">
        <v>87</v>
      </c>
      <c r="P15" s="44" t="s">
        <v>87</v>
      </c>
      <c r="R15" s="44" t="s">
        <v>87</v>
      </c>
      <c r="S15" s="44" t="s">
        <v>87</v>
      </c>
      <c r="T15" s="44" t="s">
        <v>87</v>
      </c>
      <c r="U15" s="44" t="s">
        <v>87</v>
      </c>
      <c r="X15" s="44" t="s">
        <v>87</v>
      </c>
      <c r="Y15" s="44" t="s">
        <v>87</v>
      </c>
      <c r="Z15" s="44" t="s">
        <v>87</v>
      </c>
      <c r="AA15" s="44" t="s">
        <v>87</v>
      </c>
      <c r="AB15" s="44" t="s">
        <v>87</v>
      </c>
      <c r="AC15" s="44" t="s">
        <v>87</v>
      </c>
      <c r="AD15" s="44" t="s">
        <v>87</v>
      </c>
      <c r="AE15" s="44" t="s">
        <v>87</v>
      </c>
      <c r="AF15" s="44" t="s">
        <v>87</v>
      </c>
      <c r="AG15" s="44" t="s">
        <v>87</v>
      </c>
      <c r="AH15" s="44" t="s">
        <v>87</v>
      </c>
      <c r="AI15"/>
      <c r="AJ15" s="44" t="s">
        <v>87</v>
      </c>
      <c r="AK15" s="44" t="s">
        <v>87</v>
      </c>
      <c r="AL15" s="44" t="s">
        <v>87</v>
      </c>
      <c r="AM15" s="44" t="s">
        <v>87</v>
      </c>
      <c r="AN15" s="44" t="s">
        <v>87</v>
      </c>
      <c r="AO15" s="44" t="s">
        <v>87</v>
      </c>
      <c r="AP15" s="44" t="s">
        <v>87</v>
      </c>
      <c r="AQ15"/>
      <c r="AR15" s="44" t="s">
        <v>87</v>
      </c>
      <c r="AS15" s="44" t="s">
        <v>87</v>
      </c>
      <c r="AT15" s="44" t="s">
        <v>87</v>
      </c>
      <c r="AU15" s="44" t="s">
        <v>87</v>
      </c>
      <c r="AV15"/>
      <c r="AW15" s="44" t="s">
        <v>87</v>
      </c>
      <c r="AX15"/>
      <c r="AY15"/>
      <c r="AZ15" s="44" t="s">
        <v>87</v>
      </c>
    </row>
    <row r="16" spans="1:52" x14ac:dyDescent="0.25">
      <c r="A16" s="7" t="s">
        <v>467</v>
      </c>
      <c r="B16" s="3" t="s">
        <v>473</v>
      </c>
      <c r="C16" s="3" t="s">
        <v>483</v>
      </c>
      <c r="D16" s="3" t="s">
        <v>537</v>
      </c>
      <c r="E16" s="8" t="s">
        <v>468</v>
      </c>
      <c r="F16" s="8" t="s">
        <v>94</v>
      </c>
      <c r="G16" s="44" t="s">
        <v>87</v>
      </c>
      <c r="H16" s="44" t="str">
        <f t="shared" si="1"/>
        <v>False</v>
      </c>
      <c r="I16" s="44" t="s">
        <v>87</v>
      </c>
      <c r="J16" s="44" t="s">
        <v>87</v>
      </c>
      <c r="K16" s="44" t="s">
        <v>87</v>
      </c>
      <c r="L16" s="44" t="s">
        <v>87</v>
      </c>
      <c r="M16" s="44" t="s">
        <v>87</v>
      </c>
      <c r="N16" s="44" t="s">
        <v>87</v>
      </c>
      <c r="O16" s="44" t="s">
        <v>87</v>
      </c>
      <c r="P16" s="44" t="s">
        <v>87</v>
      </c>
      <c r="R16" s="44" t="s">
        <v>87</v>
      </c>
      <c r="S16" s="44" t="s">
        <v>87</v>
      </c>
      <c r="T16" s="44" t="s">
        <v>87</v>
      </c>
      <c r="U16" s="44" t="s">
        <v>87</v>
      </c>
      <c r="X16" s="44" t="s">
        <v>87</v>
      </c>
      <c r="Y16" s="44" t="s">
        <v>87</v>
      </c>
      <c r="Z16" s="44" t="s">
        <v>87</v>
      </c>
      <c r="AA16" s="44" t="s">
        <v>87</v>
      </c>
      <c r="AB16" s="44" t="s">
        <v>87</v>
      </c>
      <c r="AC16" s="44" t="s">
        <v>87</v>
      </c>
      <c r="AD16" s="44" t="s">
        <v>87</v>
      </c>
      <c r="AE16" s="44" t="s">
        <v>87</v>
      </c>
      <c r="AF16" s="44" t="s">
        <v>87</v>
      </c>
      <c r="AG16" s="44" t="s">
        <v>87</v>
      </c>
      <c r="AH16" s="44" t="s">
        <v>87</v>
      </c>
      <c r="AI16"/>
      <c r="AJ16" s="44" t="s">
        <v>87</v>
      </c>
      <c r="AK16" s="44" t="s">
        <v>87</v>
      </c>
      <c r="AL16" s="44" t="s">
        <v>87</v>
      </c>
      <c r="AM16" s="44" t="s">
        <v>87</v>
      </c>
      <c r="AN16" s="44" t="s">
        <v>87</v>
      </c>
      <c r="AO16" s="44" t="s">
        <v>87</v>
      </c>
      <c r="AP16" s="44" t="s">
        <v>87</v>
      </c>
      <c r="AQ16"/>
      <c r="AR16" s="44" t="s">
        <v>87</v>
      </c>
      <c r="AS16" s="44" t="s">
        <v>87</v>
      </c>
      <c r="AT16" s="44" t="s">
        <v>87</v>
      </c>
      <c r="AU16" s="44" t="s">
        <v>87</v>
      </c>
      <c r="AV16"/>
      <c r="AW16" s="44" t="s">
        <v>87</v>
      </c>
      <c r="AX16"/>
      <c r="AY16"/>
      <c r="AZ16" s="44" t="s">
        <v>87</v>
      </c>
    </row>
    <row r="17" spans="1:52" x14ac:dyDescent="0.25">
      <c r="A17" s="7" t="s">
        <v>469</v>
      </c>
      <c r="B17" s="3" t="s">
        <v>473</v>
      </c>
      <c r="C17" s="3" t="s">
        <v>483</v>
      </c>
      <c r="D17" s="3" t="s">
        <v>537</v>
      </c>
      <c r="E17" s="8" t="s">
        <v>470</v>
      </c>
      <c r="F17" s="8" t="s">
        <v>296</v>
      </c>
      <c r="G17" s="44">
        <v>86400</v>
      </c>
      <c r="H17" s="44">
        <f t="shared" si="1"/>
        <v>86400</v>
      </c>
      <c r="I17" s="44">
        <v>86400</v>
      </c>
      <c r="J17" s="44">
        <v>86400</v>
      </c>
      <c r="K17" s="44">
        <v>86400</v>
      </c>
      <c r="L17" s="44">
        <v>86400</v>
      </c>
      <c r="M17" s="44">
        <v>86400</v>
      </c>
      <c r="N17" s="44">
        <v>86400</v>
      </c>
      <c r="O17" s="44">
        <v>86400</v>
      </c>
      <c r="P17" s="44">
        <v>86400</v>
      </c>
      <c r="R17" s="44">
        <v>86400</v>
      </c>
      <c r="S17" s="44">
        <v>86400</v>
      </c>
      <c r="T17" s="44">
        <v>86400</v>
      </c>
      <c r="U17" s="44">
        <v>86400</v>
      </c>
      <c r="X17" s="44">
        <v>86400</v>
      </c>
      <c r="Y17" s="44">
        <v>86400</v>
      </c>
      <c r="Z17" s="44">
        <v>86400</v>
      </c>
      <c r="AA17" s="44">
        <v>86400</v>
      </c>
      <c r="AB17" s="44">
        <v>86400</v>
      </c>
      <c r="AC17" s="44">
        <v>86400</v>
      </c>
      <c r="AD17" s="44">
        <v>86400</v>
      </c>
      <c r="AE17" s="44">
        <v>86400</v>
      </c>
      <c r="AF17" s="44">
        <v>86400</v>
      </c>
      <c r="AG17" s="44">
        <v>86400</v>
      </c>
      <c r="AH17" s="44">
        <v>86400</v>
      </c>
      <c r="AI17"/>
      <c r="AJ17" s="44">
        <v>86400</v>
      </c>
      <c r="AK17" s="44">
        <v>86400</v>
      </c>
      <c r="AL17" s="44">
        <v>86400</v>
      </c>
      <c r="AM17" s="44">
        <v>86400</v>
      </c>
      <c r="AN17" s="44">
        <v>86400</v>
      </c>
      <c r="AO17" s="44">
        <v>86400</v>
      </c>
      <c r="AP17" s="44">
        <v>86400</v>
      </c>
      <c r="AQ17"/>
      <c r="AR17" s="44">
        <v>86400</v>
      </c>
      <c r="AS17" s="44">
        <v>86400</v>
      </c>
      <c r="AT17" s="44">
        <v>86400</v>
      </c>
      <c r="AU17" s="44">
        <v>86400</v>
      </c>
      <c r="AV17"/>
      <c r="AW17" s="44">
        <v>86400</v>
      </c>
      <c r="AX17"/>
      <c r="AY17"/>
      <c r="AZ17" s="44">
        <v>86400</v>
      </c>
    </row>
    <row r="18" spans="1:52" x14ac:dyDescent="0.25">
      <c r="A18" s="9" t="s">
        <v>10</v>
      </c>
      <c r="B18" s="3" t="s">
        <v>473</v>
      </c>
      <c r="C18" s="3" t="s">
        <v>483</v>
      </c>
      <c r="D18" s="3" t="s">
        <v>537</v>
      </c>
      <c r="E18" s="10" t="s">
        <v>133</v>
      </c>
      <c r="F18" s="10" t="s">
        <v>94</v>
      </c>
      <c r="G18" s="44" t="s">
        <v>87</v>
      </c>
      <c r="H18" s="44" t="s">
        <v>86</v>
      </c>
      <c r="I18" s="44" t="s">
        <v>86</v>
      </c>
      <c r="J18" s="44" t="s">
        <v>86</v>
      </c>
      <c r="K18" s="44" t="s">
        <v>86</v>
      </c>
      <c r="L18" s="44" t="s">
        <v>86</v>
      </c>
      <c r="M18" s="44" t="s">
        <v>86</v>
      </c>
      <c r="N18" s="44" t="s">
        <v>86</v>
      </c>
      <c r="O18" s="44" t="s">
        <v>86</v>
      </c>
      <c r="P18" s="44" t="s">
        <v>86</v>
      </c>
      <c r="R18" s="44" t="s">
        <v>86</v>
      </c>
      <c r="S18" s="44" t="s">
        <v>86</v>
      </c>
      <c r="T18" s="44" t="s">
        <v>86</v>
      </c>
      <c r="U18" s="44" t="s">
        <v>86</v>
      </c>
      <c r="X18" s="44" t="s">
        <v>86</v>
      </c>
      <c r="Y18" s="44" t="s">
        <v>86</v>
      </c>
      <c r="Z18" s="44" t="s">
        <v>86</v>
      </c>
      <c r="AA18" s="44" t="s">
        <v>86</v>
      </c>
      <c r="AB18" s="44" t="s">
        <v>86</v>
      </c>
      <c r="AC18" s="44" t="s">
        <v>86</v>
      </c>
      <c r="AD18" s="44" t="s">
        <v>86</v>
      </c>
      <c r="AE18" s="44" t="s">
        <v>86</v>
      </c>
      <c r="AF18" s="44" t="s">
        <v>86</v>
      </c>
      <c r="AG18" s="44" t="s">
        <v>86</v>
      </c>
      <c r="AH18" s="44" t="s">
        <v>86</v>
      </c>
      <c r="AI18"/>
      <c r="AJ18" s="44" t="s">
        <v>86</v>
      </c>
      <c r="AK18" s="44" t="s">
        <v>86</v>
      </c>
      <c r="AL18" s="44" t="s">
        <v>86</v>
      </c>
      <c r="AM18" s="44" t="s">
        <v>86</v>
      </c>
      <c r="AN18" s="44" t="s">
        <v>86</v>
      </c>
      <c r="AO18" s="44" t="s">
        <v>86</v>
      </c>
      <c r="AP18" s="44" t="s">
        <v>86</v>
      </c>
      <c r="AQ18"/>
      <c r="AR18" s="44" t="s">
        <v>86</v>
      </c>
      <c r="AS18" s="44" t="s">
        <v>86</v>
      </c>
      <c r="AT18" s="44" t="s">
        <v>86</v>
      </c>
      <c r="AU18" s="44" t="s">
        <v>86</v>
      </c>
      <c r="AV18"/>
      <c r="AW18" s="44" t="s">
        <v>86</v>
      </c>
      <c r="AX18"/>
      <c r="AY18"/>
      <c r="AZ18" s="44" t="s">
        <v>86</v>
      </c>
    </row>
    <row r="19" spans="1:52" x14ac:dyDescent="0.25">
      <c r="A19" s="9" t="s">
        <v>11</v>
      </c>
      <c r="B19" s="3" t="s">
        <v>473</v>
      </c>
      <c r="C19" s="3" t="s">
        <v>483</v>
      </c>
      <c r="D19" s="3" t="s">
        <v>537</v>
      </c>
      <c r="E19" s="10" t="s">
        <v>118</v>
      </c>
      <c r="F19" s="10" t="s">
        <v>95</v>
      </c>
      <c r="G19" s="44">
        <v>3</v>
      </c>
      <c r="H19" s="44">
        <f t="shared" si="1"/>
        <v>3</v>
      </c>
      <c r="I19" s="44">
        <v>3</v>
      </c>
      <c r="J19" s="44">
        <v>3</v>
      </c>
      <c r="K19" s="44">
        <v>3</v>
      </c>
      <c r="L19" s="44">
        <v>3</v>
      </c>
      <c r="M19" s="44">
        <v>3</v>
      </c>
      <c r="N19" s="44">
        <v>3</v>
      </c>
      <c r="O19" s="44">
        <v>3</v>
      </c>
      <c r="P19" s="44">
        <v>3</v>
      </c>
      <c r="R19" s="44">
        <v>3</v>
      </c>
      <c r="S19" s="44">
        <v>3</v>
      </c>
      <c r="T19" s="44">
        <v>3</v>
      </c>
      <c r="U19" s="44">
        <v>3</v>
      </c>
      <c r="X19" s="44">
        <v>3</v>
      </c>
      <c r="Y19" s="44">
        <v>3</v>
      </c>
      <c r="Z19" s="44">
        <v>3</v>
      </c>
      <c r="AA19" s="44">
        <v>3</v>
      </c>
      <c r="AB19" s="44">
        <v>3</v>
      </c>
      <c r="AC19" s="44">
        <v>3</v>
      </c>
      <c r="AD19" s="44">
        <v>3</v>
      </c>
      <c r="AE19" s="44">
        <v>3</v>
      </c>
      <c r="AF19" s="44">
        <v>3</v>
      </c>
      <c r="AG19" s="44">
        <v>3</v>
      </c>
      <c r="AH19" s="44">
        <v>3</v>
      </c>
      <c r="AI19"/>
      <c r="AJ19" s="44">
        <v>3</v>
      </c>
      <c r="AK19" s="44">
        <v>3</v>
      </c>
      <c r="AL19" s="44">
        <v>3</v>
      </c>
      <c r="AM19" s="44">
        <v>3</v>
      </c>
      <c r="AN19" s="44">
        <v>3</v>
      </c>
      <c r="AO19" s="44">
        <v>3</v>
      </c>
      <c r="AP19" s="44">
        <v>3</v>
      </c>
      <c r="AQ19"/>
      <c r="AR19" s="44">
        <v>3</v>
      </c>
      <c r="AS19" s="44">
        <v>3</v>
      </c>
      <c r="AT19" s="44">
        <v>3</v>
      </c>
      <c r="AU19" s="44">
        <v>3</v>
      </c>
      <c r="AV19"/>
      <c r="AW19" s="44">
        <v>3</v>
      </c>
      <c r="AX19"/>
      <c r="AY19"/>
      <c r="AZ19" s="44">
        <v>3</v>
      </c>
    </row>
    <row r="20" spans="1:52" x14ac:dyDescent="0.25">
      <c r="A20" s="9" t="s">
        <v>362</v>
      </c>
      <c r="B20" s="3" t="s">
        <v>473</v>
      </c>
      <c r="C20" s="3" t="s">
        <v>483</v>
      </c>
      <c r="D20" s="3" t="s">
        <v>537</v>
      </c>
      <c r="E20" s="10" t="s">
        <v>363</v>
      </c>
      <c r="F20" s="10" t="s">
        <v>94</v>
      </c>
      <c r="G20" s="44" t="s">
        <v>87</v>
      </c>
      <c r="H20" s="44" t="str">
        <f t="shared" si="1"/>
        <v>False</v>
      </c>
      <c r="I20" s="44" t="s">
        <v>87</v>
      </c>
      <c r="J20" s="44" t="s">
        <v>87</v>
      </c>
      <c r="K20" s="44" t="s">
        <v>87</v>
      </c>
      <c r="L20" s="44" t="s">
        <v>87</v>
      </c>
      <c r="M20" s="44" t="s">
        <v>87</v>
      </c>
      <c r="N20" s="44" t="s">
        <v>87</v>
      </c>
      <c r="O20" s="44" t="s">
        <v>87</v>
      </c>
      <c r="P20" s="44" t="s">
        <v>87</v>
      </c>
      <c r="R20" s="44" t="s">
        <v>87</v>
      </c>
      <c r="S20" s="44" t="s">
        <v>87</v>
      </c>
      <c r="T20" s="44" t="s">
        <v>87</v>
      </c>
      <c r="U20" s="44" t="s">
        <v>87</v>
      </c>
      <c r="X20" s="44" t="s">
        <v>87</v>
      </c>
      <c r="Y20" s="44" t="s">
        <v>87</v>
      </c>
      <c r="Z20" s="44" t="s">
        <v>87</v>
      </c>
      <c r="AA20" s="44" t="s">
        <v>87</v>
      </c>
      <c r="AB20" s="44" t="s">
        <v>87</v>
      </c>
      <c r="AC20" s="44" t="s">
        <v>87</v>
      </c>
      <c r="AD20" s="44" t="s">
        <v>87</v>
      </c>
      <c r="AE20" s="44" t="s">
        <v>87</v>
      </c>
      <c r="AF20" s="44" t="s">
        <v>87</v>
      </c>
      <c r="AG20" s="44" t="s">
        <v>87</v>
      </c>
      <c r="AH20" s="44" t="s">
        <v>87</v>
      </c>
      <c r="AI20"/>
      <c r="AJ20" s="44" t="s">
        <v>87</v>
      </c>
      <c r="AK20" s="44" t="s">
        <v>87</v>
      </c>
      <c r="AL20" s="44" t="s">
        <v>87</v>
      </c>
      <c r="AM20" s="44" t="s">
        <v>87</v>
      </c>
      <c r="AN20" s="44" t="s">
        <v>87</v>
      </c>
      <c r="AO20" s="44" t="s">
        <v>87</v>
      </c>
      <c r="AP20" s="44" t="s">
        <v>87</v>
      </c>
      <c r="AQ20"/>
      <c r="AR20" s="44" t="s">
        <v>87</v>
      </c>
      <c r="AS20" s="44" t="s">
        <v>87</v>
      </c>
      <c r="AT20" s="44" t="s">
        <v>87</v>
      </c>
      <c r="AU20" s="44" t="s">
        <v>87</v>
      </c>
      <c r="AV20"/>
      <c r="AW20" s="44" t="s">
        <v>87</v>
      </c>
      <c r="AX20"/>
      <c r="AY20"/>
      <c r="AZ20" s="44" t="s">
        <v>87</v>
      </c>
    </row>
    <row r="21" spans="1:52" x14ac:dyDescent="0.25">
      <c r="A21" s="9" t="s">
        <v>364</v>
      </c>
      <c r="B21" s="3" t="s">
        <v>473</v>
      </c>
      <c r="C21" s="3" t="s">
        <v>483</v>
      </c>
      <c r="D21" s="3" t="s">
        <v>537</v>
      </c>
      <c r="E21" s="10" t="s">
        <v>365</v>
      </c>
      <c r="F21" s="10" t="s">
        <v>94</v>
      </c>
      <c r="G21" s="44" t="s">
        <v>87</v>
      </c>
      <c r="H21" s="44" t="str">
        <f t="shared" si="1"/>
        <v>False</v>
      </c>
      <c r="I21" s="44" t="s">
        <v>87</v>
      </c>
      <c r="J21" s="44" t="s">
        <v>87</v>
      </c>
      <c r="K21" s="44" t="s">
        <v>87</v>
      </c>
      <c r="L21" s="44" t="s">
        <v>87</v>
      </c>
      <c r="M21" s="44" t="s">
        <v>87</v>
      </c>
      <c r="N21" s="44" t="s">
        <v>87</v>
      </c>
      <c r="O21" s="44" t="s">
        <v>87</v>
      </c>
      <c r="P21" s="44" t="s">
        <v>87</v>
      </c>
      <c r="R21" s="44" t="s">
        <v>87</v>
      </c>
      <c r="S21" s="44" t="s">
        <v>87</v>
      </c>
      <c r="T21" s="44" t="s">
        <v>87</v>
      </c>
      <c r="U21" s="44" t="s">
        <v>87</v>
      </c>
      <c r="X21" s="44" t="s">
        <v>87</v>
      </c>
      <c r="Y21" s="44" t="s">
        <v>87</v>
      </c>
      <c r="Z21" s="44" t="s">
        <v>87</v>
      </c>
      <c r="AA21" s="44" t="s">
        <v>87</v>
      </c>
      <c r="AB21" s="44" t="s">
        <v>87</v>
      </c>
      <c r="AC21" s="44" t="s">
        <v>87</v>
      </c>
      <c r="AD21" s="44" t="s">
        <v>87</v>
      </c>
      <c r="AE21" s="44" t="s">
        <v>87</v>
      </c>
      <c r="AF21" s="44" t="s">
        <v>87</v>
      </c>
      <c r="AG21" s="44" t="s">
        <v>87</v>
      </c>
      <c r="AH21" s="44" t="s">
        <v>87</v>
      </c>
      <c r="AI21"/>
      <c r="AJ21" s="44" t="s">
        <v>87</v>
      </c>
      <c r="AK21" s="44" t="s">
        <v>87</v>
      </c>
      <c r="AL21" s="44" t="s">
        <v>87</v>
      </c>
      <c r="AM21" s="44" t="s">
        <v>87</v>
      </c>
      <c r="AN21" s="44" t="s">
        <v>87</v>
      </c>
      <c r="AO21" s="44" t="s">
        <v>87</v>
      </c>
      <c r="AP21" s="44" t="s">
        <v>87</v>
      </c>
      <c r="AQ21"/>
      <c r="AR21" s="44" t="s">
        <v>87</v>
      </c>
      <c r="AS21" s="44" t="s">
        <v>87</v>
      </c>
      <c r="AT21" s="44" t="s">
        <v>87</v>
      </c>
      <c r="AU21" s="44" t="s">
        <v>87</v>
      </c>
      <c r="AV21"/>
      <c r="AW21" s="44" t="s">
        <v>87</v>
      </c>
      <c r="AX21"/>
      <c r="AY21"/>
      <c r="AZ21" s="44" t="s">
        <v>87</v>
      </c>
    </row>
    <row r="22" spans="1:52" x14ac:dyDescent="0.25">
      <c r="A22" s="9" t="s">
        <v>376</v>
      </c>
      <c r="B22" s="3" t="s">
        <v>473</v>
      </c>
      <c r="C22" s="3" t="s">
        <v>483</v>
      </c>
      <c r="D22" s="3" t="s">
        <v>537</v>
      </c>
      <c r="E22" s="10" t="s">
        <v>377</v>
      </c>
      <c r="F22" s="10" t="s">
        <v>94</v>
      </c>
      <c r="G22" s="44" t="s">
        <v>87</v>
      </c>
      <c r="H22" s="44" t="str">
        <f t="shared" si="1"/>
        <v>False</v>
      </c>
      <c r="I22" s="44" t="s">
        <v>87</v>
      </c>
      <c r="J22" s="44" t="s">
        <v>87</v>
      </c>
      <c r="K22" s="44" t="s">
        <v>87</v>
      </c>
      <c r="L22" s="44" t="s">
        <v>87</v>
      </c>
      <c r="M22" s="44" t="s">
        <v>87</v>
      </c>
      <c r="N22" s="44" t="s">
        <v>87</v>
      </c>
      <c r="O22" s="44" t="s">
        <v>87</v>
      </c>
      <c r="P22" s="44" t="s">
        <v>87</v>
      </c>
      <c r="R22" s="44" t="s">
        <v>87</v>
      </c>
      <c r="S22" s="44" t="s">
        <v>87</v>
      </c>
      <c r="T22" s="44" t="s">
        <v>87</v>
      </c>
      <c r="U22" s="44" t="s">
        <v>87</v>
      </c>
      <c r="X22" s="44" t="s">
        <v>87</v>
      </c>
      <c r="Y22" s="44" t="s">
        <v>87</v>
      </c>
      <c r="Z22" s="44" t="s">
        <v>87</v>
      </c>
      <c r="AA22" s="44" t="s">
        <v>87</v>
      </c>
      <c r="AB22" s="44" t="s">
        <v>87</v>
      </c>
      <c r="AC22" s="44" t="s">
        <v>87</v>
      </c>
      <c r="AD22" s="44" t="s">
        <v>87</v>
      </c>
      <c r="AE22" s="44" t="s">
        <v>87</v>
      </c>
      <c r="AF22" s="44" t="s">
        <v>87</v>
      </c>
      <c r="AG22" s="44" t="s">
        <v>87</v>
      </c>
      <c r="AH22" s="44" t="s">
        <v>87</v>
      </c>
      <c r="AI22"/>
      <c r="AJ22" s="44" t="s">
        <v>87</v>
      </c>
      <c r="AK22" s="44" t="s">
        <v>87</v>
      </c>
      <c r="AL22" s="44" t="s">
        <v>87</v>
      </c>
      <c r="AM22" s="44" t="s">
        <v>87</v>
      </c>
      <c r="AN22" s="44" t="s">
        <v>87</v>
      </c>
      <c r="AO22" s="44" t="s">
        <v>87</v>
      </c>
      <c r="AP22" s="44" t="s">
        <v>87</v>
      </c>
      <c r="AQ22"/>
      <c r="AR22" s="44" t="s">
        <v>87</v>
      </c>
      <c r="AS22" s="44" t="s">
        <v>87</v>
      </c>
      <c r="AT22" s="44" t="s">
        <v>87</v>
      </c>
      <c r="AU22" s="44" t="s">
        <v>87</v>
      </c>
      <c r="AV22"/>
      <c r="AW22" s="44" t="s">
        <v>87</v>
      </c>
      <c r="AX22"/>
      <c r="AY22"/>
      <c r="AZ22" s="44" t="s">
        <v>87</v>
      </c>
    </row>
    <row r="23" spans="1:52" x14ac:dyDescent="0.25">
      <c r="A23" s="9" t="s">
        <v>375</v>
      </c>
      <c r="B23" s="3" t="s">
        <v>473</v>
      </c>
      <c r="C23" s="3" t="s">
        <v>483</v>
      </c>
      <c r="D23" s="3" t="s">
        <v>537</v>
      </c>
      <c r="E23" s="10" t="s">
        <v>373</v>
      </c>
      <c r="F23" s="10" t="s">
        <v>94</v>
      </c>
      <c r="G23" s="44" t="s">
        <v>87</v>
      </c>
      <c r="H23" s="44" t="str">
        <f t="shared" si="1"/>
        <v>False</v>
      </c>
      <c r="I23" s="44" t="s">
        <v>87</v>
      </c>
      <c r="J23" s="44" t="s">
        <v>87</v>
      </c>
      <c r="K23" s="44" t="s">
        <v>87</v>
      </c>
      <c r="L23" s="44" t="s">
        <v>87</v>
      </c>
      <c r="M23" s="44" t="s">
        <v>87</v>
      </c>
      <c r="N23" s="44" t="s">
        <v>87</v>
      </c>
      <c r="O23" s="44" t="s">
        <v>87</v>
      </c>
      <c r="P23" s="44" t="s">
        <v>87</v>
      </c>
      <c r="R23" s="44" t="s">
        <v>87</v>
      </c>
      <c r="S23" s="44" t="s">
        <v>87</v>
      </c>
      <c r="T23" s="44" t="s">
        <v>87</v>
      </c>
      <c r="U23" s="44" t="s">
        <v>87</v>
      </c>
      <c r="X23" s="44" t="s">
        <v>87</v>
      </c>
      <c r="Y23" s="44" t="s">
        <v>87</v>
      </c>
      <c r="Z23" s="44" t="s">
        <v>87</v>
      </c>
      <c r="AA23" s="44" t="s">
        <v>87</v>
      </c>
      <c r="AB23" s="44" t="s">
        <v>87</v>
      </c>
      <c r="AC23" s="44" t="s">
        <v>87</v>
      </c>
      <c r="AD23" s="44" t="s">
        <v>87</v>
      </c>
      <c r="AE23" s="44" t="s">
        <v>87</v>
      </c>
      <c r="AF23" s="44" t="s">
        <v>87</v>
      </c>
      <c r="AG23" s="44" t="s">
        <v>87</v>
      </c>
      <c r="AH23" s="44" t="s">
        <v>87</v>
      </c>
      <c r="AI23"/>
      <c r="AJ23" s="44" t="s">
        <v>87</v>
      </c>
      <c r="AK23" s="44" t="s">
        <v>87</v>
      </c>
      <c r="AL23" s="44" t="s">
        <v>87</v>
      </c>
      <c r="AM23" s="44" t="s">
        <v>87</v>
      </c>
      <c r="AN23" s="44" t="s">
        <v>87</v>
      </c>
      <c r="AO23" s="44" t="s">
        <v>87</v>
      </c>
      <c r="AP23" s="44" t="s">
        <v>87</v>
      </c>
      <c r="AQ23"/>
      <c r="AR23" s="44" t="s">
        <v>87</v>
      </c>
      <c r="AS23" s="44" t="s">
        <v>87</v>
      </c>
      <c r="AT23" s="44" t="s">
        <v>87</v>
      </c>
      <c r="AU23" s="44" t="s">
        <v>87</v>
      </c>
      <c r="AV23"/>
      <c r="AW23" s="44" t="s">
        <v>87</v>
      </c>
      <c r="AX23"/>
      <c r="AY23"/>
      <c r="AZ23" s="44" t="s">
        <v>87</v>
      </c>
    </row>
    <row r="24" spans="1:52" x14ac:dyDescent="0.25">
      <c r="A24" s="9" t="s">
        <v>374</v>
      </c>
      <c r="B24" s="3" t="s">
        <v>473</v>
      </c>
      <c r="C24" s="3" t="s">
        <v>483</v>
      </c>
      <c r="D24" s="3" t="s">
        <v>537</v>
      </c>
      <c r="E24" s="10" t="s">
        <v>372</v>
      </c>
      <c r="F24" s="10" t="s">
        <v>94</v>
      </c>
      <c r="G24" s="44" t="s">
        <v>87</v>
      </c>
      <c r="H24" s="44" t="str">
        <f t="shared" si="1"/>
        <v>False</v>
      </c>
      <c r="I24" s="44" t="s">
        <v>87</v>
      </c>
      <c r="J24" s="44" t="s">
        <v>87</v>
      </c>
      <c r="K24" s="44" t="s">
        <v>87</v>
      </c>
      <c r="L24" s="44" t="s">
        <v>87</v>
      </c>
      <c r="M24" s="44" t="s">
        <v>87</v>
      </c>
      <c r="N24" s="44" t="s">
        <v>87</v>
      </c>
      <c r="O24" s="44" t="s">
        <v>87</v>
      </c>
      <c r="P24" s="44" t="s">
        <v>87</v>
      </c>
      <c r="R24" s="44" t="s">
        <v>87</v>
      </c>
      <c r="S24" s="44" t="s">
        <v>87</v>
      </c>
      <c r="T24" s="44" t="s">
        <v>87</v>
      </c>
      <c r="U24" s="44" t="s">
        <v>87</v>
      </c>
      <c r="X24" s="44" t="s">
        <v>87</v>
      </c>
      <c r="Y24" s="44" t="s">
        <v>87</v>
      </c>
      <c r="Z24" s="44" t="s">
        <v>87</v>
      </c>
      <c r="AA24" s="44" t="s">
        <v>87</v>
      </c>
      <c r="AB24" s="44" t="s">
        <v>87</v>
      </c>
      <c r="AC24" s="44" t="s">
        <v>87</v>
      </c>
      <c r="AD24" s="44" t="s">
        <v>87</v>
      </c>
      <c r="AE24" s="44" t="s">
        <v>87</v>
      </c>
      <c r="AF24" s="44" t="s">
        <v>87</v>
      </c>
      <c r="AG24" s="44" t="s">
        <v>87</v>
      </c>
      <c r="AH24" s="44" t="s">
        <v>87</v>
      </c>
      <c r="AI24"/>
      <c r="AJ24" s="44" t="s">
        <v>87</v>
      </c>
      <c r="AK24" s="44" t="s">
        <v>87</v>
      </c>
      <c r="AL24" s="44" t="s">
        <v>87</v>
      </c>
      <c r="AM24" s="44" t="s">
        <v>87</v>
      </c>
      <c r="AN24" s="44" t="s">
        <v>87</v>
      </c>
      <c r="AO24" s="44" t="s">
        <v>87</v>
      </c>
      <c r="AP24" s="44" t="s">
        <v>87</v>
      </c>
      <c r="AQ24"/>
      <c r="AR24" s="44" t="s">
        <v>87</v>
      </c>
      <c r="AS24" s="44" t="s">
        <v>87</v>
      </c>
      <c r="AT24" s="44" t="s">
        <v>87</v>
      </c>
      <c r="AU24" s="44" t="s">
        <v>87</v>
      </c>
      <c r="AV24"/>
      <c r="AW24" s="44" t="s">
        <v>87</v>
      </c>
      <c r="AX24"/>
      <c r="AY24"/>
      <c r="AZ24" s="44" t="s">
        <v>87</v>
      </c>
    </row>
    <row r="25" spans="1:52" x14ac:dyDescent="0.25">
      <c r="A25" s="9" t="s">
        <v>12</v>
      </c>
      <c r="B25" s="3" t="s">
        <v>473</v>
      </c>
      <c r="C25" s="3" t="s">
        <v>483</v>
      </c>
      <c r="D25" s="3" t="s">
        <v>537</v>
      </c>
      <c r="E25" s="10" t="s">
        <v>139</v>
      </c>
      <c r="F25" s="10" t="s">
        <v>94</v>
      </c>
      <c r="G25" s="44" t="s">
        <v>87</v>
      </c>
      <c r="H25" s="44" t="str">
        <f t="shared" si="1"/>
        <v>False</v>
      </c>
      <c r="I25" s="44" t="s">
        <v>87</v>
      </c>
      <c r="J25" s="44" t="s">
        <v>87</v>
      </c>
      <c r="K25" s="44" t="s">
        <v>87</v>
      </c>
      <c r="L25" s="44" t="s">
        <v>87</v>
      </c>
      <c r="M25" s="44" t="s">
        <v>87</v>
      </c>
      <c r="N25" s="44" t="s">
        <v>87</v>
      </c>
      <c r="O25" s="44" t="s">
        <v>87</v>
      </c>
      <c r="P25" s="44" t="s">
        <v>87</v>
      </c>
      <c r="R25" s="44" t="s">
        <v>87</v>
      </c>
      <c r="S25" s="44" t="s">
        <v>87</v>
      </c>
      <c r="T25" s="44" t="s">
        <v>87</v>
      </c>
      <c r="U25" s="44" t="s">
        <v>87</v>
      </c>
      <c r="X25" s="44" t="s">
        <v>87</v>
      </c>
      <c r="Y25" s="44" t="s">
        <v>87</v>
      </c>
      <c r="Z25" s="44" t="s">
        <v>87</v>
      </c>
      <c r="AA25" s="44" t="s">
        <v>87</v>
      </c>
      <c r="AB25" s="44" t="s">
        <v>87</v>
      </c>
      <c r="AC25" s="44" t="s">
        <v>87</v>
      </c>
      <c r="AD25" s="44" t="s">
        <v>87</v>
      </c>
      <c r="AE25" s="44" t="s">
        <v>87</v>
      </c>
      <c r="AF25" s="44" t="s">
        <v>87</v>
      </c>
      <c r="AG25" s="44" t="s">
        <v>87</v>
      </c>
      <c r="AH25" s="44" t="s">
        <v>87</v>
      </c>
      <c r="AI25"/>
      <c r="AJ25" s="44" t="s">
        <v>87</v>
      </c>
      <c r="AK25" s="44" t="s">
        <v>87</v>
      </c>
      <c r="AL25" s="44" t="s">
        <v>87</v>
      </c>
      <c r="AM25" s="44" t="s">
        <v>87</v>
      </c>
      <c r="AN25" s="44" t="s">
        <v>87</v>
      </c>
      <c r="AO25" s="44" t="s">
        <v>87</v>
      </c>
      <c r="AP25" s="44" t="s">
        <v>87</v>
      </c>
      <c r="AQ25"/>
      <c r="AR25" s="44" t="s">
        <v>87</v>
      </c>
      <c r="AS25" s="44" t="s">
        <v>87</v>
      </c>
      <c r="AT25" s="44" t="s">
        <v>87</v>
      </c>
      <c r="AU25" s="44" t="s">
        <v>87</v>
      </c>
      <c r="AV25"/>
      <c r="AW25" s="44" t="s">
        <v>87</v>
      </c>
      <c r="AX25"/>
      <c r="AY25"/>
      <c r="AZ25" s="44" t="s">
        <v>87</v>
      </c>
    </row>
    <row r="26" spans="1:52" x14ac:dyDescent="0.25">
      <c r="A26" s="9" t="s">
        <v>13</v>
      </c>
      <c r="B26" s="3" t="s">
        <v>473</v>
      </c>
      <c r="C26" s="3" t="s">
        <v>483</v>
      </c>
      <c r="D26" s="3" t="s">
        <v>537</v>
      </c>
      <c r="E26" s="10" t="s">
        <v>119</v>
      </c>
      <c r="F26" s="10" t="s">
        <v>97</v>
      </c>
      <c r="G26" s="44">
        <v>0.33</v>
      </c>
      <c r="H26" s="44">
        <f t="shared" si="1"/>
        <v>0.33</v>
      </c>
      <c r="I26" s="44">
        <v>0.33</v>
      </c>
      <c r="J26" s="44">
        <v>0.33</v>
      </c>
      <c r="K26" s="44">
        <v>0.33</v>
      </c>
      <c r="L26" s="44">
        <v>0.33</v>
      </c>
      <c r="M26" s="44">
        <v>0.33</v>
      </c>
      <c r="N26" s="44">
        <v>0.33</v>
      </c>
      <c r="O26" s="44">
        <v>0.33</v>
      </c>
      <c r="P26" s="44">
        <v>0.33</v>
      </c>
      <c r="R26" s="44">
        <v>0.33</v>
      </c>
      <c r="S26" s="44">
        <v>0.33</v>
      </c>
      <c r="T26" s="44">
        <v>0.33</v>
      </c>
      <c r="U26" s="44">
        <v>0.33</v>
      </c>
      <c r="X26" s="44">
        <v>0.33</v>
      </c>
      <c r="Y26" s="44">
        <v>0.33</v>
      </c>
      <c r="Z26" s="44">
        <v>0.33</v>
      </c>
      <c r="AA26" s="44">
        <v>0.33</v>
      </c>
      <c r="AB26" s="44">
        <v>0.33</v>
      </c>
      <c r="AC26" s="44">
        <v>0.33</v>
      </c>
      <c r="AD26" s="44">
        <v>0.33</v>
      </c>
      <c r="AE26" s="44">
        <v>0.33</v>
      </c>
      <c r="AF26" s="44">
        <v>0.33</v>
      </c>
      <c r="AG26" s="44">
        <v>0.33</v>
      </c>
      <c r="AH26" s="44">
        <v>0.33</v>
      </c>
      <c r="AI26"/>
      <c r="AJ26" s="44">
        <v>0.33</v>
      </c>
      <c r="AK26" s="44">
        <v>0.33</v>
      </c>
      <c r="AL26" s="44">
        <v>0.33</v>
      </c>
      <c r="AM26" s="44">
        <v>0.33</v>
      </c>
      <c r="AN26" s="44">
        <v>0.33</v>
      </c>
      <c r="AO26" s="44">
        <v>0.33</v>
      </c>
      <c r="AP26" s="44">
        <v>0.33</v>
      </c>
      <c r="AQ26"/>
      <c r="AR26" s="44">
        <v>0.33</v>
      </c>
      <c r="AS26" s="44">
        <v>0.33</v>
      </c>
      <c r="AT26" s="44">
        <v>0.33</v>
      </c>
      <c r="AU26" s="44">
        <v>0.33</v>
      </c>
      <c r="AV26"/>
      <c r="AW26" s="44">
        <v>0.33</v>
      </c>
      <c r="AX26"/>
      <c r="AY26"/>
      <c r="AZ26" s="44">
        <v>0.33</v>
      </c>
    </row>
    <row r="27" spans="1:52" x14ac:dyDescent="0.25">
      <c r="A27" s="9" t="s">
        <v>14</v>
      </c>
      <c r="B27" s="3" t="s">
        <v>473</v>
      </c>
      <c r="C27" s="3" t="s">
        <v>483</v>
      </c>
      <c r="D27" s="3" t="s">
        <v>537</v>
      </c>
      <c r="E27" s="10" t="s">
        <v>134</v>
      </c>
      <c r="F27" s="10" t="s">
        <v>94</v>
      </c>
      <c r="G27" s="44" t="s">
        <v>87</v>
      </c>
      <c r="H27" s="44" t="str">
        <f t="shared" si="1"/>
        <v>False</v>
      </c>
      <c r="I27" s="44" t="s">
        <v>87</v>
      </c>
      <c r="J27" s="44" t="s">
        <v>87</v>
      </c>
      <c r="K27" s="44" t="s">
        <v>87</v>
      </c>
      <c r="L27" s="44" t="s">
        <v>87</v>
      </c>
      <c r="M27" s="44" t="s">
        <v>87</v>
      </c>
      <c r="N27" s="44" t="s">
        <v>87</v>
      </c>
      <c r="O27" s="44" t="s">
        <v>87</v>
      </c>
      <c r="P27" s="44" t="s">
        <v>87</v>
      </c>
      <c r="R27" s="44" t="s">
        <v>87</v>
      </c>
      <c r="S27" s="44" t="s">
        <v>87</v>
      </c>
      <c r="T27" s="44" t="s">
        <v>87</v>
      </c>
      <c r="U27" s="44" t="s">
        <v>87</v>
      </c>
      <c r="X27" s="44" t="s">
        <v>87</v>
      </c>
      <c r="Y27" s="44" t="s">
        <v>87</v>
      </c>
      <c r="Z27" s="44" t="s">
        <v>87</v>
      </c>
      <c r="AA27" s="44" t="s">
        <v>87</v>
      </c>
      <c r="AB27" s="44" t="s">
        <v>87</v>
      </c>
      <c r="AC27" s="44" t="s">
        <v>87</v>
      </c>
      <c r="AD27" s="44" t="s">
        <v>87</v>
      </c>
      <c r="AE27" s="44" t="s">
        <v>87</v>
      </c>
      <c r="AF27" s="44" t="s">
        <v>87</v>
      </c>
      <c r="AG27" s="44" t="s">
        <v>87</v>
      </c>
      <c r="AH27" s="44" t="s">
        <v>87</v>
      </c>
      <c r="AI27"/>
      <c r="AJ27" s="44" t="s">
        <v>87</v>
      </c>
      <c r="AK27" s="44" t="s">
        <v>87</v>
      </c>
      <c r="AL27" s="44" t="s">
        <v>87</v>
      </c>
      <c r="AM27" s="44" t="s">
        <v>87</v>
      </c>
      <c r="AN27" s="44" t="s">
        <v>87</v>
      </c>
      <c r="AO27" s="44" t="s">
        <v>87</v>
      </c>
      <c r="AP27" s="44" t="s">
        <v>87</v>
      </c>
      <c r="AQ27"/>
      <c r="AR27" s="44" t="s">
        <v>87</v>
      </c>
      <c r="AS27" s="44" t="s">
        <v>87</v>
      </c>
      <c r="AT27" s="44" t="s">
        <v>87</v>
      </c>
      <c r="AU27" s="44" t="s">
        <v>87</v>
      </c>
      <c r="AV27"/>
      <c r="AW27" s="44" t="s">
        <v>87</v>
      </c>
      <c r="AX27"/>
      <c r="AY27"/>
      <c r="AZ27" s="44" t="s">
        <v>87</v>
      </c>
    </row>
    <row r="28" spans="1:52" x14ac:dyDescent="0.25">
      <c r="A28" s="9" t="s">
        <v>9</v>
      </c>
      <c r="B28" s="3" t="s">
        <v>473</v>
      </c>
      <c r="C28" s="3" t="s">
        <v>483</v>
      </c>
      <c r="D28" s="3" t="s">
        <v>537</v>
      </c>
      <c r="E28" s="10" t="s">
        <v>132</v>
      </c>
      <c r="F28" s="10" t="s">
        <v>94</v>
      </c>
      <c r="G28" s="44" t="s">
        <v>87</v>
      </c>
      <c r="H28" s="44" t="str">
        <f t="shared" si="1"/>
        <v>False</v>
      </c>
      <c r="I28" s="44" t="s">
        <v>87</v>
      </c>
      <c r="J28" s="44" t="s">
        <v>87</v>
      </c>
      <c r="K28" s="44" t="s">
        <v>87</v>
      </c>
      <c r="L28" s="44" t="s">
        <v>87</v>
      </c>
      <c r="M28" s="44" t="s">
        <v>87</v>
      </c>
      <c r="N28" s="44" t="s">
        <v>87</v>
      </c>
      <c r="O28" s="44" t="s">
        <v>87</v>
      </c>
      <c r="P28" s="44" t="s">
        <v>87</v>
      </c>
      <c r="R28" s="44" t="s">
        <v>87</v>
      </c>
      <c r="S28" s="44" t="s">
        <v>87</v>
      </c>
      <c r="T28" s="44" t="s">
        <v>87</v>
      </c>
      <c r="U28" s="44" t="s">
        <v>87</v>
      </c>
      <c r="X28" s="44" t="s">
        <v>87</v>
      </c>
      <c r="Y28" s="44" t="s">
        <v>87</v>
      </c>
      <c r="Z28" s="44" t="s">
        <v>87</v>
      </c>
      <c r="AA28" s="44" t="s">
        <v>87</v>
      </c>
      <c r="AB28" s="44" t="s">
        <v>87</v>
      </c>
      <c r="AC28" s="44" t="s">
        <v>87</v>
      </c>
      <c r="AD28" s="44" t="s">
        <v>87</v>
      </c>
      <c r="AE28" s="44" t="s">
        <v>87</v>
      </c>
      <c r="AF28" s="44" t="s">
        <v>87</v>
      </c>
      <c r="AG28" s="44" t="s">
        <v>87</v>
      </c>
      <c r="AH28" s="44" t="s">
        <v>87</v>
      </c>
      <c r="AI28"/>
      <c r="AJ28" s="44" t="s">
        <v>87</v>
      </c>
      <c r="AK28" s="44" t="s">
        <v>87</v>
      </c>
      <c r="AL28" s="44" t="s">
        <v>87</v>
      </c>
      <c r="AM28" s="44" t="s">
        <v>87</v>
      </c>
      <c r="AN28" s="44" t="s">
        <v>87</v>
      </c>
      <c r="AO28" s="44" t="s">
        <v>87</v>
      </c>
      <c r="AP28" s="44" t="s">
        <v>87</v>
      </c>
      <c r="AQ28"/>
      <c r="AR28" s="44" t="s">
        <v>87</v>
      </c>
      <c r="AS28" s="44" t="s">
        <v>87</v>
      </c>
      <c r="AT28" s="44" t="s">
        <v>87</v>
      </c>
      <c r="AU28" s="44" t="s">
        <v>87</v>
      </c>
      <c r="AV28"/>
      <c r="AW28" s="44" t="s">
        <v>87</v>
      </c>
      <c r="AX28"/>
      <c r="AY28"/>
      <c r="AZ28" s="44" t="s">
        <v>87</v>
      </c>
    </row>
    <row r="29" spans="1:52" x14ac:dyDescent="0.25">
      <c r="A29" s="9" t="s">
        <v>456</v>
      </c>
      <c r="B29" s="3" t="s">
        <v>473</v>
      </c>
      <c r="C29" s="3" t="s">
        <v>483</v>
      </c>
      <c r="D29" s="3" t="s">
        <v>537</v>
      </c>
      <c r="E29" s="10" t="s">
        <v>457</v>
      </c>
      <c r="F29" s="10" t="s">
        <v>94</v>
      </c>
      <c r="G29" s="44" t="s">
        <v>87</v>
      </c>
      <c r="H29" s="44" t="str">
        <f t="shared" si="1"/>
        <v>False</v>
      </c>
      <c r="I29" s="44" t="s">
        <v>87</v>
      </c>
      <c r="J29" s="44" t="s">
        <v>87</v>
      </c>
      <c r="K29" s="44" t="s">
        <v>87</v>
      </c>
      <c r="L29" s="44" t="s">
        <v>87</v>
      </c>
      <c r="M29" s="44" t="s">
        <v>87</v>
      </c>
      <c r="N29" s="44" t="s">
        <v>87</v>
      </c>
      <c r="O29" s="44" t="s">
        <v>87</v>
      </c>
      <c r="P29" s="44" t="s">
        <v>87</v>
      </c>
      <c r="R29" s="44" t="s">
        <v>87</v>
      </c>
      <c r="S29" s="44" t="s">
        <v>87</v>
      </c>
      <c r="T29" s="44" t="s">
        <v>87</v>
      </c>
      <c r="U29" s="44" t="s">
        <v>87</v>
      </c>
      <c r="X29" s="44" t="s">
        <v>87</v>
      </c>
      <c r="Y29" s="44" t="s">
        <v>87</v>
      </c>
      <c r="Z29" s="44" t="s">
        <v>87</v>
      </c>
      <c r="AA29" s="44" t="s">
        <v>87</v>
      </c>
      <c r="AB29" s="44" t="s">
        <v>87</v>
      </c>
      <c r="AC29" s="44" t="s">
        <v>87</v>
      </c>
      <c r="AD29" s="44" t="s">
        <v>87</v>
      </c>
      <c r="AE29" s="44" t="s">
        <v>87</v>
      </c>
      <c r="AF29" s="44" t="s">
        <v>87</v>
      </c>
      <c r="AG29" s="44" t="s">
        <v>87</v>
      </c>
      <c r="AH29" s="44" t="s">
        <v>87</v>
      </c>
      <c r="AI29"/>
      <c r="AJ29" s="44" t="s">
        <v>87</v>
      </c>
      <c r="AK29" s="44" t="s">
        <v>87</v>
      </c>
      <c r="AL29" s="44" t="s">
        <v>87</v>
      </c>
      <c r="AM29" s="44" t="s">
        <v>87</v>
      </c>
      <c r="AN29" s="44" t="s">
        <v>87</v>
      </c>
      <c r="AO29" s="44" t="s">
        <v>87</v>
      </c>
      <c r="AP29" s="44" t="s">
        <v>87</v>
      </c>
      <c r="AQ29"/>
      <c r="AR29" s="44" t="s">
        <v>87</v>
      </c>
      <c r="AS29" s="44" t="s">
        <v>87</v>
      </c>
      <c r="AT29" s="44" t="s">
        <v>87</v>
      </c>
      <c r="AU29" s="44" t="s">
        <v>87</v>
      </c>
      <c r="AV29"/>
      <c r="AW29" s="44" t="s">
        <v>87</v>
      </c>
      <c r="AX29"/>
      <c r="AY29"/>
      <c r="AZ29" s="44" t="s">
        <v>87</v>
      </c>
    </row>
    <row r="30" spans="1:52" x14ac:dyDescent="0.25">
      <c r="A30" s="13" t="s">
        <v>21</v>
      </c>
      <c r="B30" s="3" t="s">
        <v>473</v>
      </c>
      <c r="C30" s="3" t="s">
        <v>483</v>
      </c>
      <c r="D30" s="3" t="s">
        <v>537</v>
      </c>
      <c r="E30" s="14" t="s">
        <v>137</v>
      </c>
      <c r="F30" s="14" t="s">
        <v>94</v>
      </c>
      <c r="G30" s="44" t="s">
        <v>86</v>
      </c>
      <c r="H30" s="44" t="str">
        <f t="shared" si="1"/>
        <v>True</v>
      </c>
      <c r="I30" s="44" t="s">
        <v>86</v>
      </c>
      <c r="J30" s="44" t="s">
        <v>86</v>
      </c>
      <c r="K30" s="44" t="s">
        <v>86</v>
      </c>
      <c r="L30" s="44" t="s">
        <v>86</v>
      </c>
      <c r="M30" s="44" t="s">
        <v>86</v>
      </c>
      <c r="N30" s="44" t="s">
        <v>86</v>
      </c>
      <c r="O30" s="44" t="s">
        <v>86</v>
      </c>
      <c r="P30" s="44" t="s">
        <v>86</v>
      </c>
      <c r="R30" s="44" t="s">
        <v>86</v>
      </c>
      <c r="S30" s="44" t="s">
        <v>86</v>
      </c>
      <c r="T30" s="44" t="s">
        <v>86</v>
      </c>
      <c r="U30" s="44" t="s">
        <v>86</v>
      </c>
      <c r="X30" s="44" t="s">
        <v>86</v>
      </c>
      <c r="Y30" s="44" t="s">
        <v>86</v>
      </c>
      <c r="Z30" s="44" t="s">
        <v>86</v>
      </c>
      <c r="AA30" s="44" t="s">
        <v>86</v>
      </c>
      <c r="AB30" s="44" t="s">
        <v>86</v>
      </c>
      <c r="AC30" s="44" t="s">
        <v>86</v>
      </c>
      <c r="AD30" s="44" t="s">
        <v>86</v>
      </c>
      <c r="AE30" s="44" t="s">
        <v>86</v>
      </c>
      <c r="AF30" s="44" t="s">
        <v>86</v>
      </c>
      <c r="AG30" s="44" t="s">
        <v>86</v>
      </c>
      <c r="AH30" s="44" t="s">
        <v>86</v>
      </c>
      <c r="AI30"/>
      <c r="AJ30" s="44" t="s">
        <v>86</v>
      </c>
      <c r="AK30" s="44" t="s">
        <v>86</v>
      </c>
      <c r="AL30" s="44" t="s">
        <v>86</v>
      </c>
      <c r="AM30" s="44" t="s">
        <v>86</v>
      </c>
      <c r="AN30" s="44" t="s">
        <v>86</v>
      </c>
      <c r="AO30" s="44" t="s">
        <v>86</v>
      </c>
      <c r="AP30" s="44" t="s">
        <v>86</v>
      </c>
      <c r="AQ30"/>
      <c r="AR30" s="44" t="s">
        <v>86</v>
      </c>
      <c r="AS30" s="44" t="s">
        <v>86</v>
      </c>
      <c r="AT30" s="44" t="s">
        <v>86</v>
      </c>
      <c r="AU30" s="44" t="s">
        <v>86</v>
      </c>
      <c r="AV30"/>
      <c r="AW30" s="44" t="s">
        <v>86</v>
      </c>
      <c r="AX30"/>
      <c r="AY30"/>
      <c r="AZ30" s="44" t="s">
        <v>86</v>
      </c>
    </row>
    <row r="31" spans="1:52" x14ac:dyDescent="0.25">
      <c r="A31" s="13" t="s">
        <v>22</v>
      </c>
      <c r="B31" s="3" t="s">
        <v>473</v>
      </c>
      <c r="C31" s="3" t="s">
        <v>483</v>
      </c>
      <c r="D31" s="3" t="s">
        <v>537</v>
      </c>
      <c r="E31" s="14" t="s">
        <v>124</v>
      </c>
      <c r="F31" s="14" t="s">
        <v>91</v>
      </c>
      <c r="G31" s="44" t="s">
        <v>382</v>
      </c>
      <c r="H31" s="44" t="str">
        <f t="shared" si="1"/>
        <v>total_exchange_surface_with_soil_solution</v>
      </c>
      <c r="I31" s="45" t="s">
        <v>436</v>
      </c>
      <c r="J31" s="45" t="s">
        <v>436</v>
      </c>
      <c r="K31" s="45" t="s">
        <v>436</v>
      </c>
      <c r="L31" s="45" t="s">
        <v>436</v>
      </c>
      <c r="M31" s="45" t="s">
        <v>436</v>
      </c>
      <c r="N31" s="45" t="s">
        <v>436</v>
      </c>
      <c r="O31" s="45" t="s">
        <v>436</v>
      </c>
      <c r="P31" s="45" t="s">
        <v>436</v>
      </c>
      <c r="R31" s="45" t="s">
        <v>436</v>
      </c>
      <c r="S31" s="45" t="s">
        <v>436</v>
      </c>
      <c r="T31" s="45" t="s">
        <v>436</v>
      </c>
      <c r="U31" s="45" t="s">
        <v>436</v>
      </c>
      <c r="X31" s="45" t="s">
        <v>436</v>
      </c>
      <c r="Y31" s="45" t="s">
        <v>436</v>
      </c>
      <c r="Z31" s="45" t="s">
        <v>436</v>
      </c>
      <c r="AA31" s="45" t="s">
        <v>436</v>
      </c>
      <c r="AB31" s="45" t="s">
        <v>436</v>
      </c>
      <c r="AC31" s="45" t="s">
        <v>436</v>
      </c>
      <c r="AD31" s="45" t="s">
        <v>436</v>
      </c>
      <c r="AE31" s="45" t="s">
        <v>436</v>
      </c>
      <c r="AF31" s="45" t="s">
        <v>436</v>
      </c>
      <c r="AG31" s="45" t="s">
        <v>436</v>
      </c>
      <c r="AH31" s="45" t="s">
        <v>436</v>
      </c>
      <c r="AI31"/>
      <c r="AJ31" s="45" t="s">
        <v>436</v>
      </c>
      <c r="AK31" s="45" t="s">
        <v>436</v>
      </c>
      <c r="AL31" s="45" t="s">
        <v>436</v>
      </c>
      <c r="AM31" s="45" t="s">
        <v>436</v>
      </c>
      <c r="AN31" s="45" t="s">
        <v>436</v>
      </c>
      <c r="AO31" s="45" t="s">
        <v>436</v>
      </c>
      <c r="AP31" s="45" t="s">
        <v>436</v>
      </c>
      <c r="AQ31"/>
      <c r="AR31" s="45" t="s">
        <v>436</v>
      </c>
      <c r="AS31" s="45" t="s">
        <v>436</v>
      </c>
      <c r="AT31" s="45" t="s">
        <v>436</v>
      </c>
      <c r="AU31" s="45" t="s">
        <v>436</v>
      </c>
      <c r="AV31"/>
      <c r="AW31" s="45" t="s">
        <v>436</v>
      </c>
      <c r="AX31"/>
      <c r="AY31"/>
      <c r="AZ31" s="45" t="s">
        <v>436</v>
      </c>
    </row>
    <row r="32" spans="1:52" x14ac:dyDescent="0.25">
      <c r="A32" s="13" t="s">
        <v>23</v>
      </c>
      <c r="B32" s="3" t="s">
        <v>473</v>
      </c>
      <c r="C32" s="3" t="s">
        <v>483</v>
      </c>
      <c r="D32" s="3" t="s">
        <v>537</v>
      </c>
      <c r="E32" s="14" t="s">
        <v>125</v>
      </c>
      <c r="F32" s="14" t="s">
        <v>99</v>
      </c>
      <c r="G32" s="44">
        <v>9.9999999999999995E-7</v>
      </c>
      <c r="H32" s="44">
        <f t="shared" si="1"/>
        <v>9.9999999999999995E-7</v>
      </c>
      <c r="I32" s="44">
        <v>9.9999999999999995E-7</v>
      </c>
      <c r="J32" s="44">
        <v>9.9999999999999995E-7</v>
      </c>
      <c r="K32" s="44">
        <v>9.9999999999999995E-7</v>
      </c>
      <c r="L32" s="44">
        <v>9.9999999999999995E-7</v>
      </c>
      <c r="M32" s="44">
        <v>9.9999999999999995E-7</v>
      </c>
      <c r="N32" s="44">
        <v>9.9999999999999995E-7</v>
      </c>
      <c r="O32" s="44">
        <v>9.9999999999999995E-7</v>
      </c>
      <c r="P32" s="44">
        <v>9.9999999999999995E-7</v>
      </c>
      <c r="R32" s="44">
        <v>9.9999999999999995E-7</v>
      </c>
      <c r="S32" s="44">
        <v>9.9999999999999995E-7</v>
      </c>
      <c r="T32" s="44">
        <v>9.9999999999999995E-7</v>
      </c>
      <c r="U32" s="44">
        <v>9.9999999999999995E-7</v>
      </c>
      <c r="X32" s="44">
        <v>9.9999999999999995E-7</v>
      </c>
      <c r="Y32" s="44">
        <v>9.9999999999999995E-7</v>
      </c>
      <c r="Z32" s="44">
        <v>9.9999999999999995E-7</v>
      </c>
      <c r="AA32" s="44">
        <v>9.9999999999999995E-7</v>
      </c>
      <c r="AB32" s="44">
        <v>9.9999999999999995E-7</v>
      </c>
      <c r="AC32" s="44">
        <v>9.9999999999999995E-7</v>
      </c>
      <c r="AD32" s="44">
        <v>9.9999999999999995E-7</v>
      </c>
      <c r="AE32" s="44">
        <v>9.9999999999999995E-7</v>
      </c>
      <c r="AF32" s="44">
        <v>9.9999999999999995E-7</v>
      </c>
      <c r="AG32" s="44">
        <v>9.9999999999999995E-7</v>
      </c>
      <c r="AH32" s="44">
        <v>9.9999999999999995E-7</v>
      </c>
      <c r="AI32"/>
      <c r="AJ32" s="44">
        <v>9.9999999999999995E-7</v>
      </c>
      <c r="AK32" s="44">
        <v>9.9999999999999995E-7</v>
      </c>
      <c r="AL32" s="44">
        <v>9.9999999999999995E-7</v>
      </c>
      <c r="AM32" s="44">
        <v>9.9999999999999995E-7</v>
      </c>
      <c r="AN32" s="44">
        <v>9.9999999999999995E-7</v>
      </c>
      <c r="AO32" s="44">
        <v>9.9999999999999995E-7</v>
      </c>
      <c r="AP32" s="44">
        <v>9.9999999999999995E-7</v>
      </c>
      <c r="AQ32"/>
      <c r="AR32" s="44">
        <v>9.9999999999999995E-7</v>
      </c>
      <c r="AS32" s="44">
        <v>9.9999999999999995E-7</v>
      </c>
      <c r="AT32" s="44">
        <v>9.9999999999999995E-7</v>
      </c>
      <c r="AU32" s="44">
        <v>9.9999999999999995E-7</v>
      </c>
      <c r="AV32"/>
      <c r="AW32" s="44">
        <v>9.9999999999999995E-7</v>
      </c>
      <c r="AX32"/>
      <c r="AY32"/>
      <c r="AZ32" s="44">
        <v>9.9999999999999995E-7</v>
      </c>
    </row>
    <row r="33" spans="1:52" x14ac:dyDescent="0.25">
      <c r="A33" s="13" t="s">
        <v>24</v>
      </c>
      <c r="B33" s="3" t="s">
        <v>473</v>
      </c>
      <c r="C33" s="3" t="s">
        <v>483</v>
      </c>
      <c r="D33" s="3" t="s">
        <v>537</v>
      </c>
      <c r="E33" s="14" t="s">
        <v>126</v>
      </c>
      <c r="F33" s="14" t="s">
        <v>99</v>
      </c>
      <c r="G33" s="44">
        <v>2.0000000000000001E-4</v>
      </c>
      <c r="H33" s="44">
        <f t="shared" si="1"/>
        <v>2.0000000000000001E-4</v>
      </c>
      <c r="I33" s="44">
        <v>1E-3</v>
      </c>
      <c r="J33" s="44">
        <v>1E-3</v>
      </c>
      <c r="K33" s="44">
        <v>1E-3</v>
      </c>
      <c r="L33" s="44">
        <v>1E-3</v>
      </c>
      <c r="M33" s="44">
        <v>1E-3</v>
      </c>
      <c r="N33" s="44">
        <v>1E-3</v>
      </c>
      <c r="O33" s="44">
        <v>1E-3</v>
      </c>
      <c r="P33" s="44">
        <v>1E-3</v>
      </c>
      <c r="R33" s="44">
        <v>1E-3</v>
      </c>
      <c r="S33" s="44">
        <v>1E-3</v>
      </c>
      <c r="T33" s="44">
        <v>1E-3</v>
      </c>
      <c r="U33" s="44">
        <v>1E-3</v>
      </c>
      <c r="X33" s="44">
        <v>1E-3</v>
      </c>
      <c r="Y33" s="44">
        <v>1E-3</v>
      </c>
      <c r="Z33" s="44">
        <v>1E-3</v>
      </c>
      <c r="AA33" s="44">
        <v>1E-3</v>
      </c>
      <c r="AB33" s="44">
        <v>1E-3</v>
      </c>
      <c r="AC33" s="44">
        <v>1E-3</v>
      </c>
      <c r="AD33" s="44">
        <v>1E-3</v>
      </c>
      <c r="AE33" s="44">
        <v>1E-3</v>
      </c>
      <c r="AF33" s="44">
        <v>1E-3</v>
      </c>
      <c r="AG33" s="44">
        <v>1E-3</v>
      </c>
      <c r="AH33" s="44">
        <v>1E-3</v>
      </c>
      <c r="AI33"/>
      <c r="AJ33" s="44">
        <v>1E-3</v>
      </c>
      <c r="AK33" s="44">
        <v>1E-3</v>
      </c>
      <c r="AL33" s="44">
        <v>1E-3</v>
      </c>
      <c r="AM33" s="44">
        <v>1E-3</v>
      </c>
      <c r="AN33" s="44">
        <v>1E-3</v>
      </c>
      <c r="AO33" s="44">
        <v>1E-3</v>
      </c>
      <c r="AP33" s="44">
        <v>1E-3</v>
      </c>
      <c r="AQ33"/>
      <c r="AR33" s="44">
        <v>1E-3</v>
      </c>
      <c r="AS33" s="44">
        <v>1E-3</v>
      </c>
      <c r="AT33" s="44">
        <v>1E-3</v>
      </c>
      <c r="AU33" s="44">
        <v>1E-3</v>
      </c>
      <c r="AV33"/>
      <c r="AW33" s="44">
        <v>1E-3</v>
      </c>
      <c r="AX33"/>
      <c r="AY33"/>
      <c r="AZ33" s="44">
        <v>1E-3</v>
      </c>
    </row>
    <row r="34" spans="1:52" x14ac:dyDescent="0.25">
      <c r="A34" s="13" t="s">
        <v>25</v>
      </c>
      <c r="B34" s="3" t="s">
        <v>473</v>
      </c>
      <c r="C34" s="3" t="s">
        <v>483</v>
      </c>
      <c r="D34" s="3" t="s">
        <v>537</v>
      </c>
      <c r="E34" s="14" t="s">
        <v>138</v>
      </c>
      <c r="F34" s="14" t="s">
        <v>94</v>
      </c>
      <c r="G34" s="44" t="s">
        <v>86</v>
      </c>
      <c r="H34" s="44" t="str">
        <f t="shared" si="1"/>
        <v>True</v>
      </c>
      <c r="I34" s="44" t="s">
        <v>86</v>
      </c>
      <c r="J34" s="44" t="s">
        <v>86</v>
      </c>
      <c r="K34" s="44" t="s">
        <v>86</v>
      </c>
      <c r="L34" s="44" t="s">
        <v>86</v>
      </c>
      <c r="M34" s="44" t="s">
        <v>86</v>
      </c>
      <c r="N34" s="44" t="s">
        <v>86</v>
      </c>
      <c r="O34" s="44" t="s">
        <v>86</v>
      </c>
      <c r="P34" s="44" t="s">
        <v>86</v>
      </c>
      <c r="R34" s="44" t="s">
        <v>86</v>
      </c>
      <c r="S34" s="44" t="s">
        <v>86</v>
      </c>
      <c r="T34" s="44" t="s">
        <v>86</v>
      </c>
      <c r="U34" s="44" t="s">
        <v>86</v>
      </c>
      <c r="X34" s="44" t="s">
        <v>86</v>
      </c>
      <c r="Y34" s="44" t="s">
        <v>86</v>
      </c>
      <c r="Z34" s="44" t="s">
        <v>86</v>
      </c>
      <c r="AA34" s="44" t="s">
        <v>86</v>
      </c>
      <c r="AB34" s="44" t="s">
        <v>86</v>
      </c>
      <c r="AC34" s="44" t="s">
        <v>86</v>
      </c>
      <c r="AD34" s="44" t="s">
        <v>86</v>
      </c>
      <c r="AE34" s="44" t="s">
        <v>86</v>
      </c>
      <c r="AF34" s="44" t="s">
        <v>86</v>
      </c>
      <c r="AG34" s="44" t="s">
        <v>86</v>
      </c>
      <c r="AH34" s="44" t="s">
        <v>86</v>
      </c>
      <c r="AI34"/>
      <c r="AJ34" s="44" t="s">
        <v>86</v>
      </c>
      <c r="AK34" s="44" t="s">
        <v>86</v>
      </c>
      <c r="AL34" s="44" t="s">
        <v>86</v>
      </c>
      <c r="AM34" s="44" t="s">
        <v>86</v>
      </c>
      <c r="AN34" s="44" t="s">
        <v>86</v>
      </c>
      <c r="AO34" s="44" t="s">
        <v>86</v>
      </c>
      <c r="AP34" s="44" t="s">
        <v>86</v>
      </c>
      <c r="AQ34"/>
      <c r="AR34" s="44" t="s">
        <v>86</v>
      </c>
      <c r="AS34" s="44" t="s">
        <v>86</v>
      </c>
      <c r="AT34" s="44" t="s">
        <v>86</v>
      </c>
      <c r="AU34" s="44" t="s">
        <v>86</v>
      </c>
      <c r="AV34"/>
      <c r="AW34" s="44" t="s">
        <v>86</v>
      </c>
      <c r="AX34"/>
      <c r="AY34"/>
      <c r="AZ34" s="44" t="s">
        <v>86</v>
      </c>
    </row>
    <row r="35" spans="1:52" x14ac:dyDescent="0.25">
      <c r="A35" s="13" t="s">
        <v>26</v>
      </c>
      <c r="B35" s="3" t="s">
        <v>473</v>
      </c>
      <c r="C35" s="3" t="s">
        <v>483</v>
      </c>
      <c r="D35" s="3" t="s">
        <v>537</v>
      </c>
      <c r="E35" s="14" t="s">
        <v>127</v>
      </c>
      <c r="F35" s="14" t="s">
        <v>91</v>
      </c>
      <c r="G35" s="44" t="s">
        <v>88</v>
      </c>
      <c r="H35" s="44" t="str">
        <f t="shared" si="1"/>
        <v>jet</v>
      </c>
      <c r="I35" s="44" t="s">
        <v>88</v>
      </c>
      <c r="J35" s="44" t="s">
        <v>88</v>
      </c>
      <c r="K35" s="44" t="s">
        <v>88</v>
      </c>
      <c r="L35" s="44" t="s">
        <v>88</v>
      </c>
      <c r="M35" s="44" t="s">
        <v>88</v>
      </c>
      <c r="N35" s="44" t="s">
        <v>88</v>
      </c>
      <c r="O35" s="44" t="s">
        <v>88</v>
      </c>
      <c r="P35" s="44" t="s">
        <v>88</v>
      </c>
      <c r="R35" s="44" t="s">
        <v>88</v>
      </c>
      <c r="S35" s="44" t="s">
        <v>88</v>
      </c>
      <c r="T35" s="44" t="s">
        <v>88</v>
      </c>
      <c r="U35" s="44" t="s">
        <v>88</v>
      </c>
      <c r="X35" s="44" t="s">
        <v>88</v>
      </c>
      <c r="Y35" s="44" t="s">
        <v>88</v>
      </c>
      <c r="Z35" s="44" t="s">
        <v>88</v>
      </c>
      <c r="AA35" s="44" t="s">
        <v>88</v>
      </c>
      <c r="AB35" s="44" t="s">
        <v>88</v>
      </c>
      <c r="AC35" s="44" t="s">
        <v>88</v>
      </c>
      <c r="AD35" s="44" t="s">
        <v>88</v>
      </c>
      <c r="AE35" s="44" t="s">
        <v>88</v>
      </c>
      <c r="AF35" s="44" t="s">
        <v>88</v>
      </c>
      <c r="AG35" s="44" t="s">
        <v>88</v>
      </c>
      <c r="AH35" s="44" t="s">
        <v>88</v>
      </c>
      <c r="AI35"/>
      <c r="AJ35" s="44" t="s">
        <v>88</v>
      </c>
      <c r="AK35" s="44" t="s">
        <v>88</v>
      </c>
      <c r="AL35" s="44" t="s">
        <v>88</v>
      </c>
      <c r="AM35" s="44" t="s">
        <v>88</v>
      </c>
      <c r="AN35" s="44" t="s">
        <v>88</v>
      </c>
      <c r="AO35" s="44" t="s">
        <v>88</v>
      </c>
      <c r="AP35" s="44" t="s">
        <v>88</v>
      </c>
      <c r="AQ35"/>
      <c r="AR35" s="44" t="s">
        <v>88</v>
      </c>
      <c r="AS35" s="44" t="s">
        <v>88</v>
      </c>
      <c r="AT35" s="44" t="s">
        <v>88</v>
      </c>
      <c r="AU35" s="44" t="s">
        <v>88</v>
      </c>
      <c r="AV35"/>
      <c r="AW35" s="44" t="s">
        <v>88</v>
      </c>
      <c r="AX35"/>
      <c r="AY35"/>
      <c r="AZ35" s="44" t="s">
        <v>88</v>
      </c>
    </row>
    <row r="36" spans="1:52" x14ac:dyDescent="0.25">
      <c r="A36" s="13" t="s">
        <v>27</v>
      </c>
      <c r="B36" s="3" t="s">
        <v>473</v>
      </c>
      <c r="C36" s="3" t="s">
        <v>483</v>
      </c>
      <c r="D36" s="3" t="s">
        <v>537</v>
      </c>
      <c r="E36" s="14" t="s">
        <v>128</v>
      </c>
      <c r="F36" s="14" t="s">
        <v>94</v>
      </c>
      <c r="G36" s="44" t="s">
        <v>86</v>
      </c>
      <c r="H36" s="44" t="str">
        <f t="shared" si="1"/>
        <v>True</v>
      </c>
      <c r="I36" s="44" t="s">
        <v>86</v>
      </c>
      <c r="J36" s="44" t="s">
        <v>86</v>
      </c>
      <c r="K36" s="44" t="s">
        <v>86</v>
      </c>
      <c r="L36" s="44" t="s">
        <v>86</v>
      </c>
      <c r="M36" s="44" t="s">
        <v>86</v>
      </c>
      <c r="N36" s="44" t="s">
        <v>86</v>
      </c>
      <c r="O36" s="44" t="s">
        <v>86</v>
      </c>
      <c r="P36" s="44" t="s">
        <v>86</v>
      </c>
      <c r="R36" s="44" t="s">
        <v>86</v>
      </c>
      <c r="S36" s="44" t="s">
        <v>86</v>
      </c>
      <c r="T36" s="44" t="s">
        <v>86</v>
      </c>
      <c r="U36" s="44" t="s">
        <v>86</v>
      </c>
      <c r="X36" s="44" t="s">
        <v>86</v>
      </c>
      <c r="Y36" s="44" t="s">
        <v>86</v>
      </c>
      <c r="Z36" s="44" t="s">
        <v>86</v>
      </c>
      <c r="AA36" s="44" t="s">
        <v>86</v>
      </c>
      <c r="AB36" s="44" t="s">
        <v>86</v>
      </c>
      <c r="AC36" s="44" t="s">
        <v>86</v>
      </c>
      <c r="AD36" s="44" t="s">
        <v>86</v>
      </c>
      <c r="AE36" s="44" t="s">
        <v>86</v>
      </c>
      <c r="AF36" s="44" t="s">
        <v>86</v>
      </c>
      <c r="AG36" s="44" t="s">
        <v>86</v>
      </c>
      <c r="AH36" s="44" t="s">
        <v>86</v>
      </c>
      <c r="AI36"/>
      <c r="AJ36" s="44" t="s">
        <v>86</v>
      </c>
      <c r="AK36" s="44" t="s">
        <v>86</v>
      </c>
      <c r="AL36" s="44" t="s">
        <v>86</v>
      </c>
      <c r="AM36" s="44" t="s">
        <v>86</v>
      </c>
      <c r="AN36" s="44" t="s">
        <v>86</v>
      </c>
      <c r="AO36" s="44" t="s">
        <v>86</v>
      </c>
      <c r="AP36" s="44" t="s">
        <v>86</v>
      </c>
      <c r="AQ36"/>
      <c r="AR36" s="44" t="s">
        <v>86</v>
      </c>
      <c r="AS36" s="44" t="s">
        <v>86</v>
      </c>
      <c r="AT36" s="44" t="s">
        <v>86</v>
      </c>
      <c r="AU36" s="44" t="s">
        <v>86</v>
      </c>
      <c r="AV36"/>
      <c r="AW36" s="44" t="s">
        <v>86</v>
      </c>
      <c r="AX36"/>
      <c r="AY36"/>
      <c r="AZ36" s="44" t="s">
        <v>86</v>
      </c>
    </row>
    <row r="37" spans="1:52" x14ac:dyDescent="0.25">
      <c r="A37" s="13" t="s">
        <v>28</v>
      </c>
      <c r="B37" s="3" t="s">
        <v>473</v>
      </c>
      <c r="C37" s="3" t="s">
        <v>483</v>
      </c>
      <c r="D37" s="3" t="s">
        <v>537</v>
      </c>
      <c r="E37" s="14" t="s">
        <v>140</v>
      </c>
      <c r="F37" s="14" t="s">
        <v>94</v>
      </c>
      <c r="G37" s="44" t="s">
        <v>87</v>
      </c>
      <c r="H37" s="44" t="str">
        <f t="shared" si="1"/>
        <v>False</v>
      </c>
      <c r="I37" s="44" t="s">
        <v>87</v>
      </c>
      <c r="J37" s="44" t="s">
        <v>87</v>
      </c>
      <c r="K37" s="44" t="s">
        <v>87</v>
      </c>
      <c r="L37" s="44" t="s">
        <v>87</v>
      </c>
      <c r="M37" s="44" t="s">
        <v>87</v>
      </c>
      <c r="N37" s="44" t="s">
        <v>87</v>
      </c>
      <c r="O37" s="44" t="s">
        <v>87</v>
      </c>
      <c r="P37" s="44" t="s">
        <v>87</v>
      </c>
      <c r="R37" s="44" t="s">
        <v>87</v>
      </c>
      <c r="S37" s="44" t="s">
        <v>87</v>
      </c>
      <c r="T37" s="44" t="s">
        <v>87</v>
      </c>
      <c r="U37" s="44" t="s">
        <v>87</v>
      </c>
      <c r="X37" s="44" t="s">
        <v>87</v>
      </c>
      <c r="Y37" s="44" t="s">
        <v>87</v>
      </c>
      <c r="Z37" s="44" t="s">
        <v>87</v>
      </c>
      <c r="AA37" s="44" t="s">
        <v>87</v>
      </c>
      <c r="AB37" s="44" t="s">
        <v>87</v>
      </c>
      <c r="AC37" s="44" t="s">
        <v>87</v>
      </c>
      <c r="AD37" s="44" t="s">
        <v>87</v>
      </c>
      <c r="AE37" s="44" t="s">
        <v>87</v>
      </c>
      <c r="AF37" s="44" t="s">
        <v>87</v>
      </c>
      <c r="AG37" s="44" t="s">
        <v>87</v>
      </c>
      <c r="AH37" s="44" t="s">
        <v>87</v>
      </c>
      <c r="AI37"/>
      <c r="AJ37" s="44" t="s">
        <v>87</v>
      </c>
      <c r="AK37" s="44" t="s">
        <v>87</v>
      </c>
      <c r="AL37" s="44" t="s">
        <v>87</v>
      </c>
      <c r="AM37" s="44" t="s">
        <v>87</v>
      </c>
      <c r="AN37" s="44" t="s">
        <v>87</v>
      </c>
      <c r="AO37" s="44" t="s">
        <v>87</v>
      </c>
      <c r="AP37" s="44" t="s">
        <v>87</v>
      </c>
      <c r="AQ37"/>
      <c r="AR37" s="44" t="s">
        <v>87</v>
      </c>
      <c r="AS37" s="44" t="s">
        <v>87</v>
      </c>
      <c r="AT37" s="44" t="s">
        <v>87</v>
      </c>
      <c r="AU37" s="44" t="s">
        <v>87</v>
      </c>
      <c r="AV37"/>
      <c r="AW37" s="44" t="s">
        <v>87</v>
      </c>
      <c r="AX37"/>
      <c r="AY37"/>
      <c r="AZ37" s="44" t="s">
        <v>87</v>
      </c>
    </row>
    <row r="38" spans="1:52" x14ac:dyDescent="0.25">
      <c r="A38" s="13" t="s">
        <v>29</v>
      </c>
      <c r="B38" s="3" t="s">
        <v>473</v>
      </c>
      <c r="C38" s="3" t="s">
        <v>483</v>
      </c>
      <c r="D38" s="3" t="s">
        <v>537</v>
      </c>
      <c r="E38" s="14" t="s">
        <v>141</v>
      </c>
      <c r="F38" s="14" t="s">
        <v>95</v>
      </c>
      <c r="G38" s="44">
        <v>120</v>
      </c>
      <c r="H38" s="44">
        <f t="shared" si="1"/>
        <v>120</v>
      </c>
      <c r="I38" s="44">
        <v>120</v>
      </c>
      <c r="J38" s="44">
        <v>120</v>
      </c>
      <c r="K38" s="44">
        <v>120</v>
      </c>
      <c r="L38" s="44">
        <v>120</v>
      </c>
      <c r="M38" s="44">
        <v>120</v>
      </c>
      <c r="N38" s="44">
        <v>120</v>
      </c>
      <c r="O38" s="44">
        <v>120</v>
      </c>
      <c r="P38" s="44">
        <v>120</v>
      </c>
      <c r="R38" s="44">
        <v>120</v>
      </c>
      <c r="S38" s="44">
        <v>120</v>
      </c>
      <c r="T38" s="44">
        <v>120</v>
      </c>
      <c r="U38" s="44">
        <v>120</v>
      </c>
      <c r="X38" s="44">
        <v>120</v>
      </c>
      <c r="Y38" s="44">
        <v>120</v>
      </c>
      <c r="Z38" s="44">
        <v>120</v>
      </c>
      <c r="AA38" s="44">
        <v>120</v>
      </c>
      <c r="AB38" s="44">
        <v>120</v>
      </c>
      <c r="AC38" s="44">
        <v>120</v>
      </c>
      <c r="AD38" s="44">
        <v>120</v>
      </c>
      <c r="AE38" s="44">
        <v>120</v>
      </c>
      <c r="AF38" s="44">
        <v>120</v>
      </c>
      <c r="AG38" s="44">
        <v>120</v>
      </c>
      <c r="AH38" s="44">
        <v>120</v>
      </c>
      <c r="AI38"/>
      <c r="AJ38" s="44">
        <v>120</v>
      </c>
      <c r="AK38" s="44">
        <v>120</v>
      </c>
      <c r="AL38" s="44">
        <v>120</v>
      </c>
      <c r="AM38" s="44">
        <v>120</v>
      </c>
      <c r="AN38" s="44">
        <v>120</v>
      </c>
      <c r="AO38" s="44">
        <v>120</v>
      </c>
      <c r="AP38" s="44">
        <v>120</v>
      </c>
      <c r="AQ38"/>
      <c r="AR38" s="44">
        <v>120</v>
      </c>
      <c r="AS38" s="44">
        <v>120</v>
      </c>
      <c r="AT38" s="44">
        <v>120</v>
      </c>
      <c r="AU38" s="44">
        <v>120</v>
      </c>
      <c r="AV38"/>
      <c r="AW38" s="44">
        <v>120</v>
      </c>
      <c r="AX38"/>
      <c r="AY38"/>
      <c r="AZ38" s="44">
        <v>120</v>
      </c>
    </row>
    <row r="39" spans="1:52" x14ac:dyDescent="0.25">
      <c r="A39" s="13" t="s">
        <v>30</v>
      </c>
      <c r="B39" s="3" t="s">
        <v>473</v>
      </c>
      <c r="C39" s="3" t="s">
        <v>483</v>
      </c>
      <c r="D39" s="3" t="s">
        <v>537</v>
      </c>
      <c r="E39" s="14" t="s">
        <v>142</v>
      </c>
      <c r="F39" s="14" t="s">
        <v>98</v>
      </c>
      <c r="G39" s="44">
        <v>0</v>
      </c>
      <c r="H39" s="44">
        <f t="shared" si="1"/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R39" s="44">
        <v>0</v>
      </c>
      <c r="S39" s="44">
        <v>0</v>
      </c>
      <c r="T39" s="44">
        <v>0</v>
      </c>
      <c r="U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/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/>
      <c r="AR39" s="44">
        <v>0</v>
      </c>
      <c r="AS39" s="44">
        <v>0</v>
      </c>
      <c r="AT39" s="44">
        <v>0</v>
      </c>
      <c r="AU39" s="44">
        <v>0</v>
      </c>
      <c r="AV39"/>
      <c r="AW39" s="44">
        <v>0</v>
      </c>
      <c r="AX39"/>
      <c r="AY39"/>
      <c r="AZ39" s="44">
        <v>0</v>
      </c>
    </row>
    <row r="40" spans="1:52" x14ac:dyDescent="0.25">
      <c r="A40" s="13" t="s">
        <v>31</v>
      </c>
      <c r="B40" s="3" t="s">
        <v>473</v>
      </c>
      <c r="C40" s="3" t="s">
        <v>483</v>
      </c>
      <c r="D40" s="3" t="s">
        <v>537</v>
      </c>
      <c r="E40" s="14" t="s">
        <v>143</v>
      </c>
      <c r="F40" s="14" t="s">
        <v>98</v>
      </c>
      <c r="G40" s="44">
        <v>0</v>
      </c>
      <c r="H40" s="44">
        <f t="shared" si="1"/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R40" s="44">
        <v>0</v>
      </c>
      <c r="S40" s="44">
        <v>0</v>
      </c>
      <c r="T40" s="44">
        <v>0</v>
      </c>
      <c r="U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/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/>
      <c r="AR40" s="44">
        <v>0</v>
      </c>
      <c r="AS40" s="44">
        <v>0</v>
      </c>
      <c r="AT40" s="44">
        <v>0</v>
      </c>
      <c r="AU40" s="44">
        <v>0</v>
      </c>
      <c r="AV40"/>
      <c r="AW40" s="44">
        <v>0</v>
      </c>
      <c r="AX40"/>
      <c r="AY40"/>
      <c r="AZ40" s="44">
        <v>0</v>
      </c>
    </row>
    <row r="41" spans="1:52" x14ac:dyDescent="0.25">
      <c r="A41" s="13" t="s">
        <v>32</v>
      </c>
      <c r="B41" s="3" t="s">
        <v>473</v>
      </c>
      <c r="C41" s="3" t="s">
        <v>483</v>
      </c>
      <c r="D41" s="3" t="s">
        <v>537</v>
      </c>
      <c r="E41" s="14" t="s">
        <v>144</v>
      </c>
      <c r="F41" s="14" t="s">
        <v>98</v>
      </c>
      <c r="G41" s="44">
        <v>-0.1</v>
      </c>
      <c r="H41" s="44">
        <f t="shared" si="1"/>
        <v>-0.1</v>
      </c>
      <c r="I41" s="44">
        <v>-0.1</v>
      </c>
      <c r="J41" s="44">
        <v>-0.1</v>
      </c>
      <c r="K41" s="44">
        <v>-0.1</v>
      </c>
      <c r="L41" s="44">
        <v>-0.1</v>
      </c>
      <c r="M41" s="44">
        <v>-0.1</v>
      </c>
      <c r="N41" s="44">
        <v>-0.1</v>
      </c>
      <c r="O41" s="44">
        <v>-0.1</v>
      </c>
      <c r="P41" s="44">
        <v>-0.1</v>
      </c>
      <c r="R41" s="44">
        <v>-0.1</v>
      </c>
      <c r="S41" s="44">
        <v>-0.1</v>
      </c>
      <c r="T41" s="44">
        <v>-0.1</v>
      </c>
      <c r="U41" s="44">
        <v>-0.1</v>
      </c>
      <c r="X41" s="44">
        <v>-0.1</v>
      </c>
      <c r="Y41" s="44">
        <v>-0.1</v>
      </c>
      <c r="Z41" s="44">
        <v>-0.1</v>
      </c>
      <c r="AA41" s="44">
        <v>-0.1</v>
      </c>
      <c r="AB41" s="44">
        <v>-0.1</v>
      </c>
      <c r="AC41" s="44">
        <v>-0.1</v>
      </c>
      <c r="AD41" s="44">
        <v>-0.1</v>
      </c>
      <c r="AE41" s="44">
        <v>-0.1</v>
      </c>
      <c r="AF41" s="44">
        <v>-0.1</v>
      </c>
      <c r="AG41" s="44">
        <v>-0.1</v>
      </c>
      <c r="AH41" s="44">
        <v>-0.1</v>
      </c>
      <c r="AI41"/>
      <c r="AJ41" s="44">
        <v>-0.1</v>
      </c>
      <c r="AK41" s="44">
        <v>-0.1</v>
      </c>
      <c r="AL41" s="44">
        <v>-0.1</v>
      </c>
      <c r="AM41" s="44">
        <v>-0.1</v>
      </c>
      <c r="AN41" s="44">
        <v>-0.1</v>
      </c>
      <c r="AO41" s="44">
        <v>-0.1</v>
      </c>
      <c r="AP41" s="44">
        <v>-0.1</v>
      </c>
      <c r="AQ41"/>
      <c r="AR41" s="44">
        <v>-0.1</v>
      </c>
      <c r="AS41" s="44">
        <v>-0.1</v>
      </c>
      <c r="AT41" s="44">
        <v>-0.1</v>
      </c>
      <c r="AU41" s="44">
        <v>-0.1</v>
      </c>
      <c r="AV41"/>
      <c r="AW41" s="44">
        <v>-0.1</v>
      </c>
      <c r="AX41"/>
      <c r="AY41"/>
      <c r="AZ41" s="44">
        <v>-0.1</v>
      </c>
    </row>
    <row r="42" spans="1:52" x14ac:dyDescent="0.25">
      <c r="A42" s="13" t="s">
        <v>33</v>
      </c>
      <c r="B42" s="3" t="s">
        <v>473</v>
      </c>
      <c r="C42" s="3" t="s">
        <v>483</v>
      </c>
      <c r="D42" s="3" t="s">
        <v>537</v>
      </c>
      <c r="E42" s="14" t="s">
        <v>145</v>
      </c>
      <c r="F42" s="14" t="s">
        <v>98</v>
      </c>
      <c r="G42" s="44">
        <v>-0.2</v>
      </c>
      <c r="H42" s="44">
        <f t="shared" si="1"/>
        <v>-0.2</v>
      </c>
      <c r="I42" s="44">
        <v>-0.2</v>
      </c>
      <c r="J42" s="44">
        <v>-0.2</v>
      </c>
      <c r="K42" s="44">
        <v>-0.2</v>
      </c>
      <c r="L42" s="44">
        <v>-0.2</v>
      </c>
      <c r="M42" s="44">
        <v>-0.2</v>
      </c>
      <c r="N42" s="44">
        <v>-0.2</v>
      </c>
      <c r="O42" s="44">
        <v>-0.2</v>
      </c>
      <c r="P42" s="44">
        <v>-0.2</v>
      </c>
      <c r="R42" s="44">
        <v>-0.2</v>
      </c>
      <c r="S42" s="44">
        <v>-0.2</v>
      </c>
      <c r="T42" s="44">
        <v>-0.2</v>
      </c>
      <c r="U42" s="44">
        <v>-0.2</v>
      </c>
      <c r="X42" s="44">
        <v>-0.2</v>
      </c>
      <c r="Y42" s="44">
        <v>-0.2</v>
      </c>
      <c r="Z42" s="44">
        <v>-0.2</v>
      </c>
      <c r="AA42" s="44">
        <v>-0.2</v>
      </c>
      <c r="AB42" s="44">
        <v>-0.2</v>
      </c>
      <c r="AC42" s="44">
        <v>-0.2</v>
      </c>
      <c r="AD42" s="44">
        <v>-0.2</v>
      </c>
      <c r="AE42" s="44">
        <v>-0.2</v>
      </c>
      <c r="AF42" s="44">
        <v>-0.2</v>
      </c>
      <c r="AG42" s="44">
        <v>-0.2</v>
      </c>
      <c r="AH42" s="44">
        <v>-0.2</v>
      </c>
      <c r="AI42"/>
      <c r="AJ42" s="44">
        <v>-0.2</v>
      </c>
      <c r="AK42" s="44">
        <v>-0.2</v>
      </c>
      <c r="AL42" s="44">
        <v>-0.2</v>
      </c>
      <c r="AM42" s="44">
        <v>-0.2</v>
      </c>
      <c r="AN42" s="44">
        <v>-0.2</v>
      </c>
      <c r="AO42" s="44">
        <v>-0.2</v>
      </c>
      <c r="AP42" s="44">
        <v>-0.2</v>
      </c>
      <c r="AQ42"/>
      <c r="AR42" s="44">
        <v>-0.2</v>
      </c>
      <c r="AS42" s="44">
        <v>-0.2</v>
      </c>
      <c r="AT42" s="44">
        <v>-0.2</v>
      </c>
      <c r="AU42" s="44">
        <v>-0.2</v>
      </c>
      <c r="AV42"/>
      <c r="AW42" s="44">
        <v>-0.2</v>
      </c>
      <c r="AX42"/>
      <c r="AY42"/>
      <c r="AZ42" s="44">
        <v>-0.2</v>
      </c>
    </row>
    <row r="43" spans="1:52" x14ac:dyDescent="0.25">
      <c r="A43" s="13" t="s">
        <v>34</v>
      </c>
      <c r="B43" s="3" t="s">
        <v>473</v>
      </c>
      <c r="C43" s="3" t="s">
        <v>483</v>
      </c>
      <c r="D43" s="3" t="s">
        <v>537</v>
      </c>
      <c r="E43" s="14" t="s">
        <v>146</v>
      </c>
      <c r="F43" s="14" t="s">
        <v>98</v>
      </c>
      <c r="G43" s="44">
        <v>0.4</v>
      </c>
      <c r="H43" s="44">
        <f t="shared" si="1"/>
        <v>0.4</v>
      </c>
      <c r="I43" s="44">
        <v>0.4</v>
      </c>
      <c r="J43" s="44">
        <v>0.4</v>
      </c>
      <c r="K43" s="44">
        <v>0.4</v>
      </c>
      <c r="L43" s="44">
        <v>0.4</v>
      </c>
      <c r="M43" s="44">
        <v>0.4</v>
      </c>
      <c r="N43" s="44">
        <v>0.4</v>
      </c>
      <c r="O43" s="44">
        <v>0.4</v>
      </c>
      <c r="P43" s="44">
        <v>0.4</v>
      </c>
      <c r="R43" s="44">
        <v>0.4</v>
      </c>
      <c r="S43" s="44">
        <v>0.4</v>
      </c>
      <c r="T43" s="44">
        <v>0.4</v>
      </c>
      <c r="U43" s="44">
        <v>0.4</v>
      </c>
      <c r="X43" s="44">
        <v>0.4</v>
      </c>
      <c r="Y43" s="44">
        <v>0.4</v>
      </c>
      <c r="Z43" s="44">
        <v>0.4</v>
      </c>
      <c r="AA43" s="44">
        <v>0.4</v>
      </c>
      <c r="AB43" s="44">
        <v>0.4</v>
      </c>
      <c r="AC43" s="44">
        <v>0.4</v>
      </c>
      <c r="AD43" s="44">
        <v>0.4</v>
      </c>
      <c r="AE43" s="44">
        <v>0.4</v>
      </c>
      <c r="AF43" s="44">
        <v>0.4</v>
      </c>
      <c r="AG43" s="44">
        <v>0.4</v>
      </c>
      <c r="AH43" s="44">
        <v>0.4</v>
      </c>
      <c r="AI43"/>
      <c r="AJ43" s="44">
        <v>0.4</v>
      </c>
      <c r="AK43" s="44">
        <v>0.4</v>
      </c>
      <c r="AL43" s="44">
        <v>0.4</v>
      </c>
      <c r="AM43" s="44">
        <v>0.4</v>
      </c>
      <c r="AN43" s="44">
        <v>0.4</v>
      </c>
      <c r="AO43" s="44">
        <v>0.4</v>
      </c>
      <c r="AP43" s="44">
        <v>0.4</v>
      </c>
      <c r="AQ43"/>
      <c r="AR43" s="44">
        <v>0.4</v>
      </c>
      <c r="AS43" s="44">
        <v>0.4</v>
      </c>
      <c r="AT43" s="44">
        <v>0.4</v>
      </c>
      <c r="AU43" s="44">
        <v>0.4</v>
      </c>
      <c r="AV43"/>
      <c r="AW43" s="44">
        <v>0.4</v>
      </c>
      <c r="AX43"/>
      <c r="AY43"/>
      <c r="AZ43" s="44">
        <v>0.4</v>
      </c>
    </row>
    <row r="44" spans="1:52" x14ac:dyDescent="0.25">
      <c r="A44" s="13" t="s">
        <v>35</v>
      </c>
      <c r="B44" s="3" t="s">
        <v>473</v>
      </c>
      <c r="C44" s="3" t="s">
        <v>483</v>
      </c>
      <c r="D44" s="3" t="s">
        <v>537</v>
      </c>
      <c r="E44" s="14" t="s">
        <v>147</v>
      </c>
      <c r="F44" s="14" t="s">
        <v>101</v>
      </c>
      <c r="G44" s="44">
        <v>0</v>
      </c>
      <c r="H44" s="44">
        <f t="shared" si="1"/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R44" s="44">
        <v>0</v>
      </c>
      <c r="S44" s="44">
        <v>0</v>
      </c>
      <c r="T44" s="44">
        <v>0</v>
      </c>
      <c r="U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44">
        <v>0</v>
      </c>
      <c r="AH44" s="44">
        <v>0</v>
      </c>
      <c r="AI44"/>
      <c r="AJ44" s="44">
        <v>0</v>
      </c>
      <c r="AK44" s="44">
        <v>0</v>
      </c>
      <c r="AL44" s="44">
        <v>0</v>
      </c>
      <c r="AM44" s="44">
        <v>0</v>
      </c>
      <c r="AN44" s="44">
        <v>0</v>
      </c>
      <c r="AO44" s="44">
        <v>0</v>
      </c>
      <c r="AP44" s="44">
        <v>0</v>
      </c>
      <c r="AQ44"/>
      <c r="AR44" s="44">
        <v>0</v>
      </c>
      <c r="AS44" s="44">
        <v>0</v>
      </c>
      <c r="AT44" s="44">
        <v>0</v>
      </c>
      <c r="AU44" s="44">
        <v>0</v>
      </c>
      <c r="AV44"/>
      <c r="AW44" s="44">
        <v>0</v>
      </c>
      <c r="AX44"/>
      <c r="AY44"/>
      <c r="AZ44" s="44">
        <v>0</v>
      </c>
    </row>
    <row r="45" spans="1:52" x14ac:dyDescent="0.25">
      <c r="A45" s="13" t="s">
        <v>437</v>
      </c>
      <c r="B45" s="3" t="s">
        <v>473</v>
      </c>
      <c r="C45" s="3" t="s">
        <v>483</v>
      </c>
      <c r="D45" s="3" t="s">
        <v>537</v>
      </c>
      <c r="E45" s="14" t="s">
        <v>439</v>
      </c>
      <c r="F45" s="14" t="s">
        <v>95</v>
      </c>
      <c r="G45" s="44">
        <v>1200</v>
      </c>
      <c r="H45" s="44">
        <f t="shared" si="1"/>
        <v>1200</v>
      </c>
      <c r="I45" s="44">
        <v>1200</v>
      </c>
      <c r="J45" s="44">
        <v>1200</v>
      </c>
      <c r="K45" s="44">
        <v>1200</v>
      </c>
      <c r="L45" s="44">
        <v>1200</v>
      </c>
      <c r="M45" s="44">
        <v>1200</v>
      </c>
      <c r="N45" s="44">
        <v>1200</v>
      </c>
      <c r="O45" s="44">
        <v>1200</v>
      </c>
      <c r="P45" s="44">
        <v>1200</v>
      </c>
      <c r="R45" s="44">
        <v>1200</v>
      </c>
      <c r="S45" s="44">
        <v>1200</v>
      </c>
      <c r="T45" s="44">
        <v>1200</v>
      </c>
      <c r="U45" s="44">
        <v>1200</v>
      </c>
      <c r="X45" s="44">
        <v>1200</v>
      </c>
      <c r="Y45" s="44">
        <v>1200</v>
      </c>
      <c r="Z45" s="44">
        <v>1200</v>
      </c>
      <c r="AA45" s="44">
        <v>1200</v>
      </c>
      <c r="AB45" s="44">
        <v>1200</v>
      </c>
      <c r="AC45" s="44">
        <v>1200</v>
      </c>
      <c r="AD45" s="44">
        <v>1200</v>
      </c>
      <c r="AE45" s="44">
        <v>1200</v>
      </c>
      <c r="AF45" s="44">
        <v>1200</v>
      </c>
      <c r="AG45" s="44">
        <v>1200</v>
      </c>
      <c r="AH45" s="44">
        <v>1200</v>
      </c>
      <c r="AI45"/>
      <c r="AJ45" s="44">
        <v>1200</v>
      </c>
      <c r="AK45" s="44">
        <v>1200</v>
      </c>
      <c r="AL45" s="44">
        <v>1200</v>
      </c>
      <c r="AM45" s="44">
        <v>1200</v>
      </c>
      <c r="AN45" s="44">
        <v>1200</v>
      </c>
      <c r="AO45" s="44">
        <v>1200</v>
      </c>
      <c r="AP45" s="44">
        <v>1200</v>
      </c>
      <c r="AQ45"/>
      <c r="AR45" s="44">
        <v>1200</v>
      </c>
      <c r="AS45" s="44">
        <v>1200</v>
      </c>
      <c r="AT45" s="44">
        <v>1200</v>
      </c>
      <c r="AU45" s="44">
        <v>1200</v>
      </c>
      <c r="AV45"/>
      <c r="AW45" s="44">
        <v>1200</v>
      </c>
      <c r="AX45"/>
      <c r="AY45"/>
      <c r="AZ45" s="44">
        <v>1200</v>
      </c>
    </row>
    <row r="46" spans="1:52" x14ac:dyDescent="0.25">
      <c r="A46" s="13" t="s">
        <v>438</v>
      </c>
      <c r="B46" s="3" t="s">
        <v>473</v>
      </c>
      <c r="C46" s="3" t="s">
        <v>483</v>
      </c>
      <c r="D46" s="3" t="s">
        <v>537</v>
      </c>
      <c r="E46" s="14" t="s">
        <v>440</v>
      </c>
      <c r="F46" s="14" t="s">
        <v>95</v>
      </c>
      <c r="G46" s="44">
        <v>1200</v>
      </c>
      <c r="H46" s="44">
        <f t="shared" si="1"/>
        <v>1200</v>
      </c>
      <c r="I46" s="44">
        <v>1200</v>
      </c>
      <c r="J46" s="44">
        <v>1200</v>
      </c>
      <c r="K46" s="44">
        <v>1200</v>
      </c>
      <c r="L46" s="44">
        <v>1200</v>
      </c>
      <c r="M46" s="44">
        <v>1200</v>
      </c>
      <c r="N46" s="44">
        <v>1200</v>
      </c>
      <c r="O46" s="44">
        <v>1200</v>
      </c>
      <c r="P46" s="44">
        <v>1200</v>
      </c>
      <c r="R46" s="44">
        <v>1200</v>
      </c>
      <c r="S46" s="44">
        <v>1200</v>
      </c>
      <c r="T46" s="44">
        <v>1200</v>
      </c>
      <c r="U46" s="44">
        <v>1200</v>
      </c>
      <c r="X46" s="44">
        <v>1200</v>
      </c>
      <c r="Y46" s="44">
        <v>1200</v>
      </c>
      <c r="Z46" s="44">
        <v>1200</v>
      </c>
      <c r="AA46" s="44">
        <v>1200</v>
      </c>
      <c r="AB46" s="44">
        <v>1200</v>
      </c>
      <c r="AC46" s="44">
        <v>1200</v>
      </c>
      <c r="AD46" s="44">
        <v>1200</v>
      </c>
      <c r="AE46" s="44">
        <v>1200</v>
      </c>
      <c r="AF46" s="44">
        <v>1200</v>
      </c>
      <c r="AG46" s="44">
        <v>1200</v>
      </c>
      <c r="AH46" s="44">
        <v>1200</v>
      </c>
      <c r="AI46"/>
      <c r="AJ46" s="44">
        <v>1200</v>
      </c>
      <c r="AK46" s="44">
        <v>1200</v>
      </c>
      <c r="AL46" s="44">
        <v>1200</v>
      </c>
      <c r="AM46" s="44">
        <v>1200</v>
      </c>
      <c r="AN46" s="44">
        <v>1200</v>
      </c>
      <c r="AO46" s="44">
        <v>1200</v>
      </c>
      <c r="AP46" s="44">
        <v>1200</v>
      </c>
      <c r="AQ46"/>
      <c r="AR46" s="44">
        <v>1200</v>
      </c>
      <c r="AS46" s="44">
        <v>1200</v>
      </c>
      <c r="AT46" s="44">
        <v>1200</v>
      </c>
      <c r="AU46" s="44">
        <v>1200</v>
      </c>
      <c r="AV46"/>
      <c r="AW46" s="44">
        <v>1200</v>
      </c>
      <c r="AX46"/>
      <c r="AY46"/>
      <c r="AZ46" s="44">
        <v>1200</v>
      </c>
    </row>
    <row r="47" spans="1:52" x14ac:dyDescent="0.25">
      <c r="A47" s="13" t="s">
        <v>459</v>
      </c>
      <c r="B47" s="3" t="s">
        <v>473</v>
      </c>
      <c r="C47" s="3" t="s">
        <v>483</v>
      </c>
      <c r="D47" s="3" t="s">
        <v>537</v>
      </c>
      <c r="E47" s="14" t="s">
        <v>460</v>
      </c>
      <c r="F47" s="14" t="s">
        <v>461</v>
      </c>
      <c r="G47" s="44" t="s">
        <v>462</v>
      </c>
      <c r="H47" s="44" t="str">
        <f t="shared" si="1"/>
        <v>[94,76,64]</v>
      </c>
      <c r="I47" s="44" t="s">
        <v>462</v>
      </c>
      <c r="J47" s="44" t="s">
        <v>462</v>
      </c>
      <c r="K47" s="44" t="s">
        <v>462</v>
      </c>
      <c r="L47" s="44" t="s">
        <v>462</v>
      </c>
      <c r="M47" s="44" t="s">
        <v>462</v>
      </c>
      <c r="N47" s="44" t="s">
        <v>462</v>
      </c>
      <c r="O47" s="44" t="s">
        <v>462</v>
      </c>
      <c r="P47" s="44" t="s">
        <v>462</v>
      </c>
      <c r="R47" s="44" t="s">
        <v>462</v>
      </c>
      <c r="S47" s="44" t="s">
        <v>462</v>
      </c>
      <c r="T47" s="44" t="s">
        <v>462</v>
      </c>
      <c r="U47" s="44" t="s">
        <v>462</v>
      </c>
      <c r="X47" s="44" t="s">
        <v>462</v>
      </c>
      <c r="Y47" s="44" t="s">
        <v>462</v>
      </c>
      <c r="Z47" s="44" t="s">
        <v>462</v>
      </c>
      <c r="AA47" s="44" t="s">
        <v>462</v>
      </c>
      <c r="AB47" s="44" t="s">
        <v>462</v>
      </c>
      <c r="AC47" s="44" t="s">
        <v>462</v>
      </c>
      <c r="AD47" s="44" t="s">
        <v>462</v>
      </c>
      <c r="AE47" s="44" t="s">
        <v>462</v>
      </c>
      <c r="AF47" s="44" t="s">
        <v>462</v>
      </c>
      <c r="AG47" s="44" t="s">
        <v>462</v>
      </c>
      <c r="AH47" s="44" t="s">
        <v>462</v>
      </c>
      <c r="AI47"/>
      <c r="AJ47" s="44" t="s">
        <v>462</v>
      </c>
      <c r="AK47" s="44" t="s">
        <v>462</v>
      </c>
      <c r="AL47" s="44" t="s">
        <v>462</v>
      </c>
      <c r="AM47" s="44" t="s">
        <v>462</v>
      </c>
      <c r="AN47" s="44" t="s">
        <v>462</v>
      </c>
      <c r="AO47" s="44" t="s">
        <v>462</v>
      </c>
      <c r="AP47" s="44" t="s">
        <v>462</v>
      </c>
      <c r="AQ47"/>
      <c r="AR47" s="44" t="s">
        <v>462</v>
      </c>
      <c r="AS47" s="44" t="s">
        <v>462</v>
      </c>
      <c r="AT47" s="44" t="s">
        <v>462</v>
      </c>
      <c r="AU47" s="44" t="s">
        <v>462</v>
      </c>
      <c r="AV47"/>
      <c r="AW47" s="44" t="s">
        <v>462</v>
      </c>
      <c r="AX47"/>
      <c r="AY47"/>
      <c r="AZ47" s="44" t="s">
        <v>462</v>
      </c>
    </row>
    <row r="48" spans="1:52" x14ac:dyDescent="0.25">
      <c r="A48" s="13" t="s">
        <v>15</v>
      </c>
      <c r="B48" s="3" t="s">
        <v>473</v>
      </c>
      <c r="C48" s="3" t="s">
        <v>483</v>
      </c>
      <c r="D48" s="3" t="s">
        <v>537</v>
      </c>
      <c r="E48" s="14" t="s">
        <v>135</v>
      </c>
      <c r="F48" s="14" t="s">
        <v>94</v>
      </c>
      <c r="G48" s="44" t="s">
        <v>86</v>
      </c>
      <c r="H48" s="44" t="str">
        <f t="shared" si="1"/>
        <v>True</v>
      </c>
      <c r="I48" s="44" t="s">
        <v>86</v>
      </c>
      <c r="J48" s="44" t="s">
        <v>86</v>
      </c>
      <c r="K48" s="44" t="s">
        <v>86</v>
      </c>
      <c r="L48" s="44" t="s">
        <v>86</v>
      </c>
      <c r="M48" s="44" t="s">
        <v>86</v>
      </c>
      <c r="N48" s="44" t="s">
        <v>86</v>
      </c>
      <c r="O48" s="44" t="s">
        <v>86</v>
      </c>
      <c r="P48" s="44" t="s">
        <v>86</v>
      </c>
      <c r="R48" s="44" t="s">
        <v>86</v>
      </c>
      <c r="S48" s="44" t="s">
        <v>86</v>
      </c>
      <c r="T48" s="44" t="s">
        <v>86</v>
      </c>
      <c r="U48" s="44" t="s">
        <v>86</v>
      </c>
      <c r="X48" s="44" t="s">
        <v>86</v>
      </c>
      <c r="Y48" s="44" t="s">
        <v>86</v>
      </c>
      <c r="Z48" s="44" t="s">
        <v>86</v>
      </c>
      <c r="AA48" s="44" t="s">
        <v>86</v>
      </c>
      <c r="AB48" s="44" t="s">
        <v>86</v>
      </c>
      <c r="AC48" s="44" t="s">
        <v>86</v>
      </c>
      <c r="AD48" s="44" t="s">
        <v>86</v>
      </c>
      <c r="AE48" s="44" t="s">
        <v>86</v>
      </c>
      <c r="AF48" s="44" t="s">
        <v>86</v>
      </c>
      <c r="AG48" s="44" t="s">
        <v>86</v>
      </c>
      <c r="AH48" s="44" t="s">
        <v>86</v>
      </c>
      <c r="AI48"/>
      <c r="AJ48" s="44" t="s">
        <v>86</v>
      </c>
      <c r="AK48" s="44" t="s">
        <v>86</v>
      </c>
      <c r="AL48" s="44" t="s">
        <v>86</v>
      </c>
      <c r="AM48" s="44" t="s">
        <v>86</v>
      </c>
      <c r="AN48" s="44" t="s">
        <v>86</v>
      </c>
      <c r="AO48" s="44" t="s">
        <v>86</v>
      </c>
      <c r="AP48" s="44" t="s">
        <v>86</v>
      </c>
      <c r="AQ48"/>
      <c r="AR48" s="44" t="s">
        <v>86</v>
      </c>
      <c r="AS48" s="44" t="s">
        <v>86</v>
      </c>
      <c r="AT48" s="44" t="s">
        <v>86</v>
      </c>
      <c r="AU48" s="44" t="s">
        <v>86</v>
      </c>
      <c r="AV48"/>
      <c r="AW48" s="44" t="s">
        <v>86</v>
      </c>
      <c r="AX48"/>
      <c r="AY48"/>
      <c r="AZ48" s="44" t="s">
        <v>86</v>
      </c>
    </row>
    <row r="49" spans="1:52" x14ac:dyDescent="0.25">
      <c r="A49" s="11" t="s">
        <v>16</v>
      </c>
      <c r="B49" s="3" t="s">
        <v>473</v>
      </c>
      <c r="C49" s="3" t="s">
        <v>483</v>
      </c>
      <c r="D49" s="3" t="s">
        <v>537</v>
      </c>
      <c r="E49" s="12" t="s">
        <v>136</v>
      </c>
      <c r="F49" s="12" t="s">
        <v>94</v>
      </c>
      <c r="G49" s="44" t="s">
        <v>86</v>
      </c>
      <c r="H49" s="44" t="str">
        <f t="shared" si="1"/>
        <v>True</v>
      </c>
      <c r="I49" s="44" t="s">
        <v>86</v>
      </c>
      <c r="J49" s="44" t="s">
        <v>86</v>
      </c>
      <c r="K49" s="44" t="s">
        <v>86</v>
      </c>
      <c r="L49" s="44" t="s">
        <v>86</v>
      </c>
      <c r="M49" s="44" t="s">
        <v>86</v>
      </c>
      <c r="N49" s="44" t="s">
        <v>86</v>
      </c>
      <c r="O49" s="44" t="s">
        <v>86</v>
      </c>
      <c r="P49" s="44" t="s">
        <v>86</v>
      </c>
      <c r="R49" s="44" t="s">
        <v>86</v>
      </c>
      <c r="S49" s="44" t="s">
        <v>86</v>
      </c>
      <c r="T49" s="44" t="s">
        <v>86</v>
      </c>
      <c r="U49" s="44" t="s">
        <v>86</v>
      </c>
      <c r="X49" s="44" t="s">
        <v>86</v>
      </c>
      <c r="Y49" s="44" t="s">
        <v>86</v>
      </c>
      <c r="Z49" s="44" t="s">
        <v>86</v>
      </c>
      <c r="AA49" s="44" t="s">
        <v>86</v>
      </c>
      <c r="AB49" s="44" t="s">
        <v>86</v>
      </c>
      <c r="AC49" s="44" t="s">
        <v>86</v>
      </c>
      <c r="AD49" s="44" t="s">
        <v>86</v>
      </c>
      <c r="AE49" s="44" t="s">
        <v>86</v>
      </c>
      <c r="AF49" s="44" t="s">
        <v>86</v>
      </c>
      <c r="AG49" s="44" t="s">
        <v>86</v>
      </c>
      <c r="AH49" s="44" t="s">
        <v>86</v>
      </c>
      <c r="AI49"/>
      <c r="AJ49" s="44" t="s">
        <v>86</v>
      </c>
      <c r="AK49" s="44" t="s">
        <v>86</v>
      </c>
      <c r="AL49" s="44" t="s">
        <v>86</v>
      </c>
      <c r="AM49" s="44" t="s">
        <v>86</v>
      </c>
      <c r="AN49" s="44" t="s">
        <v>86</v>
      </c>
      <c r="AO49" s="44" t="s">
        <v>86</v>
      </c>
      <c r="AP49" s="44" t="s">
        <v>86</v>
      </c>
      <c r="AQ49"/>
      <c r="AR49" s="44" t="s">
        <v>86</v>
      </c>
      <c r="AS49" s="44" t="s">
        <v>86</v>
      </c>
      <c r="AT49" s="44" t="s">
        <v>86</v>
      </c>
      <c r="AU49" s="44" t="s">
        <v>86</v>
      </c>
      <c r="AV49"/>
      <c r="AW49" s="44" t="s">
        <v>86</v>
      </c>
      <c r="AX49"/>
      <c r="AY49"/>
      <c r="AZ49" s="44" t="s">
        <v>86</v>
      </c>
    </row>
    <row r="50" spans="1:52" x14ac:dyDescent="0.25">
      <c r="A50" s="11" t="s">
        <v>17</v>
      </c>
      <c r="B50" s="3" t="s">
        <v>473</v>
      </c>
      <c r="C50" s="3" t="s">
        <v>483</v>
      </c>
      <c r="D50" s="3" t="s">
        <v>537</v>
      </c>
      <c r="E50" s="12" t="s">
        <v>120</v>
      </c>
      <c r="F50" s="12" t="s">
        <v>98</v>
      </c>
      <c r="G50" s="44">
        <v>0</v>
      </c>
      <c r="H50" s="44">
        <f t="shared" si="1"/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R50" s="44">
        <v>0</v>
      </c>
      <c r="S50" s="44">
        <v>0</v>
      </c>
      <c r="T50" s="44">
        <v>0</v>
      </c>
      <c r="U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4">
        <v>0</v>
      </c>
      <c r="AF50" s="44">
        <v>0</v>
      </c>
      <c r="AG50" s="44">
        <v>0</v>
      </c>
      <c r="AH50" s="44">
        <v>0</v>
      </c>
      <c r="AI50"/>
      <c r="AJ50" s="44">
        <v>0</v>
      </c>
      <c r="AK50" s="44">
        <v>0</v>
      </c>
      <c r="AL50" s="44">
        <v>0</v>
      </c>
      <c r="AM50" s="44">
        <v>0</v>
      </c>
      <c r="AN50" s="44">
        <v>0</v>
      </c>
      <c r="AO50" s="44">
        <v>0</v>
      </c>
      <c r="AP50" s="44">
        <v>0</v>
      </c>
      <c r="AQ50"/>
      <c r="AR50" s="44">
        <v>0</v>
      </c>
      <c r="AS50" s="44">
        <v>0</v>
      </c>
      <c r="AT50" s="44">
        <v>0</v>
      </c>
      <c r="AU50" s="44">
        <v>0</v>
      </c>
      <c r="AV50"/>
      <c r="AW50" s="44">
        <v>0</v>
      </c>
      <c r="AX50"/>
      <c r="AY50"/>
      <c r="AZ50" s="44">
        <v>0</v>
      </c>
    </row>
    <row r="51" spans="1:52" x14ac:dyDescent="0.25">
      <c r="A51" s="11" t="s">
        <v>18</v>
      </c>
      <c r="B51" s="3" t="s">
        <v>473</v>
      </c>
      <c r="C51" s="3" t="s">
        <v>483</v>
      </c>
      <c r="D51" s="3" t="s">
        <v>537</v>
      </c>
      <c r="E51" s="12" t="s">
        <v>121</v>
      </c>
      <c r="F51" s="12" t="s">
        <v>98</v>
      </c>
      <c r="G51" s="44">
        <v>0.5</v>
      </c>
      <c r="H51" s="44">
        <f t="shared" si="1"/>
        <v>0.5</v>
      </c>
      <c r="I51" s="44">
        <v>0.5</v>
      </c>
      <c r="J51" s="44">
        <v>0.5</v>
      </c>
      <c r="K51" s="44">
        <v>0.5</v>
      </c>
      <c r="L51" s="44">
        <v>0.5</v>
      </c>
      <c r="M51" s="44">
        <v>0.5</v>
      </c>
      <c r="N51" s="44">
        <v>0.5</v>
      </c>
      <c r="O51" s="44">
        <v>0.5</v>
      </c>
      <c r="P51" s="44">
        <v>0.5</v>
      </c>
      <c r="R51" s="44">
        <v>0.5</v>
      </c>
      <c r="S51" s="44">
        <v>0.5</v>
      </c>
      <c r="T51" s="44">
        <v>0.5</v>
      </c>
      <c r="U51" s="44">
        <v>0.5</v>
      </c>
      <c r="X51" s="44">
        <v>0.5</v>
      </c>
      <c r="Y51" s="44">
        <v>0.5</v>
      </c>
      <c r="Z51" s="44">
        <v>0.5</v>
      </c>
      <c r="AA51" s="44">
        <v>0.5</v>
      </c>
      <c r="AB51" s="44">
        <v>0.5</v>
      </c>
      <c r="AC51" s="44">
        <v>0.5</v>
      </c>
      <c r="AD51" s="44">
        <v>0.5</v>
      </c>
      <c r="AE51" s="44">
        <v>0.5</v>
      </c>
      <c r="AF51" s="44">
        <v>0.5</v>
      </c>
      <c r="AG51" s="44">
        <v>0.5</v>
      </c>
      <c r="AH51" s="44">
        <v>0.5</v>
      </c>
      <c r="AI51"/>
      <c r="AJ51" s="44">
        <v>0.5</v>
      </c>
      <c r="AK51" s="44">
        <v>0.5</v>
      </c>
      <c r="AL51" s="44">
        <v>0.5</v>
      </c>
      <c r="AM51" s="44">
        <v>0.5</v>
      </c>
      <c r="AN51" s="44">
        <v>0.5</v>
      </c>
      <c r="AO51" s="44">
        <v>0.5</v>
      </c>
      <c r="AP51" s="44">
        <v>0.5</v>
      </c>
      <c r="AQ51"/>
      <c r="AR51" s="44">
        <v>0.5</v>
      </c>
      <c r="AS51" s="44">
        <v>0.5</v>
      </c>
      <c r="AT51" s="44">
        <v>0.5</v>
      </c>
      <c r="AU51" s="44">
        <v>0.5</v>
      </c>
      <c r="AV51"/>
      <c r="AW51" s="44">
        <v>0.5</v>
      </c>
      <c r="AX51"/>
      <c r="AY51"/>
      <c r="AZ51" s="44">
        <v>0.5</v>
      </c>
    </row>
    <row r="52" spans="1:52" x14ac:dyDescent="0.25">
      <c r="A52" s="11" t="s">
        <v>19</v>
      </c>
      <c r="B52" s="3" t="s">
        <v>473</v>
      </c>
      <c r="C52" s="3" t="s">
        <v>483</v>
      </c>
      <c r="D52" s="3" t="s">
        <v>537</v>
      </c>
      <c r="E52" s="12" t="s">
        <v>122</v>
      </c>
      <c r="F52" s="12" t="s">
        <v>98</v>
      </c>
      <c r="G52" s="44">
        <v>0.05</v>
      </c>
      <c r="H52" s="44">
        <f t="shared" si="1"/>
        <v>0.05</v>
      </c>
      <c r="I52" s="44">
        <v>0.05</v>
      </c>
      <c r="J52" s="44">
        <v>0.05</v>
      </c>
      <c r="K52" s="44">
        <v>0.05</v>
      </c>
      <c r="L52" s="44">
        <v>0.05</v>
      </c>
      <c r="M52" s="44">
        <v>0.05</v>
      </c>
      <c r="N52" s="44">
        <v>0.05</v>
      </c>
      <c r="O52" s="44">
        <v>0.05</v>
      </c>
      <c r="P52" s="44">
        <v>0.05</v>
      </c>
      <c r="R52" s="44">
        <v>0.05</v>
      </c>
      <c r="S52" s="44">
        <v>0.05</v>
      </c>
      <c r="T52" s="44">
        <v>0.05</v>
      </c>
      <c r="U52" s="44">
        <v>0.05</v>
      </c>
      <c r="X52" s="44">
        <v>0.05</v>
      </c>
      <c r="Y52" s="44">
        <v>0.05</v>
      </c>
      <c r="Z52" s="44">
        <v>0.05</v>
      </c>
      <c r="AA52" s="44">
        <v>0.05</v>
      </c>
      <c r="AB52" s="44">
        <v>0.05</v>
      </c>
      <c r="AC52" s="44">
        <v>0.05</v>
      </c>
      <c r="AD52" s="44">
        <v>0.05</v>
      </c>
      <c r="AE52" s="44">
        <v>0.05</v>
      </c>
      <c r="AF52" s="44">
        <v>0.05</v>
      </c>
      <c r="AG52" s="44">
        <v>0.05</v>
      </c>
      <c r="AH52" s="44">
        <v>0.05</v>
      </c>
      <c r="AI52"/>
      <c r="AJ52" s="44">
        <v>0.05</v>
      </c>
      <c r="AK52" s="44">
        <v>0.05</v>
      </c>
      <c r="AL52" s="44">
        <v>0.05</v>
      </c>
      <c r="AM52" s="44">
        <v>0.05</v>
      </c>
      <c r="AN52" s="44">
        <v>0.05</v>
      </c>
      <c r="AO52" s="44">
        <v>0.05</v>
      </c>
      <c r="AP52" s="44">
        <v>0.05</v>
      </c>
      <c r="AQ52"/>
      <c r="AR52" s="44">
        <v>0.05</v>
      </c>
      <c r="AS52" s="44">
        <v>0.05</v>
      </c>
      <c r="AT52" s="44">
        <v>0.05</v>
      </c>
      <c r="AU52" s="44">
        <v>0.05</v>
      </c>
      <c r="AV52"/>
      <c r="AW52" s="44">
        <v>0.05</v>
      </c>
      <c r="AX52"/>
      <c r="AY52"/>
      <c r="AZ52" s="44">
        <v>0.05</v>
      </c>
    </row>
    <row r="53" spans="1:52" x14ac:dyDescent="0.25">
      <c r="A53" s="15" t="s">
        <v>36</v>
      </c>
      <c r="B53" s="3" t="s">
        <v>473</v>
      </c>
      <c r="C53" s="3" t="s">
        <v>483</v>
      </c>
      <c r="D53" s="3" t="s">
        <v>537</v>
      </c>
      <c r="E53" s="16" t="s">
        <v>148</v>
      </c>
      <c r="F53" s="16" t="s">
        <v>98</v>
      </c>
      <c r="G53" s="44">
        <v>1E-3</v>
      </c>
      <c r="H53" s="44">
        <f t="shared" si="1"/>
        <v>1E-3</v>
      </c>
      <c r="I53" s="44">
        <v>1E-3</v>
      </c>
      <c r="J53" s="44">
        <v>1E-3</v>
      </c>
      <c r="K53" s="44">
        <v>1E-3</v>
      </c>
      <c r="L53" s="44">
        <v>1E-3</v>
      </c>
      <c r="M53" s="44">
        <v>1E-3</v>
      </c>
      <c r="N53" s="44">
        <v>1E-3</v>
      </c>
      <c r="O53" s="44">
        <v>1E-3</v>
      </c>
      <c r="P53" s="44">
        <v>1E-3</v>
      </c>
      <c r="R53" s="44">
        <v>1E-3</v>
      </c>
      <c r="S53" s="44">
        <v>1E-3</v>
      </c>
      <c r="T53" s="44">
        <v>1E-3</v>
      </c>
      <c r="U53" s="44">
        <v>1E-3</v>
      </c>
      <c r="X53" s="44">
        <v>1E-3</v>
      </c>
      <c r="Y53" s="44">
        <v>1E-3</v>
      </c>
      <c r="Z53" s="44">
        <v>1E-3</v>
      </c>
      <c r="AA53" s="44">
        <v>1E-3</v>
      </c>
      <c r="AB53" s="44">
        <v>1E-3</v>
      </c>
      <c r="AC53" s="44">
        <v>1E-3</v>
      </c>
      <c r="AD53" s="44">
        <v>1E-3</v>
      </c>
      <c r="AE53" s="44">
        <v>1E-3</v>
      </c>
      <c r="AF53" s="44">
        <v>1E-3</v>
      </c>
      <c r="AG53" s="44">
        <v>1E-3</v>
      </c>
      <c r="AH53" s="44">
        <v>1E-3</v>
      </c>
      <c r="AI53"/>
      <c r="AJ53" s="44">
        <v>1E-3</v>
      </c>
      <c r="AK53" s="44">
        <v>1E-3</v>
      </c>
      <c r="AL53" s="44">
        <v>1E-3</v>
      </c>
      <c r="AM53" s="44">
        <v>1E-3</v>
      </c>
      <c r="AN53" s="44">
        <v>1E-3</v>
      </c>
      <c r="AO53" s="44">
        <v>1E-3</v>
      </c>
      <c r="AP53" s="44">
        <v>1E-3</v>
      </c>
      <c r="AQ53"/>
      <c r="AR53" s="44">
        <v>1E-3</v>
      </c>
      <c r="AS53" s="44">
        <v>1E-3</v>
      </c>
      <c r="AT53" s="44">
        <v>1E-3</v>
      </c>
      <c r="AU53" s="44">
        <v>1E-3</v>
      </c>
      <c r="AV53"/>
      <c r="AW53" s="44">
        <v>1E-3</v>
      </c>
      <c r="AX53"/>
      <c r="AY53"/>
      <c r="AZ53" s="44">
        <v>1E-3</v>
      </c>
    </row>
    <row r="54" spans="1:52" x14ac:dyDescent="0.25">
      <c r="A54" s="15" t="s">
        <v>379</v>
      </c>
      <c r="B54" s="3" t="s">
        <v>473</v>
      </c>
      <c r="C54" s="3" t="s">
        <v>483</v>
      </c>
      <c r="D54" s="3" t="s">
        <v>537</v>
      </c>
      <c r="E54" s="16" t="s">
        <v>380</v>
      </c>
      <c r="F54" s="16" t="s">
        <v>98</v>
      </c>
      <c r="G54" s="44">
        <v>0</v>
      </c>
      <c r="H54" s="44">
        <f t="shared" si="1"/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R54" s="44">
        <v>0</v>
      </c>
      <c r="S54" s="44">
        <v>0</v>
      </c>
      <c r="T54" s="44">
        <v>0</v>
      </c>
      <c r="U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/>
      <c r="AJ54" s="44">
        <v>0</v>
      </c>
      <c r="AK54" s="44">
        <v>0</v>
      </c>
      <c r="AL54" s="44">
        <v>0</v>
      </c>
      <c r="AM54" s="44">
        <v>0</v>
      </c>
      <c r="AN54" s="44">
        <v>0</v>
      </c>
      <c r="AO54" s="44">
        <v>0</v>
      </c>
      <c r="AP54" s="44">
        <v>0</v>
      </c>
      <c r="AQ54"/>
      <c r="AR54" s="44">
        <v>0</v>
      </c>
      <c r="AS54" s="44">
        <v>0</v>
      </c>
      <c r="AT54" s="44">
        <v>0</v>
      </c>
      <c r="AU54" s="44">
        <v>0</v>
      </c>
      <c r="AV54"/>
      <c r="AW54" s="44">
        <v>0</v>
      </c>
      <c r="AX54"/>
      <c r="AY54"/>
      <c r="AZ54" s="44">
        <v>0</v>
      </c>
    </row>
    <row r="55" spans="1:52" x14ac:dyDescent="0.25">
      <c r="A55" s="15" t="s">
        <v>37</v>
      </c>
      <c r="B55" s="3" t="s">
        <v>473</v>
      </c>
      <c r="C55" s="3" t="s">
        <v>483</v>
      </c>
      <c r="D55" s="3" t="s">
        <v>537</v>
      </c>
      <c r="E55" s="16" t="s">
        <v>149</v>
      </c>
      <c r="F55" s="16" t="s">
        <v>195</v>
      </c>
      <c r="G55" s="44">
        <v>1E-4</v>
      </c>
      <c r="H55" s="44">
        <f t="shared" si="1"/>
        <v>1E-4</v>
      </c>
      <c r="I55" s="44">
        <v>1E-4</v>
      </c>
      <c r="J55" s="44">
        <v>1E-4</v>
      </c>
      <c r="K55" s="44">
        <v>1E-4</v>
      </c>
      <c r="L55" s="44">
        <v>1E-4</v>
      </c>
      <c r="M55" s="44">
        <v>1E-4</v>
      </c>
      <c r="N55" s="44">
        <v>1E-4</v>
      </c>
      <c r="O55" s="44">
        <v>1E-4</v>
      </c>
      <c r="P55" s="44">
        <v>1E-4</v>
      </c>
      <c r="R55" s="44">
        <v>1E-4</v>
      </c>
      <c r="S55" s="44">
        <v>1E-4</v>
      </c>
      <c r="T55" s="44">
        <v>1E-4</v>
      </c>
      <c r="U55" s="44">
        <v>1E-4</v>
      </c>
      <c r="X55" s="44">
        <v>1E-4</v>
      </c>
      <c r="Y55" s="44">
        <v>1E-4</v>
      </c>
      <c r="Z55" s="44">
        <v>1E-4</v>
      </c>
      <c r="AA55" s="44">
        <v>1E-4</v>
      </c>
      <c r="AB55" s="44">
        <v>1E-4</v>
      </c>
      <c r="AC55" s="44">
        <v>1E-4</v>
      </c>
      <c r="AD55" s="44">
        <v>1E-4</v>
      </c>
      <c r="AE55" s="44">
        <v>1E-4</v>
      </c>
      <c r="AF55" s="44">
        <v>1E-4</v>
      </c>
      <c r="AG55" s="44">
        <v>1E-4</v>
      </c>
      <c r="AH55" s="44">
        <v>1E-4</v>
      </c>
      <c r="AI55"/>
      <c r="AJ55" s="44">
        <v>1E-4</v>
      </c>
      <c r="AK55" s="44">
        <v>1E-4</v>
      </c>
      <c r="AL55" s="44">
        <v>1E-4</v>
      </c>
      <c r="AM55" s="44">
        <v>1E-4</v>
      </c>
      <c r="AN55" s="44">
        <v>1E-4</v>
      </c>
      <c r="AO55" s="44">
        <v>1E-4</v>
      </c>
      <c r="AP55" s="44">
        <v>1E-4</v>
      </c>
      <c r="AQ55"/>
      <c r="AR55" s="44">
        <v>1E-4</v>
      </c>
      <c r="AS55" s="44">
        <v>1E-4</v>
      </c>
      <c r="AT55" s="44">
        <v>1E-4</v>
      </c>
      <c r="AU55" s="44">
        <v>1E-4</v>
      </c>
      <c r="AV55"/>
      <c r="AW55" s="44">
        <v>1E-4</v>
      </c>
      <c r="AX55"/>
      <c r="AY55"/>
      <c r="AZ55" s="44">
        <v>1E-4</v>
      </c>
    </row>
    <row r="56" spans="1:52" x14ac:dyDescent="0.25">
      <c r="A56" s="15" t="s">
        <v>38</v>
      </c>
      <c r="B56" s="3" t="s">
        <v>473</v>
      </c>
      <c r="C56" s="3" t="s">
        <v>483</v>
      </c>
      <c r="D56" s="3" t="s">
        <v>537</v>
      </c>
      <c r="E56" s="16" t="s">
        <v>150</v>
      </c>
      <c r="F56" s="16" t="s">
        <v>195</v>
      </c>
      <c r="G56" s="44">
        <v>1E-4</v>
      </c>
      <c r="H56" s="44">
        <f t="shared" si="1"/>
        <v>1E-4</v>
      </c>
      <c r="I56" s="44">
        <v>1E-4</v>
      </c>
      <c r="J56" s="44">
        <v>1E-4</v>
      </c>
      <c r="K56" s="44">
        <v>1E-4</v>
      </c>
      <c r="L56" s="44">
        <v>1E-4</v>
      </c>
      <c r="M56" s="44">
        <v>1E-4</v>
      </c>
      <c r="N56" s="44">
        <v>1E-4</v>
      </c>
      <c r="O56" s="44">
        <v>1E-4</v>
      </c>
      <c r="P56" s="44">
        <v>1E-4</v>
      </c>
      <c r="R56" s="44">
        <v>1E-4</v>
      </c>
      <c r="S56" s="44">
        <v>1E-4</v>
      </c>
      <c r="T56" s="44">
        <v>1E-4</v>
      </c>
      <c r="U56" s="44">
        <v>1E-4</v>
      </c>
      <c r="X56" s="44">
        <v>1E-4</v>
      </c>
      <c r="Y56" s="44">
        <v>1E-4</v>
      </c>
      <c r="Z56" s="44">
        <v>1E-4</v>
      </c>
      <c r="AA56" s="44">
        <v>1E-4</v>
      </c>
      <c r="AB56" s="44">
        <v>1E-4</v>
      </c>
      <c r="AC56" s="44">
        <v>1E-4</v>
      </c>
      <c r="AD56" s="44">
        <v>1E-4</v>
      </c>
      <c r="AE56" s="44">
        <v>1E-4</v>
      </c>
      <c r="AF56" s="44">
        <v>1E-4</v>
      </c>
      <c r="AG56" s="44">
        <v>1E-4</v>
      </c>
      <c r="AH56" s="44">
        <v>1E-4</v>
      </c>
      <c r="AI56"/>
      <c r="AJ56" s="44">
        <v>1E-4</v>
      </c>
      <c r="AK56" s="44">
        <v>1E-4</v>
      </c>
      <c r="AL56" s="44">
        <v>1E-4</v>
      </c>
      <c r="AM56" s="44">
        <v>1E-4</v>
      </c>
      <c r="AN56" s="44">
        <v>1E-4</v>
      </c>
      <c r="AO56" s="44">
        <v>1E-4</v>
      </c>
      <c r="AP56" s="44">
        <v>1E-4</v>
      </c>
      <c r="AQ56"/>
      <c r="AR56" s="44">
        <v>1E-4</v>
      </c>
      <c r="AS56" s="44">
        <v>1E-4</v>
      </c>
      <c r="AT56" s="44">
        <v>1E-4</v>
      </c>
      <c r="AU56" s="44">
        <v>1E-4</v>
      </c>
      <c r="AV56"/>
      <c r="AW56" s="44">
        <v>1E-4</v>
      </c>
      <c r="AX56"/>
      <c r="AY56"/>
      <c r="AZ56" s="44">
        <v>1E-4</v>
      </c>
    </row>
    <row r="57" spans="1:52" x14ac:dyDescent="0.25">
      <c r="A57" s="17" t="s">
        <v>39</v>
      </c>
      <c r="B57" s="3" t="s">
        <v>473</v>
      </c>
      <c r="C57" s="3" t="s">
        <v>483</v>
      </c>
      <c r="D57" s="3" t="s">
        <v>537</v>
      </c>
      <c r="E57" s="18" t="s">
        <v>151</v>
      </c>
      <c r="F57" s="18" t="s">
        <v>98</v>
      </c>
      <c r="G57" s="44">
        <v>6.9999999999999999E-4</v>
      </c>
      <c r="H57" s="44">
        <f t="shared" si="1"/>
        <v>6.9999999999999999E-4</v>
      </c>
      <c r="I57" s="44">
        <v>6.9999999999999999E-4</v>
      </c>
      <c r="J57" s="44">
        <v>6.9999999999999999E-4</v>
      </c>
      <c r="K57" s="44">
        <v>6.9999999999999999E-4</v>
      </c>
      <c r="L57" s="44">
        <v>6.9999999999999999E-4</v>
      </c>
      <c r="M57" s="44">
        <v>6.9999999999999999E-4</v>
      </c>
      <c r="N57" s="44">
        <v>6.9999999999999999E-4</v>
      </c>
      <c r="O57" s="44">
        <v>6.9999999999999999E-4</v>
      </c>
      <c r="P57" s="44">
        <v>6.9999999999999999E-4</v>
      </c>
      <c r="R57" s="44">
        <v>6.9999999999999999E-4</v>
      </c>
      <c r="S57" s="44">
        <v>6.9999999999999999E-4</v>
      </c>
      <c r="T57" s="44">
        <v>6.9999999999999999E-4</v>
      </c>
      <c r="U57" s="44">
        <v>6.9999999999999999E-4</v>
      </c>
      <c r="X57" s="44">
        <v>6.9999999999999999E-4</v>
      </c>
      <c r="Y57" s="44">
        <v>6.9999999999999999E-4</v>
      </c>
      <c r="Z57" s="44">
        <v>6.9999999999999999E-4</v>
      </c>
      <c r="AA57" s="44">
        <v>6.9999999999999999E-4</v>
      </c>
      <c r="AB57" s="44">
        <v>6.9999999999999999E-4</v>
      </c>
      <c r="AC57" s="44">
        <v>6.9999999999999999E-4</v>
      </c>
      <c r="AD57" s="44">
        <v>6.9999999999999999E-4</v>
      </c>
      <c r="AE57" s="44">
        <v>6.9999999999999999E-4</v>
      </c>
      <c r="AF57" s="44">
        <v>6.9999999999999999E-4</v>
      </c>
      <c r="AG57" s="44">
        <v>6.9999999999999999E-4</v>
      </c>
      <c r="AH57" s="44">
        <v>6.9999999999999999E-4</v>
      </c>
      <c r="AI57"/>
      <c r="AJ57" s="44">
        <v>6.9999999999999999E-4</v>
      </c>
      <c r="AK57" s="44">
        <v>6.9999999999999999E-4</v>
      </c>
      <c r="AL57" s="44">
        <v>6.9999999999999999E-4</v>
      </c>
      <c r="AM57" s="44">
        <v>6.9999999999999999E-4</v>
      </c>
      <c r="AN57" s="44">
        <v>6.9999999999999999E-4</v>
      </c>
      <c r="AO57" s="44">
        <v>6.9999999999999999E-4</v>
      </c>
      <c r="AP57" s="44">
        <v>6.9999999999999999E-4</v>
      </c>
      <c r="AQ57"/>
      <c r="AR57" s="44">
        <v>6.9999999999999999E-4</v>
      </c>
      <c r="AS57" s="44">
        <v>6.9999999999999999E-4</v>
      </c>
      <c r="AT57" s="44">
        <v>6.9999999999999999E-4</v>
      </c>
      <c r="AU57" s="44">
        <v>6.9999999999999999E-4</v>
      </c>
      <c r="AV57"/>
      <c r="AW57" s="44">
        <v>6.9999999999999999E-4</v>
      </c>
      <c r="AX57"/>
      <c r="AY57"/>
      <c r="AZ57" s="44">
        <v>6.9999999999999999E-4</v>
      </c>
    </row>
    <row r="58" spans="1:52" x14ac:dyDescent="0.25">
      <c r="A58" s="17" t="s">
        <v>40</v>
      </c>
      <c r="B58" s="3" t="s">
        <v>473</v>
      </c>
      <c r="C58" s="3" t="s">
        <v>483</v>
      </c>
      <c r="D58" s="3" t="s">
        <v>537</v>
      </c>
      <c r="E58" s="18" t="s">
        <v>152</v>
      </c>
      <c r="F58" s="18" t="s">
        <v>98</v>
      </c>
      <c r="G58" s="44">
        <v>1.22E-4</v>
      </c>
      <c r="H58" s="44">
        <f t="shared" si="1"/>
        <v>1.22E-4</v>
      </c>
      <c r="I58" s="44">
        <v>1.22E-4</v>
      </c>
      <c r="J58" s="44">
        <v>1.22E-4</v>
      </c>
      <c r="K58" s="44">
        <v>1.22E-4</v>
      </c>
      <c r="L58" s="44">
        <v>1.22E-4</v>
      </c>
      <c r="M58" s="44">
        <v>1.22E-4</v>
      </c>
      <c r="N58" s="44">
        <v>1.22E-4</v>
      </c>
      <c r="O58" s="44">
        <v>1.22E-4</v>
      </c>
      <c r="P58" s="44">
        <v>1.22E-4</v>
      </c>
      <c r="R58" s="44">
        <v>1.22E-4</v>
      </c>
      <c r="S58" s="44">
        <v>1.22E-4</v>
      </c>
      <c r="T58" s="44">
        <v>1.22E-4</v>
      </c>
      <c r="U58" s="44">
        <v>1.22E-4</v>
      </c>
      <c r="X58" s="44">
        <v>1.22E-4</v>
      </c>
      <c r="Y58" s="44">
        <v>1.22E-4</v>
      </c>
      <c r="Z58" s="44">
        <v>1.22E-4</v>
      </c>
      <c r="AA58" s="44">
        <v>1.22E-4</v>
      </c>
      <c r="AB58" s="44">
        <v>1.22E-4</v>
      </c>
      <c r="AC58" s="44">
        <v>1.22E-4</v>
      </c>
      <c r="AD58" s="44">
        <v>1.22E-4</v>
      </c>
      <c r="AE58" s="44">
        <v>1.22E-4</v>
      </c>
      <c r="AF58" s="44">
        <v>1.22E-4</v>
      </c>
      <c r="AG58" s="44">
        <v>1.22E-4</v>
      </c>
      <c r="AH58" s="44">
        <v>1.22E-4</v>
      </c>
      <c r="AI58"/>
      <c r="AJ58" s="44">
        <v>1.22E-4</v>
      </c>
      <c r="AK58" s="44">
        <v>1.22E-4</v>
      </c>
      <c r="AL58" s="44">
        <v>1.22E-4</v>
      </c>
      <c r="AM58" s="44">
        <v>1.22E-4</v>
      </c>
      <c r="AN58" s="44">
        <v>1.22E-4</v>
      </c>
      <c r="AO58" s="44">
        <v>1.22E-4</v>
      </c>
      <c r="AP58" s="44">
        <v>1.22E-4</v>
      </c>
      <c r="AQ58"/>
      <c r="AR58" s="44">
        <v>1.22E-4</v>
      </c>
      <c r="AS58" s="44">
        <v>1.22E-4</v>
      </c>
      <c r="AT58" s="44">
        <v>1.22E-4</v>
      </c>
      <c r="AU58" s="44">
        <v>1.22E-4</v>
      </c>
      <c r="AV58"/>
      <c r="AW58" s="44">
        <v>1.22E-4</v>
      </c>
      <c r="AX58"/>
      <c r="AY58"/>
      <c r="AZ58" s="44">
        <v>1.22E-4</v>
      </c>
    </row>
    <row r="59" spans="1:52" x14ac:dyDescent="0.25">
      <c r="A59" s="17" t="s">
        <v>206</v>
      </c>
      <c r="B59" s="3" t="s">
        <v>473</v>
      </c>
      <c r="C59" s="3" t="s">
        <v>483</v>
      </c>
      <c r="D59" s="3" t="s">
        <v>537</v>
      </c>
      <c r="E59" s="18" t="s">
        <v>284</v>
      </c>
      <c r="F59" s="18" t="s">
        <v>98</v>
      </c>
      <c r="G59" s="44">
        <v>1</v>
      </c>
      <c r="H59" s="44">
        <f t="shared" si="1"/>
        <v>1</v>
      </c>
      <c r="I59" s="44">
        <v>1</v>
      </c>
      <c r="J59" s="44">
        <v>1</v>
      </c>
      <c r="K59" s="44">
        <v>1</v>
      </c>
      <c r="L59" s="44">
        <v>1</v>
      </c>
      <c r="M59" s="44">
        <v>1</v>
      </c>
      <c r="N59" s="44">
        <v>1</v>
      </c>
      <c r="O59" s="44">
        <v>1</v>
      </c>
      <c r="P59" s="44">
        <v>1</v>
      </c>
      <c r="R59" s="44">
        <v>1</v>
      </c>
      <c r="S59" s="44">
        <v>1</v>
      </c>
      <c r="T59" s="44">
        <v>1</v>
      </c>
      <c r="U59" s="44">
        <v>1</v>
      </c>
      <c r="X59" s="44">
        <v>1</v>
      </c>
      <c r="Y59" s="44">
        <v>1</v>
      </c>
      <c r="Z59" s="44">
        <v>1</v>
      </c>
      <c r="AA59" s="44">
        <v>1</v>
      </c>
      <c r="AB59" s="44">
        <v>1</v>
      </c>
      <c r="AC59" s="44">
        <v>1</v>
      </c>
      <c r="AD59" s="44">
        <v>1</v>
      </c>
      <c r="AE59" s="44">
        <v>1</v>
      </c>
      <c r="AF59" s="44">
        <v>1</v>
      </c>
      <c r="AG59" s="44">
        <v>1</v>
      </c>
      <c r="AH59" s="44">
        <v>1</v>
      </c>
      <c r="AI59"/>
      <c r="AJ59" s="44">
        <v>1</v>
      </c>
      <c r="AK59" s="44">
        <v>1</v>
      </c>
      <c r="AL59" s="44">
        <v>1</v>
      </c>
      <c r="AM59" s="44">
        <v>1</v>
      </c>
      <c r="AN59" s="44">
        <v>1</v>
      </c>
      <c r="AO59" s="44">
        <v>1</v>
      </c>
      <c r="AP59" s="44">
        <v>1</v>
      </c>
      <c r="AQ59"/>
      <c r="AR59" s="44">
        <v>1</v>
      </c>
      <c r="AS59" s="44">
        <v>1</v>
      </c>
      <c r="AT59" s="44">
        <v>1</v>
      </c>
      <c r="AU59" s="44">
        <v>1</v>
      </c>
      <c r="AV59"/>
      <c r="AW59" s="44">
        <v>1</v>
      </c>
      <c r="AX59"/>
      <c r="AY59"/>
      <c r="AZ59" s="44">
        <v>1</v>
      </c>
    </row>
    <row r="60" spans="1:52" x14ac:dyDescent="0.25">
      <c r="A60" s="17" t="s">
        <v>41</v>
      </c>
      <c r="B60" s="3" t="s">
        <v>473</v>
      </c>
      <c r="C60" s="3" t="s">
        <v>483</v>
      </c>
      <c r="D60" s="3" t="s">
        <v>537</v>
      </c>
      <c r="E60" s="18" t="s">
        <v>155</v>
      </c>
      <c r="F60" s="18" t="s">
        <v>102</v>
      </c>
      <c r="G60" s="44">
        <v>0.95</v>
      </c>
      <c r="H60" s="44">
        <f t="shared" si="1"/>
        <v>0.95</v>
      </c>
      <c r="I60" s="44">
        <v>0.95</v>
      </c>
      <c r="J60" s="44">
        <v>0.95</v>
      </c>
      <c r="K60" s="44">
        <v>0.95</v>
      </c>
      <c r="L60" s="44">
        <v>0.95</v>
      </c>
      <c r="M60" s="44">
        <v>0.95</v>
      </c>
      <c r="N60" s="44">
        <v>0.95</v>
      </c>
      <c r="O60" s="44">
        <v>0.95</v>
      </c>
      <c r="P60" s="44">
        <v>0.95</v>
      </c>
      <c r="R60" s="44">
        <v>0.95</v>
      </c>
      <c r="S60" s="44">
        <v>0.95</v>
      </c>
      <c r="T60" s="44">
        <v>0.95</v>
      </c>
      <c r="U60" s="44">
        <v>0.95</v>
      </c>
      <c r="X60" s="44">
        <v>0.95</v>
      </c>
      <c r="Y60" s="44">
        <v>0.95</v>
      </c>
      <c r="Z60" s="44">
        <v>0.95</v>
      </c>
      <c r="AA60" s="44">
        <v>0.95</v>
      </c>
      <c r="AB60" s="44">
        <v>0.95</v>
      </c>
      <c r="AC60" s="44">
        <v>0.95</v>
      </c>
      <c r="AD60" s="44">
        <v>0.95</v>
      </c>
      <c r="AE60" s="44">
        <v>0.95</v>
      </c>
      <c r="AF60" s="44">
        <v>0.95</v>
      </c>
      <c r="AG60" s="44">
        <v>0.95</v>
      </c>
      <c r="AH60" s="44">
        <v>0.95</v>
      </c>
      <c r="AI60"/>
      <c r="AJ60" s="44">
        <v>0.95</v>
      </c>
      <c r="AK60" s="44">
        <v>0.95</v>
      </c>
      <c r="AL60" s="44">
        <v>0.95</v>
      </c>
      <c r="AM60" s="44">
        <v>0.95</v>
      </c>
      <c r="AN60" s="44">
        <v>0.95</v>
      </c>
      <c r="AO60" s="44">
        <v>0.95</v>
      </c>
      <c r="AP60" s="44">
        <v>0.95</v>
      </c>
      <c r="AQ60"/>
      <c r="AR60" s="44">
        <v>0.95</v>
      </c>
      <c r="AS60" s="44">
        <v>0.95</v>
      </c>
      <c r="AT60" s="44">
        <v>0.95</v>
      </c>
      <c r="AU60" s="44">
        <v>0.95</v>
      </c>
      <c r="AV60"/>
      <c r="AW60" s="44">
        <v>0.95</v>
      </c>
      <c r="AX60"/>
      <c r="AY60"/>
      <c r="AZ60" s="44">
        <v>0.95</v>
      </c>
    </row>
    <row r="61" spans="1:52" x14ac:dyDescent="0.25">
      <c r="A61" s="17" t="s">
        <v>406</v>
      </c>
      <c r="B61" s="3" t="s">
        <v>473</v>
      </c>
      <c r="C61" s="3" t="s">
        <v>483</v>
      </c>
      <c r="D61" s="3" t="s">
        <v>537</v>
      </c>
      <c r="E61" s="18" t="s">
        <v>407</v>
      </c>
      <c r="F61" s="18" t="s">
        <v>94</v>
      </c>
      <c r="G61" s="44" t="s">
        <v>87</v>
      </c>
      <c r="H61" s="44" t="str">
        <f t="shared" si="1"/>
        <v>False</v>
      </c>
      <c r="I61" s="44" t="s">
        <v>87</v>
      </c>
      <c r="J61" s="44" t="s">
        <v>87</v>
      </c>
      <c r="K61" s="44" t="s">
        <v>87</v>
      </c>
      <c r="L61" s="44" t="s">
        <v>87</v>
      </c>
      <c r="M61" s="44" t="s">
        <v>87</v>
      </c>
      <c r="N61" s="44" t="s">
        <v>87</v>
      </c>
      <c r="O61" s="44" t="s">
        <v>87</v>
      </c>
      <c r="P61" s="44" t="s">
        <v>87</v>
      </c>
      <c r="R61" s="44" t="s">
        <v>87</v>
      </c>
      <c r="S61" s="44" t="s">
        <v>87</v>
      </c>
      <c r="T61" s="44" t="s">
        <v>87</v>
      </c>
      <c r="U61" s="44" t="s">
        <v>87</v>
      </c>
      <c r="X61" s="44" t="s">
        <v>87</v>
      </c>
      <c r="Y61" s="44" t="s">
        <v>87</v>
      </c>
      <c r="Z61" s="44" t="s">
        <v>87</v>
      </c>
      <c r="AA61" s="44" t="s">
        <v>87</v>
      </c>
      <c r="AB61" s="44" t="s">
        <v>87</v>
      </c>
      <c r="AC61" s="44" t="s">
        <v>87</v>
      </c>
      <c r="AD61" s="44" t="s">
        <v>87</v>
      </c>
      <c r="AE61" s="44" t="s">
        <v>87</v>
      </c>
      <c r="AF61" s="44" t="s">
        <v>87</v>
      </c>
      <c r="AG61" s="44" t="s">
        <v>87</v>
      </c>
      <c r="AH61" s="44" t="s">
        <v>87</v>
      </c>
      <c r="AI61"/>
      <c r="AJ61" s="44" t="s">
        <v>87</v>
      </c>
      <c r="AK61" s="44" t="s">
        <v>87</v>
      </c>
      <c r="AL61" s="44" t="s">
        <v>87</v>
      </c>
      <c r="AM61" s="44" t="s">
        <v>87</v>
      </c>
      <c r="AN61" s="44" t="s">
        <v>87</v>
      </c>
      <c r="AO61" s="44" t="s">
        <v>87</v>
      </c>
      <c r="AP61" s="44" t="s">
        <v>87</v>
      </c>
      <c r="AQ61"/>
      <c r="AR61" s="44" t="s">
        <v>87</v>
      </c>
      <c r="AS61" s="44" t="s">
        <v>87</v>
      </c>
      <c r="AT61" s="44" t="s">
        <v>87</v>
      </c>
      <c r="AU61" s="44" t="s">
        <v>87</v>
      </c>
      <c r="AV61"/>
      <c r="AW61" s="44" t="s">
        <v>87</v>
      </c>
      <c r="AX61"/>
      <c r="AY61"/>
      <c r="AZ61" s="44" t="s">
        <v>87</v>
      </c>
    </row>
    <row r="62" spans="1:52" x14ac:dyDescent="0.25">
      <c r="A62" s="17" t="s">
        <v>90</v>
      </c>
      <c r="B62" s="3" t="s">
        <v>473</v>
      </c>
      <c r="C62" s="3" t="s">
        <v>483</v>
      </c>
      <c r="D62" s="3" t="s">
        <v>537</v>
      </c>
      <c r="E62" s="18" t="s">
        <v>153</v>
      </c>
      <c r="F62" s="18" t="s">
        <v>103</v>
      </c>
      <c r="G62" s="44">
        <v>5</v>
      </c>
      <c r="H62" s="44">
        <f t="shared" si="1"/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R62" s="44">
        <v>5</v>
      </c>
      <c r="S62" s="44">
        <v>5</v>
      </c>
      <c r="T62" s="44">
        <v>5</v>
      </c>
      <c r="U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4">
        <v>5</v>
      </c>
      <c r="AH62" s="44">
        <v>5</v>
      </c>
      <c r="AI62"/>
      <c r="AJ62" s="44">
        <v>5</v>
      </c>
      <c r="AK62" s="44">
        <v>5</v>
      </c>
      <c r="AL62" s="44">
        <v>5</v>
      </c>
      <c r="AM62" s="44">
        <v>5</v>
      </c>
      <c r="AN62" s="44">
        <v>5</v>
      </c>
      <c r="AO62" s="44">
        <v>5</v>
      </c>
      <c r="AP62" s="44">
        <v>5</v>
      </c>
      <c r="AQ62"/>
      <c r="AR62" s="44">
        <v>5</v>
      </c>
      <c r="AS62" s="44">
        <v>5</v>
      </c>
      <c r="AT62" s="44">
        <v>5</v>
      </c>
      <c r="AU62" s="44">
        <v>5</v>
      </c>
      <c r="AV62"/>
      <c r="AW62" s="44">
        <v>5</v>
      </c>
      <c r="AX62"/>
      <c r="AY62"/>
      <c r="AZ62" s="44">
        <v>5</v>
      </c>
    </row>
    <row r="63" spans="1:52" x14ac:dyDescent="0.25">
      <c r="A63" s="17" t="s">
        <v>408</v>
      </c>
      <c r="B63" s="3" t="s">
        <v>473</v>
      </c>
      <c r="C63" s="3" t="s">
        <v>483</v>
      </c>
      <c r="D63" s="3" t="s">
        <v>537</v>
      </c>
      <c r="E63" s="18" t="s">
        <v>409</v>
      </c>
      <c r="F63" s="18" t="s">
        <v>94</v>
      </c>
      <c r="G63" s="44" t="s">
        <v>87</v>
      </c>
      <c r="H63" s="44" t="str">
        <f t="shared" si="1"/>
        <v>False</v>
      </c>
      <c r="I63" s="44" t="s">
        <v>87</v>
      </c>
      <c r="J63" s="44" t="s">
        <v>87</v>
      </c>
      <c r="K63" s="44" t="s">
        <v>87</v>
      </c>
      <c r="L63" s="44" t="s">
        <v>87</v>
      </c>
      <c r="M63" s="44" t="s">
        <v>87</v>
      </c>
      <c r="N63" s="44" t="s">
        <v>87</v>
      </c>
      <c r="O63" s="44" t="s">
        <v>87</v>
      </c>
      <c r="P63" s="44" t="s">
        <v>87</v>
      </c>
      <c r="R63" s="44" t="s">
        <v>87</v>
      </c>
      <c r="S63" s="44" t="s">
        <v>87</v>
      </c>
      <c r="T63" s="44" t="s">
        <v>87</v>
      </c>
      <c r="U63" s="44" t="s">
        <v>87</v>
      </c>
      <c r="X63" s="44" t="s">
        <v>87</v>
      </c>
      <c r="Y63" s="44" t="s">
        <v>87</v>
      </c>
      <c r="Z63" s="44" t="s">
        <v>87</v>
      </c>
      <c r="AA63" s="44" t="s">
        <v>87</v>
      </c>
      <c r="AB63" s="44" t="s">
        <v>87</v>
      </c>
      <c r="AC63" s="44" t="s">
        <v>87</v>
      </c>
      <c r="AD63" s="44" t="s">
        <v>87</v>
      </c>
      <c r="AE63" s="44" t="s">
        <v>87</v>
      </c>
      <c r="AF63" s="44" t="s">
        <v>87</v>
      </c>
      <c r="AG63" s="44" t="s">
        <v>87</v>
      </c>
      <c r="AH63" s="44" t="s">
        <v>87</v>
      </c>
      <c r="AI63"/>
      <c r="AJ63" s="44" t="s">
        <v>87</v>
      </c>
      <c r="AK63" s="44" t="s">
        <v>87</v>
      </c>
      <c r="AL63" s="44" t="s">
        <v>87</v>
      </c>
      <c r="AM63" s="44" t="s">
        <v>87</v>
      </c>
      <c r="AN63" s="44" t="s">
        <v>87</v>
      </c>
      <c r="AO63" s="44" t="s">
        <v>87</v>
      </c>
      <c r="AP63" s="44" t="s">
        <v>87</v>
      </c>
      <c r="AQ63"/>
      <c r="AR63" s="44" t="s">
        <v>87</v>
      </c>
      <c r="AS63" s="44" t="s">
        <v>87</v>
      </c>
      <c r="AT63" s="44" t="s">
        <v>87</v>
      </c>
      <c r="AU63" s="44" t="s">
        <v>87</v>
      </c>
      <c r="AV63"/>
      <c r="AW63" s="44" t="s">
        <v>87</v>
      </c>
      <c r="AX63"/>
      <c r="AY63"/>
      <c r="AZ63" s="44" t="s">
        <v>87</v>
      </c>
    </row>
    <row r="64" spans="1:52" x14ac:dyDescent="0.25">
      <c r="A64" s="17" t="s">
        <v>42</v>
      </c>
      <c r="B64" s="3" t="s">
        <v>473</v>
      </c>
      <c r="C64" s="3" t="s">
        <v>483</v>
      </c>
      <c r="D64" s="3" t="s">
        <v>537</v>
      </c>
      <c r="E64" s="18" t="s">
        <v>154</v>
      </c>
      <c r="F64" s="18" t="s">
        <v>103</v>
      </c>
      <c r="G64" s="44">
        <v>50</v>
      </c>
      <c r="H64" s="44">
        <f t="shared" si="1"/>
        <v>50</v>
      </c>
      <c r="I64" s="44">
        <v>50</v>
      </c>
      <c r="J64" s="44">
        <v>50</v>
      </c>
      <c r="K64" s="44">
        <v>50</v>
      </c>
      <c r="L64" s="44">
        <v>50</v>
      </c>
      <c r="M64" s="44">
        <v>50</v>
      </c>
      <c r="N64" s="44">
        <v>50</v>
      </c>
      <c r="O64" s="44">
        <v>50</v>
      </c>
      <c r="P64" s="44">
        <v>50</v>
      </c>
      <c r="R64" s="44">
        <v>50</v>
      </c>
      <c r="S64" s="44">
        <v>50</v>
      </c>
      <c r="T64" s="44">
        <v>50</v>
      </c>
      <c r="U64" s="44">
        <v>50</v>
      </c>
      <c r="X64" s="44">
        <v>50</v>
      </c>
      <c r="Y64" s="44">
        <v>50</v>
      </c>
      <c r="Z64" s="44">
        <v>50</v>
      </c>
      <c r="AA64" s="44">
        <v>50</v>
      </c>
      <c r="AB64" s="44">
        <v>50</v>
      </c>
      <c r="AC64" s="44">
        <v>50</v>
      </c>
      <c r="AD64" s="44">
        <v>50</v>
      </c>
      <c r="AE64" s="44">
        <v>50</v>
      </c>
      <c r="AF64" s="44">
        <v>50</v>
      </c>
      <c r="AG64" s="44">
        <v>50</v>
      </c>
      <c r="AH64" s="44">
        <v>50</v>
      </c>
      <c r="AI64"/>
      <c r="AJ64" s="44">
        <v>50</v>
      </c>
      <c r="AK64" s="44">
        <v>50</v>
      </c>
      <c r="AL64" s="44">
        <v>50</v>
      </c>
      <c r="AM64" s="44">
        <v>50</v>
      </c>
      <c r="AN64" s="44">
        <v>50</v>
      </c>
      <c r="AO64" s="44">
        <v>50</v>
      </c>
      <c r="AP64" s="44">
        <v>50</v>
      </c>
      <c r="AQ64"/>
      <c r="AR64" s="44">
        <v>50</v>
      </c>
      <c r="AS64" s="44">
        <v>50</v>
      </c>
      <c r="AT64" s="44">
        <v>50</v>
      </c>
      <c r="AU64" s="44">
        <v>50</v>
      </c>
      <c r="AV64"/>
      <c r="AW64" s="44">
        <v>50</v>
      </c>
      <c r="AX64"/>
      <c r="AY64"/>
      <c r="AZ64" s="44">
        <v>50</v>
      </c>
    </row>
    <row r="65" spans="1:52" x14ac:dyDescent="0.25">
      <c r="A65" s="17" t="s">
        <v>207</v>
      </c>
      <c r="B65" s="3" t="s">
        <v>473</v>
      </c>
      <c r="C65" s="3" t="s">
        <v>483</v>
      </c>
      <c r="D65" s="3" t="s">
        <v>537</v>
      </c>
      <c r="E65" s="18" t="s">
        <v>288</v>
      </c>
      <c r="F65" s="18" t="s">
        <v>106</v>
      </c>
      <c r="G65" s="44">
        <v>1453890.8941884842</v>
      </c>
      <c r="H65" s="44">
        <f t="shared" ref="H65:H132" si="2">G65</f>
        <v>1453890.8941884842</v>
      </c>
      <c r="I65" s="44">
        <v>1453890.8941884842</v>
      </c>
      <c r="J65" s="44">
        <v>1453890.8941884842</v>
      </c>
      <c r="K65" s="44">
        <v>1453890.8941884842</v>
      </c>
      <c r="L65" s="44">
        <v>1453890.8941884842</v>
      </c>
      <c r="M65" s="44">
        <v>1453890.8941884842</v>
      </c>
      <c r="N65" s="44">
        <v>1453890.8941884842</v>
      </c>
      <c r="O65" s="44">
        <v>1453890.8941884842</v>
      </c>
      <c r="P65" s="44">
        <v>1453890.8941884842</v>
      </c>
      <c r="R65" s="44">
        <v>1453890.8941884842</v>
      </c>
      <c r="S65" s="44">
        <v>1453890.8941884842</v>
      </c>
      <c r="T65" s="44">
        <v>1453890.8941884842</v>
      </c>
      <c r="U65" s="44">
        <v>1453890.8941884842</v>
      </c>
      <c r="X65" s="44">
        <v>1453890.8941884842</v>
      </c>
      <c r="Y65" s="44">
        <v>1453890.8941884842</v>
      </c>
      <c r="Z65" s="44">
        <v>1453890.8941884842</v>
      </c>
      <c r="AA65" s="44">
        <v>1453890.8941884842</v>
      </c>
      <c r="AB65" s="44">
        <v>1453890.8941884842</v>
      </c>
      <c r="AC65" s="44">
        <v>1453890.8941884842</v>
      </c>
      <c r="AD65" s="44">
        <v>1453890.8941884842</v>
      </c>
      <c r="AE65" s="44">
        <v>1453890.8941884842</v>
      </c>
      <c r="AF65" s="44">
        <v>1453890.8941884842</v>
      </c>
      <c r="AG65" s="44">
        <v>1453890.8941884842</v>
      </c>
      <c r="AH65" s="44">
        <v>1453890.8941884842</v>
      </c>
      <c r="AI65"/>
      <c r="AJ65" s="44">
        <v>1453890.8941884842</v>
      </c>
      <c r="AK65" s="44">
        <v>1453890.8941884842</v>
      </c>
      <c r="AL65" s="44">
        <v>1453890.8941884842</v>
      </c>
      <c r="AM65" s="44">
        <v>1453890.8941884842</v>
      </c>
      <c r="AN65" s="44">
        <v>1453890.8941884842</v>
      </c>
      <c r="AO65" s="44">
        <v>1453890.8941884842</v>
      </c>
      <c r="AP65" s="44">
        <v>1453890.8941884842</v>
      </c>
      <c r="AQ65"/>
      <c r="AR65" s="44">
        <v>1453890.8941884842</v>
      </c>
      <c r="AS65" s="44">
        <v>1453890.8941884842</v>
      </c>
      <c r="AT65" s="44">
        <v>1453890.8941884842</v>
      </c>
      <c r="AU65" s="44">
        <v>1453890.8941884842</v>
      </c>
      <c r="AV65"/>
      <c r="AW65" s="44">
        <v>1453890.8941884842</v>
      </c>
      <c r="AX65"/>
      <c r="AY65"/>
      <c r="AZ65" s="44">
        <v>1453890.8941884842</v>
      </c>
    </row>
    <row r="66" spans="1:52" x14ac:dyDescent="0.25">
      <c r="A66" s="17" t="s">
        <v>43</v>
      </c>
      <c r="B66" s="3" t="s">
        <v>473</v>
      </c>
      <c r="C66" s="3" t="s">
        <v>483</v>
      </c>
      <c r="D66" s="3" t="s">
        <v>537</v>
      </c>
      <c r="E66" s="18" t="s">
        <v>381</v>
      </c>
      <c r="F66" s="18" t="s">
        <v>104</v>
      </c>
      <c r="G66" s="44">
        <v>1.3888888888888888E-5</v>
      </c>
      <c r="H66" s="44">
        <f t="shared" si="2"/>
        <v>1.3888888888888888E-5</v>
      </c>
      <c r="I66" s="44">
        <v>1.3888888888888888E-5</v>
      </c>
      <c r="J66" s="44">
        <v>1.3888888888888888E-5</v>
      </c>
      <c r="K66" s="44">
        <v>1.3888888888888888E-5</v>
      </c>
      <c r="L66" s="44">
        <v>1.3888888888888888E-5</v>
      </c>
      <c r="M66" s="44">
        <v>1.3888888888888888E-5</v>
      </c>
      <c r="N66" s="44">
        <v>1.3888888888888888E-5</v>
      </c>
      <c r="O66" s="44">
        <v>1.3888888888888888E-5</v>
      </c>
      <c r="P66" s="44">
        <v>1.3888888888888888E-5</v>
      </c>
      <c r="R66" s="44">
        <v>1.3888888888888888E-5</v>
      </c>
      <c r="S66" s="44">
        <v>1.3888888888888888E-5</v>
      </c>
      <c r="T66" s="44">
        <v>1.3888888888888888E-5</v>
      </c>
      <c r="U66" s="44">
        <v>1.3888888888888888E-5</v>
      </c>
      <c r="X66" s="44">
        <v>1.3888888888888888E-5</v>
      </c>
      <c r="Y66" s="44">
        <v>1.3888888888888888E-5</v>
      </c>
      <c r="Z66" s="44">
        <v>1.3888888888888888E-5</v>
      </c>
      <c r="AA66" s="44">
        <v>1.3888888888888888E-5</v>
      </c>
      <c r="AB66" s="44">
        <v>1.3888888888888888E-5</v>
      </c>
      <c r="AC66" s="44">
        <v>1.3888888888888888E-5</v>
      </c>
      <c r="AD66" s="44">
        <v>1.3888888888888888E-5</v>
      </c>
      <c r="AE66" s="44">
        <v>1.3888888888888888E-5</v>
      </c>
      <c r="AF66" s="44">
        <v>1.3888888888888888E-5</v>
      </c>
      <c r="AG66" s="44">
        <v>1.3888888888888888E-5</v>
      </c>
      <c r="AH66" s="44">
        <v>1.3888888888888888E-5</v>
      </c>
      <c r="AI66"/>
      <c r="AJ66" s="44">
        <v>1.3888888888888888E-5</v>
      </c>
      <c r="AK66" s="44">
        <v>1.3888888888888888E-5</v>
      </c>
      <c r="AL66" s="44">
        <v>1.3888888888888888E-5</v>
      </c>
      <c r="AM66" s="44">
        <v>1.3888888888888888E-5</v>
      </c>
      <c r="AN66" s="44">
        <v>1.3888888888888888E-5</v>
      </c>
      <c r="AO66" s="44">
        <v>1.3888888888888888E-5</v>
      </c>
      <c r="AP66" s="44">
        <v>1.3888888888888888E-5</v>
      </c>
      <c r="AQ66"/>
      <c r="AR66" s="44">
        <v>1.3888888888888888E-5</v>
      </c>
      <c r="AS66" s="44">
        <v>1.3888888888888888E-5</v>
      </c>
      <c r="AT66" s="44">
        <v>1.3888888888888888E-5</v>
      </c>
      <c r="AU66" s="44">
        <v>1.3888888888888888E-5</v>
      </c>
      <c r="AV66"/>
      <c r="AW66" s="44">
        <v>1.3888888888888888E-5</v>
      </c>
      <c r="AX66"/>
      <c r="AY66"/>
      <c r="AZ66" s="44">
        <v>1.3888888888888888E-5</v>
      </c>
    </row>
    <row r="67" spans="1:52" x14ac:dyDescent="0.25">
      <c r="A67" s="17" t="s">
        <v>44</v>
      </c>
      <c r="B67" s="3" t="s">
        <v>473</v>
      </c>
      <c r="C67" s="3" t="s">
        <v>483</v>
      </c>
      <c r="D67" s="3" t="s">
        <v>537</v>
      </c>
      <c r="E67" s="18" t="s">
        <v>156</v>
      </c>
      <c r="F67" s="18" t="s">
        <v>105</v>
      </c>
      <c r="G67" s="44">
        <v>4.5763888888888888E-4</v>
      </c>
      <c r="H67" s="44">
        <f t="shared" si="2"/>
        <v>4.5763888888888888E-4</v>
      </c>
      <c r="I67" s="44">
        <v>6.5011574074074071E-4</v>
      </c>
      <c r="J67" s="44">
        <v>6.5011574074074071E-4</v>
      </c>
      <c r="K67" s="44">
        <v>6.5011574074074071E-4</v>
      </c>
      <c r="L67" s="44">
        <v>6.5011574074074071E-4</v>
      </c>
      <c r="M67" s="44">
        <v>6.5011574074074071E-4</v>
      </c>
      <c r="N67" s="44">
        <v>6.5011574074074071E-4</v>
      </c>
      <c r="O67" s="44">
        <v>6.5011574074074071E-4</v>
      </c>
      <c r="P67" s="44">
        <v>6.5011574074074071E-4</v>
      </c>
      <c r="R67" s="44">
        <v>6.5011574074074071E-4</v>
      </c>
      <c r="S67" s="44">
        <v>6.5011574074074071E-4</v>
      </c>
      <c r="T67" s="44">
        <v>6.5011574074074071E-4</v>
      </c>
      <c r="U67" s="44">
        <v>6.5011574074074071E-4</v>
      </c>
      <c r="X67" s="44">
        <v>6.5011574074074071E-4</v>
      </c>
      <c r="Y67" s="44">
        <v>6.5011574074074071E-4</v>
      </c>
      <c r="Z67" s="44">
        <v>6.5011574074074071E-4</v>
      </c>
      <c r="AA67" s="44">
        <v>6.5011574074074071E-4</v>
      </c>
      <c r="AB67" s="44">
        <v>6.5011574074074071E-4</v>
      </c>
      <c r="AC67" s="44">
        <v>6.5011574074074071E-4</v>
      </c>
      <c r="AD67" s="44">
        <v>6.5011574074074071E-4</v>
      </c>
      <c r="AE67" s="44">
        <v>6.5011574074074071E-4</v>
      </c>
      <c r="AF67" s="44">
        <v>6.5011574074074071E-4</v>
      </c>
      <c r="AG67" s="44">
        <v>6.5011574074074071E-4</v>
      </c>
      <c r="AH67" s="44">
        <v>6.5011574074074071E-4</v>
      </c>
      <c r="AI67"/>
      <c r="AJ67" s="44">
        <v>6.5011574074074071E-4</v>
      </c>
      <c r="AK67" s="44">
        <v>6.5011574074074071E-4</v>
      </c>
      <c r="AL67" s="44">
        <v>6.5011574074074071E-4</v>
      </c>
      <c r="AM67" s="44">
        <v>6.5011574074074071E-4</v>
      </c>
      <c r="AN67" s="44">
        <v>6.5011574074074071E-4</v>
      </c>
      <c r="AO67" s="44">
        <v>6.5011574074074071E-4</v>
      </c>
      <c r="AP67" s="44">
        <v>6.5011574074074071E-4</v>
      </c>
      <c r="AQ67"/>
      <c r="AR67" s="44">
        <v>6.5011574074074071E-4</v>
      </c>
      <c r="AS67" s="44">
        <v>6.5011574074074071E-4</v>
      </c>
      <c r="AT67" s="44">
        <v>6.5011574074074071E-4</v>
      </c>
      <c r="AU67" s="44">
        <v>6.5011574074074071E-4</v>
      </c>
      <c r="AV67"/>
      <c r="AW67" s="44">
        <v>6.5011574074074071E-4</v>
      </c>
      <c r="AX67"/>
      <c r="AY67"/>
      <c r="AZ67" s="44">
        <v>6.5011574074074071E-4</v>
      </c>
    </row>
    <row r="68" spans="1:52" x14ac:dyDescent="0.25">
      <c r="A68" s="17" t="s">
        <v>45</v>
      </c>
      <c r="B68" s="3" t="s">
        <v>473</v>
      </c>
      <c r="C68" s="3" t="s">
        <v>483</v>
      </c>
      <c r="D68" s="3" t="s">
        <v>537</v>
      </c>
      <c r="E68" s="18" t="s">
        <v>157</v>
      </c>
      <c r="F68" s="18" t="s">
        <v>98</v>
      </c>
      <c r="G68" s="44">
        <v>3.63E-3</v>
      </c>
      <c r="H68" s="44">
        <f t="shared" si="2"/>
        <v>3.63E-3</v>
      </c>
      <c r="I68" s="44">
        <v>4.7400000000000003E-3</v>
      </c>
      <c r="J68" s="44">
        <v>4.7400000000000003E-3</v>
      </c>
      <c r="K68" s="44">
        <v>4.7400000000000003E-3</v>
      </c>
      <c r="L68" s="44">
        <v>4.7400000000000003E-3</v>
      </c>
      <c r="M68" s="44">
        <v>4.7400000000000003E-3</v>
      </c>
      <c r="N68" s="44">
        <v>4.7400000000000003E-3</v>
      </c>
      <c r="O68" s="44">
        <v>4.7400000000000003E-3</v>
      </c>
      <c r="P68" s="44">
        <v>4.7400000000000003E-3</v>
      </c>
      <c r="R68" s="44">
        <v>4.7400000000000003E-3</v>
      </c>
      <c r="S68" s="44">
        <v>4.7400000000000003E-3</v>
      </c>
      <c r="T68" s="44">
        <v>4.7400000000000003E-3</v>
      </c>
      <c r="U68" s="44">
        <v>4.7400000000000003E-3</v>
      </c>
      <c r="X68" s="44">
        <v>4.7400000000000003E-3</v>
      </c>
      <c r="Y68" s="44">
        <v>4.7400000000000003E-3</v>
      </c>
      <c r="Z68" s="44">
        <v>4.7400000000000003E-3</v>
      </c>
      <c r="AA68" s="44">
        <v>4.7400000000000003E-3</v>
      </c>
      <c r="AB68" s="44">
        <v>4.7400000000000003E-3</v>
      </c>
      <c r="AC68" s="44">
        <v>4.7400000000000003E-3</v>
      </c>
      <c r="AD68" s="44">
        <v>4.7400000000000003E-3</v>
      </c>
      <c r="AE68" s="44">
        <v>4.7400000000000003E-3</v>
      </c>
      <c r="AF68" s="44">
        <v>4.7400000000000003E-3</v>
      </c>
      <c r="AG68" s="44">
        <v>4.7400000000000003E-3</v>
      </c>
      <c r="AH68" s="44">
        <v>4.7400000000000003E-3</v>
      </c>
      <c r="AI68"/>
      <c r="AJ68" s="44">
        <v>4.7400000000000003E-3</v>
      </c>
      <c r="AK68" s="44">
        <v>4.7400000000000003E-3</v>
      </c>
      <c r="AL68" s="44">
        <v>4.7400000000000003E-3</v>
      </c>
      <c r="AM68" s="44">
        <v>4.7400000000000003E-3</v>
      </c>
      <c r="AN68" s="44">
        <v>4.7400000000000003E-3</v>
      </c>
      <c r="AO68" s="44">
        <v>4.7400000000000003E-3</v>
      </c>
      <c r="AP68" s="44">
        <v>4.7400000000000003E-3</v>
      </c>
      <c r="AQ68"/>
      <c r="AR68" s="44">
        <v>4.7400000000000003E-3</v>
      </c>
      <c r="AS68" s="44">
        <v>4.7400000000000003E-3</v>
      </c>
      <c r="AT68" s="44">
        <v>4.7400000000000003E-3</v>
      </c>
      <c r="AU68" s="44">
        <v>4.7400000000000003E-3</v>
      </c>
      <c r="AV68"/>
      <c r="AW68" s="44">
        <v>4.7400000000000003E-3</v>
      </c>
      <c r="AX68"/>
      <c r="AY68"/>
      <c r="AZ68" s="44">
        <v>4.7400000000000003E-3</v>
      </c>
    </row>
    <row r="69" spans="1:52" x14ac:dyDescent="0.25">
      <c r="A69" s="17" t="s">
        <v>46</v>
      </c>
      <c r="B69" s="3" t="s">
        <v>473</v>
      </c>
      <c r="C69" s="3" t="s">
        <v>483</v>
      </c>
      <c r="D69" s="3" t="s">
        <v>537</v>
      </c>
      <c r="E69" s="18" t="s">
        <v>158</v>
      </c>
      <c r="F69" s="18" t="s">
        <v>106</v>
      </c>
      <c r="G69" s="44">
        <v>491356.80000000005</v>
      </c>
      <c r="H69" s="44">
        <f t="shared" si="2"/>
        <v>491356.80000000005</v>
      </c>
      <c r="I69" s="44">
        <v>282528</v>
      </c>
      <c r="J69" s="44">
        <v>282528</v>
      </c>
      <c r="K69" s="44">
        <v>282528</v>
      </c>
      <c r="L69" s="44">
        <v>282528</v>
      </c>
      <c r="M69" s="44">
        <v>282528</v>
      </c>
      <c r="N69" s="44">
        <v>282528</v>
      </c>
      <c r="O69" s="44">
        <v>282528</v>
      </c>
      <c r="P69" s="44">
        <v>282528</v>
      </c>
      <c r="R69" s="44">
        <v>282528</v>
      </c>
      <c r="S69" s="44">
        <v>282528</v>
      </c>
      <c r="T69" s="44">
        <v>282528</v>
      </c>
      <c r="U69" s="44">
        <v>282528</v>
      </c>
      <c r="X69" s="44">
        <v>282528</v>
      </c>
      <c r="Y69" s="44">
        <v>282528</v>
      </c>
      <c r="Z69" s="44">
        <v>282528</v>
      </c>
      <c r="AA69" s="44">
        <v>282528</v>
      </c>
      <c r="AB69" s="44">
        <v>282528</v>
      </c>
      <c r="AC69" s="44">
        <v>282528</v>
      </c>
      <c r="AD69" s="44">
        <v>282528</v>
      </c>
      <c r="AE69" s="44">
        <v>282528</v>
      </c>
      <c r="AF69" s="44">
        <v>282528</v>
      </c>
      <c r="AG69" s="44">
        <v>282528</v>
      </c>
      <c r="AH69" s="44">
        <v>282528</v>
      </c>
      <c r="AI69"/>
      <c r="AJ69" s="44">
        <v>282528</v>
      </c>
      <c r="AK69" s="44">
        <v>282528</v>
      </c>
      <c r="AL69" s="44">
        <v>282528</v>
      </c>
      <c r="AM69" s="44">
        <v>282528</v>
      </c>
      <c r="AN69" s="44">
        <v>282528</v>
      </c>
      <c r="AO69" s="44">
        <v>282528</v>
      </c>
      <c r="AP69" s="44">
        <v>282528</v>
      </c>
      <c r="AQ69"/>
      <c r="AR69" s="44">
        <v>282528</v>
      </c>
      <c r="AS69" s="44">
        <v>282528</v>
      </c>
      <c r="AT69" s="44">
        <v>282528</v>
      </c>
      <c r="AU69" s="44">
        <v>282528</v>
      </c>
      <c r="AV69"/>
      <c r="AW69" s="44">
        <v>282528</v>
      </c>
      <c r="AX69"/>
      <c r="AY69"/>
      <c r="AZ69" s="44">
        <v>282528</v>
      </c>
    </row>
    <row r="70" spans="1:52" x14ac:dyDescent="0.25">
      <c r="A70" s="17" t="s">
        <v>47</v>
      </c>
      <c r="B70" s="3" t="s">
        <v>473</v>
      </c>
      <c r="C70" s="3" t="s">
        <v>483</v>
      </c>
      <c r="D70" s="3" t="s">
        <v>537</v>
      </c>
      <c r="E70" s="18" t="s">
        <v>159</v>
      </c>
      <c r="F70" s="18" t="s">
        <v>102</v>
      </c>
      <c r="G70" s="44">
        <v>0.57999999999999996</v>
      </c>
      <c r="H70" s="44">
        <f t="shared" si="2"/>
        <v>0.57999999999999996</v>
      </c>
      <c r="I70" s="44">
        <v>0.56999999999999995</v>
      </c>
      <c r="J70" s="44">
        <v>0.56999999999999995</v>
      </c>
      <c r="K70" s="44">
        <v>0.56999999999999995</v>
      </c>
      <c r="L70" s="44">
        <v>0.56999999999999995</v>
      </c>
      <c r="M70" s="44">
        <v>0.56999999999999995</v>
      </c>
      <c r="N70" s="44">
        <v>0.56999999999999995</v>
      </c>
      <c r="O70" s="44">
        <v>0.56999999999999995</v>
      </c>
      <c r="P70" s="44">
        <v>0.56999999999999995</v>
      </c>
      <c r="R70" s="44">
        <v>0.56999999999999995</v>
      </c>
      <c r="S70" s="44">
        <v>0.56999999999999995</v>
      </c>
      <c r="T70" s="44">
        <v>0.56999999999999995</v>
      </c>
      <c r="U70" s="44">
        <v>0.56999999999999995</v>
      </c>
      <c r="X70" s="44">
        <v>0.56999999999999995</v>
      </c>
      <c r="Y70" s="44">
        <v>0.56999999999999995</v>
      </c>
      <c r="Z70" s="44">
        <v>0.56999999999999995</v>
      </c>
      <c r="AA70" s="44">
        <v>0.56999999999999995</v>
      </c>
      <c r="AB70" s="44">
        <v>0.56999999999999995</v>
      </c>
      <c r="AC70" s="44">
        <v>0.56999999999999995</v>
      </c>
      <c r="AD70" s="44">
        <v>0.56999999999999995</v>
      </c>
      <c r="AE70" s="44">
        <v>0.56999999999999995</v>
      </c>
      <c r="AF70" s="44">
        <v>0.56999999999999995</v>
      </c>
      <c r="AG70" s="44">
        <v>0.56999999999999995</v>
      </c>
      <c r="AH70" s="44">
        <v>0.56999999999999995</v>
      </c>
      <c r="AI70"/>
      <c r="AJ70" s="44">
        <v>0.56999999999999995</v>
      </c>
      <c r="AK70" s="44">
        <v>0.56999999999999995</v>
      </c>
      <c r="AL70" s="44">
        <v>0.56999999999999995</v>
      </c>
      <c r="AM70" s="44">
        <v>0.56999999999999995</v>
      </c>
      <c r="AN70" s="44">
        <v>0.56999999999999995</v>
      </c>
      <c r="AO70" s="44">
        <v>0.56999999999999995</v>
      </c>
      <c r="AP70" s="44">
        <v>0.56999999999999995</v>
      </c>
      <c r="AQ70"/>
      <c r="AR70" s="44">
        <v>0.56999999999999995</v>
      </c>
      <c r="AS70" s="44">
        <v>0.56999999999999995</v>
      </c>
      <c r="AT70" s="44">
        <v>0.56999999999999995</v>
      </c>
      <c r="AU70" s="44">
        <v>0.56999999999999995</v>
      </c>
      <c r="AV70"/>
      <c r="AW70" s="44">
        <v>0.56999999999999995</v>
      </c>
      <c r="AX70"/>
      <c r="AY70"/>
      <c r="AZ70" s="44">
        <v>0.56999999999999995</v>
      </c>
    </row>
    <row r="71" spans="1:52" x14ac:dyDescent="0.25">
      <c r="A71" s="17" t="s">
        <v>48</v>
      </c>
      <c r="B71" s="3" t="s">
        <v>473</v>
      </c>
      <c r="C71" s="3" t="s">
        <v>483</v>
      </c>
      <c r="D71" s="3" t="s">
        <v>537</v>
      </c>
      <c r="E71" s="18" t="s">
        <v>160</v>
      </c>
      <c r="F71" s="18" t="s">
        <v>100</v>
      </c>
      <c r="G71" s="44">
        <v>0.25862068965517243</v>
      </c>
      <c r="H71" s="44">
        <f t="shared" si="2"/>
        <v>0.25862068965517243</v>
      </c>
      <c r="I71" s="44">
        <v>0.16</v>
      </c>
      <c r="J71" s="44">
        <v>0.16</v>
      </c>
      <c r="K71" s="44">
        <v>0.16</v>
      </c>
      <c r="L71" s="44">
        <v>0.16</v>
      </c>
      <c r="M71" s="44">
        <v>0.16</v>
      </c>
      <c r="N71" s="44">
        <v>0.16</v>
      </c>
      <c r="O71" s="44">
        <v>0.16</v>
      </c>
      <c r="P71" s="44">
        <v>0.16</v>
      </c>
      <c r="R71" s="44">
        <v>0.16</v>
      </c>
      <c r="S71" s="44">
        <v>0.16</v>
      </c>
      <c r="T71" s="44">
        <v>0.16</v>
      </c>
      <c r="U71" s="44">
        <v>0.16</v>
      </c>
      <c r="X71" s="44">
        <v>0.16</v>
      </c>
      <c r="Y71" s="44">
        <v>0.16</v>
      </c>
      <c r="Z71" s="44">
        <v>0.16</v>
      </c>
      <c r="AA71" s="44">
        <v>0.16</v>
      </c>
      <c r="AB71" s="44">
        <v>0.16</v>
      </c>
      <c r="AC71" s="44">
        <v>0.16</v>
      </c>
      <c r="AD71" s="44">
        <v>0.16</v>
      </c>
      <c r="AE71" s="44">
        <v>0.16</v>
      </c>
      <c r="AF71" s="44">
        <v>0.16</v>
      </c>
      <c r="AG71" s="44">
        <v>0.16</v>
      </c>
      <c r="AH71" s="44">
        <v>0.16</v>
      </c>
      <c r="AI71"/>
      <c r="AJ71" s="44">
        <v>0.16</v>
      </c>
      <c r="AK71" s="44">
        <v>0.16</v>
      </c>
      <c r="AL71" s="44">
        <v>0.16</v>
      </c>
      <c r="AM71" s="44">
        <v>0.16</v>
      </c>
      <c r="AN71" s="44">
        <v>0.16</v>
      </c>
      <c r="AO71" s="44">
        <v>0.16</v>
      </c>
      <c r="AP71" s="44">
        <v>0.16</v>
      </c>
      <c r="AQ71"/>
      <c r="AR71" s="44">
        <v>0.16</v>
      </c>
      <c r="AS71" s="44">
        <v>0.16</v>
      </c>
      <c r="AT71" s="44">
        <v>0.16</v>
      </c>
      <c r="AU71" s="44">
        <v>0.16</v>
      </c>
      <c r="AV71"/>
      <c r="AW71" s="44">
        <v>0.16</v>
      </c>
      <c r="AX71"/>
      <c r="AY71"/>
      <c r="AZ71" s="44">
        <v>0.16</v>
      </c>
    </row>
    <row r="72" spans="1:52" x14ac:dyDescent="0.25">
      <c r="A72" s="17" t="s">
        <v>49</v>
      </c>
      <c r="B72" s="3" t="s">
        <v>473</v>
      </c>
      <c r="C72" s="3" t="s">
        <v>483</v>
      </c>
      <c r="D72" s="3" t="s">
        <v>537</v>
      </c>
      <c r="E72" s="18" t="s">
        <v>161</v>
      </c>
      <c r="F72" s="18" t="s">
        <v>107</v>
      </c>
      <c r="G72" s="44">
        <v>0</v>
      </c>
      <c r="H72" s="44">
        <f t="shared" si="2"/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R72" s="44">
        <v>0</v>
      </c>
      <c r="S72" s="44">
        <v>0</v>
      </c>
      <c r="T72" s="44">
        <v>0</v>
      </c>
      <c r="U72" s="44">
        <v>0</v>
      </c>
      <c r="X72" s="44">
        <v>0</v>
      </c>
      <c r="Y72" s="44">
        <v>0</v>
      </c>
      <c r="Z72" s="44">
        <v>0</v>
      </c>
      <c r="AA72" s="44">
        <v>0</v>
      </c>
      <c r="AB72" s="44">
        <v>0</v>
      </c>
      <c r="AC72" s="44">
        <v>0</v>
      </c>
      <c r="AD72" s="44">
        <v>0</v>
      </c>
      <c r="AE72" s="44">
        <v>0</v>
      </c>
      <c r="AF72" s="44">
        <v>0</v>
      </c>
      <c r="AG72" s="44">
        <v>0</v>
      </c>
      <c r="AH72" s="44">
        <v>0</v>
      </c>
      <c r="AI72"/>
      <c r="AJ72" s="44">
        <v>0</v>
      </c>
      <c r="AK72" s="44">
        <v>0</v>
      </c>
      <c r="AL72" s="44">
        <v>0</v>
      </c>
      <c r="AM72" s="44">
        <v>0</v>
      </c>
      <c r="AN72" s="44">
        <v>0</v>
      </c>
      <c r="AO72" s="44">
        <v>0</v>
      </c>
      <c r="AP72" s="44">
        <v>0</v>
      </c>
      <c r="AQ72"/>
      <c r="AR72" s="44">
        <v>0</v>
      </c>
      <c r="AS72" s="44">
        <v>0</v>
      </c>
      <c r="AT72" s="44">
        <v>0</v>
      </c>
      <c r="AU72" s="44">
        <v>0</v>
      </c>
      <c r="AV72"/>
      <c r="AW72" s="44">
        <v>0</v>
      </c>
      <c r="AX72"/>
      <c r="AY72"/>
      <c r="AZ72" s="44">
        <v>0</v>
      </c>
    </row>
    <row r="73" spans="1:52" x14ac:dyDescent="0.25">
      <c r="A73" s="33" t="s">
        <v>50</v>
      </c>
      <c r="B73" s="3" t="s">
        <v>473</v>
      </c>
      <c r="C73" s="3" t="s">
        <v>483</v>
      </c>
      <c r="D73" s="3" t="s">
        <v>537</v>
      </c>
      <c r="E73" s="34" t="s">
        <v>419</v>
      </c>
      <c r="F73" s="34" t="s">
        <v>418</v>
      </c>
      <c r="G73" s="44">
        <v>745476480000</v>
      </c>
      <c r="H73" s="44">
        <f t="shared" si="2"/>
        <v>745476480000</v>
      </c>
      <c r="I73" s="44">
        <v>745476480000</v>
      </c>
      <c r="J73" s="44">
        <v>745476480000</v>
      </c>
      <c r="K73" s="44">
        <v>745476480000</v>
      </c>
      <c r="L73" s="44">
        <v>745476480000</v>
      </c>
      <c r="M73" s="44">
        <v>745476480000</v>
      </c>
      <c r="N73" s="44">
        <v>745476480000</v>
      </c>
      <c r="O73" s="44">
        <v>745476480000</v>
      </c>
      <c r="P73" s="44">
        <v>745476480000</v>
      </c>
      <c r="R73" s="44">
        <v>745476480000</v>
      </c>
      <c r="S73" s="44">
        <v>745476480000</v>
      </c>
      <c r="T73" s="44">
        <v>745476480000</v>
      </c>
      <c r="U73" s="44">
        <v>745476480000</v>
      </c>
      <c r="X73" s="44">
        <v>745476480000</v>
      </c>
      <c r="Y73" s="44">
        <v>745476480000</v>
      </c>
      <c r="Z73" s="44">
        <v>745476480000</v>
      </c>
      <c r="AA73" s="44">
        <v>745476480000</v>
      </c>
      <c r="AB73" s="44">
        <v>745476480000</v>
      </c>
      <c r="AC73" s="44">
        <v>745476480000</v>
      </c>
      <c r="AD73" s="44">
        <v>745476480000</v>
      </c>
      <c r="AE73" s="44">
        <v>745476480000</v>
      </c>
      <c r="AF73" s="44">
        <v>745476480000</v>
      </c>
      <c r="AG73" s="44">
        <v>745476480000</v>
      </c>
      <c r="AH73" s="44">
        <v>745476480000</v>
      </c>
      <c r="AI73"/>
      <c r="AJ73" s="44">
        <v>745476480000</v>
      </c>
      <c r="AK73" s="44">
        <v>745476480000</v>
      </c>
      <c r="AL73" s="44">
        <v>745476480000</v>
      </c>
      <c r="AM73" s="44">
        <v>745476480000</v>
      </c>
      <c r="AN73" s="44">
        <v>745476480000</v>
      </c>
      <c r="AO73" s="44">
        <v>745476480000</v>
      </c>
      <c r="AP73" s="44">
        <v>745476480000</v>
      </c>
      <c r="AQ73"/>
      <c r="AR73" s="44">
        <v>745476480000</v>
      </c>
      <c r="AS73" s="44">
        <v>745476480000</v>
      </c>
      <c r="AT73" s="44">
        <v>745476480000</v>
      </c>
      <c r="AU73" s="44">
        <v>745476480000</v>
      </c>
      <c r="AV73"/>
      <c r="AW73" s="44">
        <v>745476480000</v>
      </c>
      <c r="AX73"/>
      <c r="AY73"/>
      <c r="AZ73" s="44">
        <v>745476480000</v>
      </c>
    </row>
    <row r="74" spans="1:52" x14ac:dyDescent="0.25">
      <c r="A74" s="33" t="s">
        <v>204</v>
      </c>
      <c r="B74" s="3" t="s">
        <v>473</v>
      </c>
      <c r="C74" s="3" t="s">
        <v>483</v>
      </c>
      <c r="D74" s="3" t="s">
        <v>537</v>
      </c>
      <c r="E74" s="34" t="s">
        <v>413</v>
      </c>
      <c r="F74" s="34" t="s">
        <v>202</v>
      </c>
      <c r="G74" s="44">
        <v>100</v>
      </c>
      <c r="H74" s="44">
        <f t="shared" si="2"/>
        <v>100</v>
      </c>
      <c r="I74" s="44">
        <v>100</v>
      </c>
      <c r="J74" s="44">
        <v>100</v>
      </c>
      <c r="K74" s="44">
        <v>100</v>
      </c>
      <c r="L74" s="44">
        <v>100</v>
      </c>
      <c r="M74" s="44">
        <v>100</v>
      </c>
      <c r="N74" s="44">
        <v>100</v>
      </c>
      <c r="O74" s="44">
        <v>100</v>
      </c>
      <c r="P74" s="44">
        <v>100</v>
      </c>
      <c r="R74" s="44">
        <v>100</v>
      </c>
      <c r="S74" s="44">
        <v>100</v>
      </c>
      <c r="T74" s="44">
        <v>100</v>
      </c>
      <c r="U74" s="44">
        <v>100</v>
      </c>
      <c r="X74" s="44">
        <v>100</v>
      </c>
      <c r="Y74" s="44">
        <v>100</v>
      </c>
      <c r="Z74" s="44">
        <v>100</v>
      </c>
      <c r="AA74" s="44">
        <v>100</v>
      </c>
      <c r="AB74" s="44">
        <v>100</v>
      </c>
      <c r="AC74" s="44">
        <v>100</v>
      </c>
      <c r="AD74" s="44">
        <v>100</v>
      </c>
      <c r="AE74" s="44">
        <v>100</v>
      </c>
      <c r="AF74" s="44">
        <v>100</v>
      </c>
      <c r="AG74" s="44">
        <v>100</v>
      </c>
      <c r="AH74" s="44">
        <v>100</v>
      </c>
      <c r="AI74"/>
      <c r="AJ74" s="44">
        <v>100</v>
      </c>
      <c r="AK74" s="44">
        <v>100</v>
      </c>
      <c r="AL74" s="44">
        <v>100</v>
      </c>
      <c r="AM74" s="44">
        <v>100</v>
      </c>
      <c r="AN74" s="44">
        <v>100</v>
      </c>
      <c r="AO74" s="44">
        <v>100</v>
      </c>
      <c r="AP74" s="44">
        <v>100</v>
      </c>
      <c r="AQ74"/>
      <c r="AR74" s="44">
        <v>100</v>
      </c>
      <c r="AS74" s="44">
        <v>100</v>
      </c>
      <c r="AT74" s="44">
        <v>100</v>
      </c>
      <c r="AU74" s="44">
        <v>100</v>
      </c>
      <c r="AV74"/>
      <c r="AW74" s="44">
        <v>100</v>
      </c>
      <c r="AX74"/>
      <c r="AY74"/>
      <c r="AZ74" s="44">
        <v>100</v>
      </c>
    </row>
    <row r="75" spans="1:52" x14ac:dyDescent="0.25">
      <c r="A75" s="33" t="s">
        <v>414</v>
      </c>
      <c r="B75" s="3" t="s">
        <v>473</v>
      </c>
      <c r="C75" s="3" t="s">
        <v>483</v>
      </c>
      <c r="D75" s="3" t="s">
        <v>537</v>
      </c>
      <c r="E75" s="34" t="s">
        <v>420</v>
      </c>
      <c r="F75" s="34" t="s">
        <v>94</v>
      </c>
      <c r="G75" s="44" t="s">
        <v>86</v>
      </c>
      <c r="H75" s="44" t="str">
        <f t="shared" si="2"/>
        <v>True</v>
      </c>
      <c r="I75" s="44" t="s">
        <v>86</v>
      </c>
      <c r="J75" s="44" t="s">
        <v>86</v>
      </c>
      <c r="K75" s="44" t="s">
        <v>86</v>
      </c>
      <c r="L75" s="44" t="s">
        <v>86</v>
      </c>
      <c r="M75" s="44" t="s">
        <v>86</v>
      </c>
      <c r="N75" s="44" t="s">
        <v>86</v>
      </c>
      <c r="O75" s="44" t="s">
        <v>86</v>
      </c>
      <c r="P75" s="44" t="s">
        <v>86</v>
      </c>
      <c r="R75" s="44" t="s">
        <v>86</v>
      </c>
      <c r="S75" s="44" t="s">
        <v>86</v>
      </c>
      <c r="T75" s="44" t="s">
        <v>86</v>
      </c>
      <c r="U75" s="44" t="s">
        <v>86</v>
      </c>
      <c r="X75" s="44" t="s">
        <v>86</v>
      </c>
      <c r="Y75" s="44" t="s">
        <v>86</v>
      </c>
      <c r="Z75" s="44" t="s">
        <v>86</v>
      </c>
      <c r="AA75" s="44" t="s">
        <v>86</v>
      </c>
      <c r="AB75" s="44" t="s">
        <v>86</v>
      </c>
      <c r="AC75" s="44" t="s">
        <v>86</v>
      </c>
      <c r="AD75" s="44" t="s">
        <v>86</v>
      </c>
      <c r="AE75" s="44" t="s">
        <v>86</v>
      </c>
      <c r="AF75" s="44" t="s">
        <v>86</v>
      </c>
      <c r="AG75" s="44" t="s">
        <v>86</v>
      </c>
      <c r="AH75" s="44" t="s">
        <v>86</v>
      </c>
      <c r="AI75"/>
      <c r="AJ75" s="44" t="s">
        <v>86</v>
      </c>
      <c r="AK75" s="44" t="s">
        <v>86</v>
      </c>
      <c r="AL75" s="44" t="s">
        <v>86</v>
      </c>
      <c r="AM75" s="44" t="s">
        <v>86</v>
      </c>
      <c r="AN75" s="44" t="s">
        <v>86</v>
      </c>
      <c r="AO75" s="44" t="s">
        <v>86</v>
      </c>
      <c r="AP75" s="44" t="s">
        <v>86</v>
      </c>
      <c r="AQ75"/>
      <c r="AR75" s="44" t="s">
        <v>86</v>
      </c>
      <c r="AS75" s="44" t="s">
        <v>86</v>
      </c>
      <c r="AT75" s="44" t="s">
        <v>86</v>
      </c>
      <c r="AU75" s="44" t="s">
        <v>86</v>
      </c>
      <c r="AV75"/>
      <c r="AW75" s="44" t="s">
        <v>86</v>
      </c>
      <c r="AX75"/>
      <c r="AY75"/>
      <c r="AZ75" s="44" t="s">
        <v>86</v>
      </c>
    </row>
    <row r="76" spans="1:52" x14ac:dyDescent="0.25">
      <c r="A76" s="33" t="s">
        <v>400</v>
      </c>
      <c r="B76" s="3" t="s">
        <v>473</v>
      </c>
      <c r="C76" s="3" t="s">
        <v>483</v>
      </c>
      <c r="D76" s="3" t="s">
        <v>537</v>
      </c>
      <c r="E76" s="34" t="s">
        <v>403</v>
      </c>
      <c r="F76" s="34" t="s">
        <v>106</v>
      </c>
      <c r="G76" s="44">
        <v>29203.200000000001</v>
      </c>
      <c r="H76" s="44">
        <f t="shared" si="2"/>
        <v>29203.200000000001</v>
      </c>
      <c r="I76" s="44">
        <v>21600</v>
      </c>
      <c r="J76" s="44">
        <v>21600</v>
      </c>
      <c r="K76" s="44">
        <v>21600</v>
      </c>
      <c r="L76" s="44">
        <v>21600</v>
      </c>
      <c r="M76" s="44">
        <v>21600</v>
      </c>
      <c r="N76" s="44">
        <v>21600</v>
      </c>
      <c r="O76" s="44">
        <v>21600</v>
      </c>
      <c r="P76" s="44">
        <v>21600</v>
      </c>
      <c r="R76" s="44">
        <v>21600</v>
      </c>
      <c r="S76" s="44">
        <v>21600</v>
      </c>
      <c r="T76" s="44">
        <v>21600</v>
      </c>
      <c r="U76" s="44">
        <v>21600</v>
      </c>
      <c r="X76" s="44">
        <v>21600</v>
      </c>
      <c r="Y76" s="44">
        <v>21600</v>
      </c>
      <c r="Z76" s="44">
        <v>21600</v>
      </c>
      <c r="AA76" s="44">
        <v>21600</v>
      </c>
      <c r="AB76" s="44">
        <v>21600</v>
      </c>
      <c r="AC76" s="44">
        <v>21600</v>
      </c>
      <c r="AD76" s="44">
        <v>21600</v>
      </c>
      <c r="AE76" s="44">
        <v>21600</v>
      </c>
      <c r="AF76" s="44">
        <v>21600</v>
      </c>
      <c r="AG76" s="44">
        <v>21600</v>
      </c>
      <c r="AH76" s="44">
        <v>21600</v>
      </c>
      <c r="AI76"/>
      <c r="AJ76" s="44">
        <v>21600</v>
      </c>
      <c r="AK76" s="44">
        <v>21600</v>
      </c>
      <c r="AL76" s="44">
        <v>21600</v>
      </c>
      <c r="AM76" s="44">
        <v>21600</v>
      </c>
      <c r="AN76" s="44">
        <v>21600</v>
      </c>
      <c r="AO76" s="44">
        <v>21600</v>
      </c>
      <c r="AP76" s="44">
        <v>21600</v>
      </c>
      <c r="AQ76"/>
      <c r="AR76" s="44">
        <v>21600</v>
      </c>
      <c r="AS76" s="44">
        <v>21600</v>
      </c>
      <c r="AT76" s="44">
        <v>21600</v>
      </c>
      <c r="AU76" s="44">
        <v>21600</v>
      </c>
      <c r="AV76"/>
      <c r="AW76" s="44">
        <v>21600</v>
      </c>
      <c r="AX76"/>
      <c r="AY76"/>
      <c r="AZ76" s="44">
        <v>21600</v>
      </c>
    </row>
    <row r="77" spans="1:52" x14ac:dyDescent="0.25">
      <c r="A77" s="33" t="s">
        <v>410</v>
      </c>
      <c r="B77" s="3" t="s">
        <v>473</v>
      </c>
      <c r="C77" s="3" t="s">
        <v>483</v>
      </c>
      <c r="D77" s="3" t="s">
        <v>537</v>
      </c>
      <c r="E77" s="34" t="s">
        <v>416</v>
      </c>
      <c r="F77" s="34" t="s">
        <v>100</v>
      </c>
      <c r="G77" s="44">
        <v>0.5</v>
      </c>
      <c r="H77" s="44">
        <f t="shared" si="2"/>
        <v>0.5</v>
      </c>
      <c r="I77" s="44">
        <v>0.5</v>
      </c>
      <c r="J77" s="44">
        <v>0.5</v>
      </c>
      <c r="K77" s="44">
        <v>0.5</v>
      </c>
      <c r="L77" s="44">
        <v>0.5</v>
      </c>
      <c r="M77" s="44">
        <v>0.5</v>
      </c>
      <c r="N77" s="44">
        <v>0.5</v>
      </c>
      <c r="O77" s="44">
        <v>0.5</v>
      </c>
      <c r="P77" s="44">
        <v>0.5</v>
      </c>
      <c r="R77" s="44">
        <v>0.5</v>
      </c>
      <c r="S77" s="44">
        <v>0.5</v>
      </c>
      <c r="T77" s="44">
        <v>0.5</v>
      </c>
      <c r="U77" s="44">
        <v>0.5</v>
      </c>
      <c r="X77" s="44">
        <v>0.5</v>
      </c>
      <c r="Y77" s="44">
        <v>0.5</v>
      </c>
      <c r="Z77" s="44">
        <v>0.5</v>
      </c>
      <c r="AA77" s="44">
        <v>0.5</v>
      </c>
      <c r="AB77" s="44">
        <v>0.5</v>
      </c>
      <c r="AC77" s="44">
        <v>0.5</v>
      </c>
      <c r="AD77" s="44">
        <v>0.5</v>
      </c>
      <c r="AE77" s="44">
        <v>0.5</v>
      </c>
      <c r="AF77" s="44">
        <v>0.5</v>
      </c>
      <c r="AG77" s="44">
        <v>0.5</v>
      </c>
      <c r="AH77" s="44">
        <v>0.5</v>
      </c>
      <c r="AI77"/>
      <c r="AJ77" s="44">
        <v>0.5</v>
      </c>
      <c r="AK77" s="44">
        <v>0.5</v>
      </c>
      <c r="AL77" s="44">
        <v>0.5</v>
      </c>
      <c r="AM77" s="44">
        <v>0.5</v>
      </c>
      <c r="AN77" s="44">
        <v>0.5</v>
      </c>
      <c r="AO77" s="44">
        <v>0.5</v>
      </c>
      <c r="AP77" s="44">
        <v>0.5</v>
      </c>
      <c r="AQ77"/>
      <c r="AR77" s="44">
        <v>0.5</v>
      </c>
      <c r="AS77" s="44">
        <v>0.5</v>
      </c>
      <c r="AT77" s="44">
        <v>0.5</v>
      </c>
      <c r="AU77" s="44">
        <v>0.5</v>
      </c>
      <c r="AV77"/>
      <c r="AW77" s="44">
        <v>0.5</v>
      </c>
      <c r="AX77"/>
      <c r="AY77"/>
      <c r="AZ77" s="44">
        <v>0.5</v>
      </c>
    </row>
    <row r="78" spans="1:52" x14ac:dyDescent="0.25">
      <c r="A78" s="33" t="s">
        <v>401</v>
      </c>
      <c r="B78" s="3" t="s">
        <v>473</v>
      </c>
      <c r="C78" s="3" t="s">
        <v>483</v>
      </c>
      <c r="D78" s="3" t="s">
        <v>537</v>
      </c>
      <c r="E78" s="34" t="s">
        <v>415</v>
      </c>
      <c r="F78" s="34" t="s">
        <v>106</v>
      </c>
      <c r="G78" s="44">
        <v>387936</v>
      </c>
      <c r="H78" s="44">
        <f t="shared" si="2"/>
        <v>387936</v>
      </c>
      <c r="I78" s="44">
        <v>60479.999999999993</v>
      </c>
      <c r="J78" s="44">
        <v>60479.999999999993</v>
      </c>
      <c r="K78" s="44">
        <v>60479.999999999993</v>
      </c>
      <c r="L78" s="44">
        <v>60479.999999999993</v>
      </c>
      <c r="M78" s="44">
        <v>60479.999999999993</v>
      </c>
      <c r="N78" s="44">
        <v>60479.999999999993</v>
      </c>
      <c r="O78" s="44">
        <v>60479.999999999993</v>
      </c>
      <c r="P78" s="44">
        <v>60479.999999999993</v>
      </c>
      <c r="R78" s="44">
        <v>60479.999999999993</v>
      </c>
      <c r="S78" s="44">
        <v>60479.999999999993</v>
      </c>
      <c r="T78" s="44">
        <v>60479.999999999993</v>
      </c>
      <c r="U78" s="44">
        <v>60479.999999999993</v>
      </c>
      <c r="X78" s="44">
        <v>60479.999999999993</v>
      </c>
      <c r="Y78" s="44">
        <v>60479.999999999993</v>
      </c>
      <c r="Z78" s="44">
        <v>60479.999999999993</v>
      </c>
      <c r="AA78" s="44">
        <v>60479.999999999993</v>
      </c>
      <c r="AB78" s="44">
        <v>60479.999999999993</v>
      </c>
      <c r="AC78" s="44">
        <v>60479.999999999993</v>
      </c>
      <c r="AD78" s="44">
        <v>60479.999999999993</v>
      </c>
      <c r="AE78" s="44">
        <v>60479.999999999993</v>
      </c>
      <c r="AF78" s="44">
        <v>60479.999999999993</v>
      </c>
      <c r="AG78" s="44">
        <v>60479.999999999993</v>
      </c>
      <c r="AH78" s="44">
        <v>60479.999999999993</v>
      </c>
      <c r="AI78"/>
      <c r="AJ78" s="44">
        <v>60479.999999999993</v>
      </c>
      <c r="AK78" s="44">
        <v>60479.999999999993</v>
      </c>
      <c r="AL78" s="44">
        <v>60479.999999999993</v>
      </c>
      <c r="AM78" s="44">
        <v>60479.999999999993</v>
      </c>
      <c r="AN78" s="44">
        <v>60479.999999999993</v>
      </c>
      <c r="AO78" s="44">
        <v>60479.999999999993</v>
      </c>
      <c r="AP78" s="44">
        <v>60479.999999999993</v>
      </c>
      <c r="AQ78"/>
      <c r="AR78" s="44">
        <v>60479.999999999993</v>
      </c>
      <c r="AS78" s="44">
        <v>60479.999999999993</v>
      </c>
      <c r="AT78" s="44">
        <v>60479.999999999993</v>
      </c>
      <c r="AU78" s="44">
        <v>60479.999999999993</v>
      </c>
      <c r="AV78"/>
      <c r="AW78" s="44">
        <v>60479.999999999993</v>
      </c>
      <c r="AX78"/>
      <c r="AY78"/>
      <c r="AZ78" s="44">
        <v>60479.999999999993</v>
      </c>
    </row>
    <row r="79" spans="1:52" x14ac:dyDescent="0.25">
      <c r="A79" s="33" t="s">
        <v>411</v>
      </c>
      <c r="B79" s="3" t="s">
        <v>473</v>
      </c>
      <c r="C79" s="3" t="s">
        <v>483</v>
      </c>
      <c r="D79" s="3" t="s">
        <v>537</v>
      </c>
      <c r="E79" s="34" t="s">
        <v>417</v>
      </c>
      <c r="F79" s="34" t="s">
        <v>100</v>
      </c>
      <c r="G79" s="44">
        <v>0.85</v>
      </c>
      <c r="H79" s="44">
        <f t="shared" si="2"/>
        <v>0.85</v>
      </c>
      <c r="I79" s="44">
        <v>0.85</v>
      </c>
      <c r="J79" s="44">
        <v>0.85</v>
      </c>
      <c r="K79" s="44">
        <v>0.85</v>
      </c>
      <c r="L79" s="44">
        <v>0.85</v>
      </c>
      <c r="M79" s="44">
        <v>0.85</v>
      </c>
      <c r="N79" s="44">
        <v>0.85</v>
      </c>
      <c r="O79" s="44">
        <v>0.85</v>
      </c>
      <c r="P79" s="44">
        <v>0.85</v>
      </c>
      <c r="R79" s="44">
        <v>0.85</v>
      </c>
      <c r="S79" s="44">
        <v>0.85</v>
      </c>
      <c r="T79" s="44">
        <v>0.85</v>
      </c>
      <c r="U79" s="44">
        <v>0.85</v>
      </c>
      <c r="X79" s="44">
        <v>0.85</v>
      </c>
      <c r="Y79" s="44">
        <v>0.85</v>
      </c>
      <c r="Z79" s="44">
        <v>0.85</v>
      </c>
      <c r="AA79" s="44">
        <v>0.85</v>
      </c>
      <c r="AB79" s="44">
        <v>0.85</v>
      </c>
      <c r="AC79" s="44">
        <v>0.85</v>
      </c>
      <c r="AD79" s="44">
        <v>0.85</v>
      </c>
      <c r="AE79" s="44">
        <v>0.85</v>
      </c>
      <c r="AF79" s="44">
        <v>0.85</v>
      </c>
      <c r="AG79" s="44">
        <v>0.85</v>
      </c>
      <c r="AH79" s="44">
        <v>0.85</v>
      </c>
      <c r="AI79"/>
      <c r="AJ79" s="44">
        <v>0.85</v>
      </c>
      <c r="AK79" s="44">
        <v>0.85</v>
      </c>
      <c r="AL79" s="44">
        <v>0.85</v>
      </c>
      <c r="AM79" s="44">
        <v>0.85</v>
      </c>
      <c r="AN79" s="44">
        <v>0.85</v>
      </c>
      <c r="AO79" s="44">
        <v>0.85</v>
      </c>
      <c r="AP79" s="44">
        <v>0.85</v>
      </c>
      <c r="AQ79"/>
      <c r="AR79" s="44">
        <v>0.85</v>
      </c>
      <c r="AS79" s="44">
        <v>0.85</v>
      </c>
      <c r="AT79" s="44">
        <v>0.85</v>
      </c>
      <c r="AU79" s="44">
        <v>0.85</v>
      </c>
      <c r="AV79"/>
      <c r="AW79" s="44">
        <v>0.85</v>
      </c>
      <c r="AX79"/>
      <c r="AY79"/>
      <c r="AZ79" s="44">
        <v>0.85</v>
      </c>
    </row>
    <row r="80" spans="1:52" x14ac:dyDescent="0.25">
      <c r="A80" s="33" t="s">
        <v>402</v>
      </c>
      <c r="B80" s="3" t="s">
        <v>473</v>
      </c>
      <c r="C80" s="3" t="s">
        <v>483</v>
      </c>
      <c r="D80" s="3" t="s">
        <v>537</v>
      </c>
      <c r="E80" s="34" t="s">
        <v>404</v>
      </c>
      <c r="F80" s="34" t="s">
        <v>106</v>
      </c>
      <c r="G80" s="44">
        <v>518400</v>
      </c>
      <c r="H80" s="44">
        <f t="shared" si="2"/>
        <v>518400</v>
      </c>
      <c r="I80" s="44">
        <v>518400</v>
      </c>
      <c r="J80" s="44">
        <v>518400</v>
      </c>
      <c r="K80" s="44">
        <v>518400</v>
      </c>
      <c r="L80" s="44">
        <v>518400</v>
      </c>
      <c r="M80" s="44">
        <v>518400</v>
      </c>
      <c r="N80" s="44">
        <v>518400</v>
      </c>
      <c r="O80" s="44">
        <v>518400</v>
      </c>
      <c r="P80" s="44">
        <v>518400</v>
      </c>
      <c r="R80" s="44">
        <v>518400</v>
      </c>
      <c r="S80" s="44">
        <v>518400</v>
      </c>
      <c r="T80" s="44">
        <v>518400</v>
      </c>
      <c r="U80" s="44">
        <v>518400</v>
      </c>
      <c r="X80" s="44">
        <v>518400</v>
      </c>
      <c r="Y80" s="44">
        <v>518400</v>
      </c>
      <c r="Z80" s="44">
        <v>518400</v>
      </c>
      <c r="AA80" s="44">
        <v>518400</v>
      </c>
      <c r="AB80" s="44">
        <v>518400</v>
      </c>
      <c r="AC80" s="44">
        <v>518400</v>
      </c>
      <c r="AD80" s="44">
        <v>518400</v>
      </c>
      <c r="AE80" s="44">
        <v>518400</v>
      </c>
      <c r="AF80" s="44">
        <v>518400</v>
      </c>
      <c r="AG80" s="44">
        <v>518400</v>
      </c>
      <c r="AH80" s="44">
        <v>518400</v>
      </c>
      <c r="AI80"/>
      <c r="AJ80" s="44">
        <v>518400</v>
      </c>
      <c r="AK80" s="44">
        <v>518400</v>
      </c>
      <c r="AL80" s="44">
        <v>518400</v>
      </c>
      <c r="AM80" s="44">
        <v>518400</v>
      </c>
      <c r="AN80" s="44">
        <v>518400</v>
      </c>
      <c r="AO80" s="44">
        <v>518400</v>
      </c>
      <c r="AP80" s="44">
        <v>518400</v>
      </c>
      <c r="AQ80"/>
      <c r="AR80" s="44">
        <v>518400</v>
      </c>
      <c r="AS80" s="44">
        <v>518400</v>
      </c>
      <c r="AT80" s="44">
        <v>518400</v>
      </c>
      <c r="AU80" s="44">
        <v>518400</v>
      </c>
      <c r="AV80"/>
      <c r="AW80" s="44">
        <v>518400</v>
      </c>
      <c r="AX80"/>
      <c r="AY80"/>
      <c r="AZ80" s="44">
        <v>518400</v>
      </c>
    </row>
    <row r="81" spans="1:52" x14ac:dyDescent="0.25">
      <c r="A81" s="33" t="s">
        <v>412</v>
      </c>
      <c r="B81" s="3" t="s">
        <v>473</v>
      </c>
      <c r="C81" s="3" t="s">
        <v>483</v>
      </c>
      <c r="D81" s="3" t="s">
        <v>537</v>
      </c>
      <c r="E81" s="34" t="s">
        <v>405</v>
      </c>
      <c r="F81" s="34" t="s">
        <v>106</v>
      </c>
      <c r="G81" s="44">
        <v>5184000</v>
      </c>
      <c r="H81" s="44">
        <f t="shared" si="2"/>
        <v>5184000</v>
      </c>
      <c r="I81" s="44">
        <v>5184000</v>
      </c>
      <c r="J81" s="44">
        <v>5184000</v>
      </c>
      <c r="K81" s="44">
        <v>5184000</v>
      </c>
      <c r="L81" s="44">
        <v>5184000</v>
      </c>
      <c r="M81" s="44">
        <v>5184000</v>
      </c>
      <c r="N81" s="44">
        <v>5184000</v>
      </c>
      <c r="O81" s="44">
        <v>5184000</v>
      </c>
      <c r="P81" s="44">
        <v>5184000</v>
      </c>
      <c r="R81" s="44">
        <v>5184000</v>
      </c>
      <c r="S81" s="44">
        <v>5184000</v>
      </c>
      <c r="T81" s="44">
        <v>5184000</v>
      </c>
      <c r="U81" s="44">
        <v>5184000</v>
      </c>
      <c r="X81" s="44">
        <v>5184000</v>
      </c>
      <c r="Y81" s="44">
        <v>5184000</v>
      </c>
      <c r="Z81" s="44">
        <v>5184000</v>
      </c>
      <c r="AA81" s="44">
        <v>5184000</v>
      </c>
      <c r="AB81" s="44">
        <v>5184000</v>
      </c>
      <c r="AC81" s="44">
        <v>5184000</v>
      </c>
      <c r="AD81" s="44">
        <v>5184000</v>
      </c>
      <c r="AE81" s="44">
        <v>5184000</v>
      </c>
      <c r="AF81" s="44">
        <v>5184000</v>
      </c>
      <c r="AG81" s="44">
        <v>5184000</v>
      </c>
      <c r="AH81" s="44">
        <v>5184000</v>
      </c>
      <c r="AI81"/>
      <c r="AJ81" s="44">
        <v>5184000</v>
      </c>
      <c r="AK81" s="44">
        <v>5184000</v>
      </c>
      <c r="AL81" s="44">
        <v>5184000</v>
      </c>
      <c r="AM81" s="44">
        <v>5184000</v>
      </c>
      <c r="AN81" s="44">
        <v>5184000</v>
      </c>
      <c r="AO81" s="44">
        <v>5184000</v>
      </c>
      <c r="AP81" s="44">
        <v>5184000</v>
      </c>
      <c r="AQ81"/>
      <c r="AR81" s="44">
        <v>5184000</v>
      </c>
      <c r="AS81" s="44">
        <v>5184000</v>
      </c>
      <c r="AT81" s="44">
        <v>5184000</v>
      </c>
      <c r="AU81" s="44">
        <v>5184000</v>
      </c>
      <c r="AV81"/>
      <c r="AW81" s="44">
        <v>5184000</v>
      </c>
      <c r="AX81"/>
      <c r="AY81"/>
      <c r="AZ81" s="44">
        <v>5184000</v>
      </c>
    </row>
    <row r="82" spans="1:52" x14ac:dyDescent="0.25">
      <c r="A82" s="17" t="s">
        <v>51</v>
      </c>
      <c r="B82" s="3" t="s">
        <v>473</v>
      </c>
      <c r="C82" s="3" t="s">
        <v>483</v>
      </c>
      <c r="D82" s="3" t="s">
        <v>537</v>
      </c>
      <c r="E82" s="18" t="s">
        <v>162</v>
      </c>
      <c r="F82" s="18" t="s">
        <v>108</v>
      </c>
      <c r="G82" s="44">
        <v>259200</v>
      </c>
      <c r="H82" s="44">
        <f t="shared" si="2"/>
        <v>259200</v>
      </c>
      <c r="I82" s="44">
        <v>50000</v>
      </c>
      <c r="J82" s="44">
        <v>50000</v>
      </c>
      <c r="K82" s="44">
        <v>50000</v>
      </c>
      <c r="L82" s="44">
        <v>50000</v>
      </c>
      <c r="M82" s="44">
        <v>50000</v>
      </c>
      <c r="N82" s="44">
        <v>50000</v>
      </c>
      <c r="O82" s="44">
        <v>50000</v>
      </c>
      <c r="P82" s="44">
        <v>50000</v>
      </c>
      <c r="R82" s="44">
        <v>50000</v>
      </c>
      <c r="S82" s="44">
        <v>50000</v>
      </c>
      <c r="T82" s="44">
        <v>50000</v>
      </c>
      <c r="U82" s="44">
        <v>50000</v>
      </c>
      <c r="X82" s="44">
        <v>50000</v>
      </c>
      <c r="Y82" s="44">
        <v>50000</v>
      </c>
      <c r="Z82" s="44">
        <v>50000</v>
      </c>
      <c r="AA82" s="44">
        <v>50000</v>
      </c>
      <c r="AB82" s="44">
        <v>50000</v>
      </c>
      <c r="AC82" s="44">
        <v>50000</v>
      </c>
      <c r="AD82" s="44">
        <v>50000</v>
      </c>
      <c r="AE82" s="44">
        <v>50000</v>
      </c>
      <c r="AF82" s="44">
        <v>50000</v>
      </c>
      <c r="AG82" s="44">
        <v>50000</v>
      </c>
      <c r="AH82" s="44">
        <v>50000</v>
      </c>
      <c r="AI82"/>
      <c r="AJ82" s="44">
        <v>50000</v>
      </c>
      <c r="AK82" s="44">
        <v>50000</v>
      </c>
      <c r="AL82" s="44">
        <v>50000</v>
      </c>
      <c r="AM82" s="44">
        <v>50000</v>
      </c>
      <c r="AN82" s="44">
        <v>50000</v>
      </c>
      <c r="AO82" s="44">
        <v>50000</v>
      </c>
      <c r="AP82" s="44">
        <v>50000</v>
      </c>
      <c r="AQ82"/>
      <c r="AR82" s="44">
        <v>50000</v>
      </c>
      <c r="AS82" s="44">
        <v>50000</v>
      </c>
      <c r="AT82" s="44">
        <v>50000</v>
      </c>
      <c r="AU82" s="44">
        <v>50000</v>
      </c>
      <c r="AV82"/>
      <c r="AW82" s="44">
        <v>50000</v>
      </c>
      <c r="AX82"/>
      <c r="AY82"/>
      <c r="AZ82" s="44">
        <v>50000</v>
      </c>
    </row>
    <row r="83" spans="1:52" x14ac:dyDescent="0.25">
      <c r="A83" s="17" t="s">
        <v>52</v>
      </c>
      <c r="B83" s="3" t="s">
        <v>473</v>
      </c>
      <c r="C83" s="3" t="s">
        <v>483</v>
      </c>
      <c r="D83" s="3" t="s">
        <v>537</v>
      </c>
      <c r="E83" s="18" t="s">
        <v>163</v>
      </c>
      <c r="F83" s="18" t="s">
        <v>196</v>
      </c>
      <c r="G83" s="44">
        <v>140000</v>
      </c>
      <c r="H83" s="44">
        <f t="shared" si="2"/>
        <v>140000</v>
      </c>
      <c r="I83" s="44">
        <v>140000</v>
      </c>
      <c r="J83" s="44">
        <v>140000</v>
      </c>
      <c r="K83" s="44">
        <v>140000</v>
      </c>
      <c r="L83" s="44">
        <v>140000</v>
      </c>
      <c r="M83" s="44">
        <v>140000</v>
      </c>
      <c r="N83" s="44">
        <v>140000</v>
      </c>
      <c r="O83" s="44">
        <v>140000</v>
      </c>
      <c r="P83" s="44">
        <v>140000</v>
      </c>
      <c r="R83" s="44">
        <v>140000</v>
      </c>
      <c r="S83" s="44">
        <v>140000</v>
      </c>
      <c r="T83" s="44">
        <v>140000</v>
      </c>
      <c r="U83" s="44">
        <v>140000</v>
      </c>
      <c r="X83" s="44">
        <v>140000</v>
      </c>
      <c r="Y83" s="44">
        <v>140000</v>
      </c>
      <c r="Z83" s="44">
        <v>140000</v>
      </c>
      <c r="AA83" s="44">
        <v>140000</v>
      </c>
      <c r="AB83" s="44">
        <v>140000</v>
      </c>
      <c r="AC83" s="44">
        <v>140000</v>
      </c>
      <c r="AD83" s="44">
        <v>140000</v>
      </c>
      <c r="AE83" s="44">
        <v>140000</v>
      </c>
      <c r="AF83" s="44">
        <v>140000</v>
      </c>
      <c r="AG83" s="44">
        <v>140000</v>
      </c>
      <c r="AH83" s="44">
        <v>140000</v>
      </c>
      <c r="AI83"/>
      <c r="AJ83" s="44">
        <v>140000</v>
      </c>
      <c r="AK83" s="44">
        <v>140000</v>
      </c>
      <c r="AL83" s="44">
        <v>140000</v>
      </c>
      <c r="AM83" s="44">
        <v>140000</v>
      </c>
      <c r="AN83" s="44">
        <v>140000</v>
      </c>
      <c r="AO83" s="44">
        <v>140000</v>
      </c>
      <c r="AP83" s="44">
        <v>140000</v>
      </c>
      <c r="AQ83"/>
      <c r="AR83" s="44">
        <v>140000</v>
      </c>
      <c r="AS83" s="44">
        <v>140000</v>
      </c>
      <c r="AT83" s="44">
        <v>140000</v>
      </c>
      <c r="AU83" s="44">
        <v>140000</v>
      </c>
      <c r="AV83"/>
      <c r="AW83" s="44">
        <v>140000</v>
      </c>
      <c r="AX83"/>
      <c r="AY83"/>
      <c r="AZ83" s="44">
        <v>140000</v>
      </c>
    </row>
    <row r="84" spans="1:52" x14ac:dyDescent="0.25">
      <c r="A84" s="17" t="s">
        <v>53</v>
      </c>
      <c r="B84" s="3" t="s">
        <v>473</v>
      </c>
      <c r="C84" s="3" t="s">
        <v>483</v>
      </c>
      <c r="D84" s="3" t="s">
        <v>537</v>
      </c>
      <c r="E84" s="18" t="s">
        <v>164</v>
      </c>
      <c r="F84" s="18" t="s">
        <v>197</v>
      </c>
      <c r="G84" s="44">
        <v>3.6636136999999999E-2</v>
      </c>
      <c r="H84" s="44">
        <f t="shared" si="2"/>
        <v>3.6636136999999999E-2</v>
      </c>
      <c r="I84" s="44">
        <v>3.6636136999999999E-2</v>
      </c>
      <c r="J84" s="44">
        <v>3.6636136999999999E-2</v>
      </c>
      <c r="K84" s="44">
        <v>3.6636136999999999E-2</v>
      </c>
      <c r="L84" s="44">
        <v>3.6636136999999999E-2</v>
      </c>
      <c r="M84" s="44">
        <v>3.6636136999999999E-2</v>
      </c>
      <c r="N84" s="44">
        <v>3.6636136999999999E-2</v>
      </c>
      <c r="O84" s="44">
        <v>3.6636136999999999E-2</v>
      </c>
      <c r="P84" s="44">
        <v>3.6636136999999999E-2</v>
      </c>
      <c r="R84" s="44">
        <v>3.6636136999999999E-2</v>
      </c>
      <c r="S84" s="44">
        <v>3.6636136999999999E-2</v>
      </c>
      <c r="T84" s="44">
        <v>3.6636136999999999E-2</v>
      </c>
      <c r="U84" s="44">
        <v>3.6636136999999999E-2</v>
      </c>
      <c r="X84" s="44">
        <v>3.6636136999999999E-2</v>
      </c>
      <c r="Y84" s="44">
        <v>3.6636136999999999E-2</v>
      </c>
      <c r="Z84" s="44">
        <v>3.6636136999999999E-2</v>
      </c>
      <c r="AA84" s="44">
        <v>3.6636136999999999E-2</v>
      </c>
      <c r="AB84" s="44">
        <v>3.6636136999999999E-2</v>
      </c>
      <c r="AC84" s="44">
        <v>3.6636136999999999E-2</v>
      </c>
      <c r="AD84" s="44">
        <v>3.6636136999999999E-2</v>
      </c>
      <c r="AE84" s="44">
        <v>3.6636136999999999E-2</v>
      </c>
      <c r="AF84" s="44">
        <v>3.6636136999999999E-2</v>
      </c>
      <c r="AG84" s="44">
        <v>3.6636136999999999E-2</v>
      </c>
      <c r="AH84" s="44">
        <v>3.6636136999999999E-2</v>
      </c>
      <c r="AI84"/>
      <c r="AJ84" s="44">
        <v>3.6636136999999999E-2</v>
      </c>
      <c r="AK84" s="44">
        <v>3.6636136999999999E-2</v>
      </c>
      <c r="AL84" s="44">
        <v>3.6636136999999999E-2</v>
      </c>
      <c r="AM84" s="44">
        <v>3.6636136999999999E-2</v>
      </c>
      <c r="AN84" s="44">
        <v>3.6636136999999999E-2</v>
      </c>
      <c r="AO84" s="44">
        <v>3.6636136999999999E-2</v>
      </c>
      <c r="AP84" s="44">
        <v>3.6636136999999999E-2</v>
      </c>
      <c r="AQ84"/>
      <c r="AR84" s="44">
        <v>3.6636136999999999E-2</v>
      </c>
      <c r="AS84" s="44">
        <v>3.6636136999999999E-2</v>
      </c>
      <c r="AT84" s="44">
        <v>3.6636136999999999E-2</v>
      </c>
      <c r="AU84" s="44">
        <v>3.6636136999999999E-2</v>
      </c>
      <c r="AV84"/>
      <c r="AW84" s="44">
        <v>3.6636136999999999E-2</v>
      </c>
      <c r="AX84"/>
      <c r="AY84"/>
      <c r="AZ84" s="44">
        <v>3.6636136999999999E-2</v>
      </c>
    </row>
    <row r="85" spans="1:52" x14ac:dyDescent="0.25">
      <c r="A85" s="17" t="s">
        <v>54</v>
      </c>
      <c r="B85" s="3" t="s">
        <v>473</v>
      </c>
      <c r="C85" s="3" t="s">
        <v>483</v>
      </c>
      <c r="D85" s="3" t="s">
        <v>537</v>
      </c>
      <c r="E85" s="18" t="s">
        <v>165</v>
      </c>
      <c r="F85" s="18" t="s">
        <v>98</v>
      </c>
      <c r="G85" s="44">
        <v>4.4999999999999997E-3</v>
      </c>
      <c r="H85" s="44">
        <f t="shared" si="2"/>
        <v>4.4999999999999997E-3</v>
      </c>
      <c r="I85" s="44">
        <v>4.4999999999999997E-3</v>
      </c>
      <c r="J85" s="44">
        <v>4.4999999999999997E-3</v>
      </c>
      <c r="K85" s="44">
        <v>4.4999999999999997E-3</v>
      </c>
      <c r="L85" s="44">
        <v>4.4999999999999997E-3</v>
      </c>
      <c r="M85" s="44">
        <v>4.4999999999999997E-3</v>
      </c>
      <c r="N85" s="44">
        <v>4.4999999999999997E-3</v>
      </c>
      <c r="O85" s="44">
        <v>4.4999999999999997E-3</v>
      </c>
      <c r="P85" s="44">
        <v>4.4999999999999997E-3</v>
      </c>
      <c r="R85" s="44">
        <v>4.4999999999999997E-3</v>
      </c>
      <c r="S85" s="44">
        <v>4.4999999999999997E-3</v>
      </c>
      <c r="T85" s="44">
        <v>4.4999999999999997E-3</v>
      </c>
      <c r="U85" s="44">
        <v>4.4999999999999997E-3</v>
      </c>
      <c r="X85" s="44">
        <v>4.4999999999999997E-3</v>
      </c>
      <c r="Y85" s="44">
        <v>4.4999999999999997E-3</v>
      </c>
      <c r="Z85" s="44">
        <v>4.4999999999999997E-3</v>
      </c>
      <c r="AA85" s="44">
        <v>4.4999999999999997E-3</v>
      </c>
      <c r="AB85" s="44">
        <v>4.4999999999999997E-3</v>
      </c>
      <c r="AC85" s="44">
        <v>4.4999999999999997E-3</v>
      </c>
      <c r="AD85" s="44">
        <v>4.4999999999999997E-3</v>
      </c>
      <c r="AE85" s="44">
        <v>4.4999999999999997E-3</v>
      </c>
      <c r="AF85" s="44">
        <v>4.4999999999999997E-3</v>
      </c>
      <c r="AG85" s="44">
        <v>4.4999999999999997E-3</v>
      </c>
      <c r="AH85" s="44">
        <v>4.4999999999999997E-3</v>
      </c>
      <c r="AI85"/>
      <c r="AJ85" s="44">
        <v>4.4999999999999997E-3</v>
      </c>
      <c r="AK85" s="44">
        <v>4.4999999999999997E-3</v>
      </c>
      <c r="AL85" s="44">
        <v>4.4999999999999997E-3</v>
      </c>
      <c r="AM85" s="44">
        <v>4.4999999999999997E-3</v>
      </c>
      <c r="AN85" s="44">
        <v>4.4999999999999997E-3</v>
      </c>
      <c r="AO85" s="44">
        <v>4.4999999999999997E-3</v>
      </c>
      <c r="AP85" s="44">
        <v>4.4999999999999997E-3</v>
      </c>
      <c r="AQ85"/>
      <c r="AR85" s="44">
        <v>4.4999999999999997E-3</v>
      </c>
      <c r="AS85" s="44">
        <v>4.4999999999999997E-3</v>
      </c>
      <c r="AT85" s="44">
        <v>4.4999999999999997E-3</v>
      </c>
      <c r="AU85" s="44">
        <v>4.4999999999999997E-3</v>
      </c>
      <c r="AV85"/>
      <c r="AW85" s="44">
        <v>4.4999999999999997E-3</v>
      </c>
      <c r="AX85"/>
      <c r="AY85"/>
      <c r="AZ85" s="44">
        <v>4.4999999999999997E-3</v>
      </c>
    </row>
    <row r="86" spans="1:52" x14ac:dyDescent="0.25">
      <c r="A86" s="17" t="s">
        <v>55</v>
      </c>
      <c r="B86" s="3" t="s">
        <v>473</v>
      </c>
      <c r="C86" s="3" t="s">
        <v>483</v>
      </c>
      <c r="D86" s="3" t="s">
        <v>537</v>
      </c>
      <c r="E86" s="18" t="s">
        <v>166</v>
      </c>
      <c r="F86" s="18" t="s">
        <v>100</v>
      </c>
      <c r="G86" s="44">
        <v>0.05</v>
      </c>
      <c r="H86" s="44">
        <f t="shared" si="2"/>
        <v>0.05</v>
      </c>
      <c r="I86" s="44">
        <v>0.05</v>
      </c>
      <c r="J86" s="44">
        <v>0.05</v>
      </c>
      <c r="K86" s="44">
        <v>0.05</v>
      </c>
      <c r="L86" s="44">
        <v>0.05</v>
      </c>
      <c r="M86" s="44">
        <v>0.05</v>
      </c>
      <c r="N86" s="44">
        <v>0.05</v>
      </c>
      <c r="O86" s="44">
        <v>0.05</v>
      </c>
      <c r="P86" s="44">
        <v>0.05</v>
      </c>
      <c r="R86" s="44">
        <v>0.05</v>
      </c>
      <c r="S86" s="44">
        <v>0.05</v>
      </c>
      <c r="T86" s="44">
        <v>0.05</v>
      </c>
      <c r="U86" s="44">
        <v>0.05</v>
      </c>
      <c r="X86" s="44">
        <v>0.05</v>
      </c>
      <c r="Y86" s="44">
        <v>0.05</v>
      </c>
      <c r="Z86" s="44">
        <v>0.05</v>
      </c>
      <c r="AA86" s="44">
        <v>0.05</v>
      </c>
      <c r="AB86" s="44">
        <v>0.05</v>
      </c>
      <c r="AC86" s="44">
        <v>0.05</v>
      </c>
      <c r="AD86" s="44">
        <v>0.05</v>
      </c>
      <c r="AE86" s="44">
        <v>0.05</v>
      </c>
      <c r="AF86" s="44">
        <v>0.05</v>
      </c>
      <c r="AG86" s="44">
        <v>0.05</v>
      </c>
      <c r="AH86" s="44">
        <v>0.05</v>
      </c>
      <c r="AI86"/>
      <c r="AJ86" s="44">
        <v>0.05</v>
      </c>
      <c r="AK86" s="44">
        <v>0.05</v>
      </c>
      <c r="AL86" s="44">
        <v>0.05</v>
      </c>
      <c r="AM86" s="44">
        <v>0.05</v>
      </c>
      <c r="AN86" s="44">
        <v>0.05</v>
      </c>
      <c r="AO86" s="44">
        <v>0.05</v>
      </c>
      <c r="AP86" s="44">
        <v>0.05</v>
      </c>
      <c r="AQ86"/>
      <c r="AR86" s="44">
        <v>0.05</v>
      </c>
      <c r="AS86" s="44">
        <v>0.05</v>
      </c>
      <c r="AT86" s="44">
        <v>0.05</v>
      </c>
      <c r="AU86" s="44">
        <v>0.05</v>
      </c>
      <c r="AV86"/>
      <c r="AW86" s="44">
        <v>0.05</v>
      </c>
      <c r="AX86"/>
      <c r="AY86"/>
      <c r="AZ86" s="44">
        <v>0.05</v>
      </c>
    </row>
    <row r="87" spans="1:52" x14ac:dyDescent="0.25">
      <c r="A87" s="19" t="s">
        <v>213</v>
      </c>
      <c r="B87" s="3" t="s">
        <v>473</v>
      </c>
      <c r="C87" s="3" t="s">
        <v>483</v>
      </c>
      <c r="D87" s="3" t="s">
        <v>537</v>
      </c>
      <c r="E87" s="20" t="s">
        <v>290</v>
      </c>
      <c r="F87" s="20" t="s">
        <v>98</v>
      </c>
      <c r="G87" s="44">
        <v>6.0000000000000002E-6</v>
      </c>
      <c r="H87" s="44">
        <f t="shared" si="2"/>
        <v>6.0000000000000002E-6</v>
      </c>
      <c r="I87" s="44">
        <v>6.0000000000000002E-6</v>
      </c>
      <c r="J87" s="44">
        <v>6.0000000000000002E-6</v>
      </c>
      <c r="K87" s="44">
        <v>6.0000000000000002E-6</v>
      </c>
      <c r="L87" s="44">
        <v>6.0000000000000002E-6</v>
      </c>
      <c r="M87" s="44">
        <v>6.0000000000000002E-6</v>
      </c>
      <c r="N87" s="44">
        <v>6.0000000000000002E-6</v>
      </c>
      <c r="O87" s="44">
        <v>6.0000000000000002E-6</v>
      </c>
      <c r="P87" s="44">
        <v>6.0000000000000002E-6</v>
      </c>
      <c r="R87" s="44">
        <v>6.0000000000000002E-6</v>
      </c>
      <c r="S87" s="44">
        <v>6.0000000000000002E-6</v>
      </c>
      <c r="T87" s="44">
        <v>6.0000000000000002E-6</v>
      </c>
      <c r="U87" s="44">
        <v>6.0000000000000002E-6</v>
      </c>
      <c r="X87" s="44">
        <v>6.0000000000000002E-6</v>
      </c>
      <c r="Y87" s="44">
        <v>6.0000000000000002E-6</v>
      </c>
      <c r="Z87" s="44">
        <v>6.0000000000000002E-6</v>
      </c>
      <c r="AA87" s="44">
        <v>6.0000000000000002E-6</v>
      </c>
      <c r="AB87" s="44">
        <v>6.0000000000000002E-6</v>
      </c>
      <c r="AC87" s="44">
        <v>6.0000000000000002E-6</v>
      </c>
      <c r="AD87" s="44">
        <v>6.0000000000000002E-6</v>
      </c>
      <c r="AE87" s="44">
        <v>6.0000000000000002E-6</v>
      </c>
      <c r="AF87" s="44">
        <v>6.0000000000000002E-6</v>
      </c>
      <c r="AG87" s="44">
        <v>6.0000000000000002E-6</v>
      </c>
      <c r="AH87" s="44">
        <v>6.0000000000000002E-6</v>
      </c>
      <c r="AI87"/>
      <c r="AJ87" s="44">
        <v>6.0000000000000002E-6</v>
      </c>
      <c r="AK87" s="44">
        <v>6.0000000000000002E-6</v>
      </c>
      <c r="AL87" s="44">
        <v>6.0000000000000002E-6</v>
      </c>
      <c r="AM87" s="44">
        <v>6.0000000000000002E-6</v>
      </c>
      <c r="AN87" s="44">
        <v>6.0000000000000002E-6</v>
      </c>
      <c r="AO87" s="44">
        <v>6.0000000000000002E-6</v>
      </c>
      <c r="AP87" s="44">
        <v>6.0000000000000002E-6</v>
      </c>
      <c r="AQ87"/>
      <c r="AR87" s="44">
        <v>6.0000000000000002E-6</v>
      </c>
      <c r="AS87" s="44">
        <v>6.0000000000000002E-6</v>
      </c>
      <c r="AT87" s="44">
        <v>6.0000000000000002E-6</v>
      </c>
      <c r="AU87" s="44">
        <v>6.0000000000000002E-6</v>
      </c>
      <c r="AV87"/>
      <c r="AW87" s="44">
        <v>6.0000000000000002E-6</v>
      </c>
      <c r="AX87"/>
      <c r="AY87"/>
      <c r="AZ87" s="44">
        <v>6.0000000000000002E-6</v>
      </c>
    </row>
    <row r="88" spans="1:52" x14ac:dyDescent="0.25">
      <c r="A88" s="19" t="s">
        <v>214</v>
      </c>
      <c r="B88" s="3" t="s">
        <v>473</v>
      </c>
      <c r="C88" s="3" t="s">
        <v>483</v>
      </c>
      <c r="D88" s="3" t="s">
        <v>537</v>
      </c>
      <c r="E88" s="20" t="s">
        <v>291</v>
      </c>
      <c r="F88" s="20" t="s">
        <v>98</v>
      </c>
      <c r="G88" s="44">
        <v>1E-3</v>
      </c>
      <c r="H88" s="44">
        <f t="shared" si="2"/>
        <v>1E-3</v>
      </c>
      <c r="I88" s="44">
        <v>1E-3</v>
      </c>
      <c r="J88" s="44">
        <v>1E-3</v>
      </c>
      <c r="K88" s="44">
        <v>1E-3</v>
      </c>
      <c r="L88" s="44">
        <v>1E-3</v>
      </c>
      <c r="M88" s="44">
        <v>1E-3</v>
      </c>
      <c r="N88" s="44">
        <v>1E-3</v>
      </c>
      <c r="O88" s="44">
        <v>1E-3</v>
      </c>
      <c r="P88" s="44">
        <v>1E-3</v>
      </c>
      <c r="R88" s="44">
        <v>1E-3</v>
      </c>
      <c r="S88" s="44">
        <v>1E-3</v>
      </c>
      <c r="T88" s="44">
        <v>1E-3</v>
      </c>
      <c r="U88" s="44">
        <v>1E-3</v>
      </c>
      <c r="X88" s="44">
        <v>1E-3</v>
      </c>
      <c r="Y88" s="44">
        <v>1E-3</v>
      </c>
      <c r="Z88" s="44">
        <v>1E-3</v>
      </c>
      <c r="AA88" s="44">
        <v>1E-3</v>
      </c>
      <c r="AB88" s="44">
        <v>1E-3</v>
      </c>
      <c r="AC88" s="44">
        <v>1E-3</v>
      </c>
      <c r="AD88" s="44">
        <v>1E-3</v>
      </c>
      <c r="AE88" s="44">
        <v>1E-3</v>
      </c>
      <c r="AF88" s="44">
        <v>1E-3</v>
      </c>
      <c r="AG88" s="44">
        <v>1E-3</v>
      </c>
      <c r="AH88" s="44">
        <v>1E-3</v>
      </c>
      <c r="AI88"/>
      <c r="AJ88" s="44">
        <v>1E-3</v>
      </c>
      <c r="AK88" s="44">
        <v>1E-3</v>
      </c>
      <c r="AL88" s="44">
        <v>1E-3</v>
      </c>
      <c r="AM88" s="44">
        <v>1E-3</v>
      </c>
      <c r="AN88" s="44">
        <v>1E-3</v>
      </c>
      <c r="AO88" s="44">
        <v>1E-3</v>
      </c>
      <c r="AP88" s="44">
        <v>1E-3</v>
      </c>
      <c r="AQ88"/>
      <c r="AR88" s="44">
        <v>1E-3</v>
      </c>
      <c r="AS88" s="44">
        <v>1E-3</v>
      </c>
      <c r="AT88" s="44">
        <v>1E-3</v>
      </c>
      <c r="AU88" s="44">
        <v>1E-3</v>
      </c>
      <c r="AV88"/>
      <c r="AW88" s="44">
        <v>1E-3</v>
      </c>
      <c r="AX88"/>
      <c r="AY88"/>
      <c r="AZ88" s="44">
        <v>1E-3</v>
      </c>
    </row>
    <row r="89" spans="1:52" x14ac:dyDescent="0.25">
      <c r="A89" s="19" t="s">
        <v>215</v>
      </c>
      <c r="B89" s="3" t="s">
        <v>473</v>
      </c>
      <c r="C89" s="3" t="s">
        <v>483</v>
      </c>
      <c r="D89" s="3" t="s">
        <v>537</v>
      </c>
      <c r="E89" s="20" t="s">
        <v>295</v>
      </c>
      <c r="F89" s="20" t="s">
        <v>294</v>
      </c>
      <c r="G89" s="44">
        <v>374999999.99999994</v>
      </c>
      <c r="H89" s="44">
        <f t="shared" si="2"/>
        <v>374999999.99999994</v>
      </c>
      <c r="I89" s="44">
        <v>374999999.99999994</v>
      </c>
      <c r="J89" s="44">
        <v>374999999.99999994</v>
      </c>
      <c r="K89" s="44">
        <v>374999999.99999994</v>
      </c>
      <c r="L89" s="44">
        <v>374999999.99999994</v>
      </c>
      <c r="M89" s="44">
        <v>374999999.99999994</v>
      </c>
      <c r="N89" s="44">
        <v>374999999.99999994</v>
      </c>
      <c r="O89" s="44">
        <v>374999999.99999994</v>
      </c>
      <c r="P89" s="44">
        <v>374999999.99999994</v>
      </c>
      <c r="R89" s="44">
        <v>374999999.99999994</v>
      </c>
      <c r="S89" s="44">
        <v>374999999.99999994</v>
      </c>
      <c r="T89" s="44">
        <v>374999999.99999994</v>
      </c>
      <c r="U89" s="44">
        <v>374999999.99999994</v>
      </c>
      <c r="X89" s="44">
        <v>374999999.99999994</v>
      </c>
      <c r="Y89" s="44">
        <v>374999999.99999994</v>
      </c>
      <c r="Z89" s="44">
        <v>374999999.99999994</v>
      </c>
      <c r="AA89" s="44">
        <v>374999999.99999994</v>
      </c>
      <c r="AB89" s="44">
        <v>374999999.99999994</v>
      </c>
      <c r="AC89" s="44">
        <v>374999999.99999994</v>
      </c>
      <c r="AD89" s="44">
        <v>374999999.99999994</v>
      </c>
      <c r="AE89" s="44">
        <v>374999999.99999994</v>
      </c>
      <c r="AF89" s="44">
        <v>374999999.99999994</v>
      </c>
      <c r="AG89" s="44">
        <v>374999999.99999994</v>
      </c>
      <c r="AH89" s="44">
        <v>374999999.99999994</v>
      </c>
      <c r="AI89"/>
      <c r="AJ89" s="44">
        <v>374999999.99999994</v>
      </c>
      <c r="AK89" s="44">
        <v>374999999.99999994</v>
      </c>
      <c r="AL89" s="44">
        <v>374999999.99999994</v>
      </c>
      <c r="AM89" s="44">
        <v>374999999.99999994</v>
      </c>
      <c r="AN89" s="44">
        <v>374999999.99999994</v>
      </c>
      <c r="AO89" s="44">
        <v>374999999.99999994</v>
      </c>
      <c r="AP89" s="44">
        <v>374999999.99999994</v>
      </c>
      <c r="AQ89"/>
      <c r="AR89" s="44">
        <v>374999999.99999994</v>
      </c>
      <c r="AS89" s="44">
        <v>374999999.99999994</v>
      </c>
      <c r="AT89" s="44">
        <v>374999999.99999994</v>
      </c>
      <c r="AU89" s="44">
        <v>374999999.99999994</v>
      </c>
      <c r="AV89"/>
      <c r="AW89" s="44">
        <v>374999999.99999994</v>
      </c>
      <c r="AX89"/>
      <c r="AY89"/>
      <c r="AZ89" s="44">
        <v>374999999.99999994</v>
      </c>
    </row>
    <row r="90" spans="1:52" x14ac:dyDescent="0.25">
      <c r="A90" s="19" t="s">
        <v>216</v>
      </c>
      <c r="B90" s="3" t="s">
        <v>473</v>
      </c>
      <c r="C90" s="3" t="s">
        <v>483</v>
      </c>
      <c r="D90" s="3" t="s">
        <v>537</v>
      </c>
      <c r="E90" s="20" t="s">
        <v>292</v>
      </c>
      <c r="F90" s="20" t="s">
        <v>297</v>
      </c>
      <c r="G90" s="44">
        <v>3.7037037037037038E-3</v>
      </c>
      <c r="H90" s="44">
        <f t="shared" si="2"/>
        <v>3.7037037037037038E-3</v>
      </c>
      <c r="I90" s="44">
        <v>3.7037037037037038E-3</v>
      </c>
      <c r="J90" s="44">
        <v>3.7037037037037038E-3</v>
      </c>
      <c r="K90" s="44">
        <v>3.7037037037037038E-3</v>
      </c>
      <c r="L90" s="44">
        <v>3.7037037037037038E-3</v>
      </c>
      <c r="M90" s="44">
        <v>3.7037037037037038E-3</v>
      </c>
      <c r="N90" s="44">
        <v>3.7037037037037038E-3</v>
      </c>
      <c r="O90" s="44">
        <v>3.7037037037037038E-3</v>
      </c>
      <c r="P90" s="44">
        <v>3.7037037037037038E-3</v>
      </c>
      <c r="R90" s="44">
        <v>3.7037037037037038E-3</v>
      </c>
      <c r="S90" s="44">
        <v>3.7037037037037038E-3</v>
      </c>
      <c r="T90" s="44">
        <v>3.7037037037037038E-3</v>
      </c>
      <c r="U90" s="44">
        <v>3.7037037037037038E-3</v>
      </c>
      <c r="X90" s="44">
        <v>3.7037037037037038E-3</v>
      </c>
      <c r="Y90" s="44">
        <v>3.7037037037037038E-3</v>
      </c>
      <c r="Z90" s="44">
        <v>3.7037037037037038E-3</v>
      </c>
      <c r="AA90" s="44">
        <v>3.7037037037037038E-3</v>
      </c>
      <c r="AB90" s="44">
        <v>3.7037037037037038E-3</v>
      </c>
      <c r="AC90" s="44">
        <v>3.7037037037037038E-3</v>
      </c>
      <c r="AD90" s="44">
        <v>3.7037037037037038E-3</v>
      </c>
      <c r="AE90" s="44">
        <v>3.7037037037037038E-3</v>
      </c>
      <c r="AF90" s="44">
        <v>3.7037037037037038E-3</v>
      </c>
      <c r="AG90" s="44">
        <v>3.7037037037037038E-3</v>
      </c>
      <c r="AH90" s="44">
        <v>3.7037037037037038E-3</v>
      </c>
      <c r="AI90"/>
      <c r="AJ90" s="44">
        <v>3.7037037037037038E-3</v>
      </c>
      <c r="AK90" s="44">
        <v>3.7037037037037038E-3</v>
      </c>
      <c r="AL90" s="44">
        <v>3.7037037037037038E-3</v>
      </c>
      <c r="AM90" s="44">
        <v>3.7037037037037038E-3</v>
      </c>
      <c r="AN90" s="44">
        <v>3.7037037037037038E-3</v>
      </c>
      <c r="AO90" s="44">
        <v>3.7037037037037038E-3</v>
      </c>
      <c r="AP90" s="44">
        <v>3.7037037037037038E-3</v>
      </c>
      <c r="AQ90"/>
      <c r="AR90" s="44">
        <v>3.7037037037037038E-3</v>
      </c>
      <c r="AS90" s="44">
        <v>3.7037037037037038E-3</v>
      </c>
      <c r="AT90" s="44">
        <v>3.7037037037037038E-3</v>
      </c>
      <c r="AU90" s="44">
        <v>3.7037037037037038E-3</v>
      </c>
      <c r="AV90"/>
      <c r="AW90" s="44">
        <v>3.7037037037037038E-3</v>
      </c>
      <c r="AX90"/>
      <c r="AY90"/>
      <c r="AZ90" s="44">
        <v>3.7037037037037038E-3</v>
      </c>
    </row>
    <row r="91" spans="1:52" x14ac:dyDescent="0.25">
      <c r="A91" s="19" t="s">
        <v>217</v>
      </c>
      <c r="B91" s="3" t="s">
        <v>473</v>
      </c>
      <c r="C91" s="3" t="s">
        <v>483</v>
      </c>
      <c r="D91" s="3" t="s">
        <v>537</v>
      </c>
      <c r="E91" s="20" t="s">
        <v>293</v>
      </c>
      <c r="F91" s="20" t="s">
        <v>296</v>
      </c>
      <c r="G91" s="44">
        <v>165600</v>
      </c>
      <c r="H91" s="44">
        <f t="shared" si="2"/>
        <v>165600</v>
      </c>
      <c r="I91" s="44">
        <v>165600</v>
      </c>
      <c r="J91" s="44">
        <v>165600</v>
      </c>
      <c r="K91" s="44">
        <v>165600</v>
      </c>
      <c r="L91" s="44">
        <v>165600</v>
      </c>
      <c r="M91" s="44">
        <v>165600</v>
      </c>
      <c r="N91" s="44">
        <v>165600</v>
      </c>
      <c r="O91" s="44">
        <v>165600</v>
      </c>
      <c r="P91" s="44">
        <v>165600</v>
      </c>
      <c r="R91" s="44">
        <v>165600</v>
      </c>
      <c r="S91" s="44">
        <v>165600</v>
      </c>
      <c r="T91" s="44">
        <v>165600</v>
      </c>
      <c r="U91" s="44">
        <v>165600</v>
      </c>
      <c r="X91" s="44">
        <v>165600</v>
      </c>
      <c r="Y91" s="44">
        <v>165600</v>
      </c>
      <c r="Z91" s="44">
        <v>165600</v>
      </c>
      <c r="AA91" s="44">
        <v>165600</v>
      </c>
      <c r="AB91" s="44">
        <v>165600</v>
      </c>
      <c r="AC91" s="44">
        <v>165600</v>
      </c>
      <c r="AD91" s="44">
        <v>165600</v>
      </c>
      <c r="AE91" s="44">
        <v>165600</v>
      </c>
      <c r="AF91" s="44">
        <v>165600</v>
      </c>
      <c r="AG91" s="44">
        <v>165600</v>
      </c>
      <c r="AH91" s="44">
        <v>165600</v>
      </c>
      <c r="AI91"/>
      <c r="AJ91" s="44">
        <v>165600</v>
      </c>
      <c r="AK91" s="44">
        <v>165600</v>
      </c>
      <c r="AL91" s="44">
        <v>165600</v>
      </c>
      <c r="AM91" s="44">
        <v>165600</v>
      </c>
      <c r="AN91" s="44">
        <v>165600</v>
      </c>
      <c r="AO91" s="44">
        <v>165600</v>
      </c>
      <c r="AP91" s="44">
        <v>165600</v>
      </c>
      <c r="AQ91"/>
      <c r="AR91" s="44">
        <v>165600</v>
      </c>
      <c r="AS91" s="44">
        <v>165600</v>
      </c>
      <c r="AT91" s="44">
        <v>165600</v>
      </c>
      <c r="AU91" s="44">
        <v>165600</v>
      </c>
      <c r="AV91"/>
      <c r="AW91" s="44">
        <v>165600</v>
      </c>
      <c r="AX91"/>
      <c r="AY91"/>
      <c r="AZ91" s="44">
        <v>165600</v>
      </c>
    </row>
    <row r="92" spans="1:52" x14ac:dyDescent="0.25">
      <c r="A92" s="13" t="s">
        <v>60</v>
      </c>
      <c r="B92" s="3" t="s">
        <v>473</v>
      </c>
      <c r="C92" s="3" t="s">
        <v>483</v>
      </c>
      <c r="D92" s="3" t="s">
        <v>537</v>
      </c>
      <c r="E92" s="14" t="s">
        <v>171</v>
      </c>
      <c r="F92" s="14" t="s">
        <v>109</v>
      </c>
      <c r="G92" s="44">
        <v>20</v>
      </c>
      <c r="H92" s="44">
        <f t="shared" si="2"/>
        <v>20</v>
      </c>
      <c r="I92" s="44">
        <v>20</v>
      </c>
      <c r="J92" s="44">
        <v>20</v>
      </c>
      <c r="K92" s="44">
        <v>20</v>
      </c>
      <c r="L92" s="44">
        <v>20</v>
      </c>
      <c r="M92" s="44">
        <v>20</v>
      </c>
      <c r="N92" s="44">
        <v>20</v>
      </c>
      <c r="O92" s="44">
        <v>20</v>
      </c>
      <c r="P92" s="44">
        <v>20</v>
      </c>
      <c r="R92" s="44">
        <v>20</v>
      </c>
      <c r="S92" s="44">
        <v>20</v>
      </c>
      <c r="T92" s="44">
        <v>20</v>
      </c>
      <c r="U92" s="44">
        <v>20</v>
      </c>
      <c r="X92" s="44">
        <v>20</v>
      </c>
      <c r="Y92" s="44">
        <v>20</v>
      </c>
      <c r="Z92" s="44">
        <v>20</v>
      </c>
      <c r="AA92" s="44">
        <v>20</v>
      </c>
      <c r="AB92" s="44">
        <v>20</v>
      </c>
      <c r="AC92" s="44">
        <v>20</v>
      </c>
      <c r="AD92" s="44">
        <v>20</v>
      </c>
      <c r="AE92" s="44">
        <v>20</v>
      </c>
      <c r="AF92" s="44">
        <v>20</v>
      </c>
      <c r="AG92" s="44">
        <v>20</v>
      </c>
      <c r="AH92" s="44">
        <v>20</v>
      </c>
      <c r="AI92"/>
      <c r="AJ92" s="44">
        <v>20</v>
      </c>
      <c r="AK92" s="44">
        <v>20</v>
      </c>
      <c r="AL92" s="44">
        <v>20</v>
      </c>
      <c r="AM92" s="44">
        <v>20</v>
      </c>
      <c r="AN92" s="44">
        <v>20</v>
      </c>
      <c r="AO92" s="44">
        <v>20</v>
      </c>
      <c r="AP92" s="44">
        <v>20</v>
      </c>
      <c r="AQ92"/>
      <c r="AR92" s="44">
        <v>20</v>
      </c>
      <c r="AS92" s="44">
        <v>20</v>
      </c>
      <c r="AT92" s="44">
        <v>20</v>
      </c>
      <c r="AU92" s="44">
        <v>20</v>
      </c>
      <c r="AV92"/>
      <c r="AW92" s="44">
        <v>20</v>
      </c>
      <c r="AX92"/>
      <c r="AY92"/>
      <c r="AZ92" s="44">
        <v>20</v>
      </c>
    </row>
    <row r="93" spans="1:52" x14ac:dyDescent="0.25">
      <c r="A93" s="13" t="s">
        <v>208</v>
      </c>
      <c r="B93" s="3" t="s">
        <v>473</v>
      </c>
      <c r="C93" s="3" t="s">
        <v>483</v>
      </c>
      <c r="D93" s="3" t="s">
        <v>537</v>
      </c>
      <c r="E93" s="14" t="s">
        <v>289</v>
      </c>
      <c r="F93" s="14" t="s">
        <v>100</v>
      </c>
      <c r="G93" s="44">
        <v>1</v>
      </c>
      <c r="H93" s="44">
        <f t="shared" si="2"/>
        <v>1</v>
      </c>
      <c r="I93" s="44">
        <v>1</v>
      </c>
      <c r="J93" s="44">
        <v>1</v>
      </c>
      <c r="K93" s="44">
        <v>1</v>
      </c>
      <c r="L93" s="44">
        <v>1</v>
      </c>
      <c r="M93" s="44">
        <v>1</v>
      </c>
      <c r="N93" s="44">
        <v>1</v>
      </c>
      <c r="O93" s="44">
        <v>1</v>
      </c>
      <c r="P93" s="44">
        <v>1</v>
      </c>
      <c r="R93" s="44">
        <v>1</v>
      </c>
      <c r="S93" s="44">
        <v>1</v>
      </c>
      <c r="T93" s="44">
        <v>1</v>
      </c>
      <c r="U93" s="44">
        <v>1</v>
      </c>
      <c r="X93" s="44">
        <v>1</v>
      </c>
      <c r="Y93" s="44">
        <v>1</v>
      </c>
      <c r="Z93" s="44">
        <v>1</v>
      </c>
      <c r="AA93" s="44">
        <v>1</v>
      </c>
      <c r="AB93" s="44">
        <v>1</v>
      </c>
      <c r="AC93" s="44">
        <v>1</v>
      </c>
      <c r="AD93" s="44">
        <v>1</v>
      </c>
      <c r="AE93" s="44">
        <v>1</v>
      </c>
      <c r="AF93" s="44">
        <v>1</v>
      </c>
      <c r="AG93" s="44">
        <v>1</v>
      </c>
      <c r="AH93" s="44">
        <v>1</v>
      </c>
      <c r="AI93"/>
      <c r="AJ93" s="44">
        <v>1</v>
      </c>
      <c r="AK93" s="44">
        <v>1</v>
      </c>
      <c r="AL93" s="44">
        <v>1</v>
      </c>
      <c r="AM93" s="44">
        <v>1</v>
      </c>
      <c r="AN93" s="44">
        <v>1</v>
      </c>
      <c r="AO93" s="44">
        <v>1</v>
      </c>
      <c r="AP93" s="44">
        <v>1</v>
      </c>
      <c r="AQ93"/>
      <c r="AR93" s="44">
        <v>1</v>
      </c>
      <c r="AS93" s="44">
        <v>1</v>
      </c>
      <c r="AT93" s="44">
        <v>1</v>
      </c>
      <c r="AU93" s="44">
        <v>1</v>
      </c>
      <c r="AV93"/>
      <c r="AW93" s="44">
        <v>1</v>
      </c>
      <c r="AX93"/>
      <c r="AY93"/>
      <c r="AZ93" s="44">
        <v>1</v>
      </c>
    </row>
    <row r="94" spans="1:52" x14ac:dyDescent="0.25">
      <c r="A94" s="13" t="s">
        <v>59</v>
      </c>
      <c r="B94" s="3" t="s">
        <v>473</v>
      </c>
      <c r="C94" s="3" t="s">
        <v>483</v>
      </c>
      <c r="D94" s="3" t="s">
        <v>537</v>
      </c>
      <c r="E94" s="14" t="s">
        <v>170</v>
      </c>
      <c r="F94" s="14" t="s">
        <v>102</v>
      </c>
      <c r="G94" s="44">
        <v>21</v>
      </c>
      <c r="H94" s="44">
        <f t="shared" si="2"/>
        <v>21</v>
      </c>
      <c r="I94" s="44">
        <v>21</v>
      </c>
      <c r="J94" s="44">
        <v>21</v>
      </c>
      <c r="K94" s="44">
        <v>21</v>
      </c>
      <c r="L94" s="44">
        <v>21</v>
      </c>
      <c r="M94" s="44">
        <v>21</v>
      </c>
      <c r="N94" s="44">
        <v>21</v>
      </c>
      <c r="O94" s="44">
        <v>21</v>
      </c>
      <c r="P94" s="44">
        <v>21</v>
      </c>
      <c r="R94" s="44">
        <v>21</v>
      </c>
      <c r="S94" s="44">
        <v>21</v>
      </c>
      <c r="T94" s="44">
        <v>21</v>
      </c>
      <c r="U94" s="44">
        <v>21</v>
      </c>
      <c r="X94" s="44">
        <v>21</v>
      </c>
      <c r="Y94" s="44">
        <v>21</v>
      </c>
      <c r="Z94" s="44">
        <v>21</v>
      </c>
      <c r="AA94" s="44">
        <v>21</v>
      </c>
      <c r="AB94" s="44">
        <v>21</v>
      </c>
      <c r="AC94" s="44">
        <v>21</v>
      </c>
      <c r="AD94" s="44">
        <v>21</v>
      </c>
      <c r="AE94" s="44">
        <v>21</v>
      </c>
      <c r="AF94" s="44">
        <v>21</v>
      </c>
      <c r="AG94" s="44">
        <v>21</v>
      </c>
      <c r="AH94" s="44">
        <v>21</v>
      </c>
      <c r="AI94"/>
      <c r="AJ94" s="44">
        <v>21</v>
      </c>
      <c r="AK94" s="44">
        <v>21</v>
      </c>
      <c r="AL94" s="44">
        <v>21</v>
      </c>
      <c r="AM94" s="44">
        <v>21</v>
      </c>
      <c r="AN94" s="44">
        <v>21</v>
      </c>
      <c r="AO94" s="44">
        <v>21</v>
      </c>
      <c r="AP94" s="44">
        <v>21</v>
      </c>
      <c r="AQ94"/>
      <c r="AR94" s="44">
        <v>21</v>
      </c>
      <c r="AS94" s="44">
        <v>21</v>
      </c>
      <c r="AT94" s="44">
        <v>21</v>
      </c>
      <c r="AU94" s="44">
        <v>21</v>
      </c>
      <c r="AV94"/>
      <c r="AW94" s="44">
        <v>21</v>
      </c>
      <c r="AX94"/>
      <c r="AY94"/>
      <c r="AZ94" s="44">
        <v>21</v>
      </c>
    </row>
    <row r="95" spans="1:52" x14ac:dyDescent="0.25">
      <c r="A95" s="23" t="s">
        <v>65</v>
      </c>
      <c r="B95" s="3" t="s">
        <v>473</v>
      </c>
      <c r="C95" s="3" t="s">
        <v>483</v>
      </c>
      <c r="D95" s="3" t="s">
        <v>537</v>
      </c>
      <c r="E95" s="24" t="s">
        <v>176</v>
      </c>
      <c r="F95" s="24" t="s">
        <v>182</v>
      </c>
      <c r="G95" s="44">
        <v>0.64</v>
      </c>
      <c r="H95" s="44">
        <f t="shared" si="2"/>
        <v>0.64</v>
      </c>
      <c r="I95" s="44">
        <v>0.64</v>
      </c>
      <c r="J95" s="44">
        <v>0.64</v>
      </c>
      <c r="K95" s="44">
        <v>0.64</v>
      </c>
      <c r="L95" s="44">
        <v>0.64</v>
      </c>
      <c r="M95" s="44">
        <v>0.64</v>
      </c>
      <c r="N95" s="44">
        <v>0.64</v>
      </c>
      <c r="O95" s="44">
        <v>0.64</v>
      </c>
      <c r="P95" s="44">
        <v>0.64</v>
      </c>
      <c r="R95" s="44">
        <v>0.64</v>
      </c>
      <c r="S95" s="44">
        <v>0.64</v>
      </c>
      <c r="T95" s="44">
        <v>0.64</v>
      </c>
      <c r="U95" s="44">
        <v>0.64</v>
      </c>
      <c r="X95" s="44">
        <v>0.64</v>
      </c>
      <c r="Y95" s="44">
        <v>0.64</v>
      </c>
      <c r="Z95" s="44">
        <v>0.64</v>
      </c>
      <c r="AA95" s="44">
        <v>0.64</v>
      </c>
      <c r="AB95" s="44">
        <v>0.64</v>
      </c>
      <c r="AC95" s="44">
        <v>0.64</v>
      </c>
      <c r="AD95" s="44">
        <v>0.64</v>
      </c>
      <c r="AE95" s="44">
        <v>0.64</v>
      </c>
      <c r="AF95" s="44">
        <v>0.64</v>
      </c>
      <c r="AG95" s="44">
        <v>0.64</v>
      </c>
      <c r="AH95" s="44">
        <v>0.64</v>
      </c>
      <c r="AI95"/>
      <c r="AJ95" s="44">
        <v>0.64</v>
      </c>
      <c r="AK95" s="44">
        <v>0.64</v>
      </c>
      <c r="AL95" s="44">
        <v>0.64</v>
      </c>
      <c r="AM95" s="44">
        <v>0.64</v>
      </c>
      <c r="AN95" s="44">
        <v>0.64</v>
      </c>
      <c r="AO95" s="44">
        <v>0.64</v>
      </c>
      <c r="AP95" s="44">
        <v>0.64</v>
      </c>
      <c r="AQ95"/>
      <c r="AR95" s="44">
        <v>0.64</v>
      </c>
      <c r="AS95" s="44">
        <v>0.64</v>
      </c>
      <c r="AT95" s="44">
        <v>0.64</v>
      </c>
      <c r="AU95" s="44">
        <v>0.64</v>
      </c>
      <c r="AV95"/>
      <c r="AW95" s="44">
        <v>0.64</v>
      </c>
      <c r="AX95"/>
      <c r="AY95"/>
      <c r="AZ95" s="44">
        <v>0.64</v>
      </c>
    </row>
    <row r="96" spans="1:52" x14ac:dyDescent="0.25">
      <c r="A96" s="23" t="s">
        <v>366</v>
      </c>
      <c r="B96" s="3" t="s">
        <v>473</v>
      </c>
      <c r="C96" s="3" t="s">
        <v>483</v>
      </c>
      <c r="D96" s="3" t="s">
        <v>537</v>
      </c>
      <c r="E96" s="24" t="s">
        <v>369</v>
      </c>
      <c r="F96" s="24" t="s">
        <v>182</v>
      </c>
      <c r="G96" s="44">
        <v>8</v>
      </c>
      <c r="H96" s="44">
        <f t="shared" si="2"/>
        <v>8</v>
      </c>
      <c r="I96" s="44">
        <v>8</v>
      </c>
      <c r="J96" s="44">
        <v>8</v>
      </c>
      <c r="K96" s="44">
        <v>8</v>
      </c>
      <c r="L96" s="44">
        <v>8</v>
      </c>
      <c r="M96" s="44">
        <v>8</v>
      </c>
      <c r="N96" s="44">
        <v>8</v>
      </c>
      <c r="O96" s="44">
        <v>8</v>
      </c>
      <c r="P96" s="44">
        <v>8</v>
      </c>
      <c r="R96" s="44">
        <v>8</v>
      </c>
      <c r="S96" s="44">
        <v>8</v>
      </c>
      <c r="T96" s="44">
        <v>8</v>
      </c>
      <c r="U96" s="44">
        <v>8</v>
      </c>
      <c r="X96" s="44">
        <v>8</v>
      </c>
      <c r="Y96" s="44">
        <v>8</v>
      </c>
      <c r="Z96" s="44">
        <v>8</v>
      </c>
      <c r="AA96" s="44">
        <v>8</v>
      </c>
      <c r="AB96" s="44">
        <v>8</v>
      </c>
      <c r="AC96" s="44">
        <v>8</v>
      </c>
      <c r="AD96" s="44">
        <v>8</v>
      </c>
      <c r="AE96" s="44">
        <v>8</v>
      </c>
      <c r="AF96" s="44">
        <v>8</v>
      </c>
      <c r="AG96" s="44">
        <v>8</v>
      </c>
      <c r="AH96" s="44">
        <v>8</v>
      </c>
      <c r="AI96"/>
      <c r="AJ96" s="44">
        <v>8</v>
      </c>
      <c r="AK96" s="44">
        <v>8</v>
      </c>
      <c r="AL96" s="44">
        <v>8</v>
      </c>
      <c r="AM96" s="44">
        <v>8</v>
      </c>
      <c r="AN96" s="44">
        <v>8</v>
      </c>
      <c r="AO96" s="44">
        <v>8</v>
      </c>
      <c r="AP96" s="44">
        <v>8</v>
      </c>
      <c r="AQ96"/>
      <c r="AR96" s="44">
        <v>8</v>
      </c>
      <c r="AS96" s="44">
        <v>8</v>
      </c>
      <c r="AT96" s="44">
        <v>8</v>
      </c>
      <c r="AU96" s="44">
        <v>8</v>
      </c>
      <c r="AV96"/>
      <c r="AW96" s="44">
        <v>8</v>
      </c>
      <c r="AX96"/>
      <c r="AY96"/>
      <c r="AZ96" s="44">
        <v>8</v>
      </c>
    </row>
    <row r="97" spans="1:52" x14ac:dyDescent="0.25">
      <c r="A97" s="23" t="s">
        <v>367</v>
      </c>
      <c r="B97" s="3" t="s">
        <v>473</v>
      </c>
      <c r="C97" s="3" t="s">
        <v>483</v>
      </c>
      <c r="D97" s="3" t="s">
        <v>537</v>
      </c>
      <c r="E97" s="24" t="s">
        <v>370</v>
      </c>
      <c r="F97" s="24" t="s">
        <v>182</v>
      </c>
      <c r="G97" s="44">
        <v>10</v>
      </c>
      <c r="H97" s="44">
        <f t="shared" si="2"/>
        <v>10</v>
      </c>
      <c r="I97" s="44">
        <v>10</v>
      </c>
      <c r="J97" s="44">
        <v>10</v>
      </c>
      <c r="K97" s="44">
        <v>10</v>
      </c>
      <c r="L97" s="44">
        <v>10</v>
      </c>
      <c r="M97" s="44">
        <v>10</v>
      </c>
      <c r="N97" s="44">
        <v>10</v>
      </c>
      <c r="O97" s="44">
        <v>10</v>
      </c>
      <c r="P97" s="44">
        <v>10</v>
      </c>
      <c r="R97" s="44">
        <v>10</v>
      </c>
      <c r="S97" s="44">
        <v>10</v>
      </c>
      <c r="T97" s="44">
        <v>10</v>
      </c>
      <c r="U97" s="44">
        <v>10</v>
      </c>
      <c r="X97" s="44">
        <v>10</v>
      </c>
      <c r="Y97" s="44">
        <v>10</v>
      </c>
      <c r="Z97" s="44">
        <v>10</v>
      </c>
      <c r="AA97" s="44">
        <v>10</v>
      </c>
      <c r="AB97" s="44">
        <v>10</v>
      </c>
      <c r="AC97" s="44">
        <v>10</v>
      </c>
      <c r="AD97" s="44">
        <v>10</v>
      </c>
      <c r="AE97" s="44">
        <v>10</v>
      </c>
      <c r="AF97" s="44">
        <v>10</v>
      </c>
      <c r="AG97" s="44">
        <v>10</v>
      </c>
      <c r="AH97" s="44">
        <v>10</v>
      </c>
      <c r="AI97"/>
      <c r="AJ97" s="44">
        <v>10</v>
      </c>
      <c r="AK97" s="44">
        <v>10</v>
      </c>
      <c r="AL97" s="44">
        <v>10</v>
      </c>
      <c r="AM97" s="44">
        <v>10</v>
      </c>
      <c r="AN97" s="44">
        <v>10</v>
      </c>
      <c r="AO97" s="44">
        <v>10</v>
      </c>
      <c r="AP97" s="44">
        <v>10</v>
      </c>
      <c r="AQ97"/>
      <c r="AR97" s="44">
        <v>10</v>
      </c>
      <c r="AS97" s="44">
        <v>10</v>
      </c>
      <c r="AT97" s="44">
        <v>10</v>
      </c>
      <c r="AU97" s="44">
        <v>10</v>
      </c>
      <c r="AV97"/>
      <c r="AW97" s="44">
        <v>10</v>
      </c>
      <c r="AX97"/>
      <c r="AY97"/>
      <c r="AZ97" s="44">
        <v>10</v>
      </c>
    </row>
    <row r="98" spans="1:52" x14ac:dyDescent="0.25">
      <c r="A98" s="23" t="s">
        <v>368</v>
      </c>
      <c r="B98" s="3" t="s">
        <v>473</v>
      </c>
      <c r="C98" s="3" t="s">
        <v>483</v>
      </c>
      <c r="D98" s="3" t="s">
        <v>537</v>
      </c>
      <c r="E98" s="24" t="s">
        <v>371</v>
      </c>
      <c r="F98" s="24" t="s">
        <v>182</v>
      </c>
      <c r="G98" s="44">
        <v>8</v>
      </c>
      <c r="H98" s="44">
        <f t="shared" si="2"/>
        <v>8</v>
      </c>
      <c r="I98" s="44">
        <v>8</v>
      </c>
      <c r="J98" s="44">
        <v>8</v>
      </c>
      <c r="K98" s="44">
        <v>8</v>
      </c>
      <c r="L98" s="44">
        <v>8</v>
      </c>
      <c r="M98" s="44">
        <v>8</v>
      </c>
      <c r="N98" s="44">
        <v>8</v>
      </c>
      <c r="O98" s="44">
        <v>8</v>
      </c>
      <c r="P98" s="44">
        <v>8</v>
      </c>
      <c r="R98" s="44">
        <v>8</v>
      </c>
      <c r="S98" s="44">
        <v>8</v>
      </c>
      <c r="T98" s="44">
        <v>8</v>
      </c>
      <c r="U98" s="44">
        <v>8</v>
      </c>
      <c r="X98" s="44">
        <v>8</v>
      </c>
      <c r="Y98" s="44">
        <v>8</v>
      </c>
      <c r="Z98" s="44">
        <v>8</v>
      </c>
      <c r="AA98" s="44">
        <v>8</v>
      </c>
      <c r="AB98" s="44">
        <v>8</v>
      </c>
      <c r="AC98" s="44">
        <v>8</v>
      </c>
      <c r="AD98" s="44">
        <v>8</v>
      </c>
      <c r="AE98" s="44">
        <v>8</v>
      </c>
      <c r="AF98" s="44">
        <v>8</v>
      </c>
      <c r="AG98" s="44">
        <v>8</v>
      </c>
      <c r="AH98" s="44">
        <v>8</v>
      </c>
      <c r="AI98"/>
      <c r="AJ98" s="44">
        <v>8</v>
      </c>
      <c r="AK98" s="44">
        <v>8</v>
      </c>
      <c r="AL98" s="44">
        <v>8</v>
      </c>
      <c r="AM98" s="44">
        <v>8</v>
      </c>
      <c r="AN98" s="44">
        <v>8</v>
      </c>
      <c r="AO98" s="44">
        <v>8</v>
      </c>
      <c r="AP98" s="44">
        <v>8</v>
      </c>
      <c r="AQ98"/>
      <c r="AR98" s="44">
        <v>8</v>
      </c>
      <c r="AS98" s="44">
        <v>8</v>
      </c>
      <c r="AT98" s="44">
        <v>8</v>
      </c>
      <c r="AU98" s="44">
        <v>8</v>
      </c>
      <c r="AV98"/>
      <c r="AW98" s="44">
        <v>8</v>
      </c>
      <c r="AX98"/>
      <c r="AY98"/>
      <c r="AZ98" s="44">
        <v>8</v>
      </c>
    </row>
    <row r="99" spans="1:52" x14ac:dyDescent="0.25">
      <c r="A99" s="23" t="s">
        <v>383</v>
      </c>
      <c r="B99" s="3" t="s">
        <v>473</v>
      </c>
      <c r="C99" s="3" t="s">
        <v>483</v>
      </c>
      <c r="D99" s="3" t="s">
        <v>537</v>
      </c>
      <c r="E99" s="24" t="s">
        <v>384</v>
      </c>
      <c r="F99" s="24" t="s">
        <v>102</v>
      </c>
      <c r="G99" s="44">
        <v>1</v>
      </c>
      <c r="H99" s="44">
        <f t="shared" si="2"/>
        <v>1</v>
      </c>
      <c r="I99" s="44">
        <v>1</v>
      </c>
      <c r="J99" s="44">
        <v>1</v>
      </c>
      <c r="K99" s="44">
        <v>1</v>
      </c>
      <c r="L99" s="44">
        <v>1</v>
      </c>
      <c r="M99" s="44">
        <v>1</v>
      </c>
      <c r="N99" s="44">
        <v>1</v>
      </c>
      <c r="O99" s="44">
        <v>1</v>
      </c>
      <c r="P99" s="44">
        <v>1</v>
      </c>
      <c r="R99" s="44">
        <v>1</v>
      </c>
      <c r="S99" s="44">
        <v>1</v>
      </c>
      <c r="T99" s="44">
        <v>1</v>
      </c>
      <c r="U99" s="44">
        <v>1</v>
      </c>
      <c r="X99" s="44">
        <v>1</v>
      </c>
      <c r="Y99" s="44">
        <v>1</v>
      </c>
      <c r="Z99" s="44">
        <v>1</v>
      </c>
      <c r="AA99" s="44">
        <v>1</v>
      </c>
      <c r="AB99" s="44">
        <v>1</v>
      </c>
      <c r="AC99" s="44">
        <v>1</v>
      </c>
      <c r="AD99" s="44">
        <v>1</v>
      </c>
      <c r="AE99" s="44">
        <v>1</v>
      </c>
      <c r="AF99" s="44">
        <v>1</v>
      </c>
      <c r="AG99" s="44">
        <v>1</v>
      </c>
      <c r="AH99" s="44">
        <v>1</v>
      </c>
      <c r="AI99"/>
      <c r="AJ99" s="44">
        <v>1</v>
      </c>
      <c r="AK99" s="44">
        <v>1</v>
      </c>
      <c r="AL99" s="44">
        <v>1</v>
      </c>
      <c r="AM99" s="44">
        <v>1</v>
      </c>
      <c r="AN99" s="44">
        <v>1</v>
      </c>
      <c r="AO99" s="44">
        <v>1</v>
      </c>
      <c r="AP99" s="44">
        <v>1</v>
      </c>
      <c r="AQ99"/>
      <c r="AR99" s="44">
        <v>1</v>
      </c>
      <c r="AS99" s="44">
        <v>1</v>
      </c>
      <c r="AT99" s="44">
        <v>1</v>
      </c>
      <c r="AU99" s="44">
        <v>1</v>
      </c>
      <c r="AV99"/>
      <c r="AW99" s="44">
        <v>1</v>
      </c>
      <c r="AX99"/>
      <c r="AY99"/>
      <c r="AZ99" s="44">
        <v>1</v>
      </c>
    </row>
    <row r="100" spans="1:52" x14ac:dyDescent="0.25">
      <c r="A100" s="23" t="s">
        <v>385</v>
      </c>
      <c r="B100" s="3" t="s">
        <v>473</v>
      </c>
      <c r="C100" s="3" t="s">
        <v>483</v>
      </c>
      <c r="D100" s="3" t="s">
        <v>537</v>
      </c>
      <c r="E100" s="24" t="s">
        <v>386</v>
      </c>
      <c r="F100" s="24" t="s">
        <v>399</v>
      </c>
      <c r="G100" s="44">
        <v>0.5</v>
      </c>
      <c r="H100" s="44">
        <f t="shared" si="2"/>
        <v>0.5</v>
      </c>
      <c r="I100" s="44">
        <v>0.5</v>
      </c>
      <c r="J100" s="44">
        <v>0.5</v>
      </c>
      <c r="K100" s="44">
        <v>0.5</v>
      </c>
      <c r="L100" s="44">
        <v>0.5</v>
      </c>
      <c r="M100" s="44">
        <v>0.5</v>
      </c>
      <c r="N100" s="44">
        <v>0.5</v>
      </c>
      <c r="O100" s="44">
        <v>0.5</v>
      </c>
      <c r="P100" s="44">
        <v>0.5</v>
      </c>
      <c r="R100" s="44">
        <v>0.5</v>
      </c>
      <c r="S100" s="44">
        <v>0.5</v>
      </c>
      <c r="T100" s="44">
        <v>0.5</v>
      </c>
      <c r="U100" s="44">
        <v>0.5</v>
      </c>
      <c r="X100" s="44">
        <v>0.5</v>
      </c>
      <c r="Y100" s="44">
        <v>0.5</v>
      </c>
      <c r="Z100" s="44">
        <v>0.5</v>
      </c>
      <c r="AA100" s="44">
        <v>0.5</v>
      </c>
      <c r="AB100" s="44">
        <v>0.5</v>
      </c>
      <c r="AC100" s="44">
        <v>0.5</v>
      </c>
      <c r="AD100" s="44">
        <v>0.5</v>
      </c>
      <c r="AE100" s="44">
        <v>0.5</v>
      </c>
      <c r="AF100" s="44">
        <v>0.5</v>
      </c>
      <c r="AG100" s="44">
        <v>0.5</v>
      </c>
      <c r="AH100" s="44">
        <v>0.5</v>
      </c>
      <c r="AI100"/>
      <c r="AJ100" s="44">
        <v>0.5</v>
      </c>
      <c r="AK100" s="44">
        <v>0.5</v>
      </c>
      <c r="AL100" s="44">
        <v>0.5</v>
      </c>
      <c r="AM100" s="44">
        <v>0.5</v>
      </c>
      <c r="AN100" s="44">
        <v>0.5</v>
      </c>
      <c r="AO100" s="44">
        <v>0.5</v>
      </c>
      <c r="AP100" s="44">
        <v>0.5</v>
      </c>
      <c r="AQ100"/>
      <c r="AR100" s="44">
        <v>0.5</v>
      </c>
      <c r="AS100" s="44">
        <v>0.5</v>
      </c>
      <c r="AT100" s="44">
        <v>0.5</v>
      </c>
      <c r="AU100" s="44">
        <v>0.5</v>
      </c>
      <c r="AV100"/>
      <c r="AW100" s="44">
        <v>0.5</v>
      </c>
      <c r="AX100"/>
      <c r="AY100"/>
      <c r="AZ100" s="44">
        <v>0.5</v>
      </c>
    </row>
    <row r="101" spans="1:52" x14ac:dyDescent="0.25">
      <c r="A101" s="23" t="s">
        <v>526</v>
      </c>
      <c r="B101" s="3" t="s">
        <v>473</v>
      </c>
      <c r="C101" s="3" t="s">
        <v>483</v>
      </c>
      <c r="D101" s="3" t="s">
        <v>537</v>
      </c>
      <c r="E101" s="24" t="s">
        <v>527</v>
      </c>
      <c r="F101" s="24" t="s">
        <v>487</v>
      </c>
      <c r="G101" s="44">
        <f t="shared" ref="G101:H101" si="3">G99</f>
        <v>1</v>
      </c>
      <c r="H101" s="44">
        <f t="shared" si="3"/>
        <v>1</v>
      </c>
      <c r="I101" s="44">
        <f t="shared" ref="I101:AZ101" si="4">10/0.1</f>
        <v>100</v>
      </c>
      <c r="J101" s="44">
        <f t="shared" si="4"/>
        <v>100</v>
      </c>
      <c r="K101" s="44">
        <f t="shared" si="4"/>
        <v>100</v>
      </c>
      <c r="L101" s="44">
        <f t="shared" si="4"/>
        <v>100</v>
      </c>
      <c r="M101" s="44">
        <f t="shared" si="4"/>
        <v>100</v>
      </c>
      <c r="N101" s="44">
        <f t="shared" si="4"/>
        <v>100</v>
      </c>
      <c r="O101" s="44">
        <f t="shared" si="4"/>
        <v>100</v>
      </c>
      <c r="P101" s="44">
        <f t="shared" si="4"/>
        <v>100</v>
      </c>
      <c r="R101" s="44">
        <f t="shared" si="4"/>
        <v>100</v>
      </c>
      <c r="S101" s="44">
        <f t="shared" si="4"/>
        <v>100</v>
      </c>
      <c r="T101" s="44">
        <f t="shared" si="4"/>
        <v>100</v>
      </c>
      <c r="U101" s="44">
        <f t="shared" si="4"/>
        <v>100</v>
      </c>
      <c r="X101" s="44">
        <f t="shared" si="4"/>
        <v>100</v>
      </c>
      <c r="Y101" s="44">
        <f t="shared" si="4"/>
        <v>100</v>
      </c>
      <c r="Z101" s="44">
        <f t="shared" si="4"/>
        <v>100</v>
      </c>
      <c r="AA101" s="44">
        <f t="shared" si="4"/>
        <v>100</v>
      </c>
      <c r="AB101" s="44">
        <f t="shared" si="4"/>
        <v>100</v>
      </c>
      <c r="AC101" s="44">
        <f t="shared" si="4"/>
        <v>100</v>
      </c>
      <c r="AD101" s="44">
        <f t="shared" si="4"/>
        <v>100</v>
      </c>
      <c r="AE101" s="44">
        <f t="shared" si="4"/>
        <v>100</v>
      </c>
      <c r="AF101" s="44">
        <f t="shared" si="4"/>
        <v>100</v>
      </c>
      <c r="AG101" s="44">
        <f t="shared" si="4"/>
        <v>100</v>
      </c>
      <c r="AH101" s="44">
        <f t="shared" si="4"/>
        <v>100</v>
      </c>
      <c r="AI101"/>
      <c r="AJ101" s="44">
        <f t="shared" si="4"/>
        <v>100</v>
      </c>
      <c r="AK101" s="44">
        <f t="shared" si="4"/>
        <v>100</v>
      </c>
      <c r="AL101" s="44">
        <f t="shared" si="4"/>
        <v>100</v>
      </c>
      <c r="AM101" s="44">
        <f t="shared" si="4"/>
        <v>100</v>
      </c>
      <c r="AN101" s="44">
        <f t="shared" si="4"/>
        <v>100</v>
      </c>
      <c r="AO101" s="44">
        <f t="shared" si="4"/>
        <v>100</v>
      </c>
      <c r="AP101" s="44">
        <f t="shared" si="4"/>
        <v>100</v>
      </c>
      <c r="AQ101"/>
      <c r="AR101" s="44">
        <f t="shared" si="4"/>
        <v>100</v>
      </c>
      <c r="AS101" s="44">
        <f t="shared" si="4"/>
        <v>100</v>
      </c>
      <c r="AT101" s="44">
        <f t="shared" si="4"/>
        <v>100</v>
      </c>
      <c r="AU101" s="44">
        <f t="shared" si="4"/>
        <v>100</v>
      </c>
      <c r="AV101"/>
      <c r="AW101" s="44">
        <f t="shared" si="4"/>
        <v>100</v>
      </c>
      <c r="AX101"/>
      <c r="AY101"/>
      <c r="AZ101" s="44">
        <f t="shared" si="4"/>
        <v>100</v>
      </c>
    </row>
    <row r="102" spans="1:52" x14ac:dyDescent="0.25">
      <c r="A102" s="23" t="s">
        <v>528</v>
      </c>
      <c r="B102" s="3" t="s">
        <v>473</v>
      </c>
      <c r="C102" s="3" t="s">
        <v>483</v>
      </c>
      <c r="D102" s="3" t="s">
        <v>537</v>
      </c>
      <c r="E102" s="24" t="s">
        <v>527</v>
      </c>
      <c r="F102" s="24" t="s">
        <v>487</v>
      </c>
      <c r="G102" s="44">
        <f>3*G99</f>
        <v>3</v>
      </c>
      <c r="H102" s="44">
        <f t="shared" ref="H102" si="5">150*H99</f>
        <v>150</v>
      </c>
      <c r="I102" s="44">
        <f t="shared" ref="I102:AZ102" si="6">150/0.1</f>
        <v>1500</v>
      </c>
      <c r="J102" s="44">
        <f t="shared" si="6"/>
        <v>1500</v>
      </c>
      <c r="K102" s="44">
        <f t="shared" si="6"/>
        <v>1500</v>
      </c>
      <c r="L102" s="44">
        <f t="shared" si="6"/>
        <v>1500</v>
      </c>
      <c r="M102" s="44">
        <f t="shared" si="6"/>
        <v>1500</v>
      </c>
      <c r="N102" s="44">
        <f t="shared" si="6"/>
        <v>1500</v>
      </c>
      <c r="O102" s="44">
        <f t="shared" si="6"/>
        <v>1500</v>
      </c>
      <c r="P102" s="44">
        <f t="shared" si="6"/>
        <v>1500</v>
      </c>
      <c r="R102" s="44">
        <f t="shared" si="6"/>
        <v>1500</v>
      </c>
      <c r="S102" s="44">
        <f t="shared" si="6"/>
        <v>1500</v>
      </c>
      <c r="T102" s="44">
        <f t="shared" si="6"/>
        <v>1500</v>
      </c>
      <c r="U102" s="44">
        <f t="shared" si="6"/>
        <v>1500</v>
      </c>
      <c r="X102" s="44">
        <f t="shared" si="6"/>
        <v>1500</v>
      </c>
      <c r="Y102" s="44">
        <f t="shared" si="6"/>
        <v>1500</v>
      </c>
      <c r="Z102" s="44">
        <f t="shared" si="6"/>
        <v>1500</v>
      </c>
      <c r="AA102" s="44">
        <f t="shared" si="6"/>
        <v>1500</v>
      </c>
      <c r="AB102" s="44">
        <f t="shared" si="6"/>
        <v>1500</v>
      </c>
      <c r="AC102" s="44">
        <f t="shared" si="6"/>
        <v>1500</v>
      </c>
      <c r="AD102" s="44">
        <f t="shared" si="6"/>
        <v>1500</v>
      </c>
      <c r="AE102" s="44">
        <f t="shared" si="6"/>
        <v>1500</v>
      </c>
      <c r="AF102" s="44">
        <f t="shared" si="6"/>
        <v>1500</v>
      </c>
      <c r="AG102" s="44">
        <f t="shared" si="6"/>
        <v>1500</v>
      </c>
      <c r="AH102" s="44">
        <f t="shared" si="6"/>
        <v>1500</v>
      </c>
      <c r="AI102"/>
      <c r="AJ102" s="44">
        <f t="shared" si="6"/>
        <v>1500</v>
      </c>
      <c r="AK102" s="44">
        <f t="shared" si="6"/>
        <v>1500</v>
      </c>
      <c r="AL102" s="44">
        <f t="shared" si="6"/>
        <v>1500</v>
      </c>
      <c r="AM102" s="44">
        <f t="shared" si="6"/>
        <v>1500</v>
      </c>
      <c r="AN102" s="44">
        <f t="shared" si="6"/>
        <v>1500</v>
      </c>
      <c r="AO102" s="44">
        <f t="shared" si="6"/>
        <v>1500</v>
      </c>
      <c r="AP102" s="44">
        <f t="shared" si="6"/>
        <v>1500</v>
      </c>
      <c r="AQ102"/>
      <c r="AR102" s="44">
        <f t="shared" si="6"/>
        <v>1500</v>
      </c>
      <c r="AS102" s="44">
        <f t="shared" si="6"/>
        <v>1500</v>
      </c>
      <c r="AT102" s="44">
        <f t="shared" si="6"/>
        <v>1500</v>
      </c>
      <c r="AU102" s="44">
        <f t="shared" si="6"/>
        <v>1500</v>
      </c>
      <c r="AV102"/>
      <c r="AW102" s="44">
        <f t="shared" si="6"/>
        <v>1500</v>
      </c>
      <c r="AX102"/>
      <c r="AY102"/>
      <c r="AZ102" s="44">
        <f t="shared" si="6"/>
        <v>1500</v>
      </c>
    </row>
    <row r="103" spans="1:52" x14ac:dyDescent="0.25">
      <c r="A103" s="23" t="s">
        <v>529</v>
      </c>
      <c r="B103" s="3" t="s">
        <v>473</v>
      </c>
      <c r="C103" s="3" t="s">
        <v>483</v>
      </c>
      <c r="D103" s="3" t="s">
        <v>537</v>
      </c>
      <c r="E103" s="24" t="s">
        <v>527</v>
      </c>
      <c r="F103" s="24" t="s">
        <v>487</v>
      </c>
      <c r="G103" s="44">
        <f t="shared" ref="G103:H103" si="7">G94</f>
        <v>21</v>
      </c>
      <c r="H103" s="44">
        <f t="shared" si="7"/>
        <v>21</v>
      </c>
      <c r="I103" s="44">
        <f t="shared" ref="I103:AZ103" si="8">20/0.1</f>
        <v>200</v>
      </c>
      <c r="J103" s="44">
        <f t="shared" si="8"/>
        <v>200</v>
      </c>
      <c r="K103" s="44">
        <f t="shared" si="8"/>
        <v>200</v>
      </c>
      <c r="L103" s="44">
        <f t="shared" si="8"/>
        <v>200</v>
      </c>
      <c r="M103" s="44">
        <f t="shared" si="8"/>
        <v>200</v>
      </c>
      <c r="N103" s="44">
        <f t="shared" si="8"/>
        <v>200</v>
      </c>
      <c r="O103" s="44">
        <f t="shared" si="8"/>
        <v>200</v>
      </c>
      <c r="P103" s="44">
        <f t="shared" si="8"/>
        <v>200</v>
      </c>
      <c r="R103" s="44">
        <f t="shared" si="8"/>
        <v>200</v>
      </c>
      <c r="S103" s="44">
        <f t="shared" si="8"/>
        <v>200</v>
      </c>
      <c r="T103" s="44">
        <f t="shared" si="8"/>
        <v>200</v>
      </c>
      <c r="U103" s="44">
        <f t="shared" si="8"/>
        <v>200</v>
      </c>
      <c r="X103" s="44">
        <f t="shared" si="8"/>
        <v>200</v>
      </c>
      <c r="Y103" s="44">
        <f t="shared" si="8"/>
        <v>200</v>
      </c>
      <c r="Z103" s="44">
        <f t="shared" si="8"/>
        <v>200</v>
      </c>
      <c r="AA103" s="44">
        <f t="shared" si="8"/>
        <v>200</v>
      </c>
      <c r="AB103" s="44">
        <f t="shared" si="8"/>
        <v>200</v>
      </c>
      <c r="AC103" s="44">
        <f t="shared" si="8"/>
        <v>200</v>
      </c>
      <c r="AD103" s="44">
        <f t="shared" si="8"/>
        <v>200</v>
      </c>
      <c r="AE103" s="44">
        <f t="shared" si="8"/>
        <v>200</v>
      </c>
      <c r="AF103" s="44">
        <f t="shared" si="8"/>
        <v>200</v>
      </c>
      <c r="AG103" s="44">
        <f t="shared" si="8"/>
        <v>200</v>
      </c>
      <c r="AH103" s="44">
        <f t="shared" si="8"/>
        <v>200</v>
      </c>
      <c r="AI103"/>
      <c r="AJ103" s="44">
        <f t="shared" si="8"/>
        <v>200</v>
      </c>
      <c r="AK103" s="44">
        <f t="shared" si="8"/>
        <v>200</v>
      </c>
      <c r="AL103" s="44">
        <f t="shared" si="8"/>
        <v>200</v>
      </c>
      <c r="AM103" s="44">
        <f t="shared" si="8"/>
        <v>200</v>
      </c>
      <c r="AN103" s="44">
        <f t="shared" si="8"/>
        <v>200</v>
      </c>
      <c r="AO103" s="44">
        <f t="shared" si="8"/>
        <v>200</v>
      </c>
      <c r="AP103" s="44">
        <f t="shared" si="8"/>
        <v>200</v>
      </c>
      <c r="AQ103"/>
      <c r="AR103" s="44">
        <f t="shared" si="8"/>
        <v>200</v>
      </c>
      <c r="AS103" s="44">
        <f t="shared" si="8"/>
        <v>200</v>
      </c>
      <c r="AT103" s="44">
        <f t="shared" si="8"/>
        <v>200</v>
      </c>
      <c r="AU103" s="44">
        <f t="shared" si="8"/>
        <v>200</v>
      </c>
      <c r="AV103"/>
      <c r="AW103" s="44">
        <f t="shared" si="8"/>
        <v>200</v>
      </c>
      <c r="AX103"/>
      <c r="AY103"/>
      <c r="AZ103" s="44">
        <f t="shared" si="8"/>
        <v>200</v>
      </c>
    </row>
    <row r="104" spans="1:52" x14ac:dyDescent="0.25">
      <c r="A104" s="23" t="s">
        <v>530</v>
      </c>
      <c r="B104" s="3" t="s">
        <v>473</v>
      </c>
      <c r="C104" s="3" t="s">
        <v>483</v>
      </c>
      <c r="D104" s="3" t="s">
        <v>537</v>
      </c>
      <c r="E104" s="24" t="s">
        <v>527</v>
      </c>
      <c r="F104" s="24" t="s">
        <v>487</v>
      </c>
      <c r="G104" s="44">
        <f>10*G94</f>
        <v>210</v>
      </c>
      <c r="H104" s="44">
        <f t="shared" ref="H104" si="9">70*H94</f>
        <v>1470</v>
      </c>
      <c r="I104" s="44">
        <f t="shared" ref="I104:AZ104" si="10">400/0.1</f>
        <v>4000</v>
      </c>
      <c r="J104" s="44">
        <f t="shared" si="10"/>
        <v>4000</v>
      </c>
      <c r="K104" s="44">
        <f t="shared" si="10"/>
        <v>4000</v>
      </c>
      <c r="L104" s="44">
        <f t="shared" si="10"/>
        <v>4000</v>
      </c>
      <c r="M104" s="44">
        <f t="shared" si="10"/>
        <v>4000</v>
      </c>
      <c r="N104" s="44">
        <f t="shared" si="10"/>
        <v>4000</v>
      </c>
      <c r="O104" s="44">
        <f t="shared" si="10"/>
        <v>4000</v>
      </c>
      <c r="P104" s="44">
        <f t="shared" si="10"/>
        <v>4000</v>
      </c>
      <c r="R104" s="44">
        <f t="shared" si="10"/>
        <v>4000</v>
      </c>
      <c r="S104" s="44">
        <f t="shared" si="10"/>
        <v>4000</v>
      </c>
      <c r="T104" s="44">
        <f t="shared" si="10"/>
        <v>4000</v>
      </c>
      <c r="U104" s="44">
        <f t="shared" si="10"/>
        <v>4000</v>
      </c>
      <c r="X104" s="44">
        <f t="shared" si="10"/>
        <v>4000</v>
      </c>
      <c r="Y104" s="44">
        <f t="shared" si="10"/>
        <v>4000</v>
      </c>
      <c r="Z104" s="44">
        <f t="shared" si="10"/>
        <v>4000</v>
      </c>
      <c r="AA104" s="44">
        <f t="shared" si="10"/>
        <v>4000</v>
      </c>
      <c r="AB104" s="44">
        <f t="shared" si="10"/>
        <v>4000</v>
      </c>
      <c r="AC104" s="44">
        <f t="shared" si="10"/>
        <v>4000</v>
      </c>
      <c r="AD104" s="44">
        <f t="shared" si="10"/>
        <v>4000</v>
      </c>
      <c r="AE104" s="44">
        <f t="shared" si="10"/>
        <v>4000</v>
      </c>
      <c r="AF104" s="44">
        <f t="shared" si="10"/>
        <v>4000</v>
      </c>
      <c r="AG104" s="44">
        <f t="shared" si="10"/>
        <v>4000</v>
      </c>
      <c r="AH104" s="44">
        <f t="shared" si="10"/>
        <v>4000</v>
      </c>
      <c r="AI104"/>
      <c r="AJ104" s="44">
        <f t="shared" si="10"/>
        <v>4000</v>
      </c>
      <c r="AK104" s="44">
        <f t="shared" si="10"/>
        <v>4000</v>
      </c>
      <c r="AL104" s="44">
        <f t="shared" si="10"/>
        <v>4000</v>
      </c>
      <c r="AM104" s="44">
        <f t="shared" si="10"/>
        <v>4000</v>
      </c>
      <c r="AN104" s="44">
        <f t="shared" si="10"/>
        <v>4000</v>
      </c>
      <c r="AO104" s="44">
        <f t="shared" si="10"/>
        <v>4000</v>
      </c>
      <c r="AP104" s="44">
        <f t="shared" si="10"/>
        <v>4000</v>
      </c>
      <c r="AQ104"/>
      <c r="AR104" s="44">
        <f t="shared" si="10"/>
        <v>4000</v>
      </c>
      <c r="AS104" s="44">
        <f t="shared" si="10"/>
        <v>4000</v>
      </c>
      <c r="AT104" s="44">
        <f t="shared" si="10"/>
        <v>4000</v>
      </c>
      <c r="AU104" s="44">
        <f t="shared" si="10"/>
        <v>4000</v>
      </c>
      <c r="AV104"/>
      <c r="AW104" s="44">
        <f t="shared" si="10"/>
        <v>4000</v>
      </c>
      <c r="AX104"/>
      <c r="AY104"/>
      <c r="AZ104" s="44">
        <f t="shared" si="10"/>
        <v>4000</v>
      </c>
    </row>
    <row r="105" spans="1:52" x14ac:dyDescent="0.25">
      <c r="A105" s="23" t="s">
        <v>387</v>
      </c>
      <c r="B105" s="3" t="s">
        <v>473</v>
      </c>
      <c r="C105" s="3" t="s">
        <v>483</v>
      </c>
      <c r="D105" s="3" t="s">
        <v>537</v>
      </c>
      <c r="E105" s="24" t="s">
        <v>388</v>
      </c>
      <c r="F105" s="24" t="s">
        <v>106</v>
      </c>
      <c r="G105" s="44">
        <v>0</v>
      </c>
      <c r="H105" s="44">
        <f>H99</f>
        <v>1</v>
      </c>
      <c r="I105" s="44">
        <f t="shared" ref="I105:AZ105" si="11">10/0.1</f>
        <v>100</v>
      </c>
      <c r="J105" s="44">
        <f t="shared" si="11"/>
        <v>100</v>
      </c>
      <c r="K105" s="44">
        <f t="shared" si="11"/>
        <v>100</v>
      </c>
      <c r="L105" s="44">
        <f t="shared" si="11"/>
        <v>100</v>
      </c>
      <c r="M105" s="44">
        <f t="shared" si="11"/>
        <v>100</v>
      </c>
      <c r="N105" s="44">
        <f t="shared" si="11"/>
        <v>100</v>
      </c>
      <c r="O105" s="44">
        <f t="shared" si="11"/>
        <v>100</v>
      </c>
      <c r="P105" s="44">
        <f t="shared" si="11"/>
        <v>100</v>
      </c>
      <c r="R105" s="44">
        <f t="shared" si="11"/>
        <v>100</v>
      </c>
      <c r="S105" s="44">
        <f t="shared" si="11"/>
        <v>100</v>
      </c>
      <c r="T105" s="44">
        <f t="shared" si="11"/>
        <v>100</v>
      </c>
      <c r="U105" s="44">
        <f t="shared" si="11"/>
        <v>100</v>
      </c>
      <c r="X105" s="44">
        <f t="shared" si="11"/>
        <v>100</v>
      </c>
      <c r="Y105" s="44">
        <f t="shared" si="11"/>
        <v>100</v>
      </c>
      <c r="Z105" s="44">
        <f t="shared" si="11"/>
        <v>100</v>
      </c>
      <c r="AA105" s="44">
        <f t="shared" si="11"/>
        <v>100</v>
      </c>
      <c r="AB105" s="44">
        <f t="shared" si="11"/>
        <v>100</v>
      </c>
      <c r="AC105" s="44">
        <f t="shared" si="11"/>
        <v>100</v>
      </c>
      <c r="AD105" s="44">
        <f t="shared" si="11"/>
        <v>100</v>
      </c>
      <c r="AE105" s="44">
        <f t="shared" si="11"/>
        <v>100</v>
      </c>
      <c r="AF105" s="44">
        <f t="shared" si="11"/>
        <v>100</v>
      </c>
      <c r="AG105" s="44">
        <f t="shared" si="11"/>
        <v>100</v>
      </c>
      <c r="AH105" s="44">
        <f t="shared" si="11"/>
        <v>100</v>
      </c>
      <c r="AI105"/>
      <c r="AJ105" s="44">
        <f t="shared" si="11"/>
        <v>100</v>
      </c>
      <c r="AK105" s="44">
        <f t="shared" si="11"/>
        <v>100</v>
      </c>
      <c r="AL105" s="44">
        <f t="shared" si="11"/>
        <v>100</v>
      </c>
      <c r="AM105" s="44">
        <f t="shared" si="11"/>
        <v>100</v>
      </c>
      <c r="AN105" s="44">
        <f t="shared" si="11"/>
        <v>100</v>
      </c>
      <c r="AO105" s="44">
        <f t="shared" si="11"/>
        <v>100</v>
      </c>
      <c r="AP105" s="44">
        <f t="shared" si="11"/>
        <v>100</v>
      </c>
      <c r="AQ105"/>
      <c r="AR105" s="44">
        <f t="shared" si="11"/>
        <v>100</v>
      </c>
      <c r="AS105" s="44">
        <f t="shared" si="11"/>
        <v>100</v>
      </c>
      <c r="AT105" s="44">
        <f t="shared" si="11"/>
        <v>100</v>
      </c>
      <c r="AU105" s="44">
        <f t="shared" si="11"/>
        <v>100</v>
      </c>
      <c r="AV105"/>
      <c r="AW105" s="44">
        <f t="shared" si="11"/>
        <v>100</v>
      </c>
      <c r="AX105"/>
      <c r="AY105"/>
      <c r="AZ105" s="44">
        <f t="shared" si="11"/>
        <v>100</v>
      </c>
    </row>
    <row r="106" spans="1:52" x14ac:dyDescent="0.25">
      <c r="A106" s="23" t="s">
        <v>389</v>
      </c>
      <c r="B106" s="3" t="s">
        <v>473</v>
      </c>
      <c r="C106" s="3" t="s">
        <v>483</v>
      </c>
      <c r="D106" s="3" t="s">
        <v>537</v>
      </c>
      <c r="E106" s="24" t="s">
        <v>390</v>
      </c>
      <c r="F106" s="24" t="s">
        <v>106</v>
      </c>
      <c r="G106" s="44">
        <v>1589759.9999999998</v>
      </c>
      <c r="H106" s="44">
        <f>150*H99</f>
        <v>150</v>
      </c>
      <c r="I106" s="44">
        <f t="shared" ref="I106:AZ106" si="12">150/0.1</f>
        <v>1500</v>
      </c>
      <c r="J106" s="44">
        <f t="shared" si="12"/>
        <v>1500</v>
      </c>
      <c r="K106" s="44">
        <f t="shared" si="12"/>
        <v>1500</v>
      </c>
      <c r="L106" s="44">
        <f t="shared" si="12"/>
        <v>1500</v>
      </c>
      <c r="M106" s="44">
        <f t="shared" si="12"/>
        <v>1500</v>
      </c>
      <c r="N106" s="44">
        <f t="shared" si="12"/>
        <v>1500</v>
      </c>
      <c r="O106" s="44">
        <f t="shared" si="12"/>
        <v>1500</v>
      </c>
      <c r="P106" s="44">
        <f t="shared" si="12"/>
        <v>1500</v>
      </c>
      <c r="R106" s="44">
        <f t="shared" si="12"/>
        <v>1500</v>
      </c>
      <c r="S106" s="44">
        <f t="shared" si="12"/>
        <v>1500</v>
      </c>
      <c r="T106" s="44">
        <f t="shared" si="12"/>
        <v>1500</v>
      </c>
      <c r="U106" s="44">
        <f t="shared" si="12"/>
        <v>1500</v>
      </c>
      <c r="X106" s="44">
        <f t="shared" si="12"/>
        <v>1500</v>
      </c>
      <c r="Y106" s="44">
        <f t="shared" si="12"/>
        <v>1500</v>
      </c>
      <c r="Z106" s="44">
        <f t="shared" si="12"/>
        <v>1500</v>
      </c>
      <c r="AA106" s="44">
        <f t="shared" si="12"/>
        <v>1500</v>
      </c>
      <c r="AB106" s="44">
        <f t="shared" si="12"/>
        <v>1500</v>
      </c>
      <c r="AC106" s="44">
        <f t="shared" si="12"/>
        <v>1500</v>
      </c>
      <c r="AD106" s="44">
        <f t="shared" si="12"/>
        <v>1500</v>
      </c>
      <c r="AE106" s="44">
        <f t="shared" si="12"/>
        <v>1500</v>
      </c>
      <c r="AF106" s="44">
        <f t="shared" si="12"/>
        <v>1500</v>
      </c>
      <c r="AG106" s="44">
        <f t="shared" si="12"/>
        <v>1500</v>
      </c>
      <c r="AH106" s="44">
        <f t="shared" si="12"/>
        <v>1500</v>
      </c>
      <c r="AI106"/>
      <c r="AJ106" s="44">
        <f t="shared" si="12"/>
        <v>1500</v>
      </c>
      <c r="AK106" s="44">
        <f t="shared" si="12"/>
        <v>1500</v>
      </c>
      <c r="AL106" s="44">
        <f t="shared" si="12"/>
        <v>1500</v>
      </c>
      <c r="AM106" s="44">
        <f t="shared" si="12"/>
        <v>1500</v>
      </c>
      <c r="AN106" s="44">
        <f t="shared" si="12"/>
        <v>1500</v>
      </c>
      <c r="AO106" s="44">
        <f t="shared" si="12"/>
        <v>1500</v>
      </c>
      <c r="AP106" s="44">
        <f t="shared" si="12"/>
        <v>1500</v>
      </c>
      <c r="AQ106"/>
      <c r="AR106" s="44">
        <f t="shared" si="12"/>
        <v>1500</v>
      </c>
      <c r="AS106" s="44">
        <f t="shared" si="12"/>
        <v>1500</v>
      </c>
      <c r="AT106" s="44">
        <f t="shared" si="12"/>
        <v>1500</v>
      </c>
      <c r="AU106" s="44">
        <f t="shared" si="12"/>
        <v>1500</v>
      </c>
      <c r="AV106"/>
      <c r="AW106" s="44">
        <f t="shared" si="12"/>
        <v>1500</v>
      </c>
      <c r="AX106"/>
      <c r="AY106"/>
      <c r="AZ106" s="44">
        <f t="shared" si="12"/>
        <v>1500</v>
      </c>
    </row>
    <row r="107" spans="1:52" x14ac:dyDescent="0.25">
      <c r="A107" s="23" t="s">
        <v>391</v>
      </c>
      <c r="B107" s="3" t="s">
        <v>473</v>
      </c>
      <c r="C107" s="3" t="s">
        <v>483</v>
      </c>
      <c r="D107" s="3" t="s">
        <v>537</v>
      </c>
      <c r="E107" s="24" t="s">
        <v>392</v>
      </c>
      <c r="F107" s="24" t="s">
        <v>106</v>
      </c>
      <c r="G107" s="44">
        <v>6171428.5714285718</v>
      </c>
      <c r="H107" s="44">
        <f>H94</f>
        <v>21</v>
      </c>
      <c r="I107" s="44">
        <f t="shared" ref="I107:AZ107" si="13">20/0.1</f>
        <v>200</v>
      </c>
      <c r="J107" s="44">
        <f t="shared" si="13"/>
        <v>200</v>
      </c>
      <c r="K107" s="44">
        <f t="shared" si="13"/>
        <v>200</v>
      </c>
      <c r="L107" s="44">
        <f t="shared" si="13"/>
        <v>200</v>
      </c>
      <c r="M107" s="44">
        <f t="shared" si="13"/>
        <v>200</v>
      </c>
      <c r="N107" s="44">
        <f t="shared" si="13"/>
        <v>200</v>
      </c>
      <c r="O107" s="44">
        <f t="shared" si="13"/>
        <v>200</v>
      </c>
      <c r="P107" s="44">
        <f t="shared" si="13"/>
        <v>200</v>
      </c>
      <c r="R107" s="44">
        <f t="shared" si="13"/>
        <v>200</v>
      </c>
      <c r="S107" s="44">
        <f t="shared" si="13"/>
        <v>200</v>
      </c>
      <c r="T107" s="44">
        <f t="shared" si="13"/>
        <v>200</v>
      </c>
      <c r="U107" s="44">
        <f t="shared" si="13"/>
        <v>200</v>
      </c>
      <c r="X107" s="44">
        <f t="shared" si="13"/>
        <v>200</v>
      </c>
      <c r="Y107" s="44">
        <f t="shared" si="13"/>
        <v>200</v>
      </c>
      <c r="Z107" s="44">
        <f t="shared" si="13"/>
        <v>200</v>
      </c>
      <c r="AA107" s="44">
        <f t="shared" si="13"/>
        <v>200</v>
      </c>
      <c r="AB107" s="44">
        <f t="shared" si="13"/>
        <v>200</v>
      </c>
      <c r="AC107" s="44">
        <f t="shared" si="13"/>
        <v>200</v>
      </c>
      <c r="AD107" s="44">
        <f t="shared" si="13"/>
        <v>200</v>
      </c>
      <c r="AE107" s="44">
        <f t="shared" si="13"/>
        <v>200</v>
      </c>
      <c r="AF107" s="44">
        <f t="shared" si="13"/>
        <v>200</v>
      </c>
      <c r="AG107" s="44">
        <f t="shared" si="13"/>
        <v>200</v>
      </c>
      <c r="AH107" s="44">
        <f t="shared" si="13"/>
        <v>200</v>
      </c>
      <c r="AI107"/>
      <c r="AJ107" s="44">
        <f t="shared" si="13"/>
        <v>200</v>
      </c>
      <c r="AK107" s="44">
        <f t="shared" si="13"/>
        <v>200</v>
      </c>
      <c r="AL107" s="44">
        <f t="shared" si="13"/>
        <v>200</v>
      </c>
      <c r="AM107" s="44">
        <f t="shared" si="13"/>
        <v>200</v>
      </c>
      <c r="AN107" s="44">
        <f t="shared" si="13"/>
        <v>200</v>
      </c>
      <c r="AO107" s="44">
        <f t="shared" si="13"/>
        <v>200</v>
      </c>
      <c r="AP107" s="44">
        <f t="shared" si="13"/>
        <v>200</v>
      </c>
      <c r="AQ107"/>
      <c r="AR107" s="44">
        <f t="shared" si="13"/>
        <v>200</v>
      </c>
      <c r="AS107" s="44">
        <f t="shared" si="13"/>
        <v>200</v>
      </c>
      <c r="AT107" s="44">
        <f t="shared" si="13"/>
        <v>200</v>
      </c>
      <c r="AU107" s="44">
        <f t="shared" si="13"/>
        <v>200</v>
      </c>
      <c r="AV107"/>
      <c r="AW107" s="44">
        <f t="shared" si="13"/>
        <v>200</v>
      </c>
      <c r="AX107"/>
      <c r="AY107"/>
      <c r="AZ107" s="44">
        <f t="shared" si="13"/>
        <v>200</v>
      </c>
    </row>
    <row r="108" spans="1:52" x14ac:dyDescent="0.25">
      <c r="A108" s="23" t="s">
        <v>393</v>
      </c>
      <c r="B108" s="3" t="s">
        <v>473</v>
      </c>
      <c r="C108" s="3" t="s">
        <v>483</v>
      </c>
      <c r="D108" s="3" t="s">
        <v>537</v>
      </c>
      <c r="E108" s="24" t="s">
        <v>394</v>
      </c>
      <c r="F108" s="24" t="s">
        <v>106</v>
      </c>
      <c r="G108" s="44">
        <v>6171428.5714285718</v>
      </c>
      <c r="H108" s="44">
        <f>70*H94</f>
        <v>1470</v>
      </c>
      <c r="I108" s="44">
        <f t="shared" ref="I108:AZ108" si="14">400/0.1</f>
        <v>4000</v>
      </c>
      <c r="J108" s="44">
        <f t="shared" si="14"/>
        <v>4000</v>
      </c>
      <c r="K108" s="44">
        <f t="shared" si="14"/>
        <v>4000</v>
      </c>
      <c r="L108" s="44">
        <f t="shared" si="14"/>
        <v>4000</v>
      </c>
      <c r="M108" s="44">
        <f t="shared" si="14"/>
        <v>4000</v>
      </c>
      <c r="N108" s="44">
        <f t="shared" si="14"/>
        <v>4000</v>
      </c>
      <c r="O108" s="44">
        <f t="shared" si="14"/>
        <v>4000</v>
      </c>
      <c r="P108" s="44">
        <f t="shared" si="14"/>
        <v>4000</v>
      </c>
      <c r="R108" s="44">
        <f t="shared" si="14"/>
        <v>4000</v>
      </c>
      <c r="S108" s="44">
        <f t="shared" si="14"/>
        <v>4000</v>
      </c>
      <c r="T108" s="44">
        <f t="shared" si="14"/>
        <v>4000</v>
      </c>
      <c r="U108" s="44">
        <f t="shared" si="14"/>
        <v>4000</v>
      </c>
      <c r="X108" s="44">
        <f t="shared" si="14"/>
        <v>4000</v>
      </c>
      <c r="Y108" s="44">
        <f t="shared" si="14"/>
        <v>4000</v>
      </c>
      <c r="Z108" s="44">
        <f t="shared" si="14"/>
        <v>4000</v>
      </c>
      <c r="AA108" s="44">
        <f t="shared" si="14"/>
        <v>4000</v>
      </c>
      <c r="AB108" s="44">
        <f t="shared" si="14"/>
        <v>4000</v>
      </c>
      <c r="AC108" s="44">
        <f t="shared" si="14"/>
        <v>4000</v>
      </c>
      <c r="AD108" s="44">
        <f t="shared" si="14"/>
        <v>4000</v>
      </c>
      <c r="AE108" s="44">
        <f t="shared" si="14"/>
        <v>4000</v>
      </c>
      <c r="AF108" s="44">
        <f t="shared" si="14"/>
        <v>4000</v>
      </c>
      <c r="AG108" s="44">
        <f t="shared" si="14"/>
        <v>4000</v>
      </c>
      <c r="AH108" s="44">
        <f t="shared" si="14"/>
        <v>4000</v>
      </c>
      <c r="AI108"/>
      <c r="AJ108" s="44">
        <f t="shared" si="14"/>
        <v>4000</v>
      </c>
      <c r="AK108" s="44">
        <f t="shared" si="14"/>
        <v>4000</v>
      </c>
      <c r="AL108" s="44">
        <f t="shared" si="14"/>
        <v>4000</v>
      </c>
      <c r="AM108" s="44">
        <f t="shared" si="14"/>
        <v>4000</v>
      </c>
      <c r="AN108" s="44">
        <f t="shared" si="14"/>
        <v>4000</v>
      </c>
      <c r="AO108" s="44">
        <f t="shared" si="14"/>
        <v>4000</v>
      </c>
      <c r="AP108" s="44">
        <f t="shared" si="14"/>
        <v>4000</v>
      </c>
      <c r="AQ108"/>
      <c r="AR108" s="44">
        <f t="shared" si="14"/>
        <v>4000</v>
      </c>
      <c r="AS108" s="44">
        <f t="shared" si="14"/>
        <v>4000</v>
      </c>
      <c r="AT108" s="44">
        <f t="shared" si="14"/>
        <v>4000</v>
      </c>
      <c r="AU108" s="44">
        <f t="shared" si="14"/>
        <v>4000</v>
      </c>
      <c r="AV108"/>
      <c r="AW108" s="44">
        <f t="shared" si="14"/>
        <v>4000</v>
      </c>
      <c r="AX108"/>
      <c r="AY108"/>
      <c r="AZ108" s="44">
        <f t="shared" si="14"/>
        <v>4000</v>
      </c>
    </row>
    <row r="109" spans="1:52" x14ac:dyDescent="0.25">
      <c r="A109" s="23" t="s">
        <v>421</v>
      </c>
      <c r="B109" s="3" t="s">
        <v>473</v>
      </c>
      <c r="C109" s="3" t="s">
        <v>483</v>
      </c>
      <c r="D109" s="3" t="s">
        <v>537</v>
      </c>
      <c r="E109" s="24" t="s">
        <v>422</v>
      </c>
      <c r="F109" s="24" t="s">
        <v>433</v>
      </c>
      <c r="G109" s="44">
        <v>100</v>
      </c>
      <c r="H109" s="44">
        <f t="shared" si="2"/>
        <v>100</v>
      </c>
      <c r="I109" s="44">
        <v>100</v>
      </c>
      <c r="J109" s="44">
        <v>100</v>
      </c>
      <c r="K109" s="44">
        <v>100</v>
      </c>
      <c r="L109" s="44">
        <v>100</v>
      </c>
      <c r="M109" s="44">
        <v>100</v>
      </c>
      <c r="N109" s="44">
        <v>100</v>
      </c>
      <c r="O109" s="44">
        <v>100</v>
      </c>
      <c r="P109" s="44">
        <v>100</v>
      </c>
      <c r="R109" s="44">
        <v>100</v>
      </c>
      <c r="S109" s="44">
        <v>100</v>
      </c>
      <c r="T109" s="44">
        <v>100</v>
      </c>
      <c r="U109" s="44">
        <v>100</v>
      </c>
      <c r="X109" s="44">
        <v>100</v>
      </c>
      <c r="Y109" s="44">
        <v>100</v>
      </c>
      <c r="Z109" s="44">
        <v>100</v>
      </c>
      <c r="AA109" s="44">
        <v>100</v>
      </c>
      <c r="AB109" s="44">
        <v>100</v>
      </c>
      <c r="AC109" s="44">
        <v>100</v>
      </c>
      <c r="AD109" s="44">
        <v>100</v>
      </c>
      <c r="AE109" s="44">
        <v>100</v>
      </c>
      <c r="AF109" s="44">
        <v>100</v>
      </c>
      <c r="AG109" s="44">
        <v>100</v>
      </c>
      <c r="AH109" s="44">
        <v>100</v>
      </c>
      <c r="AI109"/>
      <c r="AJ109" s="44">
        <v>100</v>
      </c>
      <c r="AK109" s="44">
        <v>100</v>
      </c>
      <c r="AL109" s="44">
        <v>100</v>
      </c>
      <c r="AM109" s="44">
        <v>100</v>
      </c>
      <c r="AN109" s="44">
        <v>100</v>
      </c>
      <c r="AO109" s="44">
        <v>100</v>
      </c>
      <c r="AP109" s="44">
        <v>100</v>
      </c>
      <c r="AQ109"/>
      <c r="AR109" s="44">
        <v>100</v>
      </c>
      <c r="AS109" s="44">
        <v>100</v>
      </c>
      <c r="AT109" s="44">
        <v>100</v>
      </c>
      <c r="AU109" s="44">
        <v>100</v>
      </c>
      <c r="AV109"/>
      <c r="AW109" s="44">
        <v>100</v>
      </c>
      <c r="AX109"/>
      <c r="AY109"/>
      <c r="AZ109" s="44">
        <v>100</v>
      </c>
    </row>
    <row r="110" spans="1:52" ht="14.45" customHeight="1" x14ac:dyDescent="0.25">
      <c r="A110" s="23" t="s">
        <v>423</v>
      </c>
      <c r="B110" s="3" t="s">
        <v>473</v>
      </c>
      <c r="C110" s="3" t="s">
        <v>483</v>
      </c>
      <c r="D110" s="3" t="s">
        <v>537</v>
      </c>
      <c r="E110" s="24" t="s">
        <v>424</v>
      </c>
      <c r="F110" s="24" t="s">
        <v>434</v>
      </c>
      <c r="G110" s="44">
        <v>280800</v>
      </c>
      <c r="H110" s="44">
        <f t="shared" si="2"/>
        <v>280800</v>
      </c>
      <c r="I110" s="44">
        <v>280800</v>
      </c>
      <c r="J110" s="44">
        <v>280800</v>
      </c>
      <c r="K110" s="44">
        <v>280800</v>
      </c>
      <c r="L110" s="44">
        <v>280800</v>
      </c>
      <c r="M110" s="44">
        <v>280800</v>
      </c>
      <c r="N110" s="44">
        <v>280800</v>
      </c>
      <c r="O110" s="44">
        <v>280800</v>
      </c>
      <c r="P110" s="44">
        <v>280800</v>
      </c>
      <c r="R110" s="44">
        <v>280800</v>
      </c>
      <c r="S110" s="44">
        <v>280800</v>
      </c>
      <c r="T110" s="44">
        <v>280800</v>
      </c>
      <c r="U110" s="44">
        <v>280800</v>
      </c>
      <c r="X110" s="44">
        <v>280800</v>
      </c>
      <c r="Y110" s="44">
        <v>280800</v>
      </c>
      <c r="Z110" s="44">
        <v>280800</v>
      </c>
      <c r="AA110" s="44">
        <v>280800</v>
      </c>
      <c r="AB110" s="44">
        <v>280800</v>
      </c>
      <c r="AC110" s="44">
        <v>280800</v>
      </c>
      <c r="AD110" s="44">
        <v>280800</v>
      </c>
      <c r="AE110" s="44">
        <v>280800</v>
      </c>
      <c r="AF110" s="44">
        <v>280800</v>
      </c>
      <c r="AG110" s="44">
        <v>280800</v>
      </c>
      <c r="AH110" s="44">
        <v>280800</v>
      </c>
      <c r="AI110"/>
      <c r="AJ110" s="44">
        <v>280800</v>
      </c>
      <c r="AK110" s="44">
        <v>280800</v>
      </c>
      <c r="AL110" s="44">
        <v>280800</v>
      </c>
      <c r="AM110" s="44">
        <v>280800</v>
      </c>
      <c r="AN110" s="44">
        <v>280800</v>
      </c>
      <c r="AO110" s="44">
        <v>280800</v>
      </c>
      <c r="AP110" s="44">
        <v>280800</v>
      </c>
      <c r="AQ110"/>
      <c r="AR110" s="44">
        <v>280800</v>
      </c>
      <c r="AS110" s="44">
        <v>280800</v>
      </c>
      <c r="AT110" s="44">
        <v>280800</v>
      </c>
      <c r="AU110" s="44">
        <v>280800</v>
      </c>
      <c r="AV110"/>
      <c r="AW110" s="44">
        <v>280800</v>
      </c>
      <c r="AX110"/>
      <c r="AY110"/>
      <c r="AZ110" s="44">
        <v>280800</v>
      </c>
    </row>
    <row r="111" spans="1:52" x14ac:dyDescent="0.25">
      <c r="A111" s="23" t="s">
        <v>425</v>
      </c>
      <c r="B111" s="3" t="s">
        <v>473</v>
      </c>
      <c r="C111" s="3" t="s">
        <v>483</v>
      </c>
      <c r="D111" s="3" t="s">
        <v>537</v>
      </c>
      <c r="E111" s="24" t="s">
        <v>426</v>
      </c>
      <c r="F111" s="24" t="s">
        <v>435</v>
      </c>
      <c r="G111" s="44">
        <v>1.2847222222222224E-5</v>
      </c>
      <c r="H111" s="44">
        <f t="shared" si="2"/>
        <v>1.2847222222222224E-5</v>
      </c>
      <c r="I111" s="44">
        <f t="shared" ref="I111:AZ111" si="15">1.11 / 10</f>
        <v>0.11100000000000002</v>
      </c>
      <c r="J111" s="44">
        <f t="shared" si="15"/>
        <v>0.11100000000000002</v>
      </c>
      <c r="K111" s="44">
        <f t="shared" si="15"/>
        <v>0.11100000000000002</v>
      </c>
      <c r="L111" s="44">
        <f t="shared" si="15"/>
        <v>0.11100000000000002</v>
      </c>
      <c r="M111" s="44">
        <f t="shared" si="15"/>
        <v>0.11100000000000002</v>
      </c>
      <c r="N111" s="44">
        <f t="shared" si="15"/>
        <v>0.11100000000000002</v>
      </c>
      <c r="O111" s="44">
        <f t="shared" si="15"/>
        <v>0.11100000000000002</v>
      </c>
      <c r="P111" s="44">
        <f t="shared" si="15"/>
        <v>0.11100000000000002</v>
      </c>
      <c r="R111" s="44">
        <f t="shared" si="15"/>
        <v>0.11100000000000002</v>
      </c>
      <c r="S111" s="44">
        <f t="shared" si="15"/>
        <v>0.11100000000000002</v>
      </c>
      <c r="T111" s="44">
        <f t="shared" si="15"/>
        <v>0.11100000000000002</v>
      </c>
      <c r="U111" s="44">
        <f t="shared" si="15"/>
        <v>0.11100000000000002</v>
      </c>
      <c r="X111" s="44">
        <f t="shared" si="15"/>
        <v>0.11100000000000002</v>
      </c>
      <c r="Y111" s="44">
        <f t="shared" si="15"/>
        <v>0.11100000000000002</v>
      </c>
      <c r="Z111" s="44">
        <f t="shared" si="15"/>
        <v>0.11100000000000002</v>
      </c>
      <c r="AA111" s="44">
        <f t="shared" si="15"/>
        <v>0.11100000000000002</v>
      </c>
      <c r="AB111" s="44">
        <f t="shared" si="15"/>
        <v>0.11100000000000002</v>
      </c>
      <c r="AC111" s="44">
        <f t="shared" si="15"/>
        <v>0.11100000000000002</v>
      </c>
      <c r="AD111" s="44">
        <f t="shared" si="15"/>
        <v>0.11100000000000002</v>
      </c>
      <c r="AE111" s="44">
        <f t="shared" si="15"/>
        <v>0.11100000000000002</v>
      </c>
      <c r="AF111" s="44">
        <f t="shared" si="15"/>
        <v>0.11100000000000002</v>
      </c>
      <c r="AG111" s="44">
        <f t="shared" si="15"/>
        <v>0.11100000000000002</v>
      </c>
      <c r="AH111" s="44">
        <f t="shared" si="15"/>
        <v>0.11100000000000002</v>
      </c>
      <c r="AI111"/>
      <c r="AJ111" s="44">
        <f t="shared" si="15"/>
        <v>0.11100000000000002</v>
      </c>
      <c r="AK111" s="44">
        <f t="shared" si="15"/>
        <v>0.11100000000000002</v>
      </c>
      <c r="AL111" s="44">
        <f t="shared" si="15"/>
        <v>0.11100000000000002</v>
      </c>
      <c r="AM111" s="44">
        <f t="shared" si="15"/>
        <v>0.11100000000000002</v>
      </c>
      <c r="AN111" s="44">
        <f t="shared" si="15"/>
        <v>0.11100000000000002</v>
      </c>
      <c r="AO111" s="44">
        <f t="shared" si="15"/>
        <v>0.11100000000000002</v>
      </c>
      <c r="AP111" s="44">
        <f t="shared" si="15"/>
        <v>0.11100000000000002</v>
      </c>
      <c r="AQ111"/>
      <c r="AR111" s="44">
        <f t="shared" si="15"/>
        <v>0.11100000000000002</v>
      </c>
      <c r="AS111" s="44">
        <f t="shared" si="15"/>
        <v>0.11100000000000002</v>
      </c>
      <c r="AT111" s="44">
        <f t="shared" si="15"/>
        <v>0.11100000000000002</v>
      </c>
      <c r="AU111" s="44">
        <f t="shared" si="15"/>
        <v>0.11100000000000002</v>
      </c>
      <c r="AV111"/>
      <c r="AW111" s="44">
        <f t="shared" si="15"/>
        <v>0.11100000000000002</v>
      </c>
      <c r="AX111"/>
      <c r="AY111"/>
      <c r="AZ111" s="44">
        <f t="shared" si="15"/>
        <v>0.11100000000000002</v>
      </c>
    </row>
    <row r="112" spans="1:52" x14ac:dyDescent="0.25">
      <c r="A112" s="23" t="s">
        <v>427</v>
      </c>
      <c r="B112" s="3" t="s">
        <v>473</v>
      </c>
      <c r="C112" s="3" t="s">
        <v>483</v>
      </c>
      <c r="D112" s="3" t="s">
        <v>537</v>
      </c>
      <c r="E112" s="24" t="s">
        <v>428</v>
      </c>
      <c r="F112" s="24" t="s">
        <v>433</v>
      </c>
      <c r="G112" s="44">
        <v>100</v>
      </c>
      <c r="H112" s="44">
        <f t="shared" si="2"/>
        <v>100</v>
      </c>
      <c r="I112" s="44">
        <v>100</v>
      </c>
      <c r="J112" s="44">
        <v>100</v>
      </c>
      <c r="K112" s="44">
        <v>100</v>
      </c>
      <c r="L112" s="44">
        <v>100</v>
      </c>
      <c r="M112" s="44">
        <v>100</v>
      </c>
      <c r="N112" s="44">
        <v>100</v>
      </c>
      <c r="O112" s="44">
        <v>100</v>
      </c>
      <c r="P112" s="44">
        <v>100</v>
      </c>
      <c r="R112" s="44">
        <v>100</v>
      </c>
      <c r="S112" s="44">
        <v>100</v>
      </c>
      <c r="T112" s="44">
        <v>100</v>
      </c>
      <c r="U112" s="44">
        <v>100</v>
      </c>
      <c r="X112" s="44">
        <v>100</v>
      </c>
      <c r="Y112" s="44">
        <v>100</v>
      </c>
      <c r="Z112" s="44">
        <v>100</v>
      </c>
      <c r="AA112" s="44">
        <v>100</v>
      </c>
      <c r="AB112" s="44">
        <v>100</v>
      </c>
      <c r="AC112" s="44">
        <v>100</v>
      </c>
      <c r="AD112" s="44">
        <v>100</v>
      </c>
      <c r="AE112" s="44">
        <v>100</v>
      </c>
      <c r="AF112" s="44">
        <v>100</v>
      </c>
      <c r="AG112" s="44">
        <v>100</v>
      </c>
      <c r="AH112" s="44">
        <v>100</v>
      </c>
      <c r="AI112"/>
      <c r="AJ112" s="44">
        <v>100</v>
      </c>
      <c r="AK112" s="44">
        <v>100</v>
      </c>
      <c r="AL112" s="44">
        <v>100</v>
      </c>
      <c r="AM112" s="44">
        <v>100</v>
      </c>
      <c r="AN112" s="44">
        <v>100</v>
      </c>
      <c r="AO112" s="44">
        <v>100</v>
      </c>
      <c r="AP112" s="44">
        <v>100</v>
      </c>
      <c r="AQ112"/>
      <c r="AR112" s="44">
        <v>100</v>
      </c>
      <c r="AS112" s="44">
        <v>100</v>
      </c>
      <c r="AT112" s="44">
        <v>100</v>
      </c>
      <c r="AU112" s="44">
        <v>100</v>
      </c>
      <c r="AV112"/>
      <c r="AW112" s="44">
        <v>100</v>
      </c>
      <c r="AX112"/>
      <c r="AY112"/>
      <c r="AZ112" s="44">
        <v>100</v>
      </c>
    </row>
    <row r="113" spans="1:52" ht="14.45" customHeight="1" x14ac:dyDescent="0.25">
      <c r="A113" s="23" t="s">
        <v>429</v>
      </c>
      <c r="B113" s="3" t="s">
        <v>473</v>
      </c>
      <c r="C113" s="3" t="s">
        <v>483</v>
      </c>
      <c r="D113" s="3" t="s">
        <v>537</v>
      </c>
      <c r="E113" s="24" t="s">
        <v>430</v>
      </c>
      <c r="F113" s="24" t="s">
        <v>434</v>
      </c>
      <c r="G113" s="44">
        <v>459648</v>
      </c>
      <c r="H113" s="44">
        <f t="shared" si="2"/>
        <v>459648</v>
      </c>
      <c r="I113" s="44">
        <v>459648</v>
      </c>
      <c r="J113" s="44">
        <v>459648</v>
      </c>
      <c r="K113" s="44">
        <v>459648</v>
      </c>
      <c r="L113" s="44">
        <v>459648</v>
      </c>
      <c r="M113" s="44">
        <v>459648</v>
      </c>
      <c r="N113" s="44">
        <v>459648</v>
      </c>
      <c r="O113" s="44">
        <v>459648</v>
      </c>
      <c r="P113" s="44">
        <v>459648</v>
      </c>
      <c r="R113" s="44">
        <v>459648</v>
      </c>
      <c r="S113" s="44">
        <v>459648</v>
      </c>
      <c r="T113" s="44">
        <v>459648</v>
      </c>
      <c r="U113" s="44">
        <v>459648</v>
      </c>
      <c r="X113" s="44">
        <v>459648</v>
      </c>
      <c r="Y113" s="44">
        <v>459648</v>
      </c>
      <c r="Z113" s="44">
        <v>459648</v>
      </c>
      <c r="AA113" s="44">
        <v>459648</v>
      </c>
      <c r="AB113" s="44">
        <v>459648</v>
      </c>
      <c r="AC113" s="44">
        <v>459648</v>
      </c>
      <c r="AD113" s="44">
        <v>459648</v>
      </c>
      <c r="AE113" s="44">
        <v>459648</v>
      </c>
      <c r="AF113" s="44">
        <v>459648</v>
      </c>
      <c r="AG113" s="44">
        <v>459648</v>
      </c>
      <c r="AH113" s="44">
        <v>459648</v>
      </c>
      <c r="AI113"/>
      <c r="AJ113" s="44">
        <v>459648</v>
      </c>
      <c r="AK113" s="44">
        <v>459648</v>
      </c>
      <c r="AL113" s="44">
        <v>459648</v>
      </c>
      <c r="AM113" s="44">
        <v>459648</v>
      </c>
      <c r="AN113" s="44">
        <v>459648</v>
      </c>
      <c r="AO113" s="44">
        <v>459648</v>
      </c>
      <c r="AP113" s="44">
        <v>459648</v>
      </c>
      <c r="AQ113"/>
      <c r="AR113" s="44">
        <v>459648</v>
      </c>
      <c r="AS113" s="44">
        <v>459648</v>
      </c>
      <c r="AT113" s="44">
        <v>459648</v>
      </c>
      <c r="AU113" s="44">
        <v>459648</v>
      </c>
      <c r="AV113"/>
      <c r="AW113" s="44">
        <v>459648</v>
      </c>
      <c r="AX113"/>
      <c r="AY113"/>
      <c r="AZ113" s="44">
        <v>459648</v>
      </c>
    </row>
    <row r="114" spans="1:52" x14ac:dyDescent="0.25">
      <c r="A114" s="23" t="s">
        <v>431</v>
      </c>
      <c r="B114" s="3" t="s">
        <v>473</v>
      </c>
      <c r="C114" s="3" t="s">
        <v>483</v>
      </c>
      <c r="D114" s="3" t="s">
        <v>537</v>
      </c>
      <c r="E114" s="24" t="s">
        <v>432</v>
      </c>
      <c r="F114" s="24" t="s">
        <v>435</v>
      </c>
      <c r="G114" s="44">
        <v>1.2847222222222224E-5</v>
      </c>
      <c r="H114" s="44">
        <f t="shared" si="2"/>
        <v>1.2847222222222224E-5</v>
      </c>
      <c r="I114" s="44">
        <f t="shared" ref="I114:AZ114" si="16">1.11/8</f>
        <v>0.13875000000000001</v>
      </c>
      <c r="J114" s="44">
        <f t="shared" si="16"/>
        <v>0.13875000000000001</v>
      </c>
      <c r="K114" s="44">
        <f t="shared" si="16"/>
        <v>0.13875000000000001</v>
      </c>
      <c r="L114" s="44">
        <f t="shared" si="16"/>
        <v>0.13875000000000001</v>
      </c>
      <c r="M114" s="44">
        <f t="shared" si="16"/>
        <v>0.13875000000000001</v>
      </c>
      <c r="N114" s="44">
        <f t="shared" si="16"/>
        <v>0.13875000000000001</v>
      </c>
      <c r="O114" s="44">
        <f t="shared" si="16"/>
        <v>0.13875000000000001</v>
      </c>
      <c r="P114" s="44">
        <f t="shared" si="16"/>
        <v>0.13875000000000001</v>
      </c>
      <c r="R114" s="44">
        <f t="shared" si="16"/>
        <v>0.13875000000000001</v>
      </c>
      <c r="S114" s="44">
        <f t="shared" si="16"/>
        <v>0.13875000000000001</v>
      </c>
      <c r="T114" s="44">
        <f t="shared" si="16"/>
        <v>0.13875000000000001</v>
      </c>
      <c r="U114" s="44">
        <f t="shared" si="16"/>
        <v>0.13875000000000001</v>
      </c>
      <c r="X114" s="44">
        <f t="shared" si="16"/>
        <v>0.13875000000000001</v>
      </c>
      <c r="Y114" s="44">
        <f t="shared" si="16"/>
        <v>0.13875000000000001</v>
      </c>
      <c r="Z114" s="44">
        <f t="shared" si="16"/>
        <v>0.13875000000000001</v>
      </c>
      <c r="AA114" s="44">
        <f t="shared" si="16"/>
        <v>0.13875000000000001</v>
      </c>
      <c r="AB114" s="44">
        <f t="shared" si="16"/>
        <v>0.13875000000000001</v>
      </c>
      <c r="AC114" s="44">
        <f t="shared" si="16"/>
        <v>0.13875000000000001</v>
      </c>
      <c r="AD114" s="44">
        <f t="shared" si="16"/>
        <v>0.13875000000000001</v>
      </c>
      <c r="AE114" s="44">
        <f t="shared" si="16"/>
        <v>0.13875000000000001</v>
      </c>
      <c r="AF114" s="44">
        <f t="shared" si="16"/>
        <v>0.13875000000000001</v>
      </c>
      <c r="AG114" s="44">
        <f t="shared" si="16"/>
        <v>0.13875000000000001</v>
      </c>
      <c r="AH114" s="44">
        <f t="shared" si="16"/>
        <v>0.13875000000000001</v>
      </c>
      <c r="AI114"/>
      <c r="AJ114" s="44">
        <f t="shared" si="16"/>
        <v>0.13875000000000001</v>
      </c>
      <c r="AK114" s="44">
        <f t="shared" si="16"/>
        <v>0.13875000000000001</v>
      </c>
      <c r="AL114" s="44">
        <f t="shared" si="16"/>
        <v>0.13875000000000001</v>
      </c>
      <c r="AM114" s="44">
        <f t="shared" si="16"/>
        <v>0.13875000000000001</v>
      </c>
      <c r="AN114" s="44">
        <f t="shared" si="16"/>
        <v>0.13875000000000001</v>
      </c>
      <c r="AO114" s="44">
        <f t="shared" si="16"/>
        <v>0.13875000000000001</v>
      </c>
      <c r="AP114" s="44">
        <f t="shared" si="16"/>
        <v>0.13875000000000001</v>
      </c>
      <c r="AQ114"/>
      <c r="AR114" s="44">
        <f t="shared" si="16"/>
        <v>0.13875000000000001</v>
      </c>
      <c r="AS114" s="44">
        <f t="shared" si="16"/>
        <v>0.13875000000000001</v>
      </c>
      <c r="AT114" s="44">
        <f t="shared" si="16"/>
        <v>0.13875000000000001</v>
      </c>
      <c r="AU114" s="44">
        <f t="shared" si="16"/>
        <v>0.13875000000000001</v>
      </c>
      <c r="AV114"/>
      <c r="AW114" s="44">
        <f t="shared" si="16"/>
        <v>0.13875000000000001</v>
      </c>
      <c r="AX114"/>
      <c r="AY114"/>
      <c r="AZ114" s="44">
        <f t="shared" si="16"/>
        <v>0.13875000000000001</v>
      </c>
    </row>
    <row r="115" spans="1:52" x14ac:dyDescent="0.25">
      <c r="A115" s="23" t="s">
        <v>395</v>
      </c>
      <c r="B115" s="3" t="s">
        <v>473</v>
      </c>
      <c r="C115" s="3" t="s">
        <v>483</v>
      </c>
      <c r="D115" s="3" t="s">
        <v>537</v>
      </c>
      <c r="E115" s="24" t="s">
        <v>396</v>
      </c>
      <c r="F115" s="24" t="s">
        <v>106</v>
      </c>
      <c r="G115" s="44">
        <v>21600</v>
      </c>
      <c r="H115" s="44">
        <f t="shared" si="2"/>
        <v>21600</v>
      </c>
      <c r="I115" s="44">
        <v>21600</v>
      </c>
      <c r="J115" s="44">
        <v>21600</v>
      </c>
      <c r="K115" s="44">
        <v>21600</v>
      </c>
      <c r="L115" s="44">
        <v>21600</v>
      </c>
      <c r="M115" s="44">
        <v>21600</v>
      </c>
      <c r="N115" s="44">
        <v>21600</v>
      </c>
      <c r="O115" s="44">
        <v>21600</v>
      </c>
      <c r="P115" s="44">
        <v>21600</v>
      </c>
      <c r="R115" s="44">
        <v>21600</v>
      </c>
      <c r="S115" s="44">
        <v>21600</v>
      </c>
      <c r="T115" s="44">
        <v>21600</v>
      </c>
      <c r="U115" s="44">
        <v>21600</v>
      </c>
      <c r="X115" s="44">
        <v>21600</v>
      </c>
      <c r="Y115" s="44">
        <v>21600</v>
      </c>
      <c r="Z115" s="44">
        <v>21600</v>
      </c>
      <c r="AA115" s="44">
        <v>21600</v>
      </c>
      <c r="AB115" s="44">
        <v>21600</v>
      </c>
      <c r="AC115" s="44">
        <v>21600</v>
      </c>
      <c r="AD115" s="44">
        <v>21600</v>
      </c>
      <c r="AE115" s="44">
        <v>21600</v>
      </c>
      <c r="AF115" s="44">
        <v>21600</v>
      </c>
      <c r="AG115" s="44">
        <v>21600</v>
      </c>
      <c r="AH115" s="44">
        <v>21600</v>
      </c>
      <c r="AI115"/>
      <c r="AJ115" s="44">
        <v>21600</v>
      </c>
      <c r="AK115" s="44">
        <v>21600</v>
      </c>
      <c r="AL115" s="44">
        <v>21600</v>
      </c>
      <c r="AM115" s="44">
        <v>21600</v>
      </c>
      <c r="AN115" s="44">
        <v>21600</v>
      </c>
      <c r="AO115" s="44">
        <v>21600</v>
      </c>
      <c r="AP115" s="44">
        <v>21600</v>
      </c>
      <c r="AQ115"/>
      <c r="AR115" s="44">
        <v>21600</v>
      </c>
      <c r="AS115" s="44">
        <v>21600</v>
      </c>
      <c r="AT115" s="44">
        <v>21600</v>
      </c>
      <c r="AU115" s="44">
        <v>21600</v>
      </c>
      <c r="AV115"/>
      <c r="AW115" s="44">
        <v>21600</v>
      </c>
      <c r="AX115"/>
      <c r="AY115"/>
      <c r="AZ115" s="44">
        <v>21600</v>
      </c>
    </row>
    <row r="116" spans="1:52" x14ac:dyDescent="0.25">
      <c r="A116" s="23" t="s">
        <v>397</v>
      </c>
      <c r="B116" s="3" t="s">
        <v>473</v>
      </c>
      <c r="C116" s="3" t="s">
        <v>483</v>
      </c>
      <c r="D116" s="3" t="s">
        <v>537</v>
      </c>
      <c r="E116" s="24" t="s">
        <v>398</v>
      </c>
      <c r="F116" s="24" t="s">
        <v>106</v>
      </c>
      <c r="G116" s="44">
        <v>172800</v>
      </c>
      <c r="H116" s="44">
        <f t="shared" si="2"/>
        <v>172800</v>
      </c>
      <c r="I116" s="44">
        <v>43200</v>
      </c>
      <c r="J116" s="44">
        <v>43200</v>
      </c>
      <c r="K116" s="44">
        <v>43200</v>
      </c>
      <c r="L116" s="44">
        <v>43200</v>
      </c>
      <c r="M116" s="44">
        <v>43200</v>
      </c>
      <c r="N116" s="44">
        <v>43200</v>
      </c>
      <c r="O116" s="44">
        <v>43200</v>
      </c>
      <c r="P116" s="44">
        <v>43200</v>
      </c>
      <c r="R116" s="44">
        <v>43200</v>
      </c>
      <c r="S116" s="44">
        <v>43200</v>
      </c>
      <c r="T116" s="44">
        <v>43200</v>
      </c>
      <c r="U116" s="44">
        <v>43200</v>
      </c>
      <c r="X116" s="44">
        <v>43200</v>
      </c>
      <c r="Y116" s="44">
        <v>43200</v>
      </c>
      <c r="Z116" s="44">
        <v>43200</v>
      </c>
      <c r="AA116" s="44">
        <v>43200</v>
      </c>
      <c r="AB116" s="44">
        <v>43200</v>
      </c>
      <c r="AC116" s="44">
        <v>43200</v>
      </c>
      <c r="AD116" s="44">
        <v>43200</v>
      </c>
      <c r="AE116" s="44">
        <v>43200</v>
      </c>
      <c r="AF116" s="44">
        <v>43200</v>
      </c>
      <c r="AG116" s="44">
        <v>43200</v>
      </c>
      <c r="AH116" s="44">
        <v>43200</v>
      </c>
      <c r="AI116"/>
      <c r="AJ116" s="44">
        <v>43200</v>
      </c>
      <c r="AK116" s="44">
        <v>43200</v>
      </c>
      <c r="AL116" s="44">
        <v>43200</v>
      </c>
      <c r="AM116" s="44">
        <v>43200</v>
      </c>
      <c r="AN116" s="44">
        <v>43200</v>
      </c>
      <c r="AO116" s="44">
        <v>43200</v>
      </c>
      <c r="AP116" s="44">
        <v>43200</v>
      </c>
      <c r="AQ116"/>
      <c r="AR116" s="44">
        <v>43200</v>
      </c>
      <c r="AS116" s="44">
        <v>43200</v>
      </c>
      <c r="AT116" s="44">
        <v>43200</v>
      </c>
      <c r="AU116" s="44">
        <v>43200</v>
      </c>
      <c r="AV116"/>
      <c r="AW116" s="44">
        <v>43200</v>
      </c>
      <c r="AX116"/>
      <c r="AY116"/>
      <c r="AZ116" s="44">
        <v>43200</v>
      </c>
    </row>
    <row r="117" spans="1:52" x14ac:dyDescent="0.25">
      <c r="A117" s="13" t="s">
        <v>61</v>
      </c>
      <c r="B117" s="3" t="s">
        <v>473</v>
      </c>
      <c r="C117" s="3" t="s">
        <v>483</v>
      </c>
      <c r="D117" s="3" t="s">
        <v>537</v>
      </c>
      <c r="E117" s="14" t="s">
        <v>172</v>
      </c>
      <c r="F117" s="14" t="s">
        <v>111</v>
      </c>
      <c r="G117" s="44">
        <v>0.8</v>
      </c>
      <c r="H117" s="44">
        <f t="shared" si="2"/>
        <v>0.8</v>
      </c>
      <c r="I117" s="44">
        <v>0.8</v>
      </c>
      <c r="J117" s="44">
        <v>0.8</v>
      </c>
      <c r="K117" s="44">
        <v>0.8</v>
      </c>
      <c r="L117" s="44">
        <v>0.8</v>
      </c>
      <c r="M117" s="44">
        <v>0.8</v>
      </c>
      <c r="N117" s="44">
        <v>0.8</v>
      </c>
      <c r="O117" s="44">
        <v>0.8</v>
      </c>
      <c r="P117" s="44">
        <v>0.8</v>
      </c>
      <c r="R117" s="44">
        <v>0.8</v>
      </c>
      <c r="S117" s="44">
        <v>0.8</v>
      </c>
      <c r="T117" s="44">
        <v>0.8</v>
      </c>
      <c r="U117" s="44">
        <v>0.8</v>
      </c>
      <c r="X117" s="44">
        <v>0.8</v>
      </c>
      <c r="Y117" s="44">
        <v>0.8</v>
      </c>
      <c r="Z117" s="44">
        <v>0.8</v>
      </c>
      <c r="AA117" s="44">
        <v>0.8</v>
      </c>
      <c r="AB117" s="44">
        <v>0.8</v>
      </c>
      <c r="AC117" s="44">
        <v>0.8</v>
      </c>
      <c r="AD117" s="44">
        <v>0.8</v>
      </c>
      <c r="AE117" s="44">
        <v>0.8</v>
      </c>
      <c r="AF117" s="44">
        <v>0.8</v>
      </c>
      <c r="AG117" s="44">
        <v>0.8</v>
      </c>
      <c r="AH117" s="44">
        <v>0.8</v>
      </c>
      <c r="AI117"/>
      <c r="AJ117" s="44">
        <v>0.8</v>
      </c>
      <c r="AK117" s="44">
        <v>0.8</v>
      </c>
      <c r="AL117" s="44">
        <v>0.8</v>
      </c>
      <c r="AM117" s="44">
        <v>0.8</v>
      </c>
      <c r="AN117" s="44">
        <v>0.8</v>
      </c>
      <c r="AO117" s="44">
        <v>0.8</v>
      </c>
      <c r="AP117" s="44">
        <v>0.8</v>
      </c>
      <c r="AQ117"/>
      <c r="AR117" s="44">
        <v>0.8</v>
      </c>
      <c r="AS117" s="44">
        <v>0.8</v>
      </c>
      <c r="AT117" s="44">
        <v>0.8</v>
      </c>
      <c r="AU117" s="44">
        <v>0.8</v>
      </c>
      <c r="AV117"/>
      <c r="AW117" s="44">
        <v>0.8</v>
      </c>
      <c r="AX117"/>
      <c r="AY117"/>
      <c r="AZ117" s="44">
        <v>0.8</v>
      </c>
    </row>
    <row r="118" spans="1:52" x14ac:dyDescent="0.25">
      <c r="A118" s="13" t="s">
        <v>62</v>
      </c>
      <c r="B118" s="3" t="s">
        <v>473</v>
      </c>
      <c r="C118" s="3" t="s">
        <v>483</v>
      </c>
      <c r="D118" s="3" t="s">
        <v>537</v>
      </c>
      <c r="E118" s="14" t="s">
        <v>173</v>
      </c>
      <c r="F118" s="14" t="s">
        <v>198</v>
      </c>
      <c r="G118" s="44">
        <v>2.0833333333333335E-4</v>
      </c>
      <c r="H118" s="44">
        <f t="shared" si="2"/>
        <v>2.0833333333333335E-4</v>
      </c>
      <c r="I118" s="44">
        <v>2.0833333333333335E-4</v>
      </c>
      <c r="J118" s="44">
        <v>2.0833333333333335E-4</v>
      </c>
      <c r="K118" s="44">
        <v>2.0833333333333335E-4</v>
      </c>
      <c r="L118" s="44">
        <v>2.0833333333333335E-4</v>
      </c>
      <c r="M118" s="44">
        <v>2.0833333333333335E-4</v>
      </c>
      <c r="N118" s="44">
        <v>2.0833333333333335E-4</v>
      </c>
      <c r="O118" s="44">
        <v>2.0833333333333335E-4</v>
      </c>
      <c r="P118" s="44">
        <v>2.0833333333333335E-4</v>
      </c>
      <c r="R118" s="44">
        <v>2.0833333333333335E-4</v>
      </c>
      <c r="S118" s="44">
        <v>2.0833333333333335E-4</v>
      </c>
      <c r="T118" s="44">
        <v>2.0833333333333335E-4</v>
      </c>
      <c r="U118" s="44">
        <v>2.0833333333333335E-4</v>
      </c>
      <c r="X118" s="44">
        <v>2.0833333333333335E-4</v>
      </c>
      <c r="Y118" s="44">
        <v>2.0833333333333335E-4</v>
      </c>
      <c r="Z118" s="44">
        <v>2.0833333333333335E-4</v>
      </c>
      <c r="AA118" s="44">
        <v>2.0833333333333335E-4</v>
      </c>
      <c r="AB118" s="44">
        <v>2.0833333333333335E-4</v>
      </c>
      <c r="AC118" s="44">
        <v>2.0833333333333335E-4</v>
      </c>
      <c r="AD118" s="44">
        <v>2.0833333333333335E-4</v>
      </c>
      <c r="AE118" s="44">
        <v>2.0833333333333335E-4</v>
      </c>
      <c r="AF118" s="44">
        <v>2.0833333333333335E-4</v>
      </c>
      <c r="AG118" s="44">
        <v>2.0833333333333335E-4</v>
      </c>
      <c r="AH118" s="44">
        <v>2.0833333333333335E-4</v>
      </c>
      <c r="AI118"/>
      <c r="AJ118" s="44">
        <v>2.0833333333333335E-4</v>
      </c>
      <c r="AK118" s="44">
        <v>2.0833333333333335E-4</v>
      </c>
      <c r="AL118" s="44">
        <v>2.0833333333333335E-4</v>
      </c>
      <c r="AM118" s="44">
        <v>2.0833333333333335E-4</v>
      </c>
      <c r="AN118" s="44">
        <v>2.0833333333333335E-4</v>
      </c>
      <c r="AO118" s="44">
        <v>2.0833333333333335E-4</v>
      </c>
      <c r="AP118" s="44">
        <v>2.0833333333333335E-4</v>
      </c>
      <c r="AQ118"/>
      <c r="AR118" s="44">
        <v>2.0833333333333335E-4</v>
      </c>
      <c r="AS118" s="44">
        <v>2.0833333333333335E-4</v>
      </c>
      <c r="AT118" s="44">
        <v>2.0833333333333335E-4</v>
      </c>
      <c r="AU118" s="44">
        <v>2.0833333333333335E-4</v>
      </c>
      <c r="AV118"/>
      <c r="AW118" s="44">
        <v>2.0833333333333335E-4</v>
      </c>
      <c r="AX118"/>
      <c r="AY118"/>
      <c r="AZ118" s="44">
        <v>2.0833333333333335E-4</v>
      </c>
    </row>
    <row r="119" spans="1:52" x14ac:dyDescent="0.25">
      <c r="A119" s="13" t="s">
        <v>63</v>
      </c>
      <c r="B119" s="3" t="s">
        <v>473</v>
      </c>
      <c r="C119" s="3" t="s">
        <v>483</v>
      </c>
      <c r="D119" s="3" t="s">
        <v>537</v>
      </c>
      <c r="E119" s="14" t="s">
        <v>174</v>
      </c>
      <c r="F119" s="14" t="s">
        <v>110</v>
      </c>
      <c r="G119" s="44">
        <v>5.7899999999999998E-7</v>
      </c>
      <c r="H119" s="44">
        <f t="shared" si="2"/>
        <v>5.7899999999999998E-7</v>
      </c>
      <c r="I119" s="44">
        <v>5.7899999999999998E-7</v>
      </c>
      <c r="J119" s="44">
        <v>5.7899999999999998E-7</v>
      </c>
      <c r="K119" s="44">
        <v>5.7899999999999998E-7</v>
      </c>
      <c r="L119" s="44">
        <v>5.7899999999999998E-7</v>
      </c>
      <c r="M119" s="44">
        <v>5.7899999999999998E-7</v>
      </c>
      <c r="N119" s="44">
        <v>5.7899999999999998E-7</v>
      </c>
      <c r="O119" s="44">
        <v>5.7899999999999998E-7</v>
      </c>
      <c r="P119" s="44">
        <v>5.7899999999999998E-7</v>
      </c>
      <c r="R119" s="44">
        <v>5.7899999999999998E-7</v>
      </c>
      <c r="S119" s="44">
        <v>5.7899999999999998E-7</v>
      </c>
      <c r="T119" s="44">
        <v>5.7899999999999998E-7</v>
      </c>
      <c r="U119" s="44">
        <v>5.7899999999999998E-7</v>
      </c>
      <c r="X119" s="44">
        <v>5.7899999999999998E-7</v>
      </c>
      <c r="Y119" s="44">
        <v>5.7899999999999998E-7</v>
      </c>
      <c r="Z119" s="44">
        <v>5.7899999999999998E-7</v>
      </c>
      <c r="AA119" s="44">
        <v>5.7899999999999998E-7</v>
      </c>
      <c r="AB119" s="44">
        <v>5.7899999999999998E-7</v>
      </c>
      <c r="AC119" s="44">
        <v>5.7899999999999998E-7</v>
      </c>
      <c r="AD119" s="44">
        <v>5.7899999999999998E-7</v>
      </c>
      <c r="AE119" s="44">
        <v>5.7899999999999998E-7</v>
      </c>
      <c r="AF119" s="44">
        <v>5.7899999999999998E-7</v>
      </c>
      <c r="AG119" s="44">
        <v>5.7899999999999998E-7</v>
      </c>
      <c r="AH119" s="44">
        <v>5.7899999999999998E-7</v>
      </c>
      <c r="AI119"/>
      <c r="AJ119" s="44">
        <v>5.7899999999999998E-7</v>
      </c>
      <c r="AK119" s="44">
        <v>5.7899999999999998E-7</v>
      </c>
      <c r="AL119" s="44">
        <v>5.7899999999999998E-7</v>
      </c>
      <c r="AM119" s="44">
        <v>5.7899999999999998E-7</v>
      </c>
      <c r="AN119" s="44">
        <v>5.7899999999999998E-7</v>
      </c>
      <c r="AO119" s="44">
        <v>5.7899999999999998E-7</v>
      </c>
      <c r="AP119" s="44">
        <v>5.7899999999999998E-7</v>
      </c>
      <c r="AQ119"/>
      <c r="AR119" s="44">
        <v>5.7899999999999998E-7</v>
      </c>
      <c r="AS119" s="44">
        <v>5.7899999999999998E-7</v>
      </c>
      <c r="AT119" s="44">
        <v>5.7899999999999998E-7</v>
      </c>
      <c r="AU119" s="44">
        <v>5.7899999999999998E-7</v>
      </c>
      <c r="AV119"/>
      <c r="AW119" s="44">
        <v>5.7899999999999998E-7</v>
      </c>
      <c r="AX119"/>
      <c r="AY119"/>
      <c r="AZ119" s="44">
        <v>5.7899999999999998E-7</v>
      </c>
    </row>
    <row r="120" spans="1:52" x14ac:dyDescent="0.25">
      <c r="A120" s="13" t="s">
        <v>64</v>
      </c>
      <c r="B120" s="3" t="s">
        <v>473</v>
      </c>
      <c r="C120" s="3" t="s">
        <v>483</v>
      </c>
      <c r="D120" s="3" t="s">
        <v>537</v>
      </c>
      <c r="E120" s="14" t="s">
        <v>175</v>
      </c>
      <c r="F120" s="14" t="s">
        <v>198</v>
      </c>
      <c r="G120" s="44">
        <v>2.0833333333333335E-4</v>
      </c>
      <c r="H120" s="44">
        <f t="shared" si="2"/>
        <v>2.0833333333333335E-4</v>
      </c>
      <c r="I120" s="44">
        <v>2.0833333333333335E-4</v>
      </c>
      <c r="J120" s="44">
        <v>2.0833333333333335E-4</v>
      </c>
      <c r="K120" s="44">
        <v>2.0833333333333335E-4</v>
      </c>
      <c r="L120" s="44">
        <v>2.0833333333333335E-4</v>
      </c>
      <c r="M120" s="44">
        <v>2.0833333333333335E-4</v>
      </c>
      <c r="N120" s="44">
        <v>2.0833333333333335E-4</v>
      </c>
      <c r="O120" s="44">
        <v>2.0833333333333335E-4</v>
      </c>
      <c r="P120" s="44">
        <v>2.0833333333333335E-4</v>
      </c>
      <c r="R120" s="44">
        <v>2.0833333333333335E-4</v>
      </c>
      <c r="S120" s="44">
        <v>2.0833333333333335E-4</v>
      </c>
      <c r="T120" s="44">
        <v>2.0833333333333335E-4</v>
      </c>
      <c r="U120" s="44">
        <v>2.0833333333333335E-4</v>
      </c>
      <c r="X120" s="44">
        <v>2.0833333333333335E-4</v>
      </c>
      <c r="Y120" s="44">
        <v>2.0833333333333335E-4</v>
      </c>
      <c r="Z120" s="44">
        <v>2.0833333333333335E-4</v>
      </c>
      <c r="AA120" s="44">
        <v>2.0833333333333335E-4</v>
      </c>
      <c r="AB120" s="44">
        <v>2.0833333333333335E-4</v>
      </c>
      <c r="AC120" s="44">
        <v>2.0833333333333335E-4</v>
      </c>
      <c r="AD120" s="44">
        <v>2.0833333333333335E-4</v>
      </c>
      <c r="AE120" s="44">
        <v>2.0833333333333335E-4</v>
      </c>
      <c r="AF120" s="44">
        <v>2.0833333333333335E-4</v>
      </c>
      <c r="AG120" s="44">
        <v>2.0833333333333335E-4</v>
      </c>
      <c r="AH120" s="44">
        <v>2.0833333333333335E-4</v>
      </c>
      <c r="AI120"/>
      <c r="AJ120" s="44">
        <v>2.0833333333333335E-4</v>
      </c>
      <c r="AK120" s="44">
        <v>2.0833333333333335E-4</v>
      </c>
      <c r="AL120" s="44">
        <v>2.0833333333333335E-4</v>
      </c>
      <c r="AM120" s="44">
        <v>2.0833333333333335E-4</v>
      </c>
      <c r="AN120" s="44">
        <v>2.0833333333333335E-4</v>
      </c>
      <c r="AO120" s="44">
        <v>2.0833333333333335E-4</v>
      </c>
      <c r="AP120" s="44">
        <v>2.0833333333333335E-4</v>
      </c>
      <c r="AQ120"/>
      <c r="AR120" s="44">
        <v>2.0833333333333335E-4</v>
      </c>
      <c r="AS120" s="44">
        <v>2.0833333333333335E-4</v>
      </c>
      <c r="AT120" s="44">
        <v>2.0833333333333335E-4</v>
      </c>
      <c r="AU120" s="44">
        <v>2.0833333333333335E-4</v>
      </c>
      <c r="AV120"/>
      <c r="AW120" s="44">
        <v>2.0833333333333335E-4</v>
      </c>
      <c r="AX120"/>
      <c r="AY120"/>
      <c r="AZ120" s="44">
        <v>2.0833333333333335E-4</v>
      </c>
    </row>
    <row r="121" spans="1:52" x14ac:dyDescent="0.25">
      <c r="A121" s="13" t="s">
        <v>452</v>
      </c>
      <c r="B121" s="3" t="s">
        <v>473</v>
      </c>
      <c r="C121" s="3" t="s">
        <v>483</v>
      </c>
      <c r="D121" s="3" t="s">
        <v>537</v>
      </c>
      <c r="E121" s="14" t="s">
        <v>453</v>
      </c>
      <c r="F121" s="14" t="s">
        <v>198</v>
      </c>
      <c r="G121" s="44">
        <v>1.0000000000000001E-5</v>
      </c>
      <c r="H121" s="44">
        <f t="shared" si="2"/>
        <v>1.0000000000000001E-5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R121" s="44">
        <v>0</v>
      </c>
      <c r="S121" s="44">
        <v>0</v>
      </c>
      <c r="T121" s="44">
        <v>0</v>
      </c>
      <c r="U121" s="44">
        <v>0</v>
      </c>
      <c r="X121" s="44">
        <v>0</v>
      </c>
      <c r="Y121" s="44">
        <v>0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4">
        <v>0</v>
      </c>
      <c r="AF121" s="44">
        <v>0</v>
      </c>
      <c r="AG121" s="44">
        <v>0</v>
      </c>
      <c r="AH121" s="44">
        <v>0</v>
      </c>
      <c r="AI121"/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/>
      <c r="AR121" s="44">
        <v>0</v>
      </c>
      <c r="AS121" s="44">
        <v>0</v>
      </c>
      <c r="AT121" s="44">
        <v>0</v>
      </c>
      <c r="AU121" s="44">
        <v>0</v>
      </c>
      <c r="AV121"/>
      <c r="AW121" s="44">
        <v>0</v>
      </c>
      <c r="AX121"/>
      <c r="AY121"/>
      <c r="AZ121" s="44">
        <v>0</v>
      </c>
    </row>
    <row r="122" spans="1:52" x14ac:dyDescent="0.25">
      <c r="A122" s="13" t="s">
        <v>454</v>
      </c>
      <c r="B122" s="3" t="s">
        <v>473</v>
      </c>
      <c r="C122" s="3" t="s">
        <v>483</v>
      </c>
      <c r="D122" s="3" t="s">
        <v>537</v>
      </c>
      <c r="E122" s="14" t="s">
        <v>455</v>
      </c>
      <c r="F122" s="14" t="s">
        <v>198</v>
      </c>
      <c r="G122" s="44">
        <v>1.0000000000000001E-5</v>
      </c>
      <c r="H122" s="44">
        <f t="shared" si="2"/>
        <v>1.0000000000000001E-5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R122" s="44">
        <v>0</v>
      </c>
      <c r="S122" s="44">
        <v>0</v>
      </c>
      <c r="T122" s="44">
        <v>0</v>
      </c>
      <c r="U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4">
        <v>0</v>
      </c>
      <c r="AF122" s="44">
        <v>0</v>
      </c>
      <c r="AG122" s="44">
        <v>0</v>
      </c>
      <c r="AH122" s="44">
        <v>0</v>
      </c>
      <c r="AI122"/>
      <c r="AJ122" s="44">
        <v>0</v>
      </c>
      <c r="AK122" s="44">
        <v>0</v>
      </c>
      <c r="AL122" s="44">
        <v>0</v>
      </c>
      <c r="AM122" s="44">
        <v>0</v>
      </c>
      <c r="AN122" s="44">
        <v>0</v>
      </c>
      <c r="AO122" s="44">
        <v>0</v>
      </c>
      <c r="AP122" s="44">
        <v>0</v>
      </c>
      <c r="AQ122"/>
      <c r="AR122" s="44">
        <v>0</v>
      </c>
      <c r="AS122" s="44">
        <v>0</v>
      </c>
      <c r="AT122" s="44">
        <v>0</v>
      </c>
      <c r="AU122" s="44">
        <v>0</v>
      </c>
      <c r="AV122"/>
      <c r="AW122" s="44">
        <v>0</v>
      </c>
      <c r="AX122"/>
      <c r="AY122"/>
      <c r="AZ122" s="44">
        <v>0</v>
      </c>
    </row>
    <row r="123" spans="1:52" x14ac:dyDescent="0.25">
      <c r="A123" s="38" t="s">
        <v>444</v>
      </c>
      <c r="B123" s="3" t="s">
        <v>473</v>
      </c>
      <c r="C123" s="3" t="s">
        <v>483</v>
      </c>
      <c r="D123" s="3" t="s">
        <v>537</v>
      </c>
      <c r="E123" s="39" t="s">
        <v>178</v>
      </c>
      <c r="F123" s="39" t="s">
        <v>179</v>
      </c>
      <c r="G123" s="44">
        <v>1.9999999999999999E-7</v>
      </c>
      <c r="H123" s="44">
        <f t="shared" si="2"/>
        <v>1.9999999999999999E-7</v>
      </c>
      <c r="I123" s="44">
        <v>5.9999999999999997E-7</v>
      </c>
      <c r="J123" s="44">
        <v>5.9999999999999997E-7</v>
      </c>
      <c r="K123" s="44">
        <v>5.9999999999999997E-7</v>
      </c>
      <c r="L123" s="44">
        <v>5.9999999999999997E-7</v>
      </c>
      <c r="M123" s="44">
        <v>5.9999999999999997E-7</v>
      </c>
      <c r="N123" s="44">
        <v>5.9999999999999997E-7</v>
      </c>
      <c r="O123" s="44">
        <v>5.9999999999999997E-7</v>
      </c>
      <c r="P123" s="44">
        <v>5.9999999999999997E-7</v>
      </c>
      <c r="R123" s="44">
        <v>5.9999999999999997E-7</v>
      </c>
      <c r="S123" s="44">
        <v>5.9999999999999997E-7</v>
      </c>
      <c r="T123" s="44">
        <v>5.9999999999999997E-7</v>
      </c>
      <c r="U123" s="44">
        <v>5.9999999999999997E-7</v>
      </c>
      <c r="X123" s="44">
        <v>5.9999999999999997E-7</v>
      </c>
      <c r="Y123" s="44">
        <v>5.9999999999999997E-7</v>
      </c>
      <c r="Z123" s="44">
        <v>5.9999999999999997E-7</v>
      </c>
      <c r="AA123" s="44">
        <v>5.9999999999999997E-7</v>
      </c>
      <c r="AB123" s="44">
        <v>5.9999999999999997E-7</v>
      </c>
      <c r="AC123" s="44">
        <v>5.9999999999999997E-7</v>
      </c>
      <c r="AD123" s="44">
        <v>5.9999999999999997E-7</v>
      </c>
      <c r="AE123" s="44">
        <v>5.9999999999999997E-7</v>
      </c>
      <c r="AF123" s="44">
        <v>5.9999999999999997E-7</v>
      </c>
      <c r="AG123" s="44">
        <v>5.9999999999999997E-7</v>
      </c>
      <c r="AH123" s="44">
        <v>5.9999999999999997E-7</v>
      </c>
      <c r="AI123"/>
      <c r="AJ123" s="44">
        <v>5.9999999999999997E-7</v>
      </c>
      <c r="AK123" s="44">
        <v>5.9999999999999997E-7</v>
      </c>
      <c r="AL123" s="44">
        <v>5.9999999999999997E-7</v>
      </c>
      <c r="AM123" s="44">
        <v>5.9999999999999997E-7</v>
      </c>
      <c r="AN123" s="44">
        <v>5.9999999999999997E-7</v>
      </c>
      <c r="AO123" s="44">
        <v>5.9999999999999997E-7</v>
      </c>
      <c r="AP123" s="44">
        <v>5.9999999999999997E-7</v>
      </c>
      <c r="AQ123"/>
      <c r="AR123" s="44">
        <v>5.9999999999999997E-7</v>
      </c>
      <c r="AS123" s="44">
        <v>5.9999999999999997E-7</v>
      </c>
      <c r="AT123" s="44">
        <v>5.9999999999999997E-7</v>
      </c>
      <c r="AU123" s="44">
        <v>5.9999999999999997E-7</v>
      </c>
      <c r="AV123"/>
      <c r="AW123" s="44">
        <v>5.9999999999999997E-7</v>
      </c>
      <c r="AX123"/>
      <c r="AY123"/>
      <c r="AZ123" s="44">
        <v>9.9999999999999995E-8</v>
      </c>
    </row>
    <row r="124" spans="1:52" x14ac:dyDescent="0.25">
      <c r="A124" s="38" t="s">
        <v>67</v>
      </c>
      <c r="B124" s="3" t="s">
        <v>473</v>
      </c>
      <c r="C124" s="3" t="s">
        <v>483</v>
      </c>
      <c r="D124" s="3" t="s">
        <v>537</v>
      </c>
      <c r="E124" s="39" t="s">
        <v>445</v>
      </c>
      <c r="F124" s="39" t="s">
        <v>446</v>
      </c>
      <c r="G124" s="44">
        <f>1000 * 0.000001 / 12</f>
        <v>8.3333333333333331E-5</v>
      </c>
      <c r="H124" s="44">
        <f t="shared" si="2"/>
        <v>8.3333333333333331E-5</v>
      </c>
      <c r="I124" s="44">
        <f t="shared" ref="I124:AZ124" si="17">1000 * 0.000001 / 12</f>
        <v>8.3333333333333331E-5</v>
      </c>
      <c r="J124" s="44">
        <f t="shared" si="17"/>
        <v>8.3333333333333331E-5</v>
      </c>
      <c r="K124" s="44">
        <f t="shared" si="17"/>
        <v>8.3333333333333331E-5</v>
      </c>
      <c r="L124" s="44">
        <f t="shared" si="17"/>
        <v>8.3333333333333331E-5</v>
      </c>
      <c r="M124" s="44">
        <f t="shared" si="17"/>
        <v>8.3333333333333331E-5</v>
      </c>
      <c r="N124" s="44">
        <f t="shared" si="17"/>
        <v>8.3333333333333331E-5</v>
      </c>
      <c r="O124" s="44">
        <f t="shared" si="17"/>
        <v>8.3333333333333331E-5</v>
      </c>
      <c r="P124" s="44">
        <f t="shared" si="17"/>
        <v>8.3333333333333331E-5</v>
      </c>
      <c r="R124" s="44">
        <f t="shared" si="17"/>
        <v>8.3333333333333331E-5</v>
      </c>
      <c r="S124" s="44">
        <f t="shared" si="17"/>
        <v>8.3333333333333331E-5</v>
      </c>
      <c r="T124" s="44">
        <f t="shared" si="17"/>
        <v>8.3333333333333331E-5</v>
      </c>
      <c r="U124" s="44">
        <f t="shared" si="17"/>
        <v>8.3333333333333331E-5</v>
      </c>
      <c r="X124" s="44">
        <f t="shared" si="17"/>
        <v>8.3333333333333331E-5</v>
      </c>
      <c r="Y124" s="44">
        <f t="shared" si="17"/>
        <v>8.3333333333333331E-5</v>
      </c>
      <c r="Z124" s="44">
        <f t="shared" si="17"/>
        <v>8.3333333333333331E-5</v>
      </c>
      <c r="AA124" s="44">
        <f t="shared" si="17"/>
        <v>8.3333333333333331E-5</v>
      </c>
      <c r="AB124" s="44">
        <f t="shared" si="17"/>
        <v>8.3333333333333331E-5</v>
      </c>
      <c r="AC124" s="44">
        <f t="shared" si="17"/>
        <v>8.3333333333333331E-5</v>
      </c>
      <c r="AD124" s="44">
        <f t="shared" si="17"/>
        <v>8.3333333333333331E-5</v>
      </c>
      <c r="AE124" s="44">
        <f t="shared" si="17"/>
        <v>8.3333333333333331E-5</v>
      </c>
      <c r="AF124" s="44">
        <f t="shared" si="17"/>
        <v>8.3333333333333331E-5</v>
      </c>
      <c r="AG124" s="44">
        <f t="shared" si="17"/>
        <v>8.3333333333333331E-5</v>
      </c>
      <c r="AH124" s="44">
        <f t="shared" si="17"/>
        <v>8.3333333333333331E-5</v>
      </c>
      <c r="AI124"/>
      <c r="AJ124" s="44">
        <f t="shared" si="17"/>
        <v>8.3333333333333331E-5</v>
      </c>
      <c r="AK124" s="44">
        <f t="shared" si="17"/>
        <v>8.3333333333333331E-5</v>
      </c>
      <c r="AL124" s="44">
        <f t="shared" si="17"/>
        <v>8.3333333333333331E-5</v>
      </c>
      <c r="AM124" s="44">
        <f t="shared" si="17"/>
        <v>8.3333333333333331E-5</v>
      </c>
      <c r="AN124" s="44">
        <f t="shared" si="17"/>
        <v>8.3333333333333331E-5</v>
      </c>
      <c r="AO124" s="44">
        <f t="shared" si="17"/>
        <v>8.3333333333333331E-5</v>
      </c>
      <c r="AP124" s="44">
        <f t="shared" si="17"/>
        <v>8.3333333333333331E-5</v>
      </c>
      <c r="AQ124"/>
      <c r="AR124" s="44">
        <f t="shared" si="17"/>
        <v>8.3333333333333331E-5</v>
      </c>
      <c r="AS124" s="44">
        <f t="shared" si="17"/>
        <v>8.3333333333333331E-5</v>
      </c>
      <c r="AT124" s="44">
        <f t="shared" si="17"/>
        <v>8.3333333333333331E-5</v>
      </c>
      <c r="AU124" s="44">
        <f t="shared" si="17"/>
        <v>8.3333333333333331E-5</v>
      </c>
      <c r="AV124"/>
      <c r="AW124" s="44">
        <f t="shared" si="17"/>
        <v>8.3333333333333331E-5</v>
      </c>
      <c r="AX124"/>
      <c r="AY124"/>
      <c r="AZ124" s="44">
        <f t="shared" si="17"/>
        <v>8.3333333333333331E-5</v>
      </c>
    </row>
    <row r="125" spans="1:52" x14ac:dyDescent="0.25">
      <c r="A125" s="38" t="s">
        <v>448</v>
      </c>
      <c r="B125" s="3" t="s">
        <v>473</v>
      </c>
      <c r="C125" s="3" t="s">
        <v>483</v>
      </c>
      <c r="D125" s="3" t="s">
        <v>537</v>
      </c>
      <c r="E125" s="39" t="s">
        <v>449</v>
      </c>
      <c r="F125" s="39" t="s">
        <v>94</v>
      </c>
      <c r="G125" s="44" t="s">
        <v>87</v>
      </c>
      <c r="H125" s="44" t="str">
        <f t="shared" si="2"/>
        <v>False</v>
      </c>
      <c r="I125" s="44" t="s">
        <v>86</v>
      </c>
      <c r="J125" s="44" t="s">
        <v>86</v>
      </c>
      <c r="K125" s="44" t="s">
        <v>86</v>
      </c>
      <c r="L125" s="44" t="s">
        <v>86</v>
      </c>
      <c r="M125" s="44" t="s">
        <v>86</v>
      </c>
      <c r="N125" s="44" t="s">
        <v>86</v>
      </c>
      <c r="O125" s="44" t="s">
        <v>86</v>
      </c>
      <c r="P125" s="44" t="s">
        <v>86</v>
      </c>
      <c r="R125" s="44" t="s">
        <v>86</v>
      </c>
      <c r="S125" s="44" t="s">
        <v>86</v>
      </c>
      <c r="T125" s="44" t="s">
        <v>86</v>
      </c>
      <c r="U125" s="44" t="s">
        <v>86</v>
      </c>
      <c r="X125" s="44" t="s">
        <v>86</v>
      </c>
      <c r="Y125" s="44" t="s">
        <v>86</v>
      </c>
      <c r="Z125" s="44" t="s">
        <v>86</v>
      </c>
      <c r="AA125" s="44" t="s">
        <v>86</v>
      </c>
      <c r="AB125" s="44" t="s">
        <v>86</v>
      </c>
      <c r="AC125" s="44" t="s">
        <v>86</v>
      </c>
      <c r="AD125" s="44" t="s">
        <v>86</v>
      </c>
      <c r="AE125" s="44" t="s">
        <v>86</v>
      </c>
      <c r="AF125" s="44" t="s">
        <v>86</v>
      </c>
      <c r="AG125" s="44" t="s">
        <v>86</v>
      </c>
      <c r="AH125" s="44" t="s">
        <v>86</v>
      </c>
      <c r="AI125"/>
      <c r="AJ125" s="44" t="s">
        <v>86</v>
      </c>
      <c r="AK125" s="44" t="s">
        <v>86</v>
      </c>
      <c r="AL125" s="44" t="s">
        <v>86</v>
      </c>
      <c r="AM125" s="44" t="s">
        <v>86</v>
      </c>
      <c r="AN125" s="44" t="s">
        <v>86</v>
      </c>
      <c r="AO125" s="44" t="s">
        <v>86</v>
      </c>
      <c r="AP125" s="44" t="s">
        <v>86</v>
      </c>
      <c r="AQ125"/>
      <c r="AR125" s="44" t="s">
        <v>86</v>
      </c>
      <c r="AS125" s="44" t="s">
        <v>86</v>
      </c>
      <c r="AT125" s="44" t="s">
        <v>86</v>
      </c>
      <c r="AU125" s="44" t="s">
        <v>86</v>
      </c>
      <c r="AV125"/>
      <c r="AW125" s="44" t="s">
        <v>86</v>
      </c>
      <c r="AX125"/>
      <c r="AY125"/>
      <c r="AZ125" s="44" t="s">
        <v>86</v>
      </c>
    </row>
    <row r="126" spans="1:52" x14ac:dyDescent="0.25">
      <c r="A126" s="21" t="s">
        <v>66</v>
      </c>
      <c r="B126" s="3" t="s">
        <v>473</v>
      </c>
      <c r="C126" s="3" t="s">
        <v>483</v>
      </c>
      <c r="D126" s="3" t="s">
        <v>537</v>
      </c>
      <c r="E126" s="22" t="s">
        <v>177</v>
      </c>
      <c r="F126" s="22" t="s">
        <v>199</v>
      </c>
      <c r="G126" s="44">
        <v>5.0000000000000001E-4</v>
      </c>
      <c r="H126" s="44">
        <v>5.0000000000000001E-4</v>
      </c>
      <c r="I126" s="44">
        <v>5.0000000000000001E-4</v>
      </c>
      <c r="J126" s="44">
        <v>5.0000000000000001E-4</v>
      </c>
      <c r="K126" s="44">
        <v>5.0000000000000001E-4</v>
      </c>
      <c r="L126" s="44">
        <v>5.0000000000000001E-4</v>
      </c>
      <c r="M126" s="44">
        <v>5.0000000000000001E-4</v>
      </c>
      <c r="N126" s="44">
        <v>5.0000000000000001E-4</v>
      </c>
      <c r="O126" s="44">
        <v>5.0000000000000001E-4</v>
      </c>
      <c r="P126" s="44">
        <v>5.0000000000000001E-4</v>
      </c>
      <c r="R126" s="44">
        <v>5.0000000000000001E-4</v>
      </c>
      <c r="S126" s="44">
        <v>5.0000000000000001E-4</v>
      </c>
      <c r="T126" s="44">
        <v>5.0000000000000001E-4</v>
      </c>
      <c r="U126" s="44">
        <v>5.0000000000000001E-4</v>
      </c>
      <c r="X126" s="44">
        <v>5.0000000000000001E-4</v>
      </c>
      <c r="Y126" s="44">
        <v>5.0000000000000001E-4</v>
      </c>
      <c r="Z126" s="44">
        <v>5.0000000000000001E-4</v>
      </c>
      <c r="AA126" s="44">
        <v>5.0000000000000001E-4</v>
      </c>
      <c r="AB126" s="44">
        <v>5.0000000000000001E-4</v>
      </c>
      <c r="AC126" s="44">
        <v>5.0000000000000001E-4</v>
      </c>
      <c r="AD126" s="44">
        <v>5.0000000000000001E-4</v>
      </c>
      <c r="AE126" s="44">
        <v>5.0000000000000001E-4</v>
      </c>
      <c r="AF126" s="44">
        <v>5.0000000000000001E-4</v>
      </c>
      <c r="AG126" s="44">
        <v>5.0000000000000001E-4</v>
      </c>
      <c r="AH126" s="44">
        <v>5.0000000000000001E-4</v>
      </c>
      <c r="AI126"/>
      <c r="AJ126" s="44">
        <v>5.0000000000000001E-4</v>
      </c>
      <c r="AK126" s="44">
        <v>5.0000000000000001E-4</v>
      </c>
      <c r="AL126" s="44">
        <v>5.0000000000000001E-4</v>
      </c>
      <c r="AM126" s="44">
        <v>5.0000000000000001E-4</v>
      </c>
      <c r="AN126" s="44">
        <v>5.0000000000000001E-4</v>
      </c>
      <c r="AO126" s="44">
        <v>5.0000000000000001E-4</v>
      </c>
      <c r="AP126" s="44">
        <v>5.0000000000000001E-4</v>
      </c>
      <c r="AQ126"/>
      <c r="AR126" s="44">
        <v>5.0000000000000001E-4</v>
      </c>
      <c r="AS126" s="44">
        <v>5.0000000000000001E-4</v>
      </c>
      <c r="AT126" s="44">
        <v>5.0000000000000001E-4</v>
      </c>
      <c r="AU126" s="44">
        <v>5.0000000000000001E-4</v>
      </c>
      <c r="AV126"/>
      <c r="AW126" s="44">
        <v>5.0000000000000001E-4</v>
      </c>
      <c r="AX126"/>
      <c r="AY126"/>
      <c r="AZ126" s="44">
        <v>5.0000000000000001E-4</v>
      </c>
    </row>
    <row r="127" spans="1:52" x14ac:dyDescent="0.25">
      <c r="A127" s="21" t="s">
        <v>441</v>
      </c>
      <c r="B127" s="3" t="s">
        <v>473</v>
      </c>
      <c r="C127" s="3" t="s">
        <v>483</v>
      </c>
      <c r="D127" s="3" t="s">
        <v>537</v>
      </c>
      <c r="E127" s="22" t="s">
        <v>442</v>
      </c>
      <c r="F127" s="22" t="s">
        <v>443</v>
      </c>
      <c r="G127" s="44">
        <v>1.0000000000000001E-9</v>
      </c>
      <c r="H127" s="44">
        <f t="shared" si="2"/>
        <v>1.0000000000000001E-9</v>
      </c>
      <c r="I127" s="44">
        <v>4.9999999999999999E-13</v>
      </c>
      <c r="J127" s="44">
        <v>4.9999999999999999E-13</v>
      </c>
      <c r="K127" s="44">
        <v>4.9999999999999999E-13</v>
      </c>
      <c r="L127" s="44">
        <v>4.9999999999999999E-13</v>
      </c>
      <c r="M127" s="44">
        <v>4.9999999999999999E-13</v>
      </c>
      <c r="N127" s="44">
        <v>4.9999999999999999E-13</v>
      </c>
      <c r="O127" s="44">
        <v>4.9999999999999999E-13</v>
      </c>
      <c r="P127" s="44">
        <v>4.9999999999999999E-13</v>
      </c>
      <c r="R127" s="44">
        <v>4.9999999999999999E-13</v>
      </c>
      <c r="S127" s="44">
        <v>4.9999999999999999E-13</v>
      </c>
      <c r="T127" s="44">
        <v>4.9999999999999999E-13</v>
      </c>
      <c r="U127" s="44">
        <v>4.9999999999999999E-13</v>
      </c>
      <c r="X127" s="44">
        <v>4.9999999999999999E-13</v>
      </c>
      <c r="Y127" s="44">
        <v>4.9999999999999999E-13</v>
      </c>
      <c r="Z127" s="44">
        <v>4.9999999999999999E-13</v>
      </c>
      <c r="AA127" s="44">
        <v>4.9999999999999999E-13</v>
      </c>
      <c r="AB127" s="44">
        <v>4.9999999999999999E-13</v>
      </c>
      <c r="AC127" s="44">
        <v>4.9999999999999999E-13</v>
      </c>
      <c r="AD127" s="44">
        <v>4.9999999999999999E-13</v>
      </c>
      <c r="AE127" s="44">
        <v>4.9999999999999999E-13</v>
      </c>
      <c r="AF127" s="44">
        <v>4.9999999999999999E-13</v>
      </c>
      <c r="AG127" s="44">
        <v>4.9999999999999999E-13</v>
      </c>
      <c r="AH127" s="44">
        <v>4.9999999999999999E-13</v>
      </c>
      <c r="AI127"/>
      <c r="AJ127" s="44">
        <v>4.9999999999999999E-13</v>
      </c>
      <c r="AK127" s="44">
        <v>4.9999999999999999E-13</v>
      </c>
      <c r="AL127" s="44">
        <v>4.9999999999999999E-13</v>
      </c>
      <c r="AM127" s="44">
        <v>4.9999999999999999E-13</v>
      </c>
      <c r="AN127" s="44">
        <v>4.9999999999999999E-13</v>
      </c>
      <c r="AO127" s="44">
        <v>4.9999999999999999E-13</v>
      </c>
      <c r="AP127" s="44">
        <v>4.9999999999999999E-13</v>
      </c>
      <c r="AQ127"/>
      <c r="AR127" s="44">
        <v>4.9999999999999999E-13</v>
      </c>
      <c r="AS127" s="44">
        <v>4.9999999999999999E-13</v>
      </c>
      <c r="AT127" s="44">
        <v>4.9999999999999999E-13</v>
      </c>
      <c r="AU127" s="44">
        <v>4.9999999999999999E-13</v>
      </c>
      <c r="AV127"/>
      <c r="AW127" s="44">
        <v>4.9999999999999999E-13</v>
      </c>
      <c r="AX127"/>
      <c r="AY127"/>
      <c r="AZ127" s="44">
        <v>4.9999999999999999E-13</v>
      </c>
    </row>
    <row r="128" spans="1:52" x14ac:dyDescent="0.25">
      <c r="A128" s="21" t="s">
        <v>228</v>
      </c>
      <c r="B128" s="3" t="s">
        <v>473</v>
      </c>
      <c r="C128" s="3" t="s">
        <v>483</v>
      </c>
      <c r="D128" s="3" t="s">
        <v>537</v>
      </c>
      <c r="E128" s="22" t="s">
        <v>311</v>
      </c>
      <c r="F128" s="22" t="s">
        <v>109</v>
      </c>
      <c r="G128" s="44">
        <v>10</v>
      </c>
      <c r="H128" s="44">
        <f t="shared" si="2"/>
        <v>10</v>
      </c>
      <c r="I128" s="44">
        <v>10</v>
      </c>
      <c r="J128" s="44">
        <v>10</v>
      </c>
      <c r="K128" s="44">
        <v>10</v>
      </c>
      <c r="L128" s="44">
        <v>10</v>
      </c>
      <c r="M128" s="44">
        <v>10</v>
      </c>
      <c r="N128" s="44">
        <v>10</v>
      </c>
      <c r="O128" s="44">
        <v>10</v>
      </c>
      <c r="P128" s="44">
        <v>10</v>
      </c>
      <c r="R128" s="44">
        <v>10</v>
      </c>
      <c r="S128" s="44">
        <v>10</v>
      </c>
      <c r="T128" s="44">
        <v>10</v>
      </c>
      <c r="U128" s="44">
        <v>10</v>
      </c>
      <c r="X128" s="44">
        <v>10</v>
      </c>
      <c r="Y128" s="44">
        <v>10</v>
      </c>
      <c r="Z128" s="44">
        <v>10</v>
      </c>
      <c r="AA128" s="44">
        <v>10</v>
      </c>
      <c r="AB128" s="44">
        <v>10</v>
      </c>
      <c r="AC128" s="44">
        <v>10</v>
      </c>
      <c r="AD128" s="44">
        <v>10</v>
      </c>
      <c r="AE128" s="44">
        <v>10</v>
      </c>
      <c r="AF128" s="44">
        <v>10</v>
      </c>
      <c r="AG128" s="44">
        <v>10</v>
      </c>
      <c r="AH128" s="44">
        <v>10</v>
      </c>
      <c r="AI128"/>
      <c r="AJ128" s="44">
        <v>10</v>
      </c>
      <c r="AK128" s="44">
        <v>10</v>
      </c>
      <c r="AL128" s="44">
        <v>10</v>
      </c>
      <c r="AM128" s="44">
        <v>10</v>
      </c>
      <c r="AN128" s="44">
        <v>10</v>
      </c>
      <c r="AO128" s="44">
        <v>10</v>
      </c>
      <c r="AP128" s="44">
        <v>10</v>
      </c>
      <c r="AQ128"/>
      <c r="AR128" s="44">
        <v>10</v>
      </c>
      <c r="AS128" s="44">
        <v>10</v>
      </c>
      <c r="AT128" s="44">
        <v>10</v>
      </c>
      <c r="AU128" s="44">
        <v>10</v>
      </c>
      <c r="AV128"/>
      <c r="AW128" s="44">
        <v>10</v>
      </c>
      <c r="AX128"/>
      <c r="AY128"/>
      <c r="AZ128" s="44">
        <v>10</v>
      </c>
    </row>
    <row r="129" spans="1:52" x14ac:dyDescent="0.25">
      <c r="A129" s="21" t="s">
        <v>229</v>
      </c>
      <c r="B129" s="3" t="s">
        <v>473</v>
      </c>
      <c r="C129" s="3" t="s">
        <v>483</v>
      </c>
      <c r="D129" s="3" t="s">
        <v>537</v>
      </c>
      <c r="E129" s="22" t="s">
        <v>312</v>
      </c>
      <c r="F129" s="22" t="s">
        <v>301</v>
      </c>
      <c r="G129" s="44">
        <v>-0.04</v>
      </c>
      <c r="H129" s="44">
        <f t="shared" si="2"/>
        <v>-0.04</v>
      </c>
      <c r="I129" s="44">
        <v>-0.04</v>
      </c>
      <c r="J129" s="44">
        <v>-0.04</v>
      </c>
      <c r="K129" s="44">
        <v>-0.04</v>
      </c>
      <c r="L129" s="44">
        <v>-0.04</v>
      </c>
      <c r="M129" s="44">
        <v>-0.04</v>
      </c>
      <c r="N129" s="44">
        <v>-0.04</v>
      </c>
      <c r="O129" s="44">
        <v>-0.04</v>
      </c>
      <c r="P129" s="44">
        <v>-0.04</v>
      </c>
      <c r="R129" s="44">
        <v>-0.04</v>
      </c>
      <c r="S129" s="44">
        <v>-0.04</v>
      </c>
      <c r="T129" s="44">
        <v>-0.04</v>
      </c>
      <c r="U129" s="44">
        <v>-0.04</v>
      </c>
      <c r="X129" s="44">
        <v>-0.04</v>
      </c>
      <c r="Y129" s="44">
        <v>-0.04</v>
      </c>
      <c r="Z129" s="44">
        <v>-0.04</v>
      </c>
      <c r="AA129" s="44">
        <v>-0.04</v>
      </c>
      <c r="AB129" s="44">
        <v>-0.04</v>
      </c>
      <c r="AC129" s="44">
        <v>-0.04</v>
      </c>
      <c r="AD129" s="44">
        <v>-0.04</v>
      </c>
      <c r="AE129" s="44">
        <v>-0.04</v>
      </c>
      <c r="AF129" s="44">
        <v>-0.04</v>
      </c>
      <c r="AG129" s="44">
        <v>-0.04</v>
      </c>
      <c r="AH129" s="44">
        <v>-0.04</v>
      </c>
      <c r="AI129"/>
      <c r="AJ129" s="44">
        <v>-0.04</v>
      </c>
      <c r="AK129" s="44">
        <v>-0.04</v>
      </c>
      <c r="AL129" s="44">
        <v>-0.04</v>
      </c>
      <c r="AM129" s="44">
        <v>-0.04</v>
      </c>
      <c r="AN129" s="44">
        <v>-0.04</v>
      </c>
      <c r="AO129" s="44">
        <v>-0.04</v>
      </c>
      <c r="AP129" s="44">
        <v>-0.04</v>
      </c>
      <c r="AQ129"/>
      <c r="AR129" s="44">
        <v>-0.04</v>
      </c>
      <c r="AS129" s="44">
        <v>-0.04</v>
      </c>
      <c r="AT129" s="44">
        <v>-0.04</v>
      </c>
      <c r="AU129" s="44">
        <v>-0.04</v>
      </c>
      <c r="AV129"/>
      <c r="AW129" s="44">
        <v>-0.04</v>
      </c>
      <c r="AX129"/>
      <c r="AY129"/>
      <c r="AZ129" s="44">
        <v>-0.04</v>
      </c>
    </row>
    <row r="130" spans="1:52" x14ac:dyDescent="0.25">
      <c r="A130" s="21" t="s">
        <v>230</v>
      </c>
      <c r="B130" s="3" t="s">
        <v>473</v>
      </c>
      <c r="C130" s="3" t="s">
        <v>483</v>
      </c>
      <c r="D130" s="3" t="s">
        <v>537</v>
      </c>
      <c r="E130" s="22" t="s">
        <v>313</v>
      </c>
      <c r="F130" s="22" t="s">
        <v>100</v>
      </c>
      <c r="G130" s="44">
        <v>2.9</v>
      </c>
      <c r="H130" s="44">
        <f t="shared" si="2"/>
        <v>2.9</v>
      </c>
      <c r="I130" s="44">
        <v>2.9</v>
      </c>
      <c r="J130" s="44">
        <v>2.9</v>
      </c>
      <c r="K130" s="44">
        <v>2.9</v>
      </c>
      <c r="L130" s="44">
        <v>2.9</v>
      </c>
      <c r="M130" s="44">
        <v>2.9</v>
      </c>
      <c r="N130" s="44">
        <v>2.9</v>
      </c>
      <c r="O130" s="44">
        <v>2.9</v>
      </c>
      <c r="P130" s="44">
        <v>2.9</v>
      </c>
      <c r="R130" s="44">
        <v>2.9</v>
      </c>
      <c r="S130" s="44">
        <v>2.9</v>
      </c>
      <c r="T130" s="44">
        <v>2.9</v>
      </c>
      <c r="U130" s="44">
        <v>2.9</v>
      </c>
      <c r="X130" s="44">
        <v>2.9</v>
      </c>
      <c r="Y130" s="44">
        <v>2.9</v>
      </c>
      <c r="Z130" s="44">
        <v>2.9</v>
      </c>
      <c r="AA130" s="44">
        <v>2.9</v>
      </c>
      <c r="AB130" s="44">
        <v>2.9</v>
      </c>
      <c r="AC130" s="44">
        <v>2.9</v>
      </c>
      <c r="AD130" s="44">
        <v>2.9</v>
      </c>
      <c r="AE130" s="44">
        <v>2.9</v>
      </c>
      <c r="AF130" s="44">
        <v>2.9</v>
      </c>
      <c r="AG130" s="44">
        <v>2.9</v>
      </c>
      <c r="AH130" s="44">
        <v>2.9</v>
      </c>
      <c r="AI130"/>
      <c r="AJ130" s="44">
        <v>2.9</v>
      </c>
      <c r="AK130" s="44">
        <v>2.9</v>
      </c>
      <c r="AL130" s="44">
        <v>2.9</v>
      </c>
      <c r="AM130" s="44">
        <v>2.9</v>
      </c>
      <c r="AN130" s="44">
        <v>2.9</v>
      </c>
      <c r="AO130" s="44">
        <v>2.9</v>
      </c>
      <c r="AP130" s="44">
        <v>2.9</v>
      </c>
      <c r="AQ130"/>
      <c r="AR130" s="44">
        <v>2.9</v>
      </c>
      <c r="AS130" s="44">
        <v>2.9</v>
      </c>
      <c r="AT130" s="44">
        <v>2.9</v>
      </c>
      <c r="AU130" s="44">
        <v>2.9</v>
      </c>
      <c r="AV130"/>
      <c r="AW130" s="44">
        <v>2.9</v>
      </c>
      <c r="AX130"/>
      <c r="AY130"/>
      <c r="AZ130" s="44">
        <v>2.9</v>
      </c>
    </row>
    <row r="131" spans="1:52" x14ac:dyDescent="0.25">
      <c r="A131" s="21" t="s">
        <v>231</v>
      </c>
      <c r="B131" s="3" t="s">
        <v>473</v>
      </c>
      <c r="C131" s="3" t="s">
        <v>483</v>
      </c>
      <c r="D131" s="3" t="s">
        <v>537</v>
      </c>
      <c r="E131" s="22" t="s">
        <v>314</v>
      </c>
      <c r="F131" s="22" t="s">
        <v>95</v>
      </c>
      <c r="G131" s="44">
        <v>1</v>
      </c>
      <c r="H131" s="44">
        <f t="shared" si="2"/>
        <v>1</v>
      </c>
      <c r="I131" s="44">
        <v>1</v>
      </c>
      <c r="J131" s="44">
        <v>1</v>
      </c>
      <c r="K131" s="44">
        <v>1</v>
      </c>
      <c r="L131" s="44">
        <v>1</v>
      </c>
      <c r="M131" s="44">
        <v>1</v>
      </c>
      <c r="N131" s="44">
        <v>1</v>
      </c>
      <c r="O131" s="44">
        <v>1</v>
      </c>
      <c r="P131" s="44">
        <v>1</v>
      </c>
      <c r="R131" s="44">
        <v>1</v>
      </c>
      <c r="S131" s="44">
        <v>1</v>
      </c>
      <c r="T131" s="44">
        <v>1</v>
      </c>
      <c r="U131" s="44">
        <v>1</v>
      </c>
      <c r="X131" s="44">
        <v>1</v>
      </c>
      <c r="Y131" s="44">
        <v>1</v>
      </c>
      <c r="Z131" s="44">
        <v>1</v>
      </c>
      <c r="AA131" s="44">
        <v>1</v>
      </c>
      <c r="AB131" s="44">
        <v>1</v>
      </c>
      <c r="AC131" s="44">
        <v>1</v>
      </c>
      <c r="AD131" s="44">
        <v>1</v>
      </c>
      <c r="AE131" s="44">
        <v>1</v>
      </c>
      <c r="AF131" s="44">
        <v>1</v>
      </c>
      <c r="AG131" s="44">
        <v>1</v>
      </c>
      <c r="AH131" s="44">
        <v>1</v>
      </c>
      <c r="AI131"/>
      <c r="AJ131" s="44">
        <v>1</v>
      </c>
      <c r="AK131" s="44">
        <v>1</v>
      </c>
      <c r="AL131" s="44">
        <v>1</v>
      </c>
      <c r="AM131" s="44">
        <v>1</v>
      </c>
      <c r="AN131" s="44">
        <v>1</v>
      </c>
      <c r="AO131" s="44">
        <v>1</v>
      </c>
      <c r="AP131" s="44">
        <v>1</v>
      </c>
      <c r="AQ131"/>
      <c r="AR131" s="44">
        <v>1</v>
      </c>
      <c r="AS131" s="44">
        <v>1</v>
      </c>
      <c r="AT131" s="44">
        <v>1</v>
      </c>
      <c r="AU131" s="44">
        <v>1</v>
      </c>
      <c r="AV131"/>
      <c r="AW131" s="44">
        <v>1</v>
      </c>
      <c r="AX131"/>
      <c r="AY131"/>
      <c r="AZ131" s="44">
        <v>1</v>
      </c>
    </row>
    <row r="132" spans="1:52" x14ac:dyDescent="0.25">
      <c r="A132" s="21" t="s">
        <v>68</v>
      </c>
      <c r="B132" s="3" t="s">
        <v>473</v>
      </c>
      <c r="C132" s="3" t="s">
        <v>483</v>
      </c>
      <c r="D132" s="3" t="s">
        <v>537</v>
      </c>
      <c r="E132" s="22" t="s">
        <v>178</v>
      </c>
      <c r="F132" s="22" t="s">
        <v>179</v>
      </c>
      <c r="G132" s="44">
        <v>6.0000000000000002E-5</v>
      </c>
      <c r="H132" s="44">
        <f t="shared" si="2"/>
        <v>6.0000000000000002E-5</v>
      </c>
      <c r="I132" s="44">
        <v>1.9999999999999999E-7</v>
      </c>
      <c r="J132" s="44">
        <v>1.9999999999999999E-7</v>
      </c>
      <c r="K132" s="44">
        <v>1.9999999999999999E-7</v>
      </c>
      <c r="L132" s="44">
        <v>1.9999999999999999E-7</v>
      </c>
      <c r="M132" s="44">
        <v>1.9999999999999999E-7</v>
      </c>
      <c r="N132" s="44">
        <v>1.9999999999999999E-7</v>
      </c>
      <c r="O132" s="44">
        <v>1.9999999999999999E-7</v>
      </c>
      <c r="P132" s="44">
        <v>1.9999999999999999E-7</v>
      </c>
      <c r="R132" s="44">
        <v>1.9999999999999999E-7</v>
      </c>
      <c r="S132" s="44">
        <v>1.9999999999999999E-7</v>
      </c>
      <c r="T132" s="44">
        <v>1.9999999999999999E-7</v>
      </c>
      <c r="U132" s="44">
        <v>1.9999999999999999E-7</v>
      </c>
      <c r="X132" s="44">
        <v>1.9999999999999999E-7</v>
      </c>
      <c r="Y132" s="44">
        <v>1.9999999999999999E-7</v>
      </c>
      <c r="Z132" s="44">
        <v>1.9999999999999999E-7</v>
      </c>
      <c r="AA132" s="44">
        <v>1.9999999999999999E-7</v>
      </c>
      <c r="AB132" s="44">
        <v>1.9999999999999999E-7</v>
      </c>
      <c r="AC132" s="44">
        <v>1.9999999999999999E-7</v>
      </c>
      <c r="AD132" s="44">
        <v>1.9999999999999999E-7</v>
      </c>
      <c r="AE132" s="44">
        <v>1.9999999999999999E-7</v>
      </c>
      <c r="AF132" s="44">
        <v>1.9999999999999999E-7</v>
      </c>
      <c r="AG132" s="44">
        <v>1.9999999999999999E-7</v>
      </c>
      <c r="AH132" s="44">
        <v>1.9999999999999999E-7</v>
      </c>
      <c r="AI132"/>
      <c r="AJ132" s="44">
        <v>1.9999999999999999E-7</v>
      </c>
      <c r="AK132" s="44">
        <v>1.9999999999999999E-7</v>
      </c>
      <c r="AL132" s="44">
        <v>1.9999999999999999E-7</v>
      </c>
      <c r="AM132" s="44">
        <v>1.9999999999999999E-7</v>
      </c>
      <c r="AN132" s="44">
        <v>1.9999999999999999E-7</v>
      </c>
      <c r="AO132" s="44">
        <v>1.9999999999999999E-7</v>
      </c>
      <c r="AP132" s="44">
        <v>1.9999999999999999E-7</v>
      </c>
      <c r="AQ132"/>
      <c r="AR132" s="44">
        <v>1.9999999999999999E-7</v>
      </c>
      <c r="AS132" s="44">
        <v>1.9999999999999999E-7</v>
      </c>
      <c r="AT132" s="44">
        <v>1.9999999999999999E-7</v>
      </c>
      <c r="AU132" s="44">
        <v>1.9999999999999999E-7</v>
      </c>
      <c r="AV132"/>
      <c r="AW132" s="44">
        <v>1.9999999999999999E-7</v>
      </c>
      <c r="AX132"/>
      <c r="AY132"/>
      <c r="AZ132" s="44">
        <v>1.9999999999999999E-7</v>
      </c>
    </row>
    <row r="133" spans="1:52" x14ac:dyDescent="0.25">
      <c r="A133" s="21" t="s">
        <v>538</v>
      </c>
      <c r="B133" s="3" t="s">
        <v>473</v>
      </c>
      <c r="C133" s="3" t="s">
        <v>483</v>
      </c>
      <c r="D133" s="3" t="s">
        <v>537</v>
      </c>
      <c r="E133" s="22" t="s">
        <v>315</v>
      </c>
      <c r="F133" s="22" t="s">
        <v>109</v>
      </c>
      <c r="G133" s="44">
        <v>1.9999999999999999E-7</v>
      </c>
      <c r="H133" s="44">
        <f t="shared" ref="H133" si="18">G133</f>
        <v>1.9999999999999999E-7</v>
      </c>
      <c r="I133" s="44">
        <v>1.9999999999999999E-7</v>
      </c>
      <c r="J133" s="44">
        <v>1.9999999999999999E-7</v>
      </c>
      <c r="K133" s="44">
        <v>1.9999999999999999E-7</v>
      </c>
      <c r="L133" s="44">
        <v>1.9999999999999999E-7</v>
      </c>
      <c r="M133" s="44">
        <v>1.9999999999999999E-7</v>
      </c>
      <c r="N133" s="44">
        <v>1.9999999999999999E-7</v>
      </c>
      <c r="O133" s="44">
        <v>1.9999999999999999E-7</v>
      </c>
      <c r="P133" s="44">
        <v>1.9999999999999999E-7</v>
      </c>
      <c r="R133" s="44">
        <v>1.9999999999999999E-7</v>
      </c>
      <c r="S133" s="44">
        <v>1.9999999999999999E-7</v>
      </c>
      <c r="T133" s="44">
        <v>1.9999999999999999E-7</v>
      </c>
      <c r="U133" s="44">
        <v>1.9999999999999999E-7</v>
      </c>
      <c r="X133" s="44">
        <v>1.9999999999999999E-7</v>
      </c>
      <c r="Y133" s="44">
        <v>1.9999999999999999E-7</v>
      </c>
      <c r="Z133" s="44">
        <v>1.9999999999999999E-7</v>
      </c>
      <c r="AA133" s="44">
        <v>1.9999999999999999E-7</v>
      </c>
      <c r="AB133" s="44">
        <v>1.9999999999999999E-7</v>
      </c>
      <c r="AC133" s="44">
        <v>1.9999999999999999E-7</v>
      </c>
      <c r="AD133" s="44">
        <v>1.9999999999999999E-7</v>
      </c>
      <c r="AE133" s="44">
        <v>1.9999999999999999E-7</v>
      </c>
      <c r="AF133" s="44">
        <v>1.9999999999999999E-7</v>
      </c>
      <c r="AG133" s="44">
        <v>1.9999999999999999E-7</v>
      </c>
      <c r="AH133" s="44">
        <v>1.9999999999999999E-7</v>
      </c>
      <c r="AI133"/>
      <c r="AJ133" s="44">
        <v>1.9999999999999999E-7</v>
      </c>
      <c r="AK133" s="44">
        <v>1.9999999999999999E-7</v>
      </c>
      <c r="AL133" s="44">
        <v>1.9999999999999999E-7</v>
      </c>
      <c r="AM133" s="44">
        <v>1.9999999999999999E-7</v>
      </c>
      <c r="AN133" s="44">
        <v>1.9999999999999999E-7</v>
      </c>
      <c r="AO133" s="44">
        <v>1.9999999999999999E-7</v>
      </c>
      <c r="AP133" s="44">
        <v>1.9999999999999999E-7</v>
      </c>
      <c r="AQ133"/>
      <c r="AR133" s="44">
        <v>1.9999999999999999E-7</v>
      </c>
      <c r="AS133" s="44">
        <v>1.9999999999999999E-7</v>
      </c>
      <c r="AT133" s="44">
        <v>1.9999999999999999E-7</v>
      </c>
      <c r="AU133" s="44">
        <v>1.9999999999999999E-7</v>
      </c>
      <c r="AV133"/>
      <c r="AW133" s="44">
        <v>1.9999999999999999E-7</v>
      </c>
      <c r="AX133"/>
      <c r="AY133"/>
      <c r="AZ133" s="44">
        <v>1.9999999999999999E-7</v>
      </c>
    </row>
    <row r="134" spans="1:52" x14ac:dyDescent="0.25">
      <c r="A134" s="21" t="s">
        <v>232</v>
      </c>
      <c r="B134" s="3" t="s">
        <v>473</v>
      </c>
      <c r="C134" s="3" t="s">
        <v>483</v>
      </c>
      <c r="D134" s="3" t="s">
        <v>537</v>
      </c>
      <c r="E134" s="22" t="s">
        <v>315</v>
      </c>
      <c r="F134" s="22" t="s">
        <v>109</v>
      </c>
      <c r="G134" s="44">
        <v>10</v>
      </c>
      <c r="H134" s="44">
        <f t="shared" ref="H134:H197" si="19">G134</f>
        <v>10</v>
      </c>
      <c r="I134" s="44">
        <v>10</v>
      </c>
      <c r="J134" s="44">
        <v>10</v>
      </c>
      <c r="K134" s="44">
        <v>10</v>
      </c>
      <c r="L134" s="44">
        <v>10</v>
      </c>
      <c r="M134" s="44">
        <v>10</v>
      </c>
      <c r="N134" s="44">
        <v>10</v>
      </c>
      <c r="O134" s="44">
        <v>10</v>
      </c>
      <c r="P134" s="44">
        <v>10</v>
      </c>
      <c r="R134" s="44">
        <v>10</v>
      </c>
      <c r="S134" s="44">
        <v>10</v>
      </c>
      <c r="T134" s="44">
        <v>10</v>
      </c>
      <c r="U134" s="44">
        <v>10</v>
      </c>
      <c r="X134" s="44">
        <v>10</v>
      </c>
      <c r="Y134" s="44">
        <v>10</v>
      </c>
      <c r="Z134" s="44">
        <v>10</v>
      </c>
      <c r="AA134" s="44">
        <v>10</v>
      </c>
      <c r="AB134" s="44">
        <v>10</v>
      </c>
      <c r="AC134" s="44">
        <v>10</v>
      </c>
      <c r="AD134" s="44">
        <v>10</v>
      </c>
      <c r="AE134" s="44">
        <v>10</v>
      </c>
      <c r="AF134" s="44">
        <v>10</v>
      </c>
      <c r="AG134" s="44">
        <v>10</v>
      </c>
      <c r="AH134" s="44">
        <v>10</v>
      </c>
      <c r="AI134"/>
      <c r="AJ134" s="44">
        <v>10</v>
      </c>
      <c r="AK134" s="44">
        <v>10</v>
      </c>
      <c r="AL134" s="44">
        <v>10</v>
      </c>
      <c r="AM134" s="44">
        <v>10</v>
      </c>
      <c r="AN134" s="44">
        <v>10</v>
      </c>
      <c r="AO134" s="44">
        <v>10</v>
      </c>
      <c r="AP134" s="44">
        <v>10</v>
      </c>
      <c r="AQ134"/>
      <c r="AR134" s="44">
        <v>10</v>
      </c>
      <c r="AS134" s="44">
        <v>10</v>
      </c>
      <c r="AT134" s="44">
        <v>10</v>
      </c>
      <c r="AU134" s="44">
        <v>10</v>
      </c>
      <c r="AV134"/>
      <c r="AW134" s="44">
        <v>10</v>
      </c>
      <c r="AX134"/>
      <c r="AY134"/>
      <c r="AZ134" s="44">
        <v>10</v>
      </c>
    </row>
    <row r="135" spans="1:52" x14ac:dyDescent="0.25">
      <c r="A135" s="21" t="s">
        <v>233</v>
      </c>
      <c r="B135" s="3" t="s">
        <v>473</v>
      </c>
      <c r="C135" s="3" t="s">
        <v>483</v>
      </c>
      <c r="D135" s="3" t="s">
        <v>537</v>
      </c>
      <c r="E135" s="22" t="s">
        <v>316</v>
      </c>
      <c r="F135" s="22" t="s">
        <v>301</v>
      </c>
      <c r="G135" s="44">
        <v>-0.04</v>
      </c>
      <c r="H135" s="44">
        <f t="shared" si="19"/>
        <v>-0.04</v>
      </c>
      <c r="I135" s="44">
        <v>-0.04</v>
      </c>
      <c r="J135" s="44">
        <v>-0.04</v>
      </c>
      <c r="K135" s="44">
        <v>-0.04</v>
      </c>
      <c r="L135" s="44">
        <v>-0.04</v>
      </c>
      <c r="M135" s="44">
        <v>-0.04</v>
      </c>
      <c r="N135" s="44">
        <v>-0.04</v>
      </c>
      <c r="O135" s="44">
        <v>-0.04</v>
      </c>
      <c r="P135" s="44">
        <v>-0.04</v>
      </c>
      <c r="R135" s="44">
        <v>-0.04</v>
      </c>
      <c r="S135" s="44">
        <v>-0.04</v>
      </c>
      <c r="T135" s="44">
        <v>-0.04</v>
      </c>
      <c r="U135" s="44">
        <v>-0.04</v>
      </c>
      <c r="X135" s="44">
        <v>-0.04</v>
      </c>
      <c r="Y135" s="44">
        <v>-0.04</v>
      </c>
      <c r="Z135" s="44">
        <v>-0.04</v>
      </c>
      <c r="AA135" s="44">
        <v>-0.04</v>
      </c>
      <c r="AB135" s="44">
        <v>-0.04</v>
      </c>
      <c r="AC135" s="44">
        <v>-0.04</v>
      </c>
      <c r="AD135" s="44">
        <v>-0.04</v>
      </c>
      <c r="AE135" s="44">
        <v>-0.04</v>
      </c>
      <c r="AF135" s="44">
        <v>-0.04</v>
      </c>
      <c r="AG135" s="44">
        <v>-0.04</v>
      </c>
      <c r="AH135" s="44">
        <v>-0.04</v>
      </c>
      <c r="AI135"/>
      <c r="AJ135" s="44">
        <v>-0.04</v>
      </c>
      <c r="AK135" s="44">
        <v>-0.04</v>
      </c>
      <c r="AL135" s="44">
        <v>-0.04</v>
      </c>
      <c r="AM135" s="44">
        <v>-0.04</v>
      </c>
      <c r="AN135" s="44">
        <v>-0.04</v>
      </c>
      <c r="AO135" s="44">
        <v>-0.04</v>
      </c>
      <c r="AP135" s="44">
        <v>-0.04</v>
      </c>
      <c r="AQ135"/>
      <c r="AR135" s="44">
        <v>-0.04</v>
      </c>
      <c r="AS135" s="44">
        <v>-0.04</v>
      </c>
      <c r="AT135" s="44">
        <v>-0.04</v>
      </c>
      <c r="AU135" s="44">
        <v>-0.04</v>
      </c>
      <c r="AV135"/>
      <c r="AW135" s="44">
        <v>-0.04</v>
      </c>
      <c r="AX135"/>
      <c r="AY135"/>
      <c r="AZ135" s="44">
        <v>-0.04</v>
      </c>
    </row>
    <row r="136" spans="1:52" x14ac:dyDescent="0.25">
      <c r="A136" s="21" t="s">
        <v>234</v>
      </c>
      <c r="B136" s="3" t="s">
        <v>473</v>
      </c>
      <c r="C136" s="3" t="s">
        <v>483</v>
      </c>
      <c r="D136" s="3" t="s">
        <v>537</v>
      </c>
      <c r="E136" s="22" t="s">
        <v>317</v>
      </c>
      <c r="F136" s="22" t="s">
        <v>100</v>
      </c>
      <c r="G136" s="44">
        <v>2.9</v>
      </c>
      <c r="H136" s="44">
        <f t="shared" si="19"/>
        <v>2.9</v>
      </c>
      <c r="I136" s="44">
        <v>2.9</v>
      </c>
      <c r="J136" s="44">
        <v>2.9</v>
      </c>
      <c r="K136" s="44">
        <v>2.9</v>
      </c>
      <c r="L136" s="44">
        <v>2.9</v>
      </c>
      <c r="M136" s="44">
        <v>2.9</v>
      </c>
      <c r="N136" s="44">
        <v>2.9</v>
      </c>
      <c r="O136" s="44">
        <v>2.9</v>
      </c>
      <c r="P136" s="44">
        <v>2.9</v>
      </c>
      <c r="R136" s="44">
        <v>2.9</v>
      </c>
      <c r="S136" s="44">
        <v>2.9</v>
      </c>
      <c r="T136" s="44">
        <v>2.9</v>
      </c>
      <c r="U136" s="44">
        <v>2.9</v>
      </c>
      <c r="X136" s="44">
        <v>2.9</v>
      </c>
      <c r="Y136" s="44">
        <v>2.9</v>
      </c>
      <c r="Z136" s="44">
        <v>2.9</v>
      </c>
      <c r="AA136" s="44">
        <v>2.9</v>
      </c>
      <c r="AB136" s="44">
        <v>2.9</v>
      </c>
      <c r="AC136" s="44">
        <v>2.9</v>
      </c>
      <c r="AD136" s="44">
        <v>2.9</v>
      </c>
      <c r="AE136" s="44">
        <v>2.9</v>
      </c>
      <c r="AF136" s="44">
        <v>2.9</v>
      </c>
      <c r="AG136" s="44">
        <v>2.9</v>
      </c>
      <c r="AH136" s="44">
        <v>2.9</v>
      </c>
      <c r="AI136"/>
      <c r="AJ136" s="44">
        <v>2.9</v>
      </c>
      <c r="AK136" s="44">
        <v>2.9</v>
      </c>
      <c r="AL136" s="44">
        <v>2.9</v>
      </c>
      <c r="AM136" s="44">
        <v>2.9</v>
      </c>
      <c r="AN136" s="44">
        <v>2.9</v>
      </c>
      <c r="AO136" s="44">
        <v>2.9</v>
      </c>
      <c r="AP136" s="44">
        <v>2.9</v>
      </c>
      <c r="AQ136"/>
      <c r="AR136" s="44">
        <v>2.9</v>
      </c>
      <c r="AS136" s="44">
        <v>2.9</v>
      </c>
      <c r="AT136" s="44">
        <v>2.9</v>
      </c>
      <c r="AU136" s="44">
        <v>2.9</v>
      </c>
      <c r="AV136"/>
      <c r="AW136" s="44">
        <v>2.9</v>
      </c>
      <c r="AX136"/>
      <c r="AY136"/>
      <c r="AZ136" s="44">
        <v>2.9</v>
      </c>
    </row>
    <row r="137" spans="1:52" x14ac:dyDescent="0.25">
      <c r="A137" s="21" t="s">
        <v>235</v>
      </c>
      <c r="B137" s="3" t="s">
        <v>473</v>
      </c>
      <c r="C137" s="3" t="s">
        <v>483</v>
      </c>
      <c r="D137" s="3" t="s">
        <v>537</v>
      </c>
      <c r="E137" s="22" t="s">
        <v>318</v>
      </c>
      <c r="F137" s="22" t="s">
        <v>95</v>
      </c>
      <c r="G137" s="44">
        <v>1</v>
      </c>
      <c r="H137" s="44">
        <f t="shared" si="19"/>
        <v>1</v>
      </c>
      <c r="I137" s="44">
        <v>1</v>
      </c>
      <c r="J137" s="44">
        <v>1</v>
      </c>
      <c r="K137" s="44">
        <v>1</v>
      </c>
      <c r="L137" s="44">
        <v>1</v>
      </c>
      <c r="M137" s="44">
        <v>1</v>
      </c>
      <c r="N137" s="44">
        <v>1</v>
      </c>
      <c r="O137" s="44">
        <v>1</v>
      </c>
      <c r="P137" s="44">
        <v>1</v>
      </c>
      <c r="R137" s="44">
        <v>1</v>
      </c>
      <c r="S137" s="44">
        <v>1</v>
      </c>
      <c r="T137" s="44">
        <v>1</v>
      </c>
      <c r="U137" s="44">
        <v>1</v>
      </c>
      <c r="X137" s="44">
        <v>1</v>
      </c>
      <c r="Y137" s="44">
        <v>1</v>
      </c>
      <c r="Z137" s="44">
        <v>1</v>
      </c>
      <c r="AA137" s="44">
        <v>1</v>
      </c>
      <c r="AB137" s="44">
        <v>1</v>
      </c>
      <c r="AC137" s="44">
        <v>1</v>
      </c>
      <c r="AD137" s="44">
        <v>1</v>
      </c>
      <c r="AE137" s="44">
        <v>1</v>
      </c>
      <c r="AF137" s="44">
        <v>1</v>
      </c>
      <c r="AG137" s="44">
        <v>1</v>
      </c>
      <c r="AH137" s="44">
        <v>1</v>
      </c>
      <c r="AI137"/>
      <c r="AJ137" s="44">
        <v>1</v>
      </c>
      <c r="AK137" s="44">
        <v>1</v>
      </c>
      <c r="AL137" s="44">
        <v>1</v>
      </c>
      <c r="AM137" s="44">
        <v>1</v>
      </c>
      <c r="AN137" s="44">
        <v>1</v>
      </c>
      <c r="AO137" s="44">
        <v>1</v>
      </c>
      <c r="AP137" s="44">
        <v>1</v>
      </c>
      <c r="AQ137"/>
      <c r="AR137" s="44">
        <v>1</v>
      </c>
      <c r="AS137" s="44">
        <v>1</v>
      </c>
      <c r="AT137" s="44">
        <v>1</v>
      </c>
      <c r="AU137" s="44">
        <v>1</v>
      </c>
      <c r="AV137"/>
      <c r="AW137" s="44">
        <v>1</v>
      </c>
      <c r="AX137"/>
      <c r="AY137"/>
      <c r="AZ137" s="44">
        <v>1</v>
      </c>
    </row>
    <row r="138" spans="1:52" x14ac:dyDescent="0.25">
      <c r="A138" s="21" t="s">
        <v>69</v>
      </c>
      <c r="B138" s="3" t="s">
        <v>473</v>
      </c>
      <c r="C138" s="3" t="s">
        <v>483</v>
      </c>
      <c r="D138" s="3" t="s">
        <v>537</v>
      </c>
      <c r="E138" s="22" t="s">
        <v>180</v>
      </c>
      <c r="F138" s="22" t="s">
        <v>100</v>
      </c>
      <c r="G138" s="44">
        <v>0</v>
      </c>
      <c r="H138" s="44">
        <f t="shared" si="19"/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R138" s="44">
        <v>0</v>
      </c>
      <c r="S138" s="44">
        <v>0</v>
      </c>
      <c r="T138" s="44">
        <v>0</v>
      </c>
      <c r="U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4">
        <v>0</v>
      </c>
      <c r="AF138" s="44">
        <v>0</v>
      </c>
      <c r="AG138" s="44">
        <v>0</v>
      </c>
      <c r="AH138" s="44">
        <v>0</v>
      </c>
      <c r="AI138"/>
      <c r="AJ138" s="44">
        <v>0</v>
      </c>
      <c r="AK138" s="44">
        <v>0</v>
      </c>
      <c r="AL138" s="44">
        <v>0</v>
      </c>
      <c r="AM138" s="44">
        <v>0</v>
      </c>
      <c r="AN138" s="44">
        <v>0</v>
      </c>
      <c r="AO138" s="44">
        <v>0</v>
      </c>
      <c r="AP138" s="44">
        <v>0</v>
      </c>
      <c r="AQ138"/>
      <c r="AR138" s="44">
        <v>0</v>
      </c>
      <c r="AS138" s="44">
        <v>0</v>
      </c>
      <c r="AT138" s="44">
        <v>0</v>
      </c>
      <c r="AU138" s="44">
        <v>0</v>
      </c>
      <c r="AV138"/>
      <c r="AW138" s="44">
        <v>0</v>
      </c>
      <c r="AX138"/>
      <c r="AY138"/>
      <c r="AZ138" s="44">
        <v>0</v>
      </c>
    </row>
    <row r="139" spans="1:52" x14ac:dyDescent="0.25">
      <c r="A139" s="40" t="s">
        <v>70</v>
      </c>
      <c r="B139" s="3" t="s">
        <v>473</v>
      </c>
      <c r="C139" s="3" t="s">
        <v>483</v>
      </c>
      <c r="D139" s="3" t="s">
        <v>537</v>
      </c>
      <c r="E139" s="41" t="s">
        <v>181</v>
      </c>
      <c r="F139" s="41" t="s">
        <v>198</v>
      </c>
      <c r="G139" s="44">
        <v>1.6666666666666666E-4</v>
      </c>
      <c r="H139" s="44">
        <f t="shared" si="19"/>
        <v>1.6666666666666666E-4</v>
      </c>
      <c r="I139" s="44">
        <v>5.0000000000000004E-6</v>
      </c>
      <c r="J139" s="44">
        <v>5.0000000000000004E-6</v>
      </c>
      <c r="K139" s="44">
        <v>5.0000000000000004E-6</v>
      </c>
      <c r="L139" s="44">
        <v>5.0000000000000004E-6</v>
      </c>
      <c r="M139" s="44">
        <v>5.0000000000000004E-6</v>
      </c>
      <c r="N139" s="44">
        <v>5.0000000000000004E-6</v>
      </c>
      <c r="O139" s="44">
        <v>5.0000000000000004E-6</v>
      </c>
      <c r="P139" s="44">
        <v>5.0000000000000004E-6</v>
      </c>
      <c r="R139" s="44">
        <v>5.0000000000000004E-6</v>
      </c>
      <c r="S139" s="44">
        <v>5.0000000000000004E-6</v>
      </c>
      <c r="T139" s="44">
        <v>5.0000000000000004E-6</v>
      </c>
      <c r="U139" s="44">
        <v>5.0000000000000004E-6</v>
      </c>
      <c r="X139" s="44">
        <v>5.0000000000000004E-6</v>
      </c>
      <c r="Y139" s="44">
        <v>5.0000000000000004E-6</v>
      </c>
      <c r="Z139" s="44">
        <v>5.0000000000000004E-6</v>
      </c>
      <c r="AA139" s="44">
        <v>5.0000000000000004E-6</v>
      </c>
      <c r="AB139" s="44">
        <v>5.0000000000000004E-6</v>
      </c>
      <c r="AC139" s="44">
        <v>5.0000000000000004E-6</v>
      </c>
      <c r="AD139" s="44">
        <v>5.0000000000000004E-6</v>
      </c>
      <c r="AE139" s="44">
        <v>5.0000000000000004E-6</v>
      </c>
      <c r="AF139" s="44">
        <v>5.0000000000000004E-6</v>
      </c>
      <c r="AG139" s="44">
        <v>5.0000000000000004E-6</v>
      </c>
      <c r="AH139" s="44">
        <v>5.0000000000000004E-6</v>
      </c>
      <c r="AI139"/>
      <c r="AJ139" s="44">
        <v>5.0000000000000004E-6</v>
      </c>
      <c r="AK139" s="44">
        <v>5.0000000000000004E-6</v>
      </c>
      <c r="AL139" s="44">
        <v>5.0000000000000004E-6</v>
      </c>
      <c r="AM139" s="44">
        <v>5.0000000000000004E-6</v>
      </c>
      <c r="AN139" s="44">
        <v>5.0000000000000004E-6</v>
      </c>
      <c r="AO139" s="44">
        <v>5.0000000000000004E-6</v>
      </c>
      <c r="AP139" s="44">
        <v>5.0000000000000004E-6</v>
      </c>
      <c r="AQ139"/>
      <c r="AR139" s="44">
        <v>5.0000000000000004E-6</v>
      </c>
      <c r="AS139" s="44">
        <v>5.0000000000000004E-6</v>
      </c>
      <c r="AT139" s="44">
        <v>5.0000000000000004E-6</v>
      </c>
      <c r="AU139" s="44">
        <v>5.0000000000000004E-6</v>
      </c>
      <c r="AV139"/>
      <c r="AW139" s="44">
        <v>5.0000000000000004E-6</v>
      </c>
      <c r="AX139"/>
      <c r="AY139"/>
      <c r="AZ139" s="44">
        <v>5.0000000000000004E-6</v>
      </c>
    </row>
    <row r="140" spans="1:52" x14ac:dyDescent="0.25">
      <c r="A140" s="23" t="s">
        <v>56</v>
      </c>
      <c r="B140" s="3" t="s">
        <v>473</v>
      </c>
      <c r="C140" s="3" t="s">
        <v>483</v>
      </c>
      <c r="D140" s="3" t="s">
        <v>537</v>
      </c>
      <c r="E140" s="24" t="s">
        <v>167</v>
      </c>
      <c r="F140" s="24" t="s">
        <v>198</v>
      </c>
      <c r="G140" s="44">
        <v>0</v>
      </c>
      <c r="H140" s="44">
        <f t="shared" si="19"/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R140" s="44">
        <v>0</v>
      </c>
      <c r="S140" s="44">
        <v>0</v>
      </c>
      <c r="T140" s="44">
        <v>0</v>
      </c>
      <c r="U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4">
        <v>0</v>
      </c>
      <c r="AF140" s="44">
        <v>0</v>
      </c>
      <c r="AG140" s="44">
        <v>0</v>
      </c>
      <c r="AH140" s="44">
        <v>0</v>
      </c>
      <c r="AI140"/>
      <c r="AJ140" s="44">
        <v>0</v>
      </c>
      <c r="AK140" s="44">
        <v>0</v>
      </c>
      <c r="AL140" s="44">
        <v>0</v>
      </c>
      <c r="AM140" s="44">
        <v>0</v>
      </c>
      <c r="AN140" s="44">
        <v>0</v>
      </c>
      <c r="AO140" s="44">
        <v>0</v>
      </c>
      <c r="AP140" s="44">
        <v>0</v>
      </c>
      <c r="AQ140"/>
      <c r="AR140" s="44">
        <v>0</v>
      </c>
      <c r="AS140" s="44">
        <v>0</v>
      </c>
      <c r="AT140" s="44">
        <v>0</v>
      </c>
      <c r="AU140" s="44">
        <v>0</v>
      </c>
      <c r="AV140"/>
      <c r="AW140" s="44">
        <v>0</v>
      </c>
      <c r="AX140"/>
      <c r="AY140"/>
      <c r="AZ140" s="44">
        <v>0</v>
      </c>
    </row>
    <row r="141" spans="1:52" x14ac:dyDescent="0.25">
      <c r="A141" s="23" t="s">
        <v>57</v>
      </c>
      <c r="B141" s="3" t="s">
        <v>473</v>
      </c>
      <c r="C141" s="3" t="s">
        <v>483</v>
      </c>
      <c r="D141" s="3" t="s">
        <v>537</v>
      </c>
      <c r="E141" s="24" t="s">
        <v>168</v>
      </c>
      <c r="F141" s="24" t="s">
        <v>198</v>
      </c>
      <c r="G141" s="44">
        <v>2E-3</v>
      </c>
      <c r="H141" s="44">
        <f t="shared" si="19"/>
        <v>2E-3</v>
      </c>
      <c r="I141" s="44">
        <v>2E-3</v>
      </c>
      <c r="J141" s="44">
        <v>2E-3</v>
      </c>
      <c r="K141" s="44">
        <v>2E-3</v>
      </c>
      <c r="L141" s="44">
        <v>2E-3</v>
      </c>
      <c r="M141" s="44">
        <v>2E-3</v>
      </c>
      <c r="N141" s="44">
        <v>2E-3</v>
      </c>
      <c r="O141" s="44">
        <v>2E-3</v>
      </c>
      <c r="P141" s="44">
        <v>2E-3</v>
      </c>
      <c r="R141" s="44">
        <v>2E-3</v>
      </c>
      <c r="S141" s="44">
        <v>2E-3</v>
      </c>
      <c r="T141" s="44">
        <v>2E-3</v>
      </c>
      <c r="U141" s="44">
        <v>2E-3</v>
      </c>
      <c r="X141" s="44">
        <v>2E-3</v>
      </c>
      <c r="Y141" s="44">
        <v>2E-3</v>
      </c>
      <c r="Z141" s="44">
        <v>2E-3</v>
      </c>
      <c r="AA141" s="44">
        <v>2E-3</v>
      </c>
      <c r="AB141" s="44">
        <v>2E-3</v>
      </c>
      <c r="AC141" s="44">
        <v>2E-3</v>
      </c>
      <c r="AD141" s="44">
        <v>2E-3</v>
      </c>
      <c r="AE141" s="44">
        <v>2E-3</v>
      </c>
      <c r="AF141" s="44">
        <v>2E-3</v>
      </c>
      <c r="AG141" s="44">
        <v>2E-3</v>
      </c>
      <c r="AH141" s="44">
        <v>2E-3</v>
      </c>
      <c r="AI141"/>
      <c r="AJ141" s="44">
        <v>2E-3</v>
      </c>
      <c r="AK141" s="44">
        <v>2E-3</v>
      </c>
      <c r="AL141" s="44">
        <v>2E-3</v>
      </c>
      <c r="AM141" s="44">
        <v>2E-3</v>
      </c>
      <c r="AN141" s="44">
        <v>2E-3</v>
      </c>
      <c r="AO141" s="44">
        <v>2E-3</v>
      </c>
      <c r="AP141" s="44">
        <v>2E-3</v>
      </c>
      <c r="AQ141"/>
      <c r="AR141" s="44">
        <v>2E-3</v>
      </c>
      <c r="AS141" s="44">
        <v>2E-3</v>
      </c>
      <c r="AT141" s="44">
        <v>2E-3</v>
      </c>
      <c r="AU141" s="44">
        <v>2E-3</v>
      </c>
      <c r="AV141"/>
      <c r="AW141" s="44">
        <v>2E-3</v>
      </c>
      <c r="AX141"/>
      <c r="AY141"/>
      <c r="AZ141" s="44">
        <v>2E-3</v>
      </c>
    </row>
    <row r="142" spans="1:52" x14ac:dyDescent="0.25">
      <c r="A142" s="23" t="s">
        <v>58</v>
      </c>
      <c r="B142" s="3" t="s">
        <v>473</v>
      </c>
      <c r="C142" s="3" t="s">
        <v>483</v>
      </c>
      <c r="D142" s="3" t="s">
        <v>537</v>
      </c>
      <c r="E142" s="24" t="s">
        <v>169</v>
      </c>
      <c r="F142" s="24" t="s">
        <v>198</v>
      </c>
      <c r="G142" s="44">
        <v>3.9999999999999998E-6</v>
      </c>
      <c r="H142" s="44">
        <f t="shared" si="19"/>
        <v>3.9999999999999998E-6</v>
      </c>
      <c r="I142" s="44">
        <v>3.9999999999999998E-6</v>
      </c>
      <c r="J142" s="44">
        <v>3.9999999999999998E-6</v>
      </c>
      <c r="K142" s="44">
        <v>3.9999999999999998E-6</v>
      </c>
      <c r="L142" s="44">
        <v>3.9999999999999998E-6</v>
      </c>
      <c r="M142" s="44">
        <v>3.9999999999999998E-6</v>
      </c>
      <c r="N142" s="44">
        <v>3.9999999999999998E-6</v>
      </c>
      <c r="O142" s="44">
        <v>3.9999999999999998E-6</v>
      </c>
      <c r="P142" s="44">
        <v>3.9999999999999998E-6</v>
      </c>
      <c r="R142" s="44">
        <v>3.9999999999999998E-6</v>
      </c>
      <c r="S142" s="44">
        <v>3.9999999999999998E-6</v>
      </c>
      <c r="T142" s="44">
        <v>3.9999999999999998E-6</v>
      </c>
      <c r="U142" s="44">
        <v>3.9999999999999998E-6</v>
      </c>
      <c r="X142" s="44">
        <v>3.9999999999999998E-6</v>
      </c>
      <c r="Y142" s="44">
        <v>3.9999999999999998E-6</v>
      </c>
      <c r="Z142" s="44">
        <v>3.9999999999999998E-6</v>
      </c>
      <c r="AA142" s="44">
        <v>3.9999999999999998E-6</v>
      </c>
      <c r="AB142" s="44">
        <v>3.9999999999999998E-6</v>
      </c>
      <c r="AC142" s="44">
        <v>3.9999999999999998E-6</v>
      </c>
      <c r="AD142" s="44">
        <v>3.9999999999999998E-6</v>
      </c>
      <c r="AE142" s="44">
        <v>3.9999999999999998E-6</v>
      </c>
      <c r="AF142" s="44">
        <v>3.9999999999999998E-6</v>
      </c>
      <c r="AG142" s="44">
        <v>3.9999999999999998E-6</v>
      </c>
      <c r="AH142" s="44">
        <v>3.9999999999999998E-6</v>
      </c>
      <c r="AI142"/>
      <c r="AJ142" s="44">
        <v>3.9999999999999998E-6</v>
      </c>
      <c r="AK142" s="44">
        <v>3.9999999999999998E-6</v>
      </c>
      <c r="AL142" s="44">
        <v>3.9999999999999998E-6</v>
      </c>
      <c r="AM142" s="44">
        <v>3.9999999999999998E-6</v>
      </c>
      <c r="AN142" s="44">
        <v>3.9999999999999998E-6</v>
      </c>
      <c r="AO142" s="44">
        <v>3.9999999999999998E-6</v>
      </c>
      <c r="AP142" s="44">
        <v>3.9999999999999998E-6</v>
      </c>
      <c r="AQ142"/>
      <c r="AR142" s="44">
        <v>3.9999999999999998E-6</v>
      </c>
      <c r="AS142" s="44">
        <v>3.9999999999999998E-6</v>
      </c>
      <c r="AT142" s="44">
        <v>3.9999999999999998E-6</v>
      </c>
      <c r="AU142" s="44">
        <v>3.9999999999999998E-6</v>
      </c>
      <c r="AV142"/>
      <c r="AW142" s="44">
        <v>3.9999999999999998E-6</v>
      </c>
      <c r="AX142"/>
      <c r="AY142"/>
      <c r="AZ142" s="44">
        <v>3.9999999999999998E-6</v>
      </c>
    </row>
    <row r="143" spans="1:52" x14ac:dyDescent="0.25">
      <c r="A143" s="23" t="s">
        <v>71</v>
      </c>
      <c r="B143" s="3" t="s">
        <v>473</v>
      </c>
      <c r="C143" s="3" t="s">
        <v>483</v>
      </c>
      <c r="D143" s="3" t="s">
        <v>537</v>
      </c>
      <c r="E143" s="24" t="s">
        <v>183</v>
      </c>
      <c r="F143" s="24" t="s">
        <v>200</v>
      </c>
      <c r="G143" s="44">
        <v>3.7699999999999999E-10</v>
      </c>
      <c r="H143" s="44">
        <f t="shared" si="19"/>
        <v>3.7699999999999999E-10</v>
      </c>
      <c r="I143" s="44">
        <v>3.7699999999999999E-10</v>
      </c>
      <c r="J143" s="44">
        <v>3.7699999999999999E-10</v>
      </c>
      <c r="K143" s="44">
        <v>3.7699999999999999E-10</v>
      </c>
      <c r="L143" s="44">
        <v>3.7699999999999999E-10</v>
      </c>
      <c r="M143" s="44">
        <v>3.7699999999999999E-10</v>
      </c>
      <c r="N143" s="44">
        <v>3.7699999999999999E-10</v>
      </c>
      <c r="O143" s="44">
        <v>3.7699999999999999E-10</v>
      </c>
      <c r="P143" s="44">
        <v>3.7699999999999999E-10</v>
      </c>
      <c r="R143" s="44">
        <v>3.7699999999999999E-10</v>
      </c>
      <c r="S143" s="44">
        <v>3.7699999999999999E-10</v>
      </c>
      <c r="T143" s="44">
        <v>3.7699999999999999E-10</v>
      </c>
      <c r="U143" s="44">
        <v>3.7699999999999999E-10</v>
      </c>
      <c r="X143" s="44">
        <v>3.7699999999999999E-10</v>
      </c>
      <c r="Y143" s="44">
        <v>3.7699999999999999E-10</v>
      </c>
      <c r="Z143" s="44">
        <v>3.7699999999999999E-10</v>
      </c>
      <c r="AA143" s="44">
        <v>3.7699999999999999E-10</v>
      </c>
      <c r="AB143" s="44">
        <v>3.7699999999999999E-10</v>
      </c>
      <c r="AC143" s="44">
        <v>3.7699999999999999E-10</v>
      </c>
      <c r="AD143" s="44">
        <v>3.7699999999999999E-10</v>
      </c>
      <c r="AE143" s="44">
        <v>3.7699999999999999E-10</v>
      </c>
      <c r="AF143" s="44">
        <v>3.7699999999999999E-10</v>
      </c>
      <c r="AG143" s="44">
        <v>3.7699999999999999E-10</v>
      </c>
      <c r="AH143" s="44">
        <v>3.7699999999999999E-10</v>
      </c>
      <c r="AI143"/>
      <c r="AJ143" s="44">
        <v>3.7699999999999999E-10</v>
      </c>
      <c r="AK143" s="44">
        <v>3.7699999999999999E-10</v>
      </c>
      <c r="AL143" s="44">
        <v>3.7699999999999999E-10</v>
      </c>
      <c r="AM143" s="44">
        <v>3.7699999999999999E-10</v>
      </c>
      <c r="AN143" s="44">
        <v>3.7699999999999999E-10</v>
      </c>
      <c r="AO143" s="44">
        <v>3.7699999999999999E-10</v>
      </c>
      <c r="AP143" s="44">
        <v>3.7699999999999999E-10</v>
      </c>
      <c r="AQ143"/>
      <c r="AR143" s="44">
        <v>3.7699999999999999E-10</v>
      </c>
      <c r="AS143" s="44">
        <v>3.7699999999999999E-10</v>
      </c>
      <c r="AT143" s="44">
        <v>3.7699999999999999E-10</v>
      </c>
      <c r="AU143" s="44">
        <v>3.7699999999999999E-10</v>
      </c>
      <c r="AV143"/>
      <c r="AW143" s="44">
        <v>3.7699999999999999E-10</v>
      </c>
      <c r="AX143"/>
      <c r="AY143"/>
      <c r="AZ143" s="44">
        <v>3.7699999999999999E-10</v>
      </c>
    </row>
    <row r="144" spans="1:52" x14ac:dyDescent="0.25">
      <c r="A144" s="23" t="s">
        <v>236</v>
      </c>
      <c r="B144" s="3" t="s">
        <v>473</v>
      </c>
      <c r="C144" s="3" t="s">
        <v>483</v>
      </c>
      <c r="D144" s="3" t="s">
        <v>537</v>
      </c>
      <c r="E144" s="24" t="s">
        <v>303</v>
      </c>
      <c r="F144" s="24" t="s">
        <v>109</v>
      </c>
      <c r="G144" s="44">
        <v>20</v>
      </c>
      <c r="H144" s="44">
        <f t="shared" si="19"/>
        <v>20</v>
      </c>
      <c r="I144" s="44">
        <v>20</v>
      </c>
      <c r="J144" s="44">
        <v>20</v>
      </c>
      <c r="K144" s="44">
        <v>20</v>
      </c>
      <c r="L144" s="44">
        <v>20</v>
      </c>
      <c r="M144" s="44">
        <v>20</v>
      </c>
      <c r="N144" s="44">
        <v>20</v>
      </c>
      <c r="O144" s="44">
        <v>20</v>
      </c>
      <c r="P144" s="44">
        <v>20</v>
      </c>
      <c r="R144" s="44">
        <v>20</v>
      </c>
      <c r="S144" s="44">
        <v>20</v>
      </c>
      <c r="T144" s="44">
        <v>20</v>
      </c>
      <c r="U144" s="44">
        <v>20</v>
      </c>
      <c r="X144" s="44">
        <v>20</v>
      </c>
      <c r="Y144" s="44">
        <v>20</v>
      </c>
      <c r="Z144" s="44">
        <v>20</v>
      </c>
      <c r="AA144" s="44">
        <v>20</v>
      </c>
      <c r="AB144" s="44">
        <v>20</v>
      </c>
      <c r="AC144" s="44">
        <v>20</v>
      </c>
      <c r="AD144" s="44">
        <v>20</v>
      </c>
      <c r="AE144" s="44">
        <v>20</v>
      </c>
      <c r="AF144" s="44">
        <v>20</v>
      </c>
      <c r="AG144" s="44">
        <v>20</v>
      </c>
      <c r="AH144" s="44">
        <v>20</v>
      </c>
      <c r="AI144"/>
      <c r="AJ144" s="44">
        <v>20</v>
      </c>
      <c r="AK144" s="44">
        <v>20</v>
      </c>
      <c r="AL144" s="44">
        <v>20</v>
      </c>
      <c r="AM144" s="44">
        <v>20</v>
      </c>
      <c r="AN144" s="44">
        <v>20</v>
      </c>
      <c r="AO144" s="44">
        <v>20</v>
      </c>
      <c r="AP144" s="44">
        <v>20</v>
      </c>
      <c r="AQ144"/>
      <c r="AR144" s="44">
        <v>20</v>
      </c>
      <c r="AS144" s="44">
        <v>20</v>
      </c>
      <c r="AT144" s="44">
        <v>20</v>
      </c>
      <c r="AU144" s="44">
        <v>20</v>
      </c>
      <c r="AV144"/>
      <c r="AW144" s="44">
        <v>20</v>
      </c>
      <c r="AX144"/>
      <c r="AY144"/>
      <c r="AZ144" s="44">
        <v>20</v>
      </c>
    </row>
    <row r="145" spans="1:52" x14ac:dyDescent="0.25">
      <c r="A145" s="23" t="s">
        <v>237</v>
      </c>
      <c r="B145" s="3" t="s">
        <v>473</v>
      </c>
      <c r="C145" s="3" t="s">
        <v>483</v>
      </c>
      <c r="D145" s="3" t="s">
        <v>537</v>
      </c>
      <c r="E145" s="24" t="s">
        <v>304</v>
      </c>
      <c r="F145" s="24" t="s">
        <v>301</v>
      </c>
      <c r="G145" s="44">
        <v>-0.06</v>
      </c>
      <c r="H145" s="44">
        <f t="shared" si="19"/>
        <v>-0.06</v>
      </c>
      <c r="I145" s="44">
        <v>-0.06</v>
      </c>
      <c r="J145" s="44">
        <v>-0.06</v>
      </c>
      <c r="K145" s="44">
        <v>-0.06</v>
      </c>
      <c r="L145" s="44">
        <v>-0.06</v>
      </c>
      <c r="M145" s="44">
        <v>-0.06</v>
      </c>
      <c r="N145" s="44">
        <v>-0.06</v>
      </c>
      <c r="O145" s="44">
        <v>-0.06</v>
      </c>
      <c r="P145" s="44">
        <v>-0.06</v>
      </c>
      <c r="R145" s="44">
        <v>-0.06</v>
      </c>
      <c r="S145" s="44">
        <v>-0.06</v>
      </c>
      <c r="T145" s="44">
        <v>-0.06</v>
      </c>
      <c r="U145" s="44">
        <v>-0.06</v>
      </c>
      <c r="X145" s="44">
        <v>-0.06</v>
      </c>
      <c r="Y145" s="44">
        <v>-0.06</v>
      </c>
      <c r="Z145" s="44">
        <v>-0.06</v>
      </c>
      <c r="AA145" s="44">
        <v>-0.06</v>
      </c>
      <c r="AB145" s="44">
        <v>-0.06</v>
      </c>
      <c r="AC145" s="44">
        <v>-0.06</v>
      </c>
      <c r="AD145" s="44">
        <v>-0.06</v>
      </c>
      <c r="AE145" s="44">
        <v>-0.06</v>
      </c>
      <c r="AF145" s="44">
        <v>-0.06</v>
      </c>
      <c r="AG145" s="44">
        <v>-0.06</v>
      </c>
      <c r="AH145" s="44">
        <v>-0.06</v>
      </c>
      <c r="AI145"/>
      <c r="AJ145" s="44">
        <v>-0.06</v>
      </c>
      <c r="AK145" s="44">
        <v>-0.06</v>
      </c>
      <c r="AL145" s="44">
        <v>-0.06</v>
      </c>
      <c r="AM145" s="44">
        <v>-0.06</v>
      </c>
      <c r="AN145" s="44">
        <v>-0.06</v>
      </c>
      <c r="AO145" s="44">
        <v>-0.06</v>
      </c>
      <c r="AP145" s="44">
        <v>-0.06</v>
      </c>
      <c r="AQ145"/>
      <c r="AR145" s="44">
        <v>-0.06</v>
      </c>
      <c r="AS145" s="44">
        <v>-0.06</v>
      </c>
      <c r="AT145" s="44">
        <v>-0.06</v>
      </c>
      <c r="AU145" s="44">
        <v>-0.06</v>
      </c>
      <c r="AV145"/>
      <c r="AW145" s="44">
        <v>-0.06</v>
      </c>
      <c r="AX145"/>
      <c r="AY145"/>
      <c r="AZ145" s="44">
        <v>-0.06</v>
      </c>
    </row>
    <row r="146" spans="1:52" x14ac:dyDescent="0.25">
      <c r="A146" s="23" t="s">
        <v>238</v>
      </c>
      <c r="B146" s="3" t="s">
        <v>473</v>
      </c>
      <c r="C146" s="3" t="s">
        <v>483</v>
      </c>
      <c r="D146" s="3" t="s">
        <v>537</v>
      </c>
      <c r="E146" s="24" t="s">
        <v>305</v>
      </c>
      <c r="F146" s="24" t="s">
        <v>100</v>
      </c>
      <c r="G146" s="44">
        <v>0.89100000000000001</v>
      </c>
      <c r="H146" s="44">
        <f t="shared" si="19"/>
        <v>0.89100000000000001</v>
      </c>
      <c r="I146" s="44">
        <v>0.89100000000000001</v>
      </c>
      <c r="J146" s="44">
        <v>0.89100000000000001</v>
      </c>
      <c r="K146" s="44">
        <v>0.89100000000000001</v>
      </c>
      <c r="L146" s="44">
        <v>0.89100000000000001</v>
      </c>
      <c r="M146" s="44">
        <v>0.89100000000000001</v>
      </c>
      <c r="N146" s="44">
        <v>0.89100000000000001</v>
      </c>
      <c r="O146" s="44">
        <v>0.89100000000000001</v>
      </c>
      <c r="P146" s="44">
        <v>0.89100000000000001</v>
      </c>
      <c r="R146" s="44">
        <v>0.89100000000000001</v>
      </c>
      <c r="S146" s="44">
        <v>0.89100000000000001</v>
      </c>
      <c r="T146" s="44">
        <v>0.89100000000000001</v>
      </c>
      <c r="U146" s="44">
        <v>0.89100000000000001</v>
      </c>
      <c r="X146" s="44">
        <v>0.89100000000000001</v>
      </c>
      <c r="Y146" s="44">
        <v>0.89100000000000001</v>
      </c>
      <c r="Z146" s="44">
        <v>0.89100000000000001</v>
      </c>
      <c r="AA146" s="44">
        <v>0.89100000000000001</v>
      </c>
      <c r="AB146" s="44">
        <v>0.89100000000000001</v>
      </c>
      <c r="AC146" s="44">
        <v>0.89100000000000001</v>
      </c>
      <c r="AD146" s="44">
        <v>0.89100000000000001</v>
      </c>
      <c r="AE146" s="44">
        <v>0.89100000000000001</v>
      </c>
      <c r="AF146" s="44">
        <v>0.89100000000000001</v>
      </c>
      <c r="AG146" s="44">
        <v>0.89100000000000001</v>
      </c>
      <c r="AH146" s="44">
        <v>0.89100000000000001</v>
      </c>
      <c r="AI146"/>
      <c r="AJ146" s="44">
        <v>0.89100000000000001</v>
      </c>
      <c r="AK146" s="44">
        <v>0.89100000000000001</v>
      </c>
      <c r="AL146" s="44">
        <v>0.89100000000000001</v>
      </c>
      <c r="AM146" s="44">
        <v>0.89100000000000001</v>
      </c>
      <c r="AN146" s="44">
        <v>0.89100000000000001</v>
      </c>
      <c r="AO146" s="44">
        <v>0.89100000000000001</v>
      </c>
      <c r="AP146" s="44">
        <v>0.89100000000000001</v>
      </c>
      <c r="AQ146"/>
      <c r="AR146" s="44">
        <v>0.89100000000000001</v>
      </c>
      <c r="AS146" s="44">
        <v>0.89100000000000001</v>
      </c>
      <c r="AT146" s="44">
        <v>0.89100000000000001</v>
      </c>
      <c r="AU146" s="44">
        <v>0.89100000000000001</v>
      </c>
      <c r="AV146"/>
      <c r="AW146" s="44">
        <v>0.89100000000000001</v>
      </c>
      <c r="AX146"/>
      <c r="AY146"/>
      <c r="AZ146" s="44">
        <v>0.89100000000000001</v>
      </c>
    </row>
    <row r="147" spans="1:52" x14ac:dyDescent="0.25">
      <c r="A147" s="23" t="s">
        <v>239</v>
      </c>
      <c r="B147" s="3" t="s">
        <v>473</v>
      </c>
      <c r="C147" s="3" t="s">
        <v>483</v>
      </c>
      <c r="D147" s="3" t="s">
        <v>537</v>
      </c>
      <c r="E147" s="24" t="s">
        <v>306</v>
      </c>
      <c r="F147" s="24" t="s">
        <v>95</v>
      </c>
      <c r="G147" s="44">
        <v>1</v>
      </c>
      <c r="H147" s="44">
        <f t="shared" si="19"/>
        <v>1</v>
      </c>
      <c r="I147" s="44">
        <v>1</v>
      </c>
      <c r="J147" s="44">
        <v>1</v>
      </c>
      <c r="K147" s="44">
        <v>1</v>
      </c>
      <c r="L147" s="44">
        <v>1</v>
      </c>
      <c r="M147" s="44">
        <v>1</v>
      </c>
      <c r="N147" s="44">
        <v>1</v>
      </c>
      <c r="O147" s="44">
        <v>1</v>
      </c>
      <c r="P147" s="44">
        <v>1</v>
      </c>
      <c r="R147" s="44">
        <v>1</v>
      </c>
      <c r="S147" s="44">
        <v>1</v>
      </c>
      <c r="T147" s="44">
        <v>1</v>
      </c>
      <c r="U147" s="44">
        <v>1</v>
      </c>
      <c r="X147" s="44">
        <v>1</v>
      </c>
      <c r="Y147" s="44">
        <v>1</v>
      </c>
      <c r="Z147" s="44">
        <v>1</v>
      </c>
      <c r="AA147" s="44">
        <v>1</v>
      </c>
      <c r="AB147" s="44">
        <v>1</v>
      </c>
      <c r="AC147" s="44">
        <v>1</v>
      </c>
      <c r="AD147" s="44">
        <v>1</v>
      </c>
      <c r="AE147" s="44">
        <v>1</v>
      </c>
      <c r="AF147" s="44">
        <v>1</v>
      </c>
      <c r="AG147" s="44">
        <v>1</v>
      </c>
      <c r="AH147" s="44">
        <v>1</v>
      </c>
      <c r="AI147"/>
      <c r="AJ147" s="44">
        <v>1</v>
      </c>
      <c r="AK147" s="44">
        <v>1</v>
      </c>
      <c r="AL147" s="44">
        <v>1</v>
      </c>
      <c r="AM147" s="44">
        <v>1</v>
      </c>
      <c r="AN147" s="44">
        <v>1</v>
      </c>
      <c r="AO147" s="44">
        <v>1</v>
      </c>
      <c r="AP147" s="44">
        <v>1</v>
      </c>
      <c r="AQ147"/>
      <c r="AR147" s="44">
        <v>1</v>
      </c>
      <c r="AS147" s="44">
        <v>1</v>
      </c>
      <c r="AT147" s="44">
        <v>1</v>
      </c>
      <c r="AU147" s="44">
        <v>1</v>
      </c>
      <c r="AV147"/>
      <c r="AW147" s="44">
        <v>1</v>
      </c>
      <c r="AX147"/>
      <c r="AY147"/>
      <c r="AZ147" s="44">
        <v>1</v>
      </c>
    </row>
    <row r="148" spans="1:52" x14ac:dyDescent="0.25">
      <c r="A148" s="23" t="s">
        <v>72</v>
      </c>
      <c r="B148" s="3" t="s">
        <v>473</v>
      </c>
      <c r="C148" s="3" t="s">
        <v>483</v>
      </c>
      <c r="D148" s="3" t="s">
        <v>537</v>
      </c>
      <c r="E148" s="24" t="s">
        <v>184</v>
      </c>
      <c r="F148" s="24" t="s">
        <v>198</v>
      </c>
      <c r="G148" s="44">
        <v>4.0000000000000003E-5</v>
      </c>
      <c r="H148" s="44">
        <f t="shared" si="19"/>
        <v>4.0000000000000003E-5</v>
      </c>
      <c r="I148" s="44">
        <v>4.0000000000000003E-5</v>
      </c>
      <c r="J148" s="44">
        <v>4.0000000000000003E-5</v>
      </c>
      <c r="K148" s="44">
        <v>4.0000000000000003E-5</v>
      </c>
      <c r="L148" s="44">
        <v>4.0000000000000003E-5</v>
      </c>
      <c r="M148" s="44">
        <v>4.0000000000000003E-5</v>
      </c>
      <c r="N148" s="44">
        <v>4.0000000000000003E-5</v>
      </c>
      <c r="O148" s="44">
        <v>4.0000000000000003E-5</v>
      </c>
      <c r="P148" s="44">
        <v>4.0000000000000003E-5</v>
      </c>
      <c r="R148" s="44">
        <v>4.0000000000000003E-5</v>
      </c>
      <c r="S148" s="44">
        <v>4.0000000000000003E-5</v>
      </c>
      <c r="T148" s="44">
        <v>4.0000000000000003E-5</v>
      </c>
      <c r="U148" s="44">
        <v>4.0000000000000003E-5</v>
      </c>
      <c r="X148" s="44">
        <v>4.0000000000000003E-5</v>
      </c>
      <c r="Y148" s="44">
        <v>4.0000000000000003E-5</v>
      </c>
      <c r="Z148" s="44">
        <v>4.0000000000000003E-5</v>
      </c>
      <c r="AA148" s="44">
        <v>4.0000000000000003E-5</v>
      </c>
      <c r="AB148" s="44">
        <v>4.0000000000000003E-5</v>
      </c>
      <c r="AC148" s="44">
        <v>4.0000000000000003E-5</v>
      </c>
      <c r="AD148" s="44">
        <v>4.0000000000000003E-5</v>
      </c>
      <c r="AE148" s="44">
        <v>4.0000000000000003E-5</v>
      </c>
      <c r="AF148" s="44">
        <v>4.0000000000000003E-5</v>
      </c>
      <c r="AG148" s="44">
        <v>4.0000000000000003E-5</v>
      </c>
      <c r="AH148" s="44">
        <v>4.0000000000000003E-5</v>
      </c>
      <c r="AI148"/>
      <c r="AJ148" s="44">
        <v>4.0000000000000003E-5</v>
      </c>
      <c r="AK148" s="44">
        <v>4.0000000000000003E-5</v>
      </c>
      <c r="AL148" s="44">
        <v>4.0000000000000003E-5</v>
      </c>
      <c r="AM148" s="44">
        <v>4.0000000000000003E-5</v>
      </c>
      <c r="AN148" s="44">
        <v>4.0000000000000003E-5</v>
      </c>
      <c r="AO148" s="44">
        <v>4.0000000000000003E-5</v>
      </c>
      <c r="AP148" s="44">
        <v>4.0000000000000003E-5</v>
      </c>
      <c r="AQ148"/>
      <c r="AR148" s="44">
        <v>4.0000000000000003E-5</v>
      </c>
      <c r="AS148" s="44">
        <v>4.0000000000000003E-5</v>
      </c>
      <c r="AT148" s="44">
        <v>4.0000000000000003E-5</v>
      </c>
      <c r="AU148" s="44">
        <v>4.0000000000000003E-5</v>
      </c>
      <c r="AV148"/>
      <c r="AW148" s="44">
        <v>4.0000000000000003E-5</v>
      </c>
      <c r="AX148"/>
      <c r="AY148"/>
      <c r="AZ148" s="44">
        <v>4.0000000000000003E-5</v>
      </c>
    </row>
    <row r="149" spans="1:52" x14ac:dyDescent="0.25">
      <c r="A149" s="13" t="s">
        <v>73</v>
      </c>
      <c r="B149" s="3" t="s">
        <v>473</v>
      </c>
      <c r="C149" s="3" t="s">
        <v>483</v>
      </c>
      <c r="D149" s="3" t="s">
        <v>537</v>
      </c>
      <c r="E149" s="14" t="s">
        <v>186</v>
      </c>
      <c r="F149" s="14" t="s">
        <v>200</v>
      </c>
      <c r="G149" s="44">
        <v>5.8333333333333335E-9</v>
      </c>
      <c r="H149" s="44">
        <f t="shared" si="19"/>
        <v>5.8333333333333335E-9</v>
      </c>
      <c r="I149" s="44">
        <v>5.8333333333333335E-9</v>
      </c>
      <c r="J149" s="44">
        <v>5.8333333333333335E-9</v>
      </c>
      <c r="K149" s="44">
        <v>5.8333333333333335E-9</v>
      </c>
      <c r="L149" s="44">
        <v>5.8333333333333335E-9</v>
      </c>
      <c r="M149" s="44">
        <v>5.8333333333333335E-9</v>
      </c>
      <c r="N149" s="44">
        <v>5.8333333333333335E-9</v>
      </c>
      <c r="O149" s="44">
        <v>5.8333333333333335E-9</v>
      </c>
      <c r="P149" s="44">
        <v>5.8333333333333335E-9</v>
      </c>
      <c r="R149" s="44">
        <v>5.8333333333333335E-9</v>
      </c>
      <c r="S149" s="44">
        <v>5.8333333333333335E-9</v>
      </c>
      <c r="T149" s="44">
        <v>5.8333333333333335E-9</v>
      </c>
      <c r="U149" s="44">
        <v>5.8333333333333335E-9</v>
      </c>
      <c r="X149" s="44">
        <v>5.8333333333333335E-9</v>
      </c>
      <c r="Y149" s="44">
        <v>5.8333333333333335E-9</v>
      </c>
      <c r="Z149" s="44">
        <v>5.8333333333333335E-9</v>
      </c>
      <c r="AA149" s="44">
        <v>5.8333333333333335E-9</v>
      </c>
      <c r="AB149" s="44">
        <v>5.8333333333333335E-9</v>
      </c>
      <c r="AC149" s="44">
        <v>5.8333333333333335E-9</v>
      </c>
      <c r="AD149" s="44">
        <v>5.8333333333333335E-9</v>
      </c>
      <c r="AE149" s="44">
        <v>5.8333333333333335E-9</v>
      </c>
      <c r="AF149" s="44">
        <v>5.8333333333333335E-9</v>
      </c>
      <c r="AG149" s="44">
        <v>5.8333333333333335E-9</v>
      </c>
      <c r="AH149" s="44">
        <v>5.8333333333333335E-9</v>
      </c>
      <c r="AI149"/>
      <c r="AJ149" s="44">
        <v>5.8333333333333335E-9</v>
      </c>
      <c r="AK149" s="44">
        <v>5.8333333333333335E-9</v>
      </c>
      <c r="AL149" s="44">
        <v>5.8333333333333335E-9</v>
      </c>
      <c r="AM149" s="44">
        <v>5.8333333333333335E-9</v>
      </c>
      <c r="AN149" s="44">
        <v>5.8333333333333335E-9</v>
      </c>
      <c r="AO149" s="44">
        <v>5.8333333333333335E-9</v>
      </c>
      <c r="AP149" s="44">
        <v>5.8333333333333335E-9</v>
      </c>
      <c r="AQ149"/>
      <c r="AR149" s="44">
        <v>5.8333333333333335E-9</v>
      </c>
      <c r="AS149" s="44">
        <v>5.8333333333333335E-9</v>
      </c>
      <c r="AT149" s="44">
        <v>5.8333333333333335E-9</v>
      </c>
      <c r="AU149" s="44">
        <v>5.8333333333333335E-9</v>
      </c>
      <c r="AV149"/>
      <c r="AW149" s="44">
        <v>5.8333333333333335E-9</v>
      </c>
      <c r="AX149"/>
      <c r="AY149"/>
      <c r="AZ149" s="44">
        <v>5.8333333333333335E-9</v>
      </c>
    </row>
    <row r="150" spans="1:52" x14ac:dyDescent="0.25">
      <c r="A150" s="13" t="s">
        <v>240</v>
      </c>
      <c r="B150" s="3" t="s">
        <v>473</v>
      </c>
      <c r="C150" s="3" t="s">
        <v>483</v>
      </c>
      <c r="D150" s="3" t="s">
        <v>537</v>
      </c>
      <c r="E150" s="14" t="s">
        <v>307</v>
      </c>
      <c r="F150" s="14" t="s">
        <v>109</v>
      </c>
      <c r="G150" s="44">
        <v>20</v>
      </c>
      <c r="H150" s="44">
        <f t="shared" si="19"/>
        <v>20</v>
      </c>
      <c r="I150" s="44">
        <v>20</v>
      </c>
      <c r="J150" s="44">
        <v>20</v>
      </c>
      <c r="K150" s="44">
        <v>20</v>
      </c>
      <c r="L150" s="44">
        <v>20</v>
      </c>
      <c r="M150" s="44">
        <v>20</v>
      </c>
      <c r="N150" s="44">
        <v>20</v>
      </c>
      <c r="O150" s="44">
        <v>20</v>
      </c>
      <c r="P150" s="44">
        <v>20</v>
      </c>
      <c r="R150" s="44">
        <v>20</v>
      </c>
      <c r="S150" s="44">
        <v>20</v>
      </c>
      <c r="T150" s="44">
        <v>20</v>
      </c>
      <c r="U150" s="44">
        <v>20</v>
      </c>
      <c r="X150" s="44">
        <v>20</v>
      </c>
      <c r="Y150" s="44">
        <v>20</v>
      </c>
      <c r="Z150" s="44">
        <v>20</v>
      </c>
      <c r="AA150" s="44">
        <v>20</v>
      </c>
      <c r="AB150" s="44">
        <v>20</v>
      </c>
      <c r="AC150" s="44">
        <v>20</v>
      </c>
      <c r="AD150" s="44">
        <v>20</v>
      </c>
      <c r="AE150" s="44">
        <v>20</v>
      </c>
      <c r="AF150" s="44">
        <v>20</v>
      </c>
      <c r="AG150" s="44">
        <v>20</v>
      </c>
      <c r="AH150" s="44">
        <v>20</v>
      </c>
      <c r="AI150"/>
      <c r="AJ150" s="44">
        <v>20</v>
      </c>
      <c r="AK150" s="44">
        <v>20</v>
      </c>
      <c r="AL150" s="44">
        <v>20</v>
      </c>
      <c r="AM150" s="44">
        <v>20</v>
      </c>
      <c r="AN150" s="44">
        <v>20</v>
      </c>
      <c r="AO150" s="44">
        <v>20</v>
      </c>
      <c r="AP150" s="44">
        <v>20</v>
      </c>
      <c r="AQ150"/>
      <c r="AR150" s="44">
        <v>20</v>
      </c>
      <c r="AS150" s="44">
        <v>20</v>
      </c>
      <c r="AT150" s="44">
        <v>20</v>
      </c>
      <c r="AU150" s="44">
        <v>20</v>
      </c>
      <c r="AV150"/>
      <c r="AW150" s="44">
        <v>20</v>
      </c>
      <c r="AX150"/>
      <c r="AY150"/>
      <c r="AZ150" s="44">
        <v>20</v>
      </c>
    </row>
    <row r="151" spans="1:52" x14ac:dyDescent="0.25">
      <c r="A151" s="13" t="s">
        <v>241</v>
      </c>
      <c r="B151" s="3" t="s">
        <v>473</v>
      </c>
      <c r="C151" s="3" t="s">
        <v>483</v>
      </c>
      <c r="D151" s="3" t="s">
        <v>537</v>
      </c>
      <c r="E151" s="14" t="s">
        <v>308</v>
      </c>
      <c r="F151" s="14" t="s">
        <v>301</v>
      </c>
      <c r="G151" s="44">
        <v>-0.06</v>
      </c>
      <c r="H151" s="44">
        <f t="shared" si="19"/>
        <v>-0.06</v>
      </c>
      <c r="I151" s="44">
        <v>-0.06</v>
      </c>
      <c r="J151" s="44">
        <v>-0.06</v>
      </c>
      <c r="K151" s="44">
        <v>-0.06</v>
      </c>
      <c r="L151" s="44">
        <v>-0.06</v>
      </c>
      <c r="M151" s="44">
        <v>-0.06</v>
      </c>
      <c r="N151" s="44">
        <v>-0.06</v>
      </c>
      <c r="O151" s="44">
        <v>-0.06</v>
      </c>
      <c r="P151" s="44">
        <v>-0.06</v>
      </c>
      <c r="R151" s="44">
        <v>-0.06</v>
      </c>
      <c r="S151" s="44">
        <v>-0.06</v>
      </c>
      <c r="T151" s="44">
        <v>-0.06</v>
      </c>
      <c r="U151" s="44">
        <v>-0.06</v>
      </c>
      <c r="X151" s="44">
        <v>-0.06</v>
      </c>
      <c r="Y151" s="44">
        <v>-0.06</v>
      </c>
      <c r="Z151" s="44">
        <v>-0.06</v>
      </c>
      <c r="AA151" s="44">
        <v>-0.06</v>
      </c>
      <c r="AB151" s="44">
        <v>-0.06</v>
      </c>
      <c r="AC151" s="44">
        <v>-0.06</v>
      </c>
      <c r="AD151" s="44">
        <v>-0.06</v>
      </c>
      <c r="AE151" s="44">
        <v>-0.06</v>
      </c>
      <c r="AF151" s="44">
        <v>-0.06</v>
      </c>
      <c r="AG151" s="44">
        <v>-0.06</v>
      </c>
      <c r="AH151" s="44">
        <v>-0.06</v>
      </c>
      <c r="AI151"/>
      <c r="AJ151" s="44">
        <v>-0.06</v>
      </c>
      <c r="AK151" s="44">
        <v>-0.06</v>
      </c>
      <c r="AL151" s="44">
        <v>-0.06</v>
      </c>
      <c r="AM151" s="44">
        <v>-0.06</v>
      </c>
      <c r="AN151" s="44">
        <v>-0.06</v>
      </c>
      <c r="AO151" s="44">
        <v>-0.06</v>
      </c>
      <c r="AP151" s="44">
        <v>-0.06</v>
      </c>
      <c r="AQ151"/>
      <c r="AR151" s="44">
        <v>-0.06</v>
      </c>
      <c r="AS151" s="44">
        <v>-0.06</v>
      </c>
      <c r="AT151" s="44">
        <v>-0.06</v>
      </c>
      <c r="AU151" s="44">
        <v>-0.06</v>
      </c>
      <c r="AV151"/>
      <c r="AW151" s="44">
        <v>-0.06</v>
      </c>
      <c r="AX151"/>
      <c r="AY151"/>
      <c r="AZ151" s="44">
        <v>-0.06</v>
      </c>
    </row>
    <row r="152" spans="1:52" x14ac:dyDescent="0.25">
      <c r="A152" s="13" t="s">
        <v>242</v>
      </c>
      <c r="B152" s="3" t="s">
        <v>473</v>
      </c>
      <c r="C152" s="3" t="s">
        <v>483</v>
      </c>
      <c r="D152" s="3" t="s">
        <v>537</v>
      </c>
      <c r="E152" s="14" t="s">
        <v>309</v>
      </c>
      <c r="F152" s="14" t="s">
        <v>100</v>
      </c>
      <c r="G152" s="44">
        <v>0.89100000000000001</v>
      </c>
      <c r="H152" s="44">
        <f t="shared" si="19"/>
        <v>0.89100000000000001</v>
      </c>
      <c r="I152" s="44">
        <v>0.89100000000000001</v>
      </c>
      <c r="J152" s="44">
        <v>0.89100000000000001</v>
      </c>
      <c r="K152" s="44">
        <v>0.89100000000000001</v>
      </c>
      <c r="L152" s="44">
        <v>0.89100000000000001</v>
      </c>
      <c r="M152" s="44">
        <v>0.89100000000000001</v>
      </c>
      <c r="N152" s="44">
        <v>0.89100000000000001</v>
      </c>
      <c r="O152" s="44">
        <v>0.89100000000000001</v>
      </c>
      <c r="P152" s="44">
        <v>0.89100000000000001</v>
      </c>
      <c r="R152" s="44">
        <v>0.89100000000000001</v>
      </c>
      <c r="S152" s="44">
        <v>0.89100000000000001</v>
      </c>
      <c r="T152" s="44">
        <v>0.89100000000000001</v>
      </c>
      <c r="U152" s="44">
        <v>0.89100000000000001</v>
      </c>
      <c r="X152" s="44">
        <v>0.89100000000000001</v>
      </c>
      <c r="Y152" s="44">
        <v>0.89100000000000001</v>
      </c>
      <c r="Z152" s="44">
        <v>0.89100000000000001</v>
      </c>
      <c r="AA152" s="44">
        <v>0.89100000000000001</v>
      </c>
      <c r="AB152" s="44">
        <v>0.89100000000000001</v>
      </c>
      <c r="AC152" s="44">
        <v>0.89100000000000001</v>
      </c>
      <c r="AD152" s="44">
        <v>0.89100000000000001</v>
      </c>
      <c r="AE152" s="44">
        <v>0.89100000000000001</v>
      </c>
      <c r="AF152" s="44">
        <v>0.89100000000000001</v>
      </c>
      <c r="AG152" s="44">
        <v>0.89100000000000001</v>
      </c>
      <c r="AH152" s="44">
        <v>0.89100000000000001</v>
      </c>
      <c r="AI152"/>
      <c r="AJ152" s="44">
        <v>0.89100000000000001</v>
      </c>
      <c r="AK152" s="44">
        <v>0.89100000000000001</v>
      </c>
      <c r="AL152" s="44">
        <v>0.89100000000000001</v>
      </c>
      <c r="AM152" s="44">
        <v>0.89100000000000001</v>
      </c>
      <c r="AN152" s="44">
        <v>0.89100000000000001</v>
      </c>
      <c r="AO152" s="44">
        <v>0.89100000000000001</v>
      </c>
      <c r="AP152" s="44">
        <v>0.89100000000000001</v>
      </c>
      <c r="AQ152"/>
      <c r="AR152" s="44">
        <v>0.89100000000000001</v>
      </c>
      <c r="AS152" s="44">
        <v>0.89100000000000001</v>
      </c>
      <c r="AT152" s="44">
        <v>0.89100000000000001</v>
      </c>
      <c r="AU152" s="44">
        <v>0.89100000000000001</v>
      </c>
      <c r="AV152"/>
      <c r="AW152" s="44">
        <v>0.89100000000000001</v>
      </c>
      <c r="AX152"/>
      <c r="AY152"/>
      <c r="AZ152" s="44">
        <v>0.89100000000000001</v>
      </c>
    </row>
    <row r="153" spans="1:52" x14ac:dyDescent="0.25">
      <c r="A153" s="13" t="s">
        <v>243</v>
      </c>
      <c r="B153" s="3" t="s">
        <v>473</v>
      </c>
      <c r="C153" s="3" t="s">
        <v>483</v>
      </c>
      <c r="D153" s="3" t="s">
        <v>537</v>
      </c>
      <c r="E153" s="14" t="s">
        <v>310</v>
      </c>
      <c r="F153" s="14" t="s">
        <v>95</v>
      </c>
      <c r="G153" s="44">
        <v>1</v>
      </c>
      <c r="H153" s="44">
        <f t="shared" si="19"/>
        <v>1</v>
      </c>
      <c r="I153" s="44">
        <v>1</v>
      </c>
      <c r="J153" s="44">
        <v>1</v>
      </c>
      <c r="K153" s="44">
        <v>1</v>
      </c>
      <c r="L153" s="44">
        <v>1</v>
      </c>
      <c r="M153" s="44">
        <v>1</v>
      </c>
      <c r="N153" s="44">
        <v>1</v>
      </c>
      <c r="O153" s="44">
        <v>1</v>
      </c>
      <c r="P153" s="44">
        <v>1</v>
      </c>
      <c r="R153" s="44">
        <v>1</v>
      </c>
      <c r="S153" s="44">
        <v>1</v>
      </c>
      <c r="T153" s="44">
        <v>1</v>
      </c>
      <c r="U153" s="44">
        <v>1</v>
      </c>
      <c r="X153" s="44">
        <v>1</v>
      </c>
      <c r="Y153" s="44">
        <v>1</v>
      </c>
      <c r="Z153" s="44">
        <v>1</v>
      </c>
      <c r="AA153" s="44">
        <v>1</v>
      </c>
      <c r="AB153" s="44">
        <v>1</v>
      </c>
      <c r="AC153" s="44">
        <v>1</v>
      </c>
      <c r="AD153" s="44">
        <v>1</v>
      </c>
      <c r="AE153" s="44">
        <v>1</v>
      </c>
      <c r="AF153" s="44">
        <v>1</v>
      </c>
      <c r="AG153" s="44">
        <v>1</v>
      </c>
      <c r="AH153" s="44">
        <v>1</v>
      </c>
      <c r="AI153"/>
      <c r="AJ153" s="44">
        <v>1</v>
      </c>
      <c r="AK153" s="44">
        <v>1</v>
      </c>
      <c r="AL153" s="44">
        <v>1</v>
      </c>
      <c r="AM153" s="44">
        <v>1</v>
      </c>
      <c r="AN153" s="44">
        <v>1</v>
      </c>
      <c r="AO153" s="44">
        <v>1</v>
      </c>
      <c r="AP153" s="44">
        <v>1</v>
      </c>
      <c r="AQ153"/>
      <c r="AR153" s="44">
        <v>1</v>
      </c>
      <c r="AS153" s="44">
        <v>1</v>
      </c>
      <c r="AT153" s="44">
        <v>1</v>
      </c>
      <c r="AU153" s="44">
        <v>1</v>
      </c>
      <c r="AV153"/>
      <c r="AW153" s="44">
        <v>1</v>
      </c>
      <c r="AX153"/>
      <c r="AY153"/>
      <c r="AZ153" s="44">
        <v>1</v>
      </c>
    </row>
    <row r="154" spans="1:52" x14ac:dyDescent="0.25">
      <c r="A154" s="13" t="s">
        <v>74</v>
      </c>
      <c r="B154" s="3" t="s">
        <v>473</v>
      </c>
      <c r="C154" s="3" t="s">
        <v>483</v>
      </c>
      <c r="D154" s="3" t="s">
        <v>537</v>
      </c>
      <c r="E154" s="14" t="s">
        <v>185</v>
      </c>
      <c r="F154" s="14" t="s">
        <v>198</v>
      </c>
      <c r="G154" s="44">
        <v>4.0000000000000003E-5</v>
      </c>
      <c r="H154" s="44">
        <f t="shared" si="19"/>
        <v>4.0000000000000003E-5</v>
      </c>
      <c r="I154" s="44">
        <v>4.0000000000000003E-5</v>
      </c>
      <c r="J154" s="44">
        <v>4.0000000000000003E-5</v>
      </c>
      <c r="K154" s="44">
        <v>4.0000000000000003E-5</v>
      </c>
      <c r="L154" s="44">
        <v>4.0000000000000003E-5</v>
      </c>
      <c r="M154" s="44">
        <v>4.0000000000000003E-5</v>
      </c>
      <c r="N154" s="44">
        <v>4.0000000000000003E-5</v>
      </c>
      <c r="O154" s="44">
        <v>4.0000000000000003E-5</v>
      </c>
      <c r="P154" s="44">
        <v>4.0000000000000003E-5</v>
      </c>
      <c r="R154" s="44">
        <v>4.0000000000000003E-5</v>
      </c>
      <c r="S154" s="44">
        <v>4.0000000000000003E-5</v>
      </c>
      <c r="T154" s="44">
        <v>4.0000000000000003E-5</v>
      </c>
      <c r="U154" s="44">
        <v>4.0000000000000003E-5</v>
      </c>
      <c r="X154" s="44">
        <v>4.0000000000000003E-5</v>
      </c>
      <c r="Y154" s="44">
        <v>4.0000000000000003E-5</v>
      </c>
      <c r="Z154" s="44">
        <v>4.0000000000000003E-5</v>
      </c>
      <c r="AA154" s="44">
        <v>4.0000000000000003E-5</v>
      </c>
      <c r="AB154" s="44">
        <v>4.0000000000000003E-5</v>
      </c>
      <c r="AC154" s="44">
        <v>4.0000000000000003E-5</v>
      </c>
      <c r="AD154" s="44">
        <v>4.0000000000000003E-5</v>
      </c>
      <c r="AE154" s="44">
        <v>4.0000000000000003E-5</v>
      </c>
      <c r="AF154" s="44">
        <v>4.0000000000000003E-5</v>
      </c>
      <c r="AG154" s="44">
        <v>4.0000000000000003E-5</v>
      </c>
      <c r="AH154" s="44">
        <v>4.0000000000000003E-5</v>
      </c>
      <c r="AI154"/>
      <c r="AJ154" s="44">
        <v>4.0000000000000003E-5</v>
      </c>
      <c r="AK154" s="44">
        <v>4.0000000000000003E-5</v>
      </c>
      <c r="AL154" s="44">
        <v>4.0000000000000003E-5</v>
      </c>
      <c r="AM154" s="44">
        <v>4.0000000000000003E-5</v>
      </c>
      <c r="AN154" s="44">
        <v>4.0000000000000003E-5</v>
      </c>
      <c r="AO154" s="44">
        <v>4.0000000000000003E-5</v>
      </c>
      <c r="AP154" s="44">
        <v>4.0000000000000003E-5</v>
      </c>
      <c r="AQ154"/>
      <c r="AR154" s="44">
        <v>4.0000000000000003E-5</v>
      </c>
      <c r="AS154" s="44">
        <v>4.0000000000000003E-5</v>
      </c>
      <c r="AT154" s="44">
        <v>4.0000000000000003E-5</v>
      </c>
      <c r="AU154" s="44">
        <v>4.0000000000000003E-5</v>
      </c>
      <c r="AV154"/>
      <c r="AW154" s="44">
        <v>4.0000000000000003E-5</v>
      </c>
      <c r="AX154"/>
      <c r="AY154"/>
      <c r="AZ154" s="44">
        <v>4.0000000000000003E-5</v>
      </c>
    </row>
    <row r="155" spans="1:52" x14ac:dyDescent="0.25">
      <c r="A155" s="9" t="s">
        <v>75</v>
      </c>
      <c r="B155" s="3" t="s">
        <v>473</v>
      </c>
      <c r="C155" s="3" t="s">
        <v>483</v>
      </c>
      <c r="D155" s="3" t="s">
        <v>537</v>
      </c>
      <c r="E155" s="10" t="s">
        <v>187</v>
      </c>
      <c r="F155" s="10" t="s">
        <v>200</v>
      </c>
      <c r="G155" s="44">
        <v>4.9999999999999998E-8</v>
      </c>
      <c r="H155" s="44">
        <f t="shared" si="19"/>
        <v>4.9999999999999998E-8</v>
      </c>
      <c r="I155" s="44">
        <v>4.0000000000000001E-8</v>
      </c>
      <c r="J155" s="44">
        <v>4.0000000000000001E-8</v>
      </c>
      <c r="K155" s="44">
        <v>4.0000000000000001E-8</v>
      </c>
      <c r="L155" s="44">
        <v>4.0000000000000001E-8</v>
      </c>
      <c r="M155" s="44">
        <v>4.0000000000000001E-8</v>
      </c>
      <c r="N155" s="44">
        <v>4.0000000000000001E-8</v>
      </c>
      <c r="O155" s="44">
        <v>4.0000000000000001E-8</v>
      </c>
      <c r="P155" s="44">
        <v>4.0000000000000001E-8</v>
      </c>
      <c r="R155" s="44">
        <v>4.0000000000000001E-8</v>
      </c>
      <c r="S155" s="44">
        <v>4.0000000000000001E-8</v>
      </c>
      <c r="T155" s="44">
        <v>4.0000000000000001E-8</v>
      </c>
      <c r="U155" s="44">
        <v>4.0000000000000001E-8</v>
      </c>
      <c r="X155" s="44">
        <v>4.0000000000000001E-8</v>
      </c>
      <c r="Y155" s="44">
        <v>4.0000000000000001E-8</v>
      </c>
      <c r="Z155" s="44">
        <v>4.0000000000000001E-8</v>
      </c>
      <c r="AA155" s="44">
        <v>4.0000000000000001E-8</v>
      </c>
      <c r="AB155" s="44">
        <v>4.0000000000000001E-8</v>
      </c>
      <c r="AC155" s="44">
        <v>4.0000000000000001E-8</v>
      </c>
      <c r="AD155" s="44">
        <v>4.0000000000000001E-8</v>
      </c>
      <c r="AE155" s="44">
        <v>4.0000000000000001E-8</v>
      </c>
      <c r="AF155" s="44">
        <v>4.0000000000000001E-8</v>
      </c>
      <c r="AG155" s="44">
        <v>4.0000000000000001E-8</v>
      </c>
      <c r="AH155" s="44">
        <v>4.0000000000000001E-8</v>
      </c>
      <c r="AI155"/>
      <c r="AJ155" s="44">
        <v>4.0000000000000001E-8</v>
      </c>
      <c r="AK155" s="44">
        <v>4.0000000000000001E-8</v>
      </c>
      <c r="AL155" s="44">
        <v>4.0000000000000001E-8</v>
      </c>
      <c r="AM155" s="44">
        <v>4.0000000000000001E-8</v>
      </c>
      <c r="AN155" s="44">
        <v>4.0000000000000001E-8</v>
      </c>
      <c r="AO155" s="44">
        <v>4.0000000000000001E-8</v>
      </c>
      <c r="AP155" s="44">
        <v>4.0000000000000001E-8</v>
      </c>
      <c r="AQ155"/>
      <c r="AR155" s="44">
        <v>4.0000000000000001E-8</v>
      </c>
      <c r="AS155" s="44">
        <v>4.0000000000000001E-8</v>
      </c>
      <c r="AT155" s="44">
        <v>4.0000000000000001E-8</v>
      </c>
      <c r="AU155" s="44">
        <v>4.0000000000000001E-8</v>
      </c>
      <c r="AV155"/>
      <c r="AW155" s="44">
        <v>4.0000000000000001E-8</v>
      </c>
      <c r="AX155"/>
      <c r="AY155"/>
      <c r="AZ155" s="44">
        <v>4.0000000000000001E-8</v>
      </c>
    </row>
    <row r="156" spans="1:52" x14ac:dyDescent="0.25">
      <c r="A156" s="9" t="s">
        <v>218</v>
      </c>
      <c r="B156" s="3" t="s">
        <v>473</v>
      </c>
      <c r="C156" s="3" t="s">
        <v>483</v>
      </c>
      <c r="D156" s="3" t="s">
        <v>537</v>
      </c>
      <c r="E156" s="10" t="s">
        <v>298</v>
      </c>
      <c r="F156" s="10" t="s">
        <v>109</v>
      </c>
      <c r="G156" s="44">
        <v>20</v>
      </c>
      <c r="H156" s="44">
        <f t="shared" si="19"/>
        <v>20</v>
      </c>
      <c r="I156" s="44">
        <v>20</v>
      </c>
      <c r="J156" s="44">
        <v>20</v>
      </c>
      <c r="K156" s="44">
        <v>20</v>
      </c>
      <c r="L156" s="44">
        <v>20</v>
      </c>
      <c r="M156" s="44">
        <v>20</v>
      </c>
      <c r="N156" s="44">
        <v>20</v>
      </c>
      <c r="O156" s="44">
        <v>20</v>
      </c>
      <c r="P156" s="44">
        <v>20</v>
      </c>
      <c r="R156" s="44">
        <v>20</v>
      </c>
      <c r="S156" s="44">
        <v>20</v>
      </c>
      <c r="T156" s="44">
        <v>20</v>
      </c>
      <c r="U156" s="44">
        <v>20</v>
      </c>
      <c r="X156" s="44">
        <v>20</v>
      </c>
      <c r="Y156" s="44">
        <v>20</v>
      </c>
      <c r="Z156" s="44">
        <v>20</v>
      </c>
      <c r="AA156" s="44">
        <v>20</v>
      </c>
      <c r="AB156" s="44">
        <v>20</v>
      </c>
      <c r="AC156" s="44">
        <v>20</v>
      </c>
      <c r="AD156" s="44">
        <v>20</v>
      </c>
      <c r="AE156" s="44">
        <v>20</v>
      </c>
      <c r="AF156" s="44">
        <v>20</v>
      </c>
      <c r="AG156" s="44">
        <v>20</v>
      </c>
      <c r="AH156" s="44">
        <v>20</v>
      </c>
      <c r="AI156"/>
      <c r="AJ156" s="44">
        <v>20</v>
      </c>
      <c r="AK156" s="44">
        <v>20</v>
      </c>
      <c r="AL156" s="44">
        <v>20</v>
      </c>
      <c r="AM156" s="44">
        <v>20</v>
      </c>
      <c r="AN156" s="44">
        <v>20</v>
      </c>
      <c r="AO156" s="44">
        <v>20</v>
      </c>
      <c r="AP156" s="44">
        <v>20</v>
      </c>
      <c r="AQ156"/>
      <c r="AR156" s="44">
        <v>20</v>
      </c>
      <c r="AS156" s="44">
        <v>20</v>
      </c>
      <c r="AT156" s="44">
        <v>20</v>
      </c>
      <c r="AU156" s="44">
        <v>20</v>
      </c>
      <c r="AV156"/>
      <c r="AW156" s="44">
        <v>20</v>
      </c>
      <c r="AX156"/>
      <c r="AY156"/>
      <c r="AZ156" s="44">
        <v>20</v>
      </c>
    </row>
    <row r="157" spans="1:52" x14ac:dyDescent="0.25">
      <c r="A157" s="9" t="s">
        <v>219</v>
      </c>
      <c r="B157" s="3" t="s">
        <v>473</v>
      </c>
      <c r="C157" s="3" t="s">
        <v>483</v>
      </c>
      <c r="D157" s="3" t="s">
        <v>537</v>
      </c>
      <c r="E157" s="10" t="s">
        <v>299</v>
      </c>
      <c r="F157" s="10" t="s">
        <v>301</v>
      </c>
      <c r="G157" s="44">
        <v>-4.4200000000000003E-2</v>
      </c>
      <c r="H157" s="44">
        <f t="shared" si="19"/>
        <v>-4.4200000000000003E-2</v>
      </c>
      <c r="I157" s="44">
        <v>-4.4200000000000003E-2</v>
      </c>
      <c r="J157" s="44">
        <v>-4.4200000000000003E-2</v>
      </c>
      <c r="K157" s="44">
        <v>-4.4200000000000003E-2</v>
      </c>
      <c r="L157" s="44">
        <v>-4.4200000000000003E-2</v>
      </c>
      <c r="M157" s="44">
        <v>-4.4200000000000003E-2</v>
      </c>
      <c r="N157" s="44">
        <v>-4.4200000000000003E-2</v>
      </c>
      <c r="O157" s="44">
        <v>-4.4200000000000003E-2</v>
      </c>
      <c r="P157" s="44">
        <v>-4.4200000000000003E-2</v>
      </c>
      <c r="R157" s="44">
        <v>-4.4200000000000003E-2</v>
      </c>
      <c r="S157" s="44">
        <v>-4.4200000000000003E-2</v>
      </c>
      <c r="T157" s="44">
        <v>-4.4200000000000003E-2</v>
      </c>
      <c r="U157" s="44">
        <v>-4.4200000000000003E-2</v>
      </c>
      <c r="X157" s="44">
        <v>-4.4200000000000003E-2</v>
      </c>
      <c r="Y157" s="44">
        <v>-4.4200000000000003E-2</v>
      </c>
      <c r="Z157" s="44">
        <v>-4.4200000000000003E-2</v>
      </c>
      <c r="AA157" s="44">
        <v>-4.4200000000000003E-2</v>
      </c>
      <c r="AB157" s="44">
        <v>-4.4200000000000003E-2</v>
      </c>
      <c r="AC157" s="44">
        <v>-4.4200000000000003E-2</v>
      </c>
      <c r="AD157" s="44">
        <v>-4.4200000000000003E-2</v>
      </c>
      <c r="AE157" s="44">
        <v>-4.4200000000000003E-2</v>
      </c>
      <c r="AF157" s="44">
        <v>-4.4200000000000003E-2</v>
      </c>
      <c r="AG157" s="44">
        <v>-4.4200000000000003E-2</v>
      </c>
      <c r="AH157" s="44">
        <v>-4.4200000000000003E-2</v>
      </c>
      <c r="AI157"/>
      <c r="AJ157" s="44">
        <v>-4.4200000000000003E-2</v>
      </c>
      <c r="AK157" s="44">
        <v>-4.4200000000000003E-2</v>
      </c>
      <c r="AL157" s="44">
        <v>-4.4200000000000003E-2</v>
      </c>
      <c r="AM157" s="44">
        <v>-4.4200000000000003E-2</v>
      </c>
      <c r="AN157" s="44">
        <v>-4.4200000000000003E-2</v>
      </c>
      <c r="AO157" s="44">
        <v>-4.4200000000000003E-2</v>
      </c>
      <c r="AP157" s="44">
        <v>-4.4200000000000003E-2</v>
      </c>
      <c r="AQ157"/>
      <c r="AR157" s="44">
        <v>-4.4200000000000003E-2</v>
      </c>
      <c r="AS157" s="44">
        <v>-4.4200000000000003E-2</v>
      </c>
      <c r="AT157" s="44">
        <v>-4.4200000000000003E-2</v>
      </c>
      <c r="AU157" s="44">
        <v>-4.4200000000000003E-2</v>
      </c>
      <c r="AV157"/>
      <c r="AW157" s="44">
        <v>-4.4200000000000003E-2</v>
      </c>
      <c r="AX157"/>
      <c r="AY157"/>
      <c r="AZ157" s="44">
        <v>-4.4200000000000003E-2</v>
      </c>
    </row>
    <row r="158" spans="1:52" x14ac:dyDescent="0.25">
      <c r="A158" s="9" t="s">
        <v>220</v>
      </c>
      <c r="B158" s="3" t="s">
        <v>473</v>
      </c>
      <c r="C158" s="3" t="s">
        <v>483</v>
      </c>
      <c r="D158" s="3" t="s">
        <v>537</v>
      </c>
      <c r="E158" s="10" t="s">
        <v>300</v>
      </c>
      <c r="F158" s="10" t="s">
        <v>100</v>
      </c>
      <c r="G158" s="44">
        <v>1.55</v>
      </c>
      <c r="H158" s="44">
        <f t="shared" si="19"/>
        <v>1.55</v>
      </c>
      <c r="I158" s="44">
        <v>1.55</v>
      </c>
      <c r="J158" s="44">
        <v>1.55</v>
      </c>
      <c r="K158" s="44">
        <v>1.55</v>
      </c>
      <c r="L158" s="44">
        <v>1.55</v>
      </c>
      <c r="M158" s="44">
        <v>1.55</v>
      </c>
      <c r="N158" s="44">
        <v>1.55</v>
      </c>
      <c r="O158" s="44">
        <v>1.55</v>
      </c>
      <c r="P158" s="44">
        <v>1.55</v>
      </c>
      <c r="R158" s="44">
        <v>1.55</v>
      </c>
      <c r="S158" s="44">
        <v>1.55</v>
      </c>
      <c r="T158" s="44">
        <v>1.55</v>
      </c>
      <c r="U158" s="44">
        <v>1.55</v>
      </c>
      <c r="X158" s="44">
        <v>1.55</v>
      </c>
      <c r="Y158" s="44">
        <v>1.55</v>
      </c>
      <c r="Z158" s="44">
        <v>1.55</v>
      </c>
      <c r="AA158" s="44">
        <v>1.55</v>
      </c>
      <c r="AB158" s="44">
        <v>1.55</v>
      </c>
      <c r="AC158" s="44">
        <v>1.55</v>
      </c>
      <c r="AD158" s="44">
        <v>1.55</v>
      </c>
      <c r="AE158" s="44">
        <v>1.55</v>
      </c>
      <c r="AF158" s="44">
        <v>1.55</v>
      </c>
      <c r="AG158" s="44">
        <v>1.55</v>
      </c>
      <c r="AH158" s="44">
        <v>1.55</v>
      </c>
      <c r="AI158"/>
      <c r="AJ158" s="44">
        <v>1.55</v>
      </c>
      <c r="AK158" s="44">
        <v>1.55</v>
      </c>
      <c r="AL158" s="44">
        <v>1.55</v>
      </c>
      <c r="AM158" s="44">
        <v>1.55</v>
      </c>
      <c r="AN158" s="44">
        <v>1.55</v>
      </c>
      <c r="AO158" s="44">
        <v>1.55</v>
      </c>
      <c r="AP158" s="44">
        <v>1.55</v>
      </c>
      <c r="AQ158"/>
      <c r="AR158" s="44">
        <v>1.55</v>
      </c>
      <c r="AS158" s="44">
        <v>1.55</v>
      </c>
      <c r="AT158" s="44">
        <v>1.55</v>
      </c>
      <c r="AU158" s="44">
        <v>1.55</v>
      </c>
      <c r="AV158"/>
      <c r="AW158" s="44">
        <v>1.55</v>
      </c>
      <c r="AX158"/>
      <c r="AY158"/>
      <c r="AZ158" s="44">
        <v>1.55</v>
      </c>
    </row>
    <row r="159" spans="1:52" x14ac:dyDescent="0.25">
      <c r="A159" s="9" t="s">
        <v>221</v>
      </c>
      <c r="B159" s="3" t="s">
        <v>473</v>
      </c>
      <c r="C159" s="3" t="s">
        <v>483</v>
      </c>
      <c r="D159" s="3" t="s">
        <v>537</v>
      </c>
      <c r="E159" s="10" t="s">
        <v>302</v>
      </c>
      <c r="F159" s="10" t="s">
        <v>95</v>
      </c>
      <c r="G159" s="44">
        <v>1</v>
      </c>
      <c r="H159" s="44">
        <f t="shared" si="19"/>
        <v>1</v>
      </c>
      <c r="I159" s="44">
        <v>1</v>
      </c>
      <c r="J159" s="44">
        <v>1</v>
      </c>
      <c r="K159" s="44">
        <v>1</v>
      </c>
      <c r="L159" s="44">
        <v>1</v>
      </c>
      <c r="M159" s="44">
        <v>1</v>
      </c>
      <c r="N159" s="44">
        <v>1</v>
      </c>
      <c r="O159" s="44">
        <v>1</v>
      </c>
      <c r="P159" s="44">
        <v>1</v>
      </c>
      <c r="R159" s="44">
        <v>1</v>
      </c>
      <c r="S159" s="44">
        <v>1</v>
      </c>
      <c r="T159" s="44">
        <v>1</v>
      </c>
      <c r="U159" s="44">
        <v>1</v>
      </c>
      <c r="X159" s="44">
        <v>1</v>
      </c>
      <c r="Y159" s="44">
        <v>1</v>
      </c>
      <c r="Z159" s="44">
        <v>1</v>
      </c>
      <c r="AA159" s="44">
        <v>1</v>
      </c>
      <c r="AB159" s="44">
        <v>1</v>
      </c>
      <c r="AC159" s="44">
        <v>1</v>
      </c>
      <c r="AD159" s="44">
        <v>1</v>
      </c>
      <c r="AE159" s="44">
        <v>1</v>
      </c>
      <c r="AF159" s="44">
        <v>1</v>
      </c>
      <c r="AG159" s="44">
        <v>1</v>
      </c>
      <c r="AH159" s="44">
        <v>1</v>
      </c>
      <c r="AI159"/>
      <c r="AJ159" s="44">
        <v>1</v>
      </c>
      <c r="AK159" s="44">
        <v>1</v>
      </c>
      <c r="AL159" s="44">
        <v>1</v>
      </c>
      <c r="AM159" s="44">
        <v>1</v>
      </c>
      <c r="AN159" s="44">
        <v>1</v>
      </c>
      <c r="AO159" s="44">
        <v>1</v>
      </c>
      <c r="AP159" s="44">
        <v>1</v>
      </c>
      <c r="AQ159"/>
      <c r="AR159" s="44">
        <v>1</v>
      </c>
      <c r="AS159" s="44">
        <v>1</v>
      </c>
      <c r="AT159" s="44">
        <v>1</v>
      </c>
      <c r="AU159" s="44">
        <v>1</v>
      </c>
      <c r="AV159"/>
      <c r="AW159" s="44">
        <v>1</v>
      </c>
      <c r="AX159"/>
      <c r="AY159"/>
      <c r="AZ159" s="44">
        <v>1</v>
      </c>
    </row>
    <row r="160" spans="1:52" x14ac:dyDescent="0.25">
      <c r="A160" s="9" t="s">
        <v>76</v>
      </c>
      <c r="B160" s="3" t="s">
        <v>473</v>
      </c>
      <c r="C160" s="3" t="s">
        <v>483</v>
      </c>
      <c r="D160" s="3" t="s">
        <v>537</v>
      </c>
      <c r="E160" s="10" t="s">
        <v>188</v>
      </c>
      <c r="F160" s="10" t="s">
        <v>198</v>
      </c>
      <c r="G160" s="44">
        <v>2.7799999999999998E-4</v>
      </c>
      <c r="H160" s="44">
        <f t="shared" si="19"/>
        <v>2.7799999999999998E-4</v>
      </c>
      <c r="I160" s="44">
        <v>2.7799999999999998E-4</v>
      </c>
      <c r="J160" s="44">
        <v>2.7799999999999998E-4</v>
      </c>
      <c r="K160" s="44">
        <v>2.7799999999999998E-4</v>
      </c>
      <c r="L160" s="44">
        <v>2.7799999999999998E-4</v>
      </c>
      <c r="M160" s="44">
        <v>2.7799999999999998E-4</v>
      </c>
      <c r="N160" s="44">
        <v>2.7799999999999998E-4</v>
      </c>
      <c r="O160" s="44">
        <v>2.7799999999999998E-4</v>
      </c>
      <c r="P160" s="44">
        <v>2.7799999999999998E-4</v>
      </c>
      <c r="R160" s="44">
        <v>2.7799999999999998E-4</v>
      </c>
      <c r="S160" s="44">
        <v>2.7799999999999998E-4</v>
      </c>
      <c r="T160" s="44">
        <v>2.7799999999999998E-4</v>
      </c>
      <c r="U160" s="44">
        <v>2.7799999999999998E-4</v>
      </c>
      <c r="X160" s="44">
        <v>2.7799999999999998E-4</v>
      </c>
      <c r="Y160" s="44">
        <v>2.7799999999999998E-4</v>
      </c>
      <c r="Z160" s="44">
        <v>2.7799999999999998E-4</v>
      </c>
      <c r="AA160" s="44">
        <v>2.7799999999999998E-4</v>
      </c>
      <c r="AB160" s="44">
        <v>2.7799999999999998E-4</v>
      </c>
      <c r="AC160" s="44">
        <v>2.7799999999999998E-4</v>
      </c>
      <c r="AD160" s="44">
        <v>2.7799999999999998E-4</v>
      </c>
      <c r="AE160" s="44">
        <v>2.7799999999999998E-4</v>
      </c>
      <c r="AF160" s="44">
        <v>2.7799999999999998E-4</v>
      </c>
      <c r="AG160" s="44">
        <v>2.7799999999999998E-4</v>
      </c>
      <c r="AH160" s="44">
        <v>2.7799999999999998E-4</v>
      </c>
      <c r="AI160"/>
      <c r="AJ160" s="44">
        <v>2.7799999999999998E-4</v>
      </c>
      <c r="AK160" s="44">
        <v>2.7799999999999998E-4</v>
      </c>
      <c r="AL160" s="44">
        <v>2.7799999999999998E-4</v>
      </c>
      <c r="AM160" s="44">
        <v>2.7799999999999998E-4</v>
      </c>
      <c r="AN160" s="44">
        <v>2.7799999999999998E-4</v>
      </c>
      <c r="AO160" s="44">
        <v>2.7799999999999998E-4</v>
      </c>
      <c r="AP160" s="44">
        <v>2.7799999999999998E-4</v>
      </c>
      <c r="AQ160"/>
      <c r="AR160" s="44">
        <v>2.7799999999999998E-4</v>
      </c>
      <c r="AS160" s="44">
        <v>2.7799999999999998E-4</v>
      </c>
      <c r="AT160" s="44">
        <v>2.7799999999999998E-4</v>
      </c>
      <c r="AU160" s="44">
        <v>2.7799999999999998E-4</v>
      </c>
      <c r="AV160"/>
      <c r="AW160" s="44">
        <v>2.7799999999999998E-4</v>
      </c>
      <c r="AX160"/>
      <c r="AY160"/>
      <c r="AZ160" s="44">
        <v>2.7799999999999998E-4</v>
      </c>
    </row>
    <row r="161" spans="1:52" x14ac:dyDescent="0.25">
      <c r="A161" s="25" t="s">
        <v>78</v>
      </c>
      <c r="B161" s="3" t="s">
        <v>473</v>
      </c>
      <c r="C161" s="3" t="s">
        <v>483</v>
      </c>
      <c r="D161" s="3" t="s">
        <v>537</v>
      </c>
      <c r="E161" s="26" t="s">
        <v>189</v>
      </c>
      <c r="F161" s="26" t="s">
        <v>201</v>
      </c>
      <c r="G161" s="44">
        <v>4.7300000000000001E-7</v>
      </c>
      <c r="H161" s="44">
        <v>4.7300000000000001E-7</v>
      </c>
      <c r="I161" s="44">
        <v>2.4999999999999998E-12</v>
      </c>
      <c r="J161" s="44">
        <v>2.4999999999999998E-12</v>
      </c>
      <c r="K161" s="44">
        <v>2.4999999999999998E-12</v>
      </c>
      <c r="L161" s="44">
        <v>2.4999999999999998E-12</v>
      </c>
      <c r="M161" s="44">
        <v>2.4999999999999998E-12</v>
      </c>
      <c r="N161" s="44">
        <v>2.4999999999999998E-12</v>
      </c>
      <c r="O161" s="44">
        <v>2.4999999999999998E-12</v>
      </c>
      <c r="P161" s="44">
        <v>2.4999999999999998E-12</v>
      </c>
      <c r="R161" s="44">
        <v>2.4999999999999998E-12</v>
      </c>
      <c r="S161" s="44">
        <v>2.4999999999999998E-12</v>
      </c>
      <c r="T161" s="44">
        <v>2.4999999999999998E-12</v>
      </c>
      <c r="U161" s="44">
        <v>2.4999999999999998E-12</v>
      </c>
      <c r="X161" s="44">
        <v>2.4999999999999998E-12</v>
      </c>
      <c r="Y161" s="44">
        <v>2.4999999999999998E-12</v>
      </c>
      <c r="Z161" s="44">
        <v>2.4999999999999998E-12</v>
      </c>
      <c r="AA161" s="44">
        <v>2.4999999999999998E-12</v>
      </c>
      <c r="AB161" s="44">
        <v>2.4999999999999998E-12</v>
      </c>
      <c r="AC161" s="44">
        <v>2.4999999999999998E-12</v>
      </c>
      <c r="AD161" s="44">
        <v>2.4999999999999998E-12</v>
      </c>
      <c r="AE161" s="44">
        <v>2.4999999999999998E-12</v>
      </c>
      <c r="AF161" s="44">
        <v>2.4999999999999998E-12</v>
      </c>
      <c r="AG161" s="44">
        <v>2.4999999999999998E-12</v>
      </c>
      <c r="AH161" s="44">
        <v>2.4999999999999998E-12</v>
      </c>
      <c r="AI161"/>
      <c r="AJ161" s="44">
        <v>2.4999999999999998E-12</v>
      </c>
      <c r="AK161" s="44">
        <v>2.4999999999999998E-12</v>
      </c>
      <c r="AL161" s="44">
        <v>2.4999999999999998E-12</v>
      </c>
      <c r="AM161" s="44">
        <v>2.4999999999999998E-12</v>
      </c>
      <c r="AN161" s="44">
        <v>2.4999999999999998E-12</v>
      </c>
      <c r="AO161" s="44">
        <v>2.4999999999999998E-12</v>
      </c>
      <c r="AP161" s="44">
        <v>2.4999999999999998E-12</v>
      </c>
      <c r="AQ161"/>
      <c r="AR161" s="44">
        <v>2.4999999999999998E-12</v>
      </c>
      <c r="AS161" s="44">
        <v>2.4999999999999998E-12</v>
      </c>
      <c r="AT161" s="44">
        <v>2.4999999999999998E-12</v>
      </c>
      <c r="AU161" s="44">
        <v>2.4999999999999998E-12</v>
      </c>
      <c r="AV161"/>
      <c r="AW161" s="44">
        <v>2.4999999999999998E-12</v>
      </c>
      <c r="AX161"/>
      <c r="AY161"/>
      <c r="AZ161" s="44">
        <v>2.4999999999999998E-12</v>
      </c>
    </row>
    <row r="162" spans="1:52" x14ac:dyDescent="0.25">
      <c r="A162" s="25" t="s">
        <v>245</v>
      </c>
      <c r="B162" s="3" t="s">
        <v>473</v>
      </c>
      <c r="C162" s="3" t="s">
        <v>483</v>
      </c>
      <c r="D162" s="3" t="s">
        <v>537</v>
      </c>
      <c r="E162" s="26" t="s">
        <v>319</v>
      </c>
      <c r="F162" s="26" t="s">
        <v>109</v>
      </c>
      <c r="G162" s="44">
        <v>20</v>
      </c>
      <c r="H162" s="44">
        <f t="shared" si="19"/>
        <v>20</v>
      </c>
      <c r="I162" s="44">
        <v>20</v>
      </c>
      <c r="J162" s="44">
        <v>20</v>
      </c>
      <c r="K162" s="44">
        <v>20</v>
      </c>
      <c r="L162" s="44">
        <v>20</v>
      </c>
      <c r="M162" s="44">
        <v>20</v>
      </c>
      <c r="N162" s="44">
        <v>20</v>
      </c>
      <c r="O162" s="44">
        <v>20</v>
      </c>
      <c r="P162" s="44">
        <v>20</v>
      </c>
      <c r="R162" s="44">
        <v>20</v>
      </c>
      <c r="S162" s="44">
        <v>20</v>
      </c>
      <c r="T162" s="44">
        <v>20</v>
      </c>
      <c r="U162" s="44">
        <v>20</v>
      </c>
      <c r="X162" s="44">
        <v>20</v>
      </c>
      <c r="Y162" s="44">
        <v>20</v>
      </c>
      <c r="Z162" s="44">
        <v>20</v>
      </c>
      <c r="AA162" s="44">
        <v>20</v>
      </c>
      <c r="AB162" s="44">
        <v>20</v>
      </c>
      <c r="AC162" s="44">
        <v>20</v>
      </c>
      <c r="AD162" s="44">
        <v>20</v>
      </c>
      <c r="AE162" s="44">
        <v>20</v>
      </c>
      <c r="AF162" s="44">
        <v>20</v>
      </c>
      <c r="AG162" s="44">
        <v>20</v>
      </c>
      <c r="AH162" s="44">
        <v>20</v>
      </c>
      <c r="AI162"/>
      <c r="AJ162" s="44">
        <v>20</v>
      </c>
      <c r="AK162" s="44">
        <v>20</v>
      </c>
      <c r="AL162" s="44">
        <v>20</v>
      </c>
      <c r="AM162" s="44">
        <v>20</v>
      </c>
      <c r="AN162" s="44">
        <v>20</v>
      </c>
      <c r="AO162" s="44">
        <v>20</v>
      </c>
      <c r="AP162" s="44">
        <v>20</v>
      </c>
      <c r="AQ162"/>
      <c r="AR162" s="44">
        <v>20</v>
      </c>
      <c r="AS162" s="44">
        <v>20</v>
      </c>
      <c r="AT162" s="44">
        <v>20</v>
      </c>
      <c r="AU162" s="44">
        <v>20</v>
      </c>
      <c r="AV162"/>
      <c r="AW162" s="44">
        <v>20</v>
      </c>
      <c r="AX162"/>
      <c r="AY162"/>
      <c r="AZ162" s="44">
        <v>20</v>
      </c>
    </row>
    <row r="163" spans="1:52" x14ac:dyDescent="0.25">
      <c r="A163" s="25" t="s">
        <v>246</v>
      </c>
      <c r="B163" s="3" t="s">
        <v>473</v>
      </c>
      <c r="C163" s="3" t="s">
        <v>483</v>
      </c>
      <c r="D163" s="3" t="s">
        <v>537</v>
      </c>
      <c r="E163" s="26" t="s">
        <v>320</v>
      </c>
      <c r="F163" s="26" t="s">
        <v>301</v>
      </c>
      <c r="G163" s="44">
        <v>0</v>
      </c>
      <c r="H163" s="44">
        <f t="shared" si="19"/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R163" s="44">
        <v>0</v>
      </c>
      <c r="S163" s="44">
        <v>0</v>
      </c>
      <c r="T163" s="44">
        <v>0</v>
      </c>
      <c r="U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44">
        <v>0</v>
      </c>
      <c r="AH163" s="44">
        <v>0</v>
      </c>
      <c r="AI163"/>
      <c r="AJ163" s="44">
        <v>0</v>
      </c>
      <c r="AK163" s="44">
        <v>0</v>
      </c>
      <c r="AL163" s="44">
        <v>0</v>
      </c>
      <c r="AM163" s="44">
        <v>0</v>
      </c>
      <c r="AN163" s="44">
        <v>0</v>
      </c>
      <c r="AO163" s="44">
        <v>0</v>
      </c>
      <c r="AP163" s="44">
        <v>0</v>
      </c>
      <c r="AQ163"/>
      <c r="AR163" s="44">
        <v>0</v>
      </c>
      <c r="AS163" s="44">
        <v>0</v>
      </c>
      <c r="AT163" s="44">
        <v>0</v>
      </c>
      <c r="AU163" s="44">
        <v>0</v>
      </c>
      <c r="AV163"/>
      <c r="AW163" s="44">
        <v>0</v>
      </c>
      <c r="AX163"/>
      <c r="AY163"/>
      <c r="AZ163" s="44">
        <v>0</v>
      </c>
    </row>
    <row r="164" spans="1:52" x14ac:dyDescent="0.25">
      <c r="A164" s="25" t="s">
        <v>247</v>
      </c>
      <c r="B164" s="3" t="s">
        <v>473</v>
      </c>
      <c r="C164" s="3" t="s">
        <v>483</v>
      </c>
      <c r="D164" s="3" t="s">
        <v>537</v>
      </c>
      <c r="E164" s="26" t="s">
        <v>321</v>
      </c>
      <c r="F164" s="26" t="s">
        <v>100</v>
      </c>
      <c r="G164" s="44">
        <v>1</v>
      </c>
      <c r="H164" s="44">
        <f t="shared" si="19"/>
        <v>1</v>
      </c>
      <c r="I164" s="44">
        <v>1</v>
      </c>
      <c r="J164" s="44">
        <v>1</v>
      </c>
      <c r="K164" s="44">
        <v>1</v>
      </c>
      <c r="L164" s="44">
        <v>1</v>
      </c>
      <c r="M164" s="44">
        <v>1</v>
      </c>
      <c r="N164" s="44">
        <v>1</v>
      </c>
      <c r="O164" s="44">
        <v>1</v>
      </c>
      <c r="P164" s="44">
        <v>1</v>
      </c>
      <c r="R164" s="44">
        <v>1</v>
      </c>
      <c r="S164" s="44">
        <v>1</v>
      </c>
      <c r="T164" s="44">
        <v>1</v>
      </c>
      <c r="U164" s="44">
        <v>1</v>
      </c>
      <c r="X164" s="44">
        <v>1</v>
      </c>
      <c r="Y164" s="44">
        <v>1</v>
      </c>
      <c r="Z164" s="44">
        <v>1</v>
      </c>
      <c r="AA164" s="44">
        <v>1</v>
      </c>
      <c r="AB164" s="44">
        <v>1</v>
      </c>
      <c r="AC164" s="44">
        <v>1</v>
      </c>
      <c r="AD164" s="44">
        <v>1</v>
      </c>
      <c r="AE164" s="44">
        <v>1</v>
      </c>
      <c r="AF164" s="44">
        <v>1</v>
      </c>
      <c r="AG164" s="44">
        <v>1</v>
      </c>
      <c r="AH164" s="44">
        <v>1</v>
      </c>
      <c r="AI164"/>
      <c r="AJ164" s="44">
        <v>1</v>
      </c>
      <c r="AK164" s="44">
        <v>1</v>
      </c>
      <c r="AL164" s="44">
        <v>1</v>
      </c>
      <c r="AM164" s="44">
        <v>1</v>
      </c>
      <c r="AN164" s="44">
        <v>1</v>
      </c>
      <c r="AO164" s="44">
        <v>1</v>
      </c>
      <c r="AP164" s="44">
        <v>1</v>
      </c>
      <c r="AQ164"/>
      <c r="AR164" s="44">
        <v>1</v>
      </c>
      <c r="AS164" s="44">
        <v>1</v>
      </c>
      <c r="AT164" s="44">
        <v>1</v>
      </c>
      <c r="AU164" s="44">
        <v>1</v>
      </c>
      <c r="AV164"/>
      <c r="AW164" s="44">
        <v>1</v>
      </c>
      <c r="AX164"/>
      <c r="AY164"/>
      <c r="AZ164" s="44">
        <v>1</v>
      </c>
    </row>
    <row r="165" spans="1:52" x14ac:dyDescent="0.25">
      <c r="A165" s="25" t="s">
        <v>248</v>
      </c>
      <c r="B165" s="3" t="s">
        <v>473</v>
      </c>
      <c r="C165" s="3" t="s">
        <v>483</v>
      </c>
      <c r="D165" s="3" t="s">
        <v>537</v>
      </c>
      <c r="E165" s="26" t="s">
        <v>322</v>
      </c>
      <c r="F165" s="26" t="s">
        <v>95</v>
      </c>
      <c r="G165" s="44">
        <v>0</v>
      </c>
      <c r="H165" s="44">
        <f t="shared" si="19"/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R165" s="44">
        <v>0</v>
      </c>
      <c r="S165" s="44">
        <v>0</v>
      </c>
      <c r="T165" s="44">
        <v>0</v>
      </c>
      <c r="U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44">
        <v>0</v>
      </c>
      <c r="AH165" s="44">
        <v>0</v>
      </c>
      <c r="AI165"/>
      <c r="AJ165" s="44">
        <v>0</v>
      </c>
      <c r="AK165" s="44">
        <v>0</v>
      </c>
      <c r="AL165" s="44">
        <v>0</v>
      </c>
      <c r="AM165" s="44">
        <v>0</v>
      </c>
      <c r="AN165" s="44">
        <v>0</v>
      </c>
      <c r="AO165" s="44">
        <v>0</v>
      </c>
      <c r="AP165" s="44">
        <v>0</v>
      </c>
      <c r="AQ165"/>
      <c r="AR165" s="44">
        <v>0</v>
      </c>
      <c r="AS165" s="44">
        <v>0</v>
      </c>
      <c r="AT165" s="44">
        <v>0</v>
      </c>
      <c r="AU165" s="44">
        <v>0</v>
      </c>
      <c r="AV165"/>
      <c r="AW165" s="44">
        <v>0</v>
      </c>
      <c r="AX165"/>
      <c r="AY165"/>
      <c r="AZ165" s="44">
        <v>0</v>
      </c>
    </row>
    <row r="166" spans="1:52" x14ac:dyDescent="0.25">
      <c r="A166" s="25" t="s">
        <v>79</v>
      </c>
      <c r="B166" s="3" t="s">
        <v>473</v>
      </c>
      <c r="C166" s="3" t="s">
        <v>483</v>
      </c>
      <c r="D166" s="3" t="s">
        <v>537</v>
      </c>
      <c r="E166" s="26" t="s">
        <v>190</v>
      </c>
      <c r="F166" s="26" t="s">
        <v>100</v>
      </c>
      <c r="G166" s="44">
        <v>0.4</v>
      </c>
      <c r="H166" s="44">
        <f t="shared" si="19"/>
        <v>0.4</v>
      </c>
      <c r="I166" s="44">
        <v>0.4</v>
      </c>
      <c r="J166" s="44">
        <v>0.4</v>
      </c>
      <c r="K166" s="44">
        <v>0.4</v>
      </c>
      <c r="L166" s="44">
        <v>0.4</v>
      </c>
      <c r="M166" s="44">
        <v>0.4</v>
      </c>
      <c r="N166" s="44">
        <v>0.4</v>
      </c>
      <c r="O166" s="44">
        <v>0.4</v>
      </c>
      <c r="P166" s="44">
        <v>0.4</v>
      </c>
      <c r="R166" s="44">
        <v>0.4</v>
      </c>
      <c r="S166" s="44">
        <v>0.4</v>
      </c>
      <c r="T166" s="44">
        <v>0.4</v>
      </c>
      <c r="U166" s="44">
        <v>0.4</v>
      </c>
      <c r="X166" s="44">
        <v>0.4</v>
      </c>
      <c r="Y166" s="44">
        <v>0.4</v>
      </c>
      <c r="Z166" s="44">
        <v>0.4</v>
      </c>
      <c r="AA166" s="44">
        <v>0.4</v>
      </c>
      <c r="AB166" s="44">
        <v>0.4</v>
      </c>
      <c r="AC166" s="44">
        <v>0.4</v>
      </c>
      <c r="AD166" s="44">
        <v>0.4</v>
      </c>
      <c r="AE166" s="44">
        <v>0.4</v>
      </c>
      <c r="AF166" s="44">
        <v>0.4</v>
      </c>
      <c r="AG166" s="44">
        <v>0.4</v>
      </c>
      <c r="AH166" s="44">
        <v>0.4</v>
      </c>
      <c r="AI166"/>
      <c r="AJ166" s="44">
        <v>0.4</v>
      </c>
      <c r="AK166" s="44">
        <v>0.4</v>
      </c>
      <c r="AL166" s="44">
        <v>0.4</v>
      </c>
      <c r="AM166" s="44">
        <v>0.4</v>
      </c>
      <c r="AN166" s="44">
        <v>0.4</v>
      </c>
      <c r="AO166" s="44">
        <v>0.4</v>
      </c>
      <c r="AP166" s="44">
        <v>0.4</v>
      </c>
      <c r="AQ166"/>
      <c r="AR166" s="44">
        <v>0.4</v>
      </c>
      <c r="AS166" s="44">
        <v>0.4</v>
      </c>
      <c r="AT166" s="44">
        <v>0.4</v>
      </c>
      <c r="AU166" s="44">
        <v>0.4</v>
      </c>
      <c r="AV166"/>
      <c r="AW166" s="44">
        <v>0.4</v>
      </c>
      <c r="AX166"/>
      <c r="AY166"/>
      <c r="AZ166" s="44">
        <v>0.4</v>
      </c>
    </row>
    <row r="167" spans="1:52" x14ac:dyDescent="0.25">
      <c r="A167" s="31" t="s">
        <v>80</v>
      </c>
      <c r="B167" s="3" t="s">
        <v>473</v>
      </c>
      <c r="C167" s="3" t="s">
        <v>483</v>
      </c>
      <c r="D167" s="3" t="s">
        <v>537</v>
      </c>
      <c r="E167" s="32" t="s">
        <v>191</v>
      </c>
      <c r="F167" s="32" t="s">
        <v>200</v>
      </c>
      <c r="G167" s="44">
        <v>3.2100000000000002E-6</v>
      </c>
      <c r="H167" s="44">
        <f t="shared" si="19"/>
        <v>3.2100000000000002E-6</v>
      </c>
      <c r="I167" s="44">
        <v>2.0000000000000001E-9</v>
      </c>
      <c r="J167" s="44">
        <v>2.0000000000000001E-9</v>
      </c>
      <c r="K167" s="44">
        <v>2.0000000000000001E-9</v>
      </c>
      <c r="L167" s="44">
        <v>2.0000000000000001E-9</v>
      </c>
      <c r="M167" s="44">
        <v>2.0000000000000001E-9</v>
      </c>
      <c r="N167" s="44">
        <v>2.0000000000000001E-9</v>
      </c>
      <c r="O167" s="44">
        <v>2.0000000000000001E-9</v>
      </c>
      <c r="P167" s="44">
        <v>2.0000000000000001E-9</v>
      </c>
      <c r="R167" s="44">
        <v>2.0000000000000001E-9</v>
      </c>
      <c r="S167" s="44">
        <v>2.0000000000000001E-9</v>
      </c>
      <c r="T167" s="44">
        <v>2.0000000000000001E-9</v>
      </c>
      <c r="U167" s="44">
        <v>2.0000000000000001E-9</v>
      </c>
      <c r="X167" s="44">
        <v>2.0000000000000001E-9</v>
      </c>
      <c r="Y167" s="44">
        <v>2.0000000000000001E-9</v>
      </c>
      <c r="Z167" s="44">
        <v>2.0000000000000001E-9</v>
      </c>
      <c r="AA167" s="44">
        <v>2.0000000000000001E-9</v>
      </c>
      <c r="AB167" s="44">
        <v>2.0000000000000001E-9</v>
      </c>
      <c r="AC167" s="44">
        <v>2.0000000000000001E-9</v>
      </c>
      <c r="AD167" s="44">
        <v>2.0000000000000001E-9</v>
      </c>
      <c r="AE167" s="44">
        <v>2.0000000000000001E-9</v>
      </c>
      <c r="AF167" s="44">
        <v>2.0000000000000001E-9</v>
      </c>
      <c r="AG167" s="44">
        <v>2.0000000000000001E-9</v>
      </c>
      <c r="AH167" s="44">
        <v>2.0000000000000001E-9</v>
      </c>
      <c r="AI167"/>
      <c r="AJ167" s="44">
        <v>2.0000000000000001E-9</v>
      </c>
      <c r="AK167" s="44">
        <v>2.0000000000000001E-9</v>
      </c>
      <c r="AL167" s="44">
        <v>2.0000000000000001E-9</v>
      </c>
      <c r="AM167" s="44">
        <v>2.0000000000000001E-9</v>
      </c>
      <c r="AN167" s="44">
        <v>2.0000000000000001E-9</v>
      </c>
      <c r="AO167" s="44">
        <v>2.0000000000000001E-9</v>
      </c>
      <c r="AP167" s="44">
        <v>2.0000000000000001E-9</v>
      </c>
      <c r="AQ167"/>
      <c r="AR167" s="44">
        <v>2.0000000000000001E-9</v>
      </c>
      <c r="AS167" s="44">
        <v>2.0000000000000001E-9</v>
      </c>
      <c r="AT167" s="44">
        <v>2.0000000000000001E-9</v>
      </c>
      <c r="AU167" s="44">
        <v>2.0000000000000001E-9</v>
      </c>
      <c r="AV167"/>
      <c r="AW167" s="44">
        <v>2.0000000000000001E-9</v>
      </c>
      <c r="AX167"/>
      <c r="AY167"/>
      <c r="AZ167" s="44">
        <v>2.0000000000000001E-9</v>
      </c>
    </row>
    <row r="168" spans="1:52" x14ac:dyDescent="0.25">
      <c r="A168" s="31" t="s">
        <v>249</v>
      </c>
      <c r="B168" s="3" t="s">
        <v>473</v>
      </c>
      <c r="C168" s="3" t="s">
        <v>483</v>
      </c>
      <c r="D168" s="3" t="s">
        <v>537</v>
      </c>
      <c r="E168" s="32" t="s">
        <v>323</v>
      </c>
      <c r="F168" s="32" t="s">
        <v>109</v>
      </c>
      <c r="G168" s="44">
        <v>25</v>
      </c>
      <c r="H168" s="44">
        <f t="shared" si="19"/>
        <v>25</v>
      </c>
      <c r="I168" s="44">
        <v>25</v>
      </c>
      <c r="J168" s="44">
        <v>25</v>
      </c>
      <c r="K168" s="44">
        <v>25</v>
      </c>
      <c r="L168" s="44">
        <v>25</v>
      </c>
      <c r="M168" s="44">
        <v>25</v>
      </c>
      <c r="N168" s="44">
        <v>25</v>
      </c>
      <c r="O168" s="44">
        <v>25</v>
      </c>
      <c r="P168" s="44">
        <v>25</v>
      </c>
      <c r="R168" s="44">
        <v>25</v>
      </c>
      <c r="S168" s="44">
        <v>25</v>
      </c>
      <c r="T168" s="44">
        <v>25</v>
      </c>
      <c r="U168" s="44">
        <v>25</v>
      </c>
      <c r="X168" s="44">
        <v>25</v>
      </c>
      <c r="Y168" s="44">
        <v>25</v>
      </c>
      <c r="Z168" s="44">
        <v>25</v>
      </c>
      <c r="AA168" s="44">
        <v>25</v>
      </c>
      <c r="AB168" s="44">
        <v>25</v>
      </c>
      <c r="AC168" s="44">
        <v>25</v>
      </c>
      <c r="AD168" s="44">
        <v>25</v>
      </c>
      <c r="AE168" s="44">
        <v>25</v>
      </c>
      <c r="AF168" s="44">
        <v>25</v>
      </c>
      <c r="AG168" s="44">
        <v>25</v>
      </c>
      <c r="AH168" s="44">
        <v>25</v>
      </c>
      <c r="AI168"/>
      <c r="AJ168" s="44">
        <v>25</v>
      </c>
      <c r="AK168" s="44">
        <v>25</v>
      </c>
      <c r="AL168" s="44">
        <v>25</v>
      </c>
      <c r="AM168" s="44">
        <v>25</v>
      </c>
      <c r="AN168" s="44">
        <v>25</v>
      </c>
      <c r="AO168" s="44">
        <v>25</v>
      </c>
      <c r="AP168" s="44">
        <v>25</v>
      </c>
      <c r="AQ168"/>
      <c r="AR168" s="44">
        <v>25</v>
      </c>
      <c r="AS168" s="44">
        <v>25</v>
      </c>
      <c r="AT168" s="44">
        <v>25</v>
      </c>
      <c r="AU168" s="44">
        <v>25</v>
      </c>
      <c r="AV168"/>
      <c r="AW168" s="44">
        <v>25</v>
      </c>
      <c r="AX168"/>
      <c r="AY168"/>
      <c r="AZ168" s="44">
        <v>25</v>
      </c>
    </row>
    <row r="169" spans="1:52" x14ac:dyDescent="0.25">
      <c r="A169" s="31" t="s">
        <v>250</v>
      </c>
      <c r="B169" s="3" t="s">
        <v>473</v>
      </c>
      <c r="C169" s="3" t="s">
        <v>483</v>
      </c>
      <c r="D169" s="3" t="s">
        <v>537</v>
      </c>
      <c r="E169" s="32" t="s">
        <v>324</v>
      </c>
      <c r="F169" s="32" t="s">
        <v>301</v>
      </c>
      <c r="G169" s="44">
        <v>0</v>
      </c>
      <c r="H169" s="44">
        <f t="shared" si="19"/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R169" s="44">
        <v>0</v>
      </c>
      <c r="S169" s="44">
        <v>0</v>
      </c>
      <c r="T169" s="44">
        <v>0</v>
      </c>
      <c r="U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44">
        <v>0</v>
      </c>
      <c r="AH169" s="44">
        <v>0</v>
      </c>
      <c r="AI169"/>
      <c r="AJ169" s="44">
        <v>0</v>
      </c>
      <c r="AK169" s="44">
        <v>0</v>
      </c>
      <c r="AL169" s="44">
        <v>0</v>
      </c>
      <c r="AM169" s="44">
        <v>0</v>
      </c>
      <c r="AN169" s="44">
        <v>0</v>
      </c>
      <c r="AO169" s="44">
        <v>0</v>
      </c>
      <c r="AP169" s="44">
        <v>0</v>
      </c>
      <c r="AQ169"/>
      <c r="AR169" s="44">
        <v>0</v>
      </c>
      <c r="AS169" s="44">
        <v>0</v>
      </c>
      <c r="AT169" s="44">
        <v>0</v>
      </c>
      <c r="AU169" s="44">
        <v>0</v>
      </c>
      <c r="AV169"/>
      <c r="AW169" s="44">
        <v>0</v>
      </c>
      <c r="AX169"/>
      <c r="AY169"/>
      <c r="AZ169" s="44">
        <v>0</v>
      </c>
    </row>
    <row r="170" spans="1:52" x14ac:dyDescent="0.25">
      <c r="A170" s="31" t="s">
        <v>251</v>
      </c>
      <c r="B170" s="3" t="s">
        <v>473</v>
      </c>
      <c r="C170" s="3" t="s">
        <v>483</v>
      </c>
      <c r="D170" s="3" t="s">
        <v>537</v>
      </c>
      <c r="E170" s="32" t="s">
        <v>325</v>
      </c>
      <c r="F170" s="32" t="s">
        <v>100</v>
      </c>
      <c r="G170" s="44">
        <v>3.98</v>
      </c>
      <c r="H170" s="44">
        <f t="shared" si="19"/>
        <v>3.98</v>
      </c>
      <c r="I170" s="44">
        <v>3.98</v>
      </c>
      <c r="J170" s="44">
        <v>3.98</v>
      </c>
      <c r="K170" s="44">
        <v>3.98</v>
      </c>
      <c r="L170" s="44">
        <v>3.98</v>
      </c>
      <c r="M170" s="44">
        <v>3.98</v>
      </c>
      <c r="N170" s="44">
        <v>3.98</v>
      </c>
      <c r="O170" s="44">
        <v>3.98</v>
      </c>
      <c r="P170" s="44">
        <v>3.98</v>
      </c>
      <c r="R170" s="44">
        <v>3.98</v>
      </c>
      <c r="S170" s="44">
        <v>3.98</v>
      </c>
      <c r="T170" s="44">
        <v>3.98</v>
      </c>
      <c r="U170" s="44">
        <v>3.98</v>
      </c>
      <c r="X170" s="44">
        <v>3.98</v>
      </c>
      <c r="Y170" s="44">
        <v>3.98</v>
      </c>
      <c r="Z170" s="44">
        <v>3.98</v>
      </c>
      <c r="AA170" s="44">
        <v>3.98</v>
      </c>
      <c r="AB170" s="44">
        <v>3.98</v>
      </c>
      <c r="AC170" s="44">
        <v>3.98</v>
      </c>
      <c r="AD170" s="44">
        <v>3.98</v>
      </c>
      <c r="AE170" s="44">
        <v>3.98</v>
      </c>
      <c r="AF170" s="44">
        <v>3.98</v>
      </c>
      <c r="AG170" s="44">
        <v>3.98</v>
      </c>
      <c r="AH170" s="44">
        <v>3.98</v>
      </c>
      <c r="AI170"/>
      <c r="AJ170" s="44">
        <v>3.98</v>
      </c>
      <c r="AK170" s="44">
        <v>3.98</v>
      </c>
      <c r="AL170" s="44">
        <v>3.98</v>
      </c>
      <c r="AM170" s="44">
        <v>3.98</v>
      </c>
      <c r="AN170" s="44">
        <v>3.98</v>
      </c>
      <c r="AO170" s="44">
        <v>3.98</v>
      </c>
      <c r="AP170" s="44">
        <v>3.98</v>
      </c>
      <c r="AQ170"/>
      <c r="AR170" s="44">
        <v>3.98</v>
      </c>
      <c r="AS170" s="44">
        <v>3.98</v>
      </c>
      <c r="AT170" s="44">
        <v>3.98</v>
      </c>
      <c r="AU170" s="44">
        <v>3.98</v>
      </c>
      <c r="AV170"/>
      <c r="AW170" s="44">
        <v>3.98</v>
      </c>
      <c r="AX170"/>
      <c r="AY170"/>
      <c r="AZ170" s="44">
        <v>3.98</v>
      </c>
    </row>
    <row r="171" spans="1:52" x14ac:dyDescent="0.25">
      <c r="A171" s="31" t="s">
        <v>252</v>
      </c>
      <c r="B171" s="3" t="s">
        <v>473</v>
      </c>
      <c r="C171" s="3" t="s">
        <v>483</v>
      </c>
      <c r="D171" s="3" t="s">
        <v>537</v>
      </c>
      <c r="E171" s="32" t="s">
        <v>326</v>
      </c>
      <c r="F171" s="32" t="s">
        <v>95</v>
      </c>
      <c r="G171" s="44">
        <v>1</v>
      </c>
      <c r="H171" s="44">
        <f t="shared" si="19"/>
        <v>1</v>
      </c>
      <c r="I171" s="44">
        <v>1</v>
      </c>
      <c r="J171" s="44">
        <v>1</v>
      </c>
      <c r="K171" s="44">
        <v>1</v>
      </c>
      <c r="L171" s="44">
        <v>1</v>
      </c>
      <c r="M171" s="44">
        <v>1</v>
      </c>
      <c r="N171" s="44">
        <v>1</v>
      </c>
      <c r="O171" s="44">
        <v>1</v>
      </c>
      <c r="P171" s="44">
        <v>1</v>
      </c>
      <c r="R171" s="44">
        <v>1</v>
      </c>
      <c r="S171" s="44">
        <v>1</v>
      </c>
      <c r="T171" s="44">
        <v>1</v>
      </c>
      <c r="U171" s="44">
        <v>1</v>
      </c>
      <c r="X171" s="44">
        <v>1</v>
      </c>
      <c r="Y171" s="44">
        <v>1</v>
      </c>
      <c r="Z171" s="44">
        <v>1</v>
      </c>
      <c r="AA171" s="44">
        <v>1</v>
      </c>
      <c r="AB171" s="44">
        <v>1</v>
      </c>
      <c r="AC171" s="44">
        <v>1</v>
      </c>
      <c r="AD171" s="44">
        <v>1</v>
      </c>
      <c r="AE171" s="44">
        <v>1</v>
      </c>
      <c r="AF171" s="44">
        <v>1</v>
      </c>
      <c r="AG171" s="44">
        <v>1</v>
      </c>
      <c r="AH171" s="44">
        <v>1</v>
      </c>
      <c r="AI171"/>
      <c r="AJ171" s="44">
        <v>1</v>
      </c>
      <c r="AK171" s="44">
        <v>1</v>
      </c>
      <c r="AL171" s="44">
        <v>1</v>
      </c>
      <c r="AM171" s="44">
        <v>1</v>
      </c>
      <c r="AN171" s="44">
        <v>1</v>
      </c>
      <c r="AO171" s="44">
        <v>1</v>
      </c>
      <c r="AP171" s="44">
        <v>1</v>
      </c>
      <c r="AQ171"/>
      <c r="AR171" s="44">
        <v>1</v>
      </c>
      <c r="AS171" s="44">
        <v>1</v>
      </c>
      <c r="AT171" s="44">
        <v>1</v>
      </c>
      <c r="AU171" s="44">
        <v>1</v>
      </c>
      <c r="AV171"/>
      <c r="AW171" s="44">
        <v>1</v>
      </c>
      <c r="AX171"/>
      <c r="AY171"/>
      <c r="AZ171" s="44">
        <v>1</v>
      </c>
    </row>
    <row r="172" spans="1:52" x14ac:dyDescent="0.25">
      <c r="A172" s="31" t="s">
        <v>81</v>
      </c>
      <c r="B172" s="3" t="s">
        <v>473</v>
      </c>
      <c r="C172" s="3" t="s">
        <v>483</v>
      </c>
      <c r="D172" s="3" t="s">
        <v>537</v>
      </c>
      <c r="E172" s="32" t="s">
        <v>192</v>
      </c>
      <c r="F172" s="32" t="s">
        <v>198</v>
      </c>
      <c r="G172" s="44">
        <v>1.6666666666666666E-4</v>
      </c>
      <c r="H172" s="44">
        <f t="shared" si="19"/>
        <v>1.6666666666666666E-4</v>
      </c>
      <c r="I172" s="44">
        <v>1.6666666666666666E-4</v>
      </c>
      <c r="J172" s="44">
        <v>1.6666666666666666E-4</v>
      </c>
      <c r="K172" s="44">
        <v>1.6666666666666666E-4</v>
      </c>
      <c r="L172" s="44">
        <v>1.6666666666666666E-4</v>
      </c>
      <c r="M172" s="44">
        <v>1.6666666666666666E-4</v>
      </c>
      <c r="N172" s="44">
        <v>1.6666666666666666E-4</v>
      </c>
      <c r="O172" s="44">
        <v>1.6666666666666666E-4</v>
      </c>
      <c r="P172" s="44">
        <v>1.6666666666666666E-4</v>
      </c>
      <c r="R172" s="44">
        <v>1.6666666666666666E-4</v>
      </c>
      <c r="S172" s="44">
        <v>1.6666666666666666E-4</v>
      </c>
      <c r="T172" s="44">
        <v>1.6666666666666666E-4</v>
      </c>
      <c r="U172" s="44">
        <v>1.6666666666666666E-4</v>
      </c>
      <c r="X172" s="44">
        <v>1.6666666666666666E-4</v>
      </c>
      <c r="Y172" s="44">
        <v>1.6666666666666666E-4</v>
      </c>
      <c r="Z172" s="44">
        <v>1.6666666666666666E-4</v>
      </c>
      <c r="AA172" s="44">
        <v>1.6666666666666666E-4</v>
      </c>
      <c r="AB172" s="44">
        <v>1.6666666666666666E-4</v>
      </c>
      <c r="AC172" s="44">
        <v>1.6666666666666666E-4</v>
      </c>
      <c r="AD172" s="44">
        <v>1.6666666666666666E-4</v>
      </c>
      <c r="AE172" s="44">
        <v>1.6666666666666666E-4</v>
      </c>
      <c r="AF172" s="44">
        <v>1.6666666666666666E-4</v>
      </c>
      <c r="AG172" s="44">
        <v>1.6666666666666666E-4</v>
      </c>
      <c r="AH172" s="44">
        <v>1.6666666666666666E-4</v>
      </c>
      <c r="AI172"/>
      <c r="AJ172" s="44">
        <v>1.6666666666666666E-4</v>
      </c>
      <c r="AK172" s="44">
        <v>1.6666666666666666E-4</v>
      </c>
      <c r="AL172" s="44">
        <v>1.6666666666666666E-4</v>
      </c>
      <c r="AM172" s="44">
        <v>1.6666666666666666E-4</v>
      </c>
      <c r="AN172" s="44">
        <v>1.6666666666666666E-4</v>
      </c>
      <c r="AO172" s="44">
        <v>1.6666666666666666E-4</v>
      </c>
      <c r="AP172" s="44">
        <v>1.6666666666666666E-4</v>
      </c>
      <c r="AQ172"/>
      <c r="AR172" s="44">
        <v>1.6666666666666666E-4</v>
      </c>
      <c r="AS172" s="44">
        <v>1.6666666666666666E-4</v>
      </c>
      <c r="AT172" s="44">
        <v>1.6666666666666666E-4</v>
      </c>
      <c r="AU172" s="44">
        <v>1.6666666666666666E-4</v>
      </c>
      <c r="AV172"/>
      <c r="AW172" s="44">
        <v>1.6666666666666666E-4</v>
      </c>
      <c r="AX172"/>
      <c r="AY172"/>
      <c r="AZ172" s="44">
        <v>1.6666666666666666E-4</v>
      </c>
    </row>
    <row r="173" spans="1:52" x14ac:dyDescent="0.25">
      <c r="A173" s="11" t="s">
        <v>253</v>
      </c>
      <c r="B173" s="3" t="s">
        <v>473</v>
      </c>
      <c r="C173" s="3" t="s">
        <v>483</v>
      </c>
      <c r="D173" s="3" t="s">
        <v>537</v>
      </c>
      <c r="E173" s="12" t="s">
        <v>327</v>
      </c>
      <c r="F173" s="12" t="s">
        <v>328</v>
      </c>
      <c r="G173" s="44">
        <v>1E-8</v>
      </c>
      <c r="H173" s="44">
        <f t="shared" si="19"/>
        <v>1E-8</v>
      </c>
      <c r="I173" s="44">
        <v>1E-8</v>
      </c>
      <c r="J173" s="44">
        <v>1E-8</v>
      </c>
      <c r="K173" s="44">
        <v>1E-8</v>
      </c>
      <c r="L173" s="44">
        <v>1E-8</v>
      </c>
      <c r="M173" s="44">
        <v>1E-8</v>
      </c>
      <c r="N173" s="44">
        <v>1E-8</v>
      </c>
      <c r="O173" s="44">
        <v>1E-8</v>
      </c>
      <c r="P173" s="44">
        <v>1E-8</v>
      </c>
      <c r="R173" s="44">
        <v>1E-8</v>
      </c>
      <c r="S173" s="44">
        <v>1E-8</v>
      </c>
      <c r="T173" s="44">
        <v>1E-8</v>
      </c>
      <c r="U173" s="44">
        <v>1E-8</v>
      </c>
      <c r="X173" s="44">
        <v>1E-8</v>
      </c>
      <c r="Y173" s="44">
        <v>1E-8</v>
      </c>
      <c r="Z173" s="44">
        <v>1E-8</v>
      </c>
      <c r="AA173" s="44">
        <v>1E-8</v>
      </c>
      <c r="AB173" s="44">
        <v>1E-8</v>
      </c>
      <c r="AC173" s="44">
        <v>1E-8</v>
      </c>
      <c r="AD173" s="44">
        <v>1E-8</v>
      </c>
      <c r="AE173" s="44">
        <v>1E-8</v>
      </c>
      <c r="AF173" s="44">
        <v>1E-8</v>
      </c>
      <c r="AG173" s="44">
        <v>1E-8</v>
      </c>
      <c r="AH173" s="44">
        <v>1E-8</v>
      </c>
      <c r="AI173"/>
      <c r="AJ173" s="44">
        <v>1E-8</v>
      </c>
      <c r="AK173" s="44">
        <v>1E-8</v>
      </c>
      <c r="AL173" s="44">
        <v>1E-8</v>
      </c>
      <c r="AM173" s="44">
        <v>1E-8</v>
      </c>
      <c r="AN173" s="44">
        <v>1E-8</v>
      </c>
      <c r="AO173" s="44">
        <v>1E-8</v>
      </c>
      <c r="AP173" s="44">
        <v>1E-8</v>
      </c>
      <c r="AQ173"/>
      <c r="AR173" s="44">
        <v>1E-8</v>
      </c>
      <c r="AS173" s="44">
        <v>1E-8</v>
      </c>
      <c r="AT173" s="44">
        <v>1E-8</v>
      </c>
      <c r="AU173" s="44">
        <v>1E-8</v>
      </c>
      <c r="AV173"/>
      <c r="AW173" s="44">
        <v>1E-8</v>
      </c>
      <c r="AX173"/>
      <c r="AY173"/>
      <c r="AZ173" s="44">
        <v>1E-8</v>
      </c>
    </row>
    <row r="174" spans="1:52" x14ac:dyDescent="0.25">
      <c r="A174" s="11" t="s">
        <v>254</v>
      </c>
      <c r="B174" s="3" t="s">
        <v>473</v>
      </c>
      <c r="C174" s="3" t="s">
        <v>483</v>
      </c>
      <c r="D174" s="3" t="s">
        <v>537</v>
      </c>
      <c r="E174" s="12" t="s">
        <v>329</v>
      </c>
      <c r="F174" s="12" t="s">
        <v>109</v>
      </c>
      <c r="G174" s="44">
        <v>20</v>
      </c>
      <c r="H174" s="44">
        <f t="shared" si="19"/>
        <v>20</v>
      </c>
      <c r="I174" s="44">
        <v>20</v>
      </c>
      <c r="J174" s="44">
        <v>20</v>
      </c>
      <c r="K174" s="44">
        <v>20</v>
      </c>
      <c r="L174" s="44">
        <v>20</v>
      </c>
      <c r="M174" s="44">
        <v>20</v>
      </c>
      <c r="N174" s="44">
        <v>20</v>
      </c>
      <c r="O174" s="44">
        <v>20</v>
      </c>
      <c r="P174" s="44">
        <v>20</v>
      </c>
      <c r="R174" s="44">
        <v>20</v>
      </c>
      <c r="S174" s="44">
        <v>20</v>
      </c>
      <c r="T174" s="44">
        <v>20</v>
      </c>
      <c r="U174" s="44">
        <v>20</v>
      </c>
      <c r="X174" s="44">
        <v>20</v>
      </c>
      <c r="Y174" s="44">
        <v>20</v>
      </c>
      <c r="Z174" s="44">
        <v>20</v>
      </c>
      <c r="AA174" s="44">
        <v>20</v>
      </c>
      <c r="AB174" s="44">
        <v>20</v>
      </c>
      <c r="AC174" s="44">
        <v>20</v>
      </c>
      <c r="AD174" s="44">
        <v>20</v>
      </c>
      <c r="AE174" s="44">
        <v>20</v>
      </c>
      <c r="AF174" s="44">
        <v>20</v>
      </c>
      <c r="AG174" s="44">
        <v>20</v>
      </c>
      <c r="AH174" s="44">
        <v>20</v>
      </c>
      <c r="AI174"/>
      <c r="AJ174" s="44">
        <v>20</v>
      </c>
      <c r="AK174" s="44">
        <v>20</v>
      </c>
      <c r="AL174" s="44">
        <v>20</v>
      </c>
      <c r="AM174" s="44">
        <v>20</v>
      </c>
      <c r="AN174" s="44">
        <v>20</v>
      </c>
      <c r="AO174" s="44">
        <v>20</v>
      </c>
      <c r="AP174" s="44">
        <v>20</v>
      </c>
      <c r="AQ174"/>
      <c r="AR174" s="44">
        <v>20</v>
      </c>
      <c r="AS174" s="44">
        <v>20</v>
      </c>
      <c r="AT174" s="44">
        <v>20</v>
      </c>
      <c r="AU174" s="44">
        <v>20</v>
      </c>
      <c r="AV174"/>
      <c r="AW174" s="44">
        <v>20</v>
      </c>
      <c r="AX174"/>
      <c r="AY174"/>
      <c r="AZ174" s="44">
        <v>20</v>
      </c>
    </row>
    <row r="175" spans="1:52" x14ac:dyDescent="0.25">
      <c r="A175" s="11" t="s">
        <v>255</v>
      </c>
      <c r="B175" s="3" t="s">
        <v>473</v>
      </c>
      <c r="C175" s="3" t="s">
        <v>483</v>
      </c>
      <c r="D175" s="3" t="s">
        <v>537</v>
      </c>
      <c r="E175" s="12" t="s">
        <v>330</v>
      </c>
      <c r="F175" s="12" t="s">
        <v>301</v>
      </c>
      <c r="G175" s="44">
        <v>0</v>
      </c>
      <c r="H175" s="44">
        <f t="shared" si="19"/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R175" s="44">
        <v>0</v>
      </c>
      <c r="S175" s="44">
        <v>0</v>
      </c>
      <c r="T175" s="44">
        <v>0</v>
      </c>
      <c r="U175" s="44">
        <v>0</v>
      </c>
      <c r="X175" s="44">
        <v>0</v>
      </c>
      <c r="Y175" s="44">
        <v>0</v>
      </c>
      <c r="Z175" s="44">
        <v>0</v>
      </c>
      <c r="AA175" s="44">
        <v>0</v>
      </c>
      <c r="AB175" s="44">
        <v>0</v>
      </c>
      <c r="AC175" s="44">
        <v>0</v>
      </c>
      <c r="AD175" s="44">
        <v>0</v>
      </c>
      <c r="AE175" s="44">
        <v>0</v>
      </c>
      <c r="AF175" s="44">
        <v>0</v>
      </c>
      <c r="AG175" s="44">
        <v>0</v>
      </c>
      <c r="AH175" s="44">
        <v>0</v>
      </c>
      <c r="AI175"/>
      <c r="AJ175" s="44">
        <v>0</v>
      </c>
      <c r="AK175" s="44">
        <v>0</v>
      </c>
      <c r="AL175" s="44">
        <v>0</v>
      </c>
      <c r="AM175" s="44">
        <v>0</v>
      </c>
      <c r="AN175" s="44">
        <v>0</v>
      </c>
      <c r="AO175" s="44">
        <v>0</v>
      </c>
      <c r="AP175" s="44">
        <v>0</v>
      </c>
      <c r="AQ175"/>
      <c r="AR175" s="44">
        <v>0</v>
      </c>
      <c r="AS175" s="44">
        <v>0</v>
      </c>
      <c r="AT175" s="44">
        <v>0</v>
      </c>
      <c r="AU175" s="44">
        <v>0</v>
      </c>
      <c r="AV175"/>
      <c r="AW175" s="44">
        <v>0</v>
      </c>
      <c r="AX175"/>
      <c r="AY175"/>
      <c r="AZ175" s="44">
        <v>0</v>
      </c>
    </row>
    <row r="176" spans="1:52" x14ac:dyDescent="0.25">
      <c r="A176" s="11" t="s">
        <v>256</v>
      </c>
      <c r="B176" s="3" t="s">
        <v>473</v>
      </c>
      <c r="C176" s="3" t="s">
        <v>483</v>
      </c>
      <c r="D176" s="3" t="s">
        <v>537</v>
      </c>
      <c r="E176" s="12" t="s">
        <v>331</v>
      </c>
      <c r="F176" s="12" t="s">
        <v>100</v>
      </c>
      <c r="G176" s="44">
        <v>2</v>
      </c>
      <c r="H176" s="44">
        <f t="shared" si="19"/>
        <v>2</v>
      </c>
      <c r="I176" s="44">
        <v>2</v>
      </c>
      <c r="J176" s="44">
        <v>2</v>
      </c>
      <c r="K176" s="44">
        <v>2</v>
      </c>
      <c r="L176" s="44">
        <v>2</v>
      </c>
      <c r="M176" s="44">
        <v>2</v>
      </c>
      <c r="N176" s="44">
        <v>2</v>
      </c>
      <c r="O176" s="44">
        <v>2</v>
      </c>
      <c r="P176" s="44">
        <v>2</v>
      </c>
      <c r="R176" s="44">
        <v>2</v>
      </c>
      <c r="S176" s="44">
        <v>2</v>
      </c>
      <c r="T176" s="44">
        <v>2</v>
      </c>
      <c r="U176" s="44">
        <v>2</v>
      </c>
      <c r="X176" s="44">
        <v>2</v>
      </c>
      <c r="Y176" s="44">
        <v>2</v>
      </c>
      <c r="Z176" s="44">
        <v>2</v>
      </c>
      <c r="AA176" s="44">
        <v>2</v>
      </c>
      <c r="AB176" s="44">
        <v>2</v>
      </c>
      <c r="AC176" s="44">
        <v>2</v>
      </c>
      <c r="AD176" s="44">
        <v>2</v>
      </c>
      <c r="AE176" s="44">
        <v>2</v>
      </c>
      <c r="AF176" s="44">
        <v>2</v>
      </c>
      <c r="AG176" s="44">
        <v>2</v>
      </c>
      <c r="AH176" s="44">
        <v>2</v>
      </c>
      <c r="AI176"/>
      <c r="AJ176" s="44">
        <v>2</v>
      </c>
      <c r="AK176" s="44">
        <v>2</v>
      </c>
      <c r="AL176" s="44">
        <v>2</v>
      </c>
      <c r="AM176" s="44">
        <v>2</v>
      </c>
      <c r="AN176" s="44">
        <v>2</v>
      </c>
      <c r="AO176" s="44">
        <v>2</v>
      </c>
      <c r="AP176" s="44">
        <v>2</v>
      </c>
      <c r="AQ176"/>
      <c r="AR176" s="44">
        <v>2</v>
      </c>
      <c r="AS176" s="44">
        <v>2</v>
      </c>
      <c r="AT176" s="44">
        <v>2</v>
      </c>
      <c r="AU176" s="44">
        <v>2</v>
      </c>
      <c r="AV176"/>
      <c r="AW176" s="44">
        <v>2</v>
      </c>
      <c r="AX176"/>
      <c r="AY176"/>
      <c r="AZ176" s="44">
        <v>2</v>
      </c>
    </row>
    <row r="177" spans="1:52" x14ac:dyDescent="0.25">
      <c r="A177" s="11" t="s">
        <v>257</v>
      </c>
      <c r="B177" s="3" t="s">
        <v>473</v>
      </c>
      <c r="C177" s="3" t="s">
        <v>483</v>
      </c>
      <c r="D177" s="3" t="s">
        <v>537</v>
      </c>
      <c r="E177" s="12" t="s">
        <v>332</v>
      </c>
      <c r="F177" s="12" t="s">
        <v>95</v>
      </c>
      <c r="G177" s="44">
        <v>1</v>
      </c>
      <c r="H177" s="44">
        <f t="shared" si="19"/>
        <v>1</v>
      </c>
      <c r="I177" s="44">
        <v>1</v>
      </c>
      <c r="J177" s="44">
        <v>1</v>
      </c>
      <c r="K177" s="44">
        <v>1</v>
      </c>
      <c r="L177" s="44">
        <v>1</v>
      </c>
      <c r="M177" s="44">
        <v>1</v>
      </c>
      <c r="N177" s="44">
        <v>1</v>
      </c>
      <c r="O177" s="44">
        <v>1</v>
      </c>
      <c r="P177" s="44">
        <v>1</v>
      </c>
      <c r="R177" s="44">
        <v>1</v>
      </c>
      <c r="S177" s="44">
        <v>1</v>
      </c>
      <c r="T177" s="44">
        <v>1</v>
      </c>
      <c r="U177" s="44">
        <v>1</v>
      </c>
      <c r="X177" s="44">
        <v>1</v>
      </c>
      <c r="Y177" s="44">
        <v>1</v>
      </c>
      <c r="Z177" s="44">
        <v>1</v>
      </c>
      <c r="AA177" s="44">
        <v>1</v>
      </c>
      <c r="AB177" s="44">
        <v>1</v>
      </c>
      <c r="AC177" s="44">
        <v>1</v>
      </c>
      <c r="AD177" s="44">
        <v>1</v>
      </c>
      <c r="AE177" s="44">
        <v>1</v>
      </c>
      <c r="AF177" s="44">
        <v>1</v>
      </c>
      <c r="AG177" s="44">
        <v>1</v>
      </c>
      <c r="AH177" s="44">
        <v>1</v>
      </c>
      <c r="AI177"/>
      <c r="AJ177" s="44">
        <v>1</v>
      </c>
      <c r="AK177" s="44">
        <v>1</v>
      </c>
      <c r="AL177" s="44">
        <v>1</v>
      </c>
      <c r="AM177" s="44">
        <v>1</v>
      </c>
      <c r="AN177" s="44">
        <v>1</v>
      </c>
      <c r="AO177" s="44">
        <v>1</v>
      </c>
      <c r="AP177" s="44">
        <v>1</v>
      </c>
      <c r="AQ177"/>
      <c r="AR177" s="44">
        <v>1</v>
      </c>
      <c r="AS177" s="44">
        <v>1</v>
      </c>
      <c r="AT177" s="44">
        <v>1</v>
      </c>
      <c r="AU177" s="44">
        <v>1</v>
      </c>
      <c r="AV177"/>
      <c r="AW177" s="44">
        <v>1</v>
      </c>
      <c r="AX177"/>
      <c r="AY177"/>
      <c r="AZ177" s="44">
        <v>1</v>
      </c>
    </row>
    <row r="178" spans="1:52" x14ac:dyDescent="0.25">
      <c r="A178" s="11" t="s">
        <v>258</v>
      </c>
      <c r="B178" s="3" t="s">
        <v>473</v>
      </c>
      <c r="C178" s="3" t="s">
        <v>483</v>
      </c>
      <c r="D178" s="3" t="s">
        <v>537</v>
      </c>
      <c r="E178" s="12" t="s">
        <v>349</v>
      </c>
      <c r="F178" s="12" t="s">
        <v>198</v>
      </c>
      <c r="G178" s="44">
        <v>8.3333333333333331E-5</v>
      </c>
      <c r="H178" s="44">
        <f t="shared" si="19"/>
        <v>8.3333333333333331E-5</v>
      </c>
      <c r="I178" s="44">
        <v>8.3333333333333331E-5</v>
      </c>
      <c r="J178" s="44">
        <v>8.3333333333333331E-5</v>
      </c>
      <c r="K178" s="44">
        <v>8.3333333333333331E-5</v>
      </c>
      <c r="L178" s="44">
        <v>8.3333333333333331E-5</v>
      </c>
      <c r="M178" s="44">
        <v>8.3333333333333331E-5</v>
      </c>
      <c r="N178" s="44">
        <v>8.3333333333333331E-5</v>
      </c>
      <c r="O178" s="44">
        <v>8.3333333333333331E-5</v>
      </c>
      <c r="P178" s="44">
        <v>8.3333333333333331E-5</v>
      </c>
      <c r="R178" s="44">
        <v>8.3333333333333331E-5</v>
      </c>
      <c r="S178" s="44">
        <v>8.3333333333333331E-5</v>
      </c>
      <c r="T178" s="44">
        <v>8.3333333333333331E-5</v>
      </c>
      <c r="U178" s="44">
        <v>8.3333333333333331E-5</v>
      </c>
      <c r="X178" s="44">
        <v>8.3333333333333331E-5</v>
      </c>
      <c r="Y178" s="44">
        <v>8.3333333333333331E-5</v>
      </c>
      <c r="Z178" s="44">
        <v>8.3333333333333331E-5</v>
      </c>
      <c r="AA178" s="44">
        <v>8.3333333333333331E-5</v>
      </c>
      <c r="AB178" s="44">
        <v>8.3333333333333331E-5</v>
      </c>
      <c r="AC178" s="44">
        <v>8.3333333333333331E-5</v>
      </c>
      <c r="AD178" s="44">
        <v>8.3333333333333331E-5</v>
      </c>
      <c r="AE178" s="44">
        <v>8.3333333333333331E-5</v>
      </c>
      <c r="AF178" s="44">
        <v>8.3333333333333331E-5</v>
      </c>
      <c r="AG178" s="44">
        <v>8.3333333333333331E-5</v>
      </c>
      <c r="AH178" s="44">
        <v>8.3333333333333331E-5</v>
      </c>
      <c r="AI178"/>
      <c r="AJ178" s="44">
        <v>8.3333333333333331E-5</v>
      </c>
      <c r="AK178" s="44">
        <v>8.3333333333333331E-5</v>
      </c>
      <c r="AL178" s="44">
        <v>8.3333333333333331E-5</v>
      </c>
      <c r="AM178" s="44">
        <v>8.3333333333333331E-5</v>
      </c>
      <c r="AN178" s="44">
        <v>8.3333333333333331E-5</v>
      </c>
      <c r="AO178" s="44">
        <v>8.3333333333333331E-5</v>
      </c>
      <c r="AP178" s="44">
        <v>8.3333333333333331E-5</v>
      </c>
      <c r="AQ178"/>
      <c r="AR178" s="44">
        <v>8.3333333333333331E-5</v>
      </c>
      <c r="AS178" s="44">
        <v>8.3333333333333331E-5</v>
      </c>
      <c r="AT178" s="44">
        <v>8.3333333333333331E-5</v>
      </c>
      <c r="AU178" s="44">
        <v>8.3333333333333331E-5</v>
      </c>
      <c r="AV178"/>
      <c r="AW178" s="44">
        <v>8.3333333333333331E-5</v>
      </c>
      <c r="AX178"/>
      <c r="AY178"/>
      <c r="AZ178" s="44">
        <v>8.3333333333333331E-5</v>
      </c>
    </row>
    <row r="179" spans="1:52" x14ac:dyDescent="0.25">
      <c r="A179" s="11" t="s">
        <v>259</v>
      </c>
      <c r="B179" s="3" t="s">
        <v>473</v>
      </c>
      <c r="C179" s="3" t="s">
        <v>483</v>
      </c>
      <c r="D179" s="3" t="s">
        <v>537</v>
      </c>
      <c r="E179" s="12" t="s">
        <v>350</v>
      </c>
      <c r="F179" s="12" t="s">
        <v>100</v>
      </c>
      <c r="G179" s="44">
        <v>1</v>
      </c>
      <c r="H179" s="44">
        <f t="shared" si="19"/>
        <v>1</v>
      </c>
      <c r="I179" s="44">
        <v>1</v>
      </c>
      <c r="J179" s="44">
        <v>1</v>
      </c>
      <c r="K179" s="44">
        <v>1</v>
      </c>
      <c r="L179" s="44">
        <v>1</v>
      </c>
      <c r="M179" s="44">
        <v>1</v>
      </c>
      <c r="N179" s="44">
        <v>1</v>
      </c>
      <c r="O179" s="44">
        <v>1</v>
      </c>
      <c r="P179" s="44">
        <v>1</v>
      </c>
      <c r="R179" s="44">
        <v>1</v>
      </c>
      <c r="S179" s="44">
        <v>1</v>
      </c>
      <c r="T179" s="44">
        <v>1</v>
      </c>
      <c r="U179" s="44">
        <v>1</v>
      </c>
      <c r="X179" s="44">
        <v>1</v>
      </c>
      <c r="Y179" s="44">
        <v>1</v>
      </c>
      <c r="Z179" s="44">
        <v>1</v>
      </c>
      <c r="AA179" s="44">
        <v>1</v>
      </c>
      <c r="AB179" s="44">
        <v>1</v>
      </c>
      <c r="AC179" s="44">
        <v>1</v>
      </c>
      <c r="AD179" s="44">
        <v>1</v>
      </c>
      <c r="AE179" s="44">
        <v>1</v>
      </c>
      <c r="AF179" s="44">
        <v>1</v>
      </c>
      <c r="AG179" s="44">
        <v>1</v>
      </c>
      <c r="AH179" s="44">
        <v>1</v>
      </c>
      <c r="AI179"/>
      <c r="AJ179" s="44">
        <v>1</v>
      </c>
      <c r="AK179" s="44">
        <v>1</v>
      </c>
      <c r="AL179" s="44">
        <v>1</v>
      </c>
      <c r="AM179" s="44">
        <v>1</v>
      </c>
      <c r="AN179" s="44">
        <v>1</v>
      </c>
      <c r="AO179" s="44">
        <v>1</v>
      </c>
      <c r="AP179" s="44">
        <v>1</v>
      </c>
      <c r="AQ179"/>
      <c r="AR179" s="44">
        <v>1</v>
      </c>
      <c r="AS179" s="44">
        <v>1</v>
      </c>
      <c r="AT179" s="44">
        <v>1</v>
      </c>
      <c r="AU179" s="44">
        <v>1</v>
      </c>
      <c r="AV179"/>
      <c r="AW179" s="44">
        <v>1</v>
      </c>
      <c r="AX179"/>
      <c r="AY179"/>
      <c r="AZ179" s="44">
        <v>1</v>
      </c>
    </row>
    <row r="180" spans="1:52" x14ac:dyDescent="0.25">
      <c r="A180" s="27" t="s">
        <v>260</v>
      </c>
      <c r="B180" s="3" t="s">
        <v>473</v>
      </c>
      <c r="C180" s="3" t="s">
        <v>483</v>
      </c>
      <c r="D180" s="3" t="s">
        <v>537</v>
      </c>
      <c r="E180" s="28" t="s">
        <v>351</v>
      </c>
      <c r="F180" s="28" t="s">
        <v>352</v>
      </c>
      <c r="G180" s="44">
        <v>2.3533050791148895E-8</v>
      </c>
      <c r="H180" s="44">
        <f t="shared" si="19"/>
        <v>2.3533050791148895E-8</v>
      </c>
      <c r="I180" s="44">
        <v>2.3533050791148899E-8</v>
      </c>
      <c r="J180" s="44">
        <v>2.3533050791148899E-8</v>
      </c>
      <c r="K180" s="44">
        <v>2.3533050791148899E-8</v>
      </c>
      <c r="L180" s="44">
        <v>2.3533050791148899E-8</v>
      </c>
      <c r="M180" s="44">
        <v>2.3533050791148899E-8</v>
      </c>
      <c r="N180" s="44">
        <v>2.3533050791148899E-8</v>
      </c>
      <c r="O180" s="44">
        <v>2.3533050791148899E-8</v>
      </c>
      <c r="P180" s="44">
        <v>2.3533050791148899E-8</v>
      </c>
      <c r="R180" s="44">
        <v>2.3533050791148899E-8</v>
      </c>
      <c r="S180" s="44">
        <v>2.3533050791148899E-8</v>
      </c>
      <c r="T180" s="44">
        <v>2.3533050791148899E-8</v>
      </c>
      <c r="U180" s="44">
        <v>2.3533050791148899E-8</v>
      </c>
      <c r="X180" s="44">
        <v>2.3533050791148899E-8</v>
      </c>
      <c r="Y180" s="44">
        <v>2.3533050791148899E-8</v>
      </c>
      <c r="Z180" s="44">
        <v>2.3533050791148899E-8</v>
      </c>
      <c r="AA180" s="44">
        <v>2.3533050791148899E-8</v>
      </c>
      <c r="AB180" s="44">
        <v>2.3533050791148899E-8</v>
      </c>
      <c r="AC180" s="44">
        <v>2.3533050791148899E-8</v>
      </c>
      <c r="AD180" s="44">
        <v>2.3533050791148899E-8</v>
      </c>
      <c r="AE180" s="44">
        <v>2.3533050791148899E-8</v>
      </c>
      <c r="AF180" s="44">
        <v>2.3533050791148899E-8</v>
      </c>
      <c r="AG180" s="44">
        <v>2.3533050791148899E-8</v>
      </c>
      <c r="AH180" s="44">
        <v>2.3533050791148899E-8</v>
      </c>
      <c r="AI180"/>
      <c r="AJ180" s="44">
        <v>2.3533050791148899E-8</v>
      </c>
      <c r="AK180" s="44">
        <v>2.3533050791148899E-8</v>
      </c>
      <c r="AL180" s="44">
        <v>2.3533050791148899E-8</v>
      </c>
      <c r="AM180" s="44">
        <v>2.3533050791148899E-8</v>
      </c>
      <c r="AN180" s="44">
        <v>2.3533050791148899E-8</v>
      </c>
      <c r="AO180" s="44">
        <v>2.3533050791148899E-8</v>
      </c>
      <c r="AP180" s="44">
        <v>2.3533050791148899E-8</v>
      </c>
      <c r="AQ180"/>
      <c r="AR180" s="44">
        <v>2.3533050791148899E-8</v>
      </c>
      <c r="AS180" s="44">
        <v>2.3533050791148899E-8</v>
      </c>
      <c r="AT180" s="44">
        <v>2.3533050791148899E-8</v>
      </c>
      <c r="AU180" s="44">
        <v>2.3533050791148899E-8</v>
      </c>
      <c r="AV180"/>
      <c r="AW180" s="44">
        <v>2.3533050791148899E-8</v>
      </c>
      <c r="AX180"/>
      <c r="AY180"/>
      <c r="AZ180" s="44">
        <v>2.3533050791148899E-8</v>
      </c>
    </row>
    <row r="181" spans="1:52" x14ac:dyDescent="0.25">
      <c r="A181" s="27" t="s">
        <v>261</v>
      </c>
      <c r="B181" s="3" t="s">
        <v>473</v>
      </c>
      <c r="C181" s="3" t="s">
        <v>483</v>
      </c>
      <c r="D181" s="3" t="s">
        <v>537</v>
      </c>
      <c r="E181" s="28" t="s">
        <v>333</v>
      </c>
      <c r="F181" s="28" t="s">
        <v>109</v>
      </c>
      <c r="G181" s="44">
        <v>20</v>
      </c>
      <c r="H181" s="44">
        <f t="shared" si="19"/>
        <v>20</v>
      </c>
      <c r="I181" s="44">
        <v>20</v>
      </c>
      <c r="J181" s="44">
        <v>20</v>
      </c>
      <c r="K181" s="44">
        <v>20</v>
      </c>
      <c r="L181" s="44">
        <v>20</v>
      </c>
      <c r="M181" s="44">
        <v>20</v>
      </c>
      <c r="N181" s="44">
        <v>20</v>
      </c>
      <c r="O181" s="44">
        <v>20</v>
      </c>
      <c r="P181" s="44">
        <v>20</v>
      </c>
      <c r="R181" s="44">
        <v>20</v>
      </c>
      <c r="S181" s="44">
        <v>20</v>
      </c>
      <c r="T181" s="44">
        <v>20</v>
      </c>
      <c r="U181" s="44">
        <v>20</v>
      </c>
      <c r="X181" s="44">
        <v>20</v>
      </c>
      <c r="Y181" s="44">
        <v>20</v>
      </c>
      <c r="Z181" s="44">
        <v>20</v>
      </c>
      <c r="AA181" s="44">
        <v>20</v>
      </c>
      <c r="AB181" s="44">
        <v>20</v>
      </c>
      <c r="AC181" s="44">
        <v>20</v>
      </c>
      <c r="AD181" s="44">
        <v>20</v>
      </c>
      <c r="AE181" s="44">
        <v>20</v>
      </c>
      <c r="AF181" s="44">
        <v>20</v>
      </c>
      <c r="AG181" s="44">
        <v>20</v>
      </c>
      <c r="AH181" s="44">
        <v>20</v>
      </c>
      <c r="AI181"/>
      <c r="AJ181" s="44">
        <v>20</v>
      </c>
      <c r="AK181" s="44">
        <v>20</v>
      </c>
      <c r="AL181" s="44">
        <v>20</v>
      </c>
      <c r="AM181" s="44">
        <v>20</v>
      </c>
      <c r="AN181" s="44">
        <v>20</v>
      </c>
      <c r="AO181" s="44">
        <v>20</v>
      </c>
      <c r="AP181" s="44">
        <v>20</v>
      </c>
      <c r="AQ181"/>
      <c r="AR181" s="44">
        <v>20</v>
      </c>
      <c r="AS181" s="44">
        <v>20</v>
      </c>
      <c r="AT181" s="44">
        <v>20</v>
      </c>
      <c r="AU181" s="44">
        <v>20</v>
      </c>
      <c r="AV181"/>
      <c r="AW181" s="44">
        <v>20</v>
      </c>
      <c r="AX181"/>
      <c r="AY181"/>
      <c r="AZ181" s="44">
        <v>20</v>
      </c>
    </row>
    <row r="182" spans="1:52" x14ac:dyDescent="0.25">
      <c r="A182" s="27" t="s">
        <v>262</v>
      </c>
      <c r="B182" s="3" t="s">
        <v>473</v>
      </c>
      <c r="C182" s="3" t="s">
        <v>483</v>
      </c>
      <c r="D182" s="3" t="s">
        <v>537</v>
      </c>
      <c r="E182" s="28" t="s">
        <v>334</v>
      </c>
      <c r="F182" s="28" t="s">
        <v>301</v>
      </c>
      <c r="G182" s="44">
        <v>-0.187</v>
      </c>
      <c r="H182" s="44">
        <f t="shared" si="19"/>
        <v>-0.187</v>
      </c>
      <c r="I182" s="44">
        <v>-0.187</v>
      </c>
      <c r="J182" s="44">
        <v>-0.187</v>
      </c>
      <c r="K182" s="44">
        <v>-0.187</v>
      </c>
      <c r="L182" s="44">
        <v>-0.187</v>
      </c>
      <c r="M182" s="44">
        <v>-0.187</v>
      </c>
      <c r="N182" s="44">
        <v>-0.187</v>
      </c>
      <c r="O182" s="44">
        <v>-0.187</v>
      </c>
      <c r="P182" s="44">
        <v>-0.187</v>
      </c>
      <c r="R182" s="44">
        <v>-0.187</v>
      </c>
      <c r="S182" s="44">
        <v>-0.187</v>
      </c>
      <c r="T182" s="44">
        <v>-0.187</v>
      </c>
      <c r="U182" s="44">
        <v>-0.187</v>
      </c>
      <c r="X182" s="44">
        <v>-0.187</v>
      </c>
      <c r="Y182" s="44">
        <v>-0.187</v>
      </c>
      <c r="Z182" s="44">
        <v>-0.187</v>
      </c>
      <c r="AA182" s="44">
        <v>-0.187</v>
      </c>
      <c r="AB182" s="44">
        <v>-0.187</v>
      </c>
      <c r="AC182" s="44">
        <v>-0.187</v>
      </c>
      <c r="AD182" s="44">
        <v>-0.187</v>
      </c>
      <c r="AE182" s="44">
        <v>-0.187</v>
      </c>
      <c r="AF182" s="44">
        <v>-0.187</v>
      </c>
      <c r="AG182" s="44">
        <v>-0.187</v>
      </c>
      <c r="AH182" s="44">
        <v>-0.187</v>
      </c>
      <c r="AI182"/>
      <c r="AJ182" s="44">
        <v>-0.187</v>
      </c>
      <c r="AK182" s="44">
        <v>-0.187</v>
      </c>
      <c r="AL182" s="44">
        <v>-0.187</v>
      </c>
      <c r="AM182" s="44">
        <v>-0.187</v>
      </c>
      <c r="AN182" s="44">
        <v>-0.187</v>
      </c>
      <c r="AO182" s="44">
        <v>-0.187</v>
      </c>
      <c r="AP182" s="44">
        <v>-0.187</v>
      </c>
      <c r="AQ182"/>
      <c r="AR182" s="44">
        <v>-0.187</v>
      </c>
      <c r="AS182" s="44">
        <v>-0.187</v>
      </c>
      <c r="AT182" s="44">
        <v>-0.187</v>
      </c>
      <c r="AU182" s="44">
        <v>-0.187</v>
      </c>
      <c r="AV182"/>
      <c r="AW182" s="44">
        <v>-0.187</v>
      </c>
      <c r="AX182"/>
      <c r="AY182"/>
      <c r="AZ182" s="44">
        <v>-0.187</v>
      </c>
    </row>
    <row r="183" spans="1:52" x14ac:dyDescent="0.25">
      <c r="A183" s="27" t="s">
        <v>263</v>
      </c>
      <c r="B183" s="3" t="s">
        <v>473</v>
      </c>
      <c r="C183" s="3" t="s">
        <v>483</v>
      </c>
      <c r="D183" s="3" t="s">
        <v>537</v>
      </c>
      <c r="E183" s="28" t="s">
        <v>335</v>
      </c>
      <c r="F183" s="28" t="s">
        <v>100</v>
      </c>
      <c r="G183" s="44">
        <v>2.48</v>
      </c>
      <c r="H183" s="44">
        <f t="shared" si="19"/>
        <v>2.48</v>
      </c>
      <c r="I183" s="44">
        <v>2.48</v>
      </c>
      <c r="J183" s="44">
        <v>2.48</v>
      </c>
      <c r="K183" s="44">
        <v>2.48</v>
      </c>
      <c r="L183" s="44">
        <v>2.48</v>
      </c>
      <c r="M183" s="44">
        <v>2.48</v>
      </c>
      <c r="N183" s="44">
        <v>2.48</v>
      </c>
      <c r="O183" s="44">
        <v>2.48</v>
      </c>
      <c r="P183" s="44">
        <v>2.48</v>
      </c>
      <c r="R183" s="44">
        <v>2.48</v>
      </c>
      <c r="S183" s="44">
        <v>2.48</v>
      </c>
      <c r="T183" s="44">
        <v>2.48</v>
      </c>
      <c r="U183" s="44">
        <v>2.48</v>
      </c>
      <c r="X183" s="44">
        <v>2.48</v>
      </c>
      <c r="Y183" s="44">
        <v>2.48</v>
      </c>
      <c r="Z183" s="44">
        <v>2.48</v>
      </c>
      <c r="AA183" s="44">
        <v>2.48</v>
      </c>
      <c r="AB183" s="44">
        <v>2.48</v>
      </c>
      <c r="AC183" s="44">
        <v>2.48</v>
      </c>
      <c r="AD183" s="44">
        <v>2.48</v>
      </c>
      <c r="AE183" s="44">
        <v>2.48</v>
      </c>
      <c r="AF183" s="44">
        <v>2.48</v>
      </c>
      <c r="AG183" s="44">
        <v>2.48</v>
      </c>
      <c r="AH183" s="44">
        <v>2.48</v>
      </c>
      <c r="AI183"/>
      <c r="AJ183" s="44">
        <v>2.48</v>
      </c>
      <c r="AK183" s="44">
        <v>2.48</v>
      </c>
      <c r="AL183" s="44">
        <v>2.48</v>
      </c>
      <c r="AM183" s="44">
        <v>2.48</v>
      </c>
      <c r="AN183" s="44">
        <v>2.48</v>
      </c>
      <c r="AO183" s="44">
        <v>2.48</v>
      </c>
      <c r="AP183" s="44">
        <v>2.48</v>
      </c>
      <c r="AQ183"/>
      <c r="AR183" s="44">
        <v>2.48</v>
      </c>
      <c r="AS183" s="44">
        <v>2.48</v>
      </c>
      <c r="AT183" s="44">
        <v>2.48</v>
      </c>
      <c r="AU183" s="44">
        <v>2.48</v>
      </c>
      <c r="AV183"/>
      <c r="AW183" s="44">
        <v>2.48</v>
      </c>
      <c r="AX183"/>
      <c r="AY183"/>
      <c r="AZ183" s="44">
        <v>2.48</v>
      </c>
    </row>
    <row r="184" spans="1:52" x14ac:dyDescent="0.25">
      <c r="A184" s="27" t="s">
        <v>264</v>
      </c>
      <c r="B184" s="3" t="s">
        <v>473</v>
      </c>
      <c r="C184" s="3" t="s">
        <v>483</v>
      </c>
      <c r="D184" s="3" t="s">
        <v>537</v>
      </c>
      <c r="E184" s="28" t="s">
        <v>336</v>
      </c>
      <c r="F184" s="28" t="s">
        <v>95</v>
      </c>
      <c r="G184" s="44">
        <v>1</v>
      </c>
      <c r="H184" s="44">
        <f t="shared" si="19"/>
        <v>1</v>
      </c>
      <c r="I184" s="44">
        <v>1</v>
      </c>
      <c r="J184" s="44">
        <v>1</v>
      </c>
      <c r="K184" s="44">
        <v>1</v>
      </c>
      <c r="L184" s="44">
        <v>1</v>
      </c>
      <c r="M184" s="44">
        <v>1</v>
      </c>
      <c r="N184" s="44">
        <v>1</v>
      </c>
      <c r="O184" s="44">
        <v>1</v>
      </c>
      <c r="P184" s="44">
        <v>1</v>
      </c>
      <c r="R184" s="44">
        <v>1</v>
      </c>
      <c r="S184" s="44">
        <v>1</v>
      </c>
      <c r="T184" s="44">
        <v>1</v>
      </c>
      <c r="U184" s="44">
        <v>1</v>
      </c>
      <c r="X184" s="44">
        <v>1</v>
      </c>
      <c r="Y184" s="44">
        <v>1</v>
      </c>
      <c r="Z184" s="44">
        <v>1</v>
      </c>
      <c r="AA184" s="44">
        <v>1</v>
      </c>
      <c r="AB184" s="44">
        <v>1</v>
      </c>
      <c r="AC184" s="44">
        <v>1</v>
      </c>
      <c r="AD184" s="44">
        <v>1</v>
      </c>
      <c r="AE184" s="44">
        <v>1</v>
      </c>
      <c r="AF184" s="44">
        <v>1</v>
      </c>
      <c r="AG184" s="44">
        <v>1</v>
      </c>
      <c r="AH184" s="44">
        <v>1</v>
      </c>
      <c r="AI184"/>
      <c r="AJ184" s="44">
        <v>1</v>
      </c>
      <c r="AK184" s="44">
        <v>1</v>
      </c>
      <c r="AL184" s="44">
        <v>1</v>
      </c>
      <c r="AM184" s="44">
        <v>1</v>
      </c>
      <c r="AN184" s="44">
        <v>1</v>
      </c>
      <c r="AO184" s="44">
        <v>1</v>
      </c>
      <c r="AP184" s="44">
        <v>1</v>
      </c>
      <c r="AQ184"/>
      <c r="AR184" s="44">
        <v>1</v>
      </c>
      <c r="AS184" s="44">
        <v>1</v>
      </c>
      <c r="AT184" s="44">
        <v>1</v>
      </c>
      <c r="AU184" s="44">
        <v>1</v>
      </c>
      <c r="AV184"/>
      <c r="AW184" s="44">
        <v>1</v>
      </c>
      <c r="AX184"/>
      <c r="AY184"/>
      <c r="AZ184" s="44">
        <v>1</v>
      </c>
    </row>
    <row r="185" spans="1:52" x14ac:dyDescent="0.25">
      <c r="A185" s="27" t="s">
        <v>265</v>
      </c>
      <c r="B185" s="3" t="s">
        <v>473</v>
      </c>
      <c r="C185" s="3" t="s">
        <v>483</v>
      </c>
      <c r="D185" s="3" t="s">
        <v>537</v>
      </c>
      <c r="E185" s="28" t="s">
        <v>353</v>
      </c>
      <c r="F185" s="28" t="s">
        <v>354</v>
      </c>
      <c r="G185" s="44">
        <v>6.1060227588121015E-4</v>
      </c>
      <c r="H185" s="44">
        <f t="shared" si="19"/>
        <v>6.1060227588121015E-4</v>
      </c>
      <c r="I185" s="44">
        <v>6.1060227588121015E-4</v>
      </c>
      <c r="J185" s="44">
        <v>6.1060227588121015E-4</v>
      </c>
      <c r="K185" s="44">
        <v>6.1060227588121015E-4</v>
      </c>
      <c r="L185" s="44">
        <v>6.1060227588121015E-4</v>
      </c>
      <c r="M185" s="44">
        <v>6.1060227588121015E-4</v>
      </c>
      <c r="N185" s="44">
        <v>6.1060227588121015E-4</v>
      </c>
      <c r="O185" s="44">
        <v>6.1060227588121015E-4</v>
      </c>
      <c r="P185" s="44">
        <v>6.1060227588121015E-4</v>
      </c>
      <c r="R185" s="44">
        <v>6.1060227588121015E-4</v>
      </c>
      <c r="S185" s="44">
        <v>6.1060227588121015E-4</v>
      </c>
      <c r="T185" s="44">
        <v>6.1060227588121015E-4</v>
      </c>
      <c r="U185" s="44">
        <v>6.1060227588121015E-4</v>
      </c>
      <c r="X185" s="44">
        <v>6.1060227588121015E-4</v>
      </c>
      <c r="Y185" s="44">
        <v>6.1060227588121015E-4</v>
      </c>
      <c r="Z185" s="44">
        <v>6.1060227588121015E-4</v>
      </c>
      <c r="AA185" s="44">
        <v>6.1060227588121015E-4</v>
      </c>
      <c r="AB185" s="44">
        <v>6.1060227588121015E-4</v>
      </c>
      <c r="AC185" s="44">
        <v>6.1060227588121015E-4</v>
      </c>
      <c r="AD185" s="44">
        <v>6.1060227588121015E-4</v>
      </c>
      <c r="AE185" s="44">
        <v>6.1060227588121015E-4</v>
      </c>
      <c r="AF185" s="44">
        <v>6.1060227588121015E-4</v>
      </c>
      <c r="AG185" s="44">
        <v>6.1060227588121015E-4</v>
      </c>
      <c r="AH185" s="44">
        <v>6.1060227588121015E-4</v>
      </c>
      <c r="AI185"/>
      <c r="AJ185" s="44">
        <v>6.1060227588121015E-4</v>
      </c>
      <c r="AK185" s="44">
        <v>6.1060227588121015E-4</v>
      </c>
      <c r="AL185" s="44">
        <v>6.1060227588121015E-4</v>
      </c>
      <c r="AM185" s="44">
        <v>6.1060227588121015E-4</v>
      </c>
      <c r="AN185" s="44">
        <v>6.1060227588121015E-4</v>
      </c>
      <c r="AO185" s="44">
        <v>6.1060227588121015E-4</v>
      </c>
      <c r="AP185" s="44">
        <v>6.1060227588121015E-4</v>
      </c>
      <c r="AQ185"/>
      <c r="AR185" s="44">
        <v>6.1060227588121015E-4</v>
      </c>
      <c r="AS185" s="44">
        <v>6.1060227588121015E-4</v>
      </c>
      <c r="AT185" s="44">
        <v>6.1060227588121015E-4</v>
      </c>
      <c r="AU185" s="44">
        <v>6.1060227588121015E-4</v>
      </c>
      <c r="AV185"/>
      <c r="AW185" s="44">
        <v>6.1060227588121015E-4</v>
      </c>
      <c r="AX185"/>
      <c r="AY185"/>
      <c r="AZ185" s="44">
        <v>6.1060227588121015E-4</v>
      </c>
    </row>
    <row r="186" spans="1:52" x14ac:dyDescent="0.25">
      <c r="A186" s="23" t="s">
        <v>266</v>
      </c>
      <c r="B186" s="3" t="s">
        <v>473</v>
      </c>
      <c r="C186" s="3" t="s">
        <v>483</v>
      </c>
      <c r="D186" s="3" t="s">
        <v>537</v>
      </c>
      <c r="E186" s="24" t="s">
        <v>193</v>
      </c>
      <c r="F186" s="24" t="s">
        <v>200</v>
      </c>
      <c r="G186" s="44">
        <v>6.41E-9</v>
      </c>
      <c r="H186" s="44">
        <f t="shared" si="19"/>
        <v>6.41E-9</v>
      </c>
      <c r="I186" s="44">
        <v>3.9999999999999998E-7</v>
      </c>
      <c r="J186" s="44">
        <v>3.9999999999999998E-7</v>
      </c>
      <c r="K186" s="44">
        <v>3.9999999999999998E-7</v>
      </c>
      <c r="L186" s="44">
        <v>3.9999999999999998E-7</v>
      </c>
      <c r="M186" s="44">
        <v>3.9999999999999998E-7</v>
      </c>
      <c r="N186" s="44">
        <v>3.9999999999999998E-7</v>
      </c>
      <c r="O186" s="44">
        <v>3.9999999999999998E-7</v>
      </c>
      <c r="P186" s="44">
        <v>3.9999999999999998E-7</v>
      </c>
      <c r="R186" s="44">
        <v>3.9999999999999998E-7</v>
      </c>
      <c r="S186" s="44">
        <v>3.9999999999999998E-7</v>
      </c>
      <c r="T186" s="44">
        <v>3.9999999999999998E-7</v>
      </c>
      <c r="U186" s="44">
        <v>3.9999999999999998E-7</v>
      </c>
      <c r="X186" s="44">
        <v>3.9999999999999998E-7</v>
      </c>
      <c r="Y186" s="44">
        <v>3.9999999999999998E-7</v>
      </c>
      <c r="Z186" s="44">
        <v>3.9999999999999998E-7</v>
      </c>
      <c r="AA186" s="44">
        <v>3.9999999999999998E-7</v>
      </c>
      <c r="AB186" s="44">
        <v>3.9999999999999998E-7</v>
      </c>
      <c r="AC186" s="44">
        <v>3.9999999999999998E-7</v>
      </c>
      <c r="AD186" s="44">
        <v>3.9999999999999998E-7</v>
      </c>
      <c r="AE186" s="44">
        <v>3.9999999999999998E-7</v>
      </c>
      <c r="AF186" s="44">
        <v>3.9999999999999998E-7</v>
      </c>
      <c r="AG186" s="44">
        <v>3.9999999999999998E-7</v>
      </c>
      <c r="AH186" s="44">
        <v>3.9999999999999998E-7</v>
      </c>
      <c r="AI186"/>
      <c r="AJ186" s="44">
        <v>3.9999999999999998E-7</v>
      </c>
      <c r="AK186" s="44">
        <v>3.9999999999999998E-7</v>
      </c>
      <c r="AL186" s="44">
        <v>3.9999999999999998E-7</v>
      </c>
      <c r="AM186" s="44">
        <v>3.9999999999999998E-7</v>
      </c>
      <c r="AN186" s="44">
        <v>3.9999999999999998E-7</v>
      </c>
      <c r="AO186" s="44">
        <v>3.9999999999999998E-7</v>
      </c>
      <c r="AP186" s="44">
        <v>3.9999999999999998E-7</v>
      </c>
      <c r="AQ186"/>
      <c r="AR186" s="44">
        <v>3.9999999999999998E-7</v>
      </c>
      <c r="AS186" s="44">
        <v>3.9999999999999998E-7</v>
      </c>
      <c r="AT186" s="44">
        <v>3.9999999999999998E-7</v>
      </c>
      <c r="AU186" s="44">
        <v>3.9999999999999998E-7</v>
      </c>
      <c r="AV186"/>
      <c r="AW186" s="44">
        <v>3.9999999999999998E-7</v>
      </c>
      <c r="AX186"/>
      <c r="AY186"/>
      <c r="AZ186" s="44">
        <v>3.9999999999999998E-7</v>
      </c>
    </row>
    <row r="187" spans="1:52" x14ac:dyDescent="0.25">
      <c r="A187" s="23" t="s">
        <v>267</v>
      </c>
      <c r="B187" s="3" t="s">
        <v>473</v>
      </c>
      <c r="C187" s="3" t="s">
        <v>483</v>
      </c>
      <c r="D187" s="3" t="s">
        <v>537</v>
      </c>
      <c r="E187" s="24" t="s">
        <v>337</v>
      </c>
      <c r="F187" s="24" t="s">
        <v>109</v>
      </c>
      <c r="G187" s="44">
        <v>25</v>
      </c>
      <c r="H187" s="44">
        <f t="shared" si="19"/>
        <v>25</v>
      </c>
      <c r="I187" s="44">
        <v>25</v>
      </c>
      <c r="J187" s="44">
        <v>25</v>
      </c>
      <c r="K187" s="44">
        <v>25</v>
      </c>
      <c r="L187" s="44">
        <v>25</v>
      </c>
      <c r="M187" s="44">
        <v>25</v>
      </c>
      <c r="N187" s="44">
        <v>25</v>
      </c>
      <c r="O187" s="44">
        <v>25</v>
      </c>
      <c r="P187" s="44">
        <v>25</v>
      </c>
      <c r="R187" s="44">
        <v>25</v>
      </c>
      <c r="S187" s="44">
        <v>25</v>
      </c>
      <c r="T187" s="44">
        <v>25</v>
      </c>
      <c r="U187" s="44">
        <v>25</v>
      </c>
      <c r="X187" s="44">
        <v>25</v>
      </c>
      <c r="Y187" s="44">
        <v>25</v>
      </c>
      <c r="Z187" s="44">
        <v>25</v>
      </c>
      <c r="AA187" s="44">
        <v>25</v>
      </c>
      <c r="AB187" s="44">
        <v>25</v>
      </c>
      <c r="AC187" s="44">
        <v>25</v>
      </c>
      <c r="AD187" s="44">
        <v>25</v>
      </c>
      <c r="AE187" s="44">
        <v>25</v>
      </c>
      <c r="AF187" s="44">
        <v>25</v>
      </c>
      <c r="AG187" s="44">
        <v>25</v>
      </c>
      <c r="AH187" s="44">
        <v>25</v>
      </c>
      <c r="AI187"/>
      <c r="AJ187" s="44">
        <v>25</v>
      </c>
      <c r="AK187" s="44">
        <v>25</v>
      </c>
      <c r="AL187" s="44">
        <v>25</v>
      </c>
      <c r="AM187" s="44">
        <v>25</v>
      </c>
      <c r="AN187" s="44">
        <v>25</v>
      </c>
      <c r="AO187" s="44">
        <v>25</v>
      </c>
      <c r="AP187" s="44">
        <v>25</v>
      </c>
      <c r="AQ187"/>
      <c r="AR187" s="44">
        <v>25</v>
      </c>
      <c r="AS187" s="44">
        <v>25</v>
      </c>
      <c r="AT187" s="44">
        <v>25</v>
      </c>
      <c r="AU187" s="44">
        <v>25</v>
      </c>
      <c r="AV187"/>
      <c r="AW187" s="44">
        <v>25</v>
      </c>
      <c r="AX187"/>
      <c r="AY187"/>
      <c r="AZ187" s="44">
        <v>25</v>
      </c>
    </row>
    <row r="188" spans="1:52" x14ac:dyDescent="0.25">
      <c r="A188" s="23" t="s">
        <v>268</v>
      </c>
      <c r="B188" s="3" t="s">
        <v>473</v>
      </c>
      <c r="C188" s="3" t="s">
        <v>483</v>
      </c>
      <c r="D188" s="3" t="s">
        <v>537</v>
      </c>
      <c r="E188" s="24" t="s">
        <v>338</v>
      </c>
      <c r="F188" s="24" t="s">
        <v>301</v>
      </c>
      <c r="G188" s="44">
        <v>0</v>
      </c>
      <c r="H188" s="44">
        <f t="shared" si="19"/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R188" s="44">
        <v>0</v>
      </c>
      <c r="S188" s="44">
        <v>0</v>
      </c>
      <c r="T188" s="44">
        <v>0</v>
      </c>
      <c r="U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/>
      <c r="AJ188" s="44">
        <v>0</v>
      </c>
      <c r="AK188" s="44">
        <v>0</v>
      </c>
      <c r="AL188" s="44">
        <v>0</v>
      </c>
      <c r="AM188" s="44">
        <v>0</v>
      </c>
      <c r="AN188" s="44">
        <v>0</v>
      </c>
      <c r="AO188" s="44">
        <v>0</v>
      </c>
      <c r="AP188" s="44">
        <v>0</v>
      </c>
      <c r="AQ188"/>
      <c r="AR188" s="44">
        <v>0</v>
      </c>
      <c r="AS188" s="44">
        <v>0</v>
      </c>
      <c r="AT188" s="44">
        <v>0</v>
      </c>
      <c r="AU188" s="44">
        <v>0</v>
      </c>
      <c r="AV188"/>
      <c r="AW188" s="44">
        <v>0</v>
      </c>
      <c r="AX188"/>
      <c r="AY188"/>
      <c r="AZ188" s="44">
        <v>0</v>
      </c>
    </row>
    <row r="189" spans="1:52" x14ac:dyDescent="0.25">
      <c r="A189" s="23" t="s">
        <v>269</v>
      </c>
      <c r="B189" s="3" t="s">
        <v>473</v>
      </c>
      <c r="C189" s="3" t="s">
        <v>483</v>
      </c>
      <c r="D189" s="3" t="s">
        <v>537</v>
      </c>
      <c r="E189" s="24" t="s">
        <v>339</v>
      </c>
      <c r="F189" s="24" t="s">
        <v>100</v>
      </c>
      <c r="G189" s="44">
        <v>3.98</v>
      </c>
      <c r="H189" s="44">
        <f t="shared" si="19"/>
        <v>3.98</v>
      </c>
      <c r="I189" s="44">
        <v>3.98</v>
      </c>
      <c r="J189" s="44">
        <v>3.98</v>
      </c>
      <c r="K189" s="44">
        <v>3.98</v>
      </c>
      <c r="L189" s="44">
        <v>3.98</v>
      </c>
      <c r="M189" s="44">
        <v>3.98</v>
      </c>
      <c r="N189" s="44">
        <v>3.98</v>
      </c>
      <c r="O189" s="44">
        <v>3.98</v>
      </c>
      <c r="P189" s="44">
        <v>3.98</v>
      </c>
      <c r="R189" s="44">
        <v>3.98</v>
      </c>
      <c r="S189" s="44">
        <v>3.98</v>
      </c>
      <c r="T189" s="44">
        <v>3.98</v>
      </c>
      <c r="U189" s="44">
        <v>3.98</v>
      </c>
      <c r="X189" s="44">
        <v>3.98</v>
      </c>
      <c r="Y189" s="44">
        <v>3.98</v>
      </c>
      <c r="Z189" s="44">
        <v>3.98</v>
      </c>
      <c r="AA189" s="44">
        <v>3.98</v>
      </c>
      <c r="AB189" s="44">
        <v>3.98</v>
      </c>
      <c r="AC189" s="44">
        <v>3.98</v>
      </c>
      <c r="AD189" s="44">
        <v>3.98</v>
      </c>
      <c r="AE189" s="44">
        <v>3.98</v>
      </c>
      <c r="AF189" s="44">
        <v>3.98</v>
      </c>
      <c r="AG189" s="44">
        <v>3.98</v>
      </c>
      <c r="AH189" s="44">
        <v>3.98</v>
      </c>
      <c r="AI189"/>
      <c r="AJ189" s="44">
        <v>3.98</v>
      </c>
      <c r="AK189" s="44">
        <v>3.98</v>
      </c>
      <c r="AL189" s="44">
        <v>3.98</v>
      </c>
      <c r="AM189" s="44">
        <v>3.98</v>
      </c>
      <c r="AN189" s="44">
        <v>3.98</v>
      </c>
      <c r="AO189" s="44">
        <v>3.98</v>
      </c>
      <c r="AP189" s="44">
        <v>3.98</v>
      </c>
      <c r="AQ189"/>
      <c r="AR189" s="44">
        <v>3.98</v>
      </c>
      <c r="AS189" s="44">
        <v>3.98</v>
      </c>
      <c r="AT189" s="44">
        <v>3.98</v>
      </c>
      <c r="AU189" s="44">
        <v>3.98</v>
      </c>
      <c r="AV189"/>
      <c r="AW189" s="44">
        <v>3.98</v>
      </c>
      <c r="AX189"/>
      <c r="AY189"/>
      <c r="AZ189" s="44">
        <v>3.98</v>
      </c>
    </row>
    <row r="190" spans="1:52" x14ac:dyDescent="0.25">
      <c r="A190" s="23" t="s">
        <v>270</v>
      </c>
      <c r="B190" s="3" t="s">
        <v>473</v>
      </c>
      <c r="C190" s="3" t="s">
        <v>483</v>
      </c>
      <c r="D190" s="3" t="s">
        <v>537</v>
      </c>
      <c r="E190" s="24" t="s">
        <v>340</v>
      </c>
      <c r="F190" s="24" t="s">
        <v>95</v>
      </c>
      <c r="G190" s="44">
        <v>1</v>
      </c>
      <c r="H190" s="44">
        <f t="shared" si="19"/>
        <v>1</v>
      </c>
      <c r="I190" s="44">
        <v>1</v>
      </c>
      <c r="J190" s="44">
        <v>1</v>
      </c>
      <c r="K190" s="44">
        <v>1</v>
      </c>
      <c r="L190" s="44">
        <v>1</v>
      </c>
      <c r="M190" s="44">
        <v>1</v>
      </c>
      <c r="N190" s="44">
        <v>1</v>
      </c>
      <c r="O190" s="44">
        <v>1</v>
      </c>
      <c r="P190" s="44">
        <v>1</v>
      </c>
      <c r="R190" s="44">
        <v>1</v>
      </c>
      <c r="S190" s="44">
        <v>1</v>
      </c>
      <c r="T190" s="44">
        <v>1</v>
      </c>
      <c r="U190" s="44">
        <v>1</v>
      </c>
      <c r="X190" s="44">
        <v>1</v>
      </c>
      <c r="Y190" s="44">
        <v>1</v>
      </c>
      <c r="Z190" s="44">
        <v>1</v>
      </c>
      <c r="AA190" s="44">
        <v>1</v>
      </c>
      <c r="AB190" s="44">
        <v>1</v>
      </c>
      <c r="AC190" s="44">
        <v>1</v>
      </c>
      <c r="AD190" s="44">
        <v>1</v>
      </c>
      <c r="AE190" s="44">
        <v>1</v>
      </c>
      <c r="AF190" s="44">
        <v>1</v>
      </c>
      <c r="AG190" s="44">
        <v>1</v>
      </c>
      <c r="AH190" s="44">
        <v>1</v>
      </c>
      <c r="AI190"/>
      <c r="AJ190" s="44">
        <v>1</v>
      </c>
      <c r="AK190" s="44">
        <v>1</v>
      </c>
      <c r="AL190" s="44">
        <v>1</v>
      </c>
      <c r="AM190" s="44">
        <v>1</v>
      </c>
      <c r="AN190" s="44">
        <v>1</v>
      </c>
      <c r="AO190" s="44">
        <v>1</v>
      </c>
      <c r="AP190" s="44">
        <v>1</v>
      </c>
      <c r="AQ190"/>
      <c r="AR190" s="44">
        <v>1</v>
      </c>
      <c r="AS190" s="44">
        <v>1</v>
      </c>
      <c r="AT190" s="44">
        <v>1</v>
      </c>
      <c r="AU190" s="44">
        <v>1</v>
      </c>
      <c r="AV190"/>
      <c r="AW190" s="44">
        <v>1</v>
      </c>
      <c r="AX190"/>
      <c r="AY190"/>
      <c r="AZ190" s="44">
        <v>1</v>
      </c>
    </row>
    <row r="191" spans="1:52" x14ac:dyDescent="0.25">
      <c r="A191" s="23" t="s">
        <v>271</v>
      </c>
      <c r="B191" s="3" t="s">
        <v>473</v>
      </c>
      <c r="C191" s="3" t="s">
        <v>483</v>
      </c>
      <c r="D191" s="3" t="s">
        <v>537</v>
      </c>
      <c r="E191" s="24" t="s">
        <v>194</v>
      </c>
      <c r="F191" s="24" t="s">
        <v>198</v>
      </c>
      <c r="G191" s="44">
        <v>8.3333333333333331E-5</v>
      </c>
      <c r="H191" s="44">
        <f t="shared" si="19"/>
        <v>8.3333333333333331E-5</v>
      </c>
      <c r="I191" s="44">
        <v>8.3333333333333331E-5</v>
      </c>
      <c r="J191" s="44">
        <v>8.3333333333333331E-5</v>
      </c>
      <c r="K191" s="44">
        <v>8.3333333333333331E-5</v>
      </c>
      <c r="L191" s="44">
        <v>8.3333333333333331E-5</v>
      </c>
      <c r="M191" s="44">
        <v>8.3333333333333331E-5</v>
      </c>
      <c r="N191" s="44">
        <v>8.3333333333333331E-5</v>
      </c>
      <c r="O191" s="44">
        <v>8.3333333333333331E-5</v>
      </c>
      <c r="P191" s="44">
        <v>8.3333333333333331E-5</v>
      </c>
      <c r="R191" s="44">
        <v>8.3333333333333331E-5</v>
      </c>
      <c r="S191" s="44">
        <v>8.3333333333333331E-5</v>
      </c>
      <c r="T191" s="44">
        <v>8.3333333333333331E-5</v>
      </c>
      <c r="U191" s="44">
        <v>8.3333333333333331E-5</v>
      </c>
      <c r="X191" s="44">
        <v>8.3333333333333331E-5</v>
      </c>
      <c r="Y191" s="44">
        <v>8.3333333333333331E-5</v>
      </c>
      <c r="Z191" s="44">
        <v>8.3333333333333331E-5</v>
      </c>
      <c r="AA191" s="44">
        <v>8.3333333333333331E-5</v>
      </c>
      <c r="AB191" s="44">
        <v>8.3333333333333331E-5</v>
      </c>
      <c r="AC191" s="44">
        <v>8.3333333333333331E-5</v>
      </c>
      <c r="AD191" s="44">
        <v>8.3333333333333331E-5</v>
      </c>
      <c r="AE191" s="44">
        <v>8.3333333333333331E-5</v>
      </c>
      <c r="AF191" s="44">
        <v>8.3333333333333331E-5</v>
      </c>
      <c r="AG191" s="44">
        <v>8.3333333333333331E-5</v>
      </c>
      <c r="AH191" s="44">
        <v>8.3333333333333331E-5</v>
      </c>
      <c r="AI191"/>
      <c r="AJ191" s="44">
        <v>8.3333333333333331E-5</v>
      </c>
      <c r="AK191" s="44">
        <v>8.3333333333333331E-5</v>
      </c>
      <c r="AL191" s="44">
        <v>8.3333333333333331E-5</v>
      </c>
      <c r="AM191" s="44">
        <v>8.3333333333333331E-5</v>
      </c>
      <c r="AN191" s="44">
        <v>8.3333333333333331E-5</v>
      </c>
      <c r="AO191" s="44">
        <v>8.3333333333333331E-5</v>
      </c>
      <c r="AP191" s="44">
        <v>8.3333333333333331E-5</v>
      </c>
      <c r="AQ191"/>
      <c r="AR191" s="44">
        <v>8.3333333333333331E-5</v>
      </c>
      <c r="AS191" s="44">
        <v>8.3333333333333331E-5</v>
      </c>
      <c r="AT191" s="44">
        <v>8.3333333333333331E-5</v>
      </c>
      <c r="AU191" s="44">
        <v>8.3333333333333331E-5</v>
      </c>
      <c r="AV191"/>
      <c r="AW191" s="44">
        <v>8.3333333333333331E-5</v>
      </c>
      <c r="AX191"/>
      <c r="AY191"/>
      <c r="AZ191" s="44">
        <v>8.3333333333333331E-5</v>
      </c>
    </row>
    <row r="192" spans="1:52" x14ac:dyDescent="0.25">
      <c r="A192" s="7" t="s">
        <v>272</v>
      </c>
      <c r="B192" s="3" t="s">
        <v>473</v>
      </c>
      <c r="C192" s="3" t="s">
        <v>483</v>
      </c>
      <c r="D192" s="3" t="s">
        <v>537</v>
      </c>
      <c r="E192" s="8" t="s">
        <v>355</v>
      </c>
      <c r="F192" s="8" t="s">
        <v>200</v>
      </c>
      <c r="G192" s="44">
        <v>6.41E-9</v>
      </c>
      <c r="H192" s="44">
        <f t="shared" si="19"/>
        <v>6.41E-9</v>
      </c>
      <c r="I192" s="44">
        <v>3.9999999999999998E-7</v>
      </c>
      <c r="J192" s="44">
        <v>3.9999999999999998E-7</v>
      </c>
      <c r="K192" s="44">
        <v>3.9999999999999998E-7</v>
      </c>
      <c r="L192" s="44">
        <v>3.9999999999999998E-7</v>
      </c>
      <c r="M192" s="44">
        <v>3.9999999999999998E-7</v>
      </c>
      <c r="N192" s="44">
        <v>3.9999999999999998E-7</v>
      </c>
      <c r="O192" s="44">
        <v>3.9999999999999998E-7</v>
      </c>
      <c r="P192" s="44">
        <v>3.9999999999999998E-7</v>
      </c>
      <c r="R192" s="44">
        <v>3.9999999999999998E-7</v>
      </c>
      <c r="S192" s="44">
        <v>3.9999999999999998E-7</v>
      </c>
      <c r="T192" s="44">
        <v>3.9999999999999998E-7</v>
      </c>
      <c r="U192" s="44">
        <v>3.9999999999999998E-7</v>
      </c>
      <c r="X192" s="44">
        <v>3.9999999999999998E-7</v>
      </c>
      <c r="Y192" s="44">
        <v>3.9999999999999998E-7</v>
      </c>
      <c r="Z192" s="44">
        <v>3.9999999999999998E-7</v>
      </c>
      <c r="AA192" s="44">
        <v>3.9999999999999998E-7</v>
      </c>
      <c r="AB192" s="44">
        <v>3.9999999999999998E-7</v>
      </c>
      <c r="AC192" s="44">
        <v>3.9999999999999998E-7</v>
      </c>
      <c r="AD192" s="44">
        <v>3.9999999999999998E-7</v>
      </c>
      <c r="AE192" s="44">
        <v>3.9999999999999998E-7</v>
      </c>
      <c r="AF192" s="44">
        <v>3.9999999999999998E-7</v>
      </c>
      <c r="AG192" s="44">
        <v>3.9999999999999998E-7</v>
      </c>
      <c r="AH192" s="44">
        <v>3.9999999999999998E-7</v>
      </c>
      <c r="AI192"/>
      <c r="AJ192" s="44">
        <v>3.9999999999999998E-7</v>
      </c>
      <c r="AK192" s="44">
        <v>3.9999999999999998E-7</v>
      </c>
      <c r="AL192" s="44">
        <v>3.9999999999999998E-7</v>
      </c>
      <c r="AM192" s="44">
        <v>3.9999999999999998E-7</v>
      </c>
      <c r="AN192" s="44">
        <v>3.9999999999999998E-7</v>
      </c>
      <c r="AO192" s="44">
        <v>3.9999999999999998E-7</v>
      </c>
      <c r="AP192" s="44">
        <v>3.9999999999999998E-7</v>
      </c>
      <c r="AQ192"/>
      <c r="AR192" s="44">
        <v>3.9999999999999998E-7</v>
      </c>
      <c r="AS192" s="44">
        <v>3.9999999999999998E-7</v>
      </c>
      <c r="AT192" s="44">
        <v>3.9999999999999998E-7</v>
      </c>
      <c r="AU192" s="44">
        <v>3.9999999999999998E-7</v>
      </c>
      <c r="AV192"/>
      <c r="AW192" s="44">
        <v>3.9999999999999998E-7</v>
      </c>
      <c r="AX192"/>
      <c r="AY192"/>
      <c r="AZ192" s="44">
        <v>3.9999999999999998E-7</v>
      </c>
    </row>
    <row r="193" spans="1:60" x14ac:dyDescent="0.25">
      <c r="A193" s="7" t="s">
        <v>273</v>
      </c>
      <c r="B193" s="3" t="s">
        <v>473</v>
      </c>
      <c r="C193" s="3" t="s">
        <v>483</v>
      </c>
      <c r="D193" s="3" t="s">
        <v>537</v>
      </c>
      <c r="E193" s="8" t="s">
        <v>341</v>
      </c>
      <c r="F193" s="8" t="s">
        <v>109</v>
      </c>
      <c r="G193" s="44">
        <v>25</v>
      </c>
      <c r="H193" s="44">
        <f t="shared" si="19"/>
        <v>25</v>
      </c>
      <c r="I193" s="44">
        <v>25</v>
      </c>
      <c r="J193" s="44">
        <v>25</v>
      </c>
      <c r="K193" s="44">
        <v>25</v>
      </c>
      <c r="L193" s="44">
        <v>25</v>
      </c>
      <c r="M193" s="44">
        <v>25</v>
      </c>
      <c r="N193" s="44">
        <v>25</v>
      </c>
      <c r="O193" s="44">
        <v>25</v>
      </c>
      <c r="P193" s="44">
        <v>25</v>
      </c>
      <c r="R193" s="44">
        <v>25</v>
      </c>
      <c r="S193" s="44">
        <v>25</v>
      </c>
      <c r="T193" s="44">
        <v>25</v>
      </c>
      <c r="U193" s="44">
        <v>25</v>
      </c>
      <c r="X193" s="44">
        <v>25</v>
      </c>
      <c r="Y193" s="44">
        <v>25</v>
      </c>
      <c r="Z193" s="44">
        <v>25</v>
      </c>
      <c r="AA193" s="44">
        <v>25</v>
      </c>
      <c r="AB193" s="44">
        <v>25</v>
      </c>
      <c r="AC193" s="44">
        <v>25</v>
      </c>
      <c r="AD193" s="44">
        <v>25</v>
      </c>
      <c r="AE193" s="44">
        <v>25</v>
      </c>
      <c r="AF193" s="44">
        <v>25</v>
      </c>
      <c r="AG193" s="44">
        <v>25</v>
      </c>
      <c r="AH193" s="44">
        <v>25</v>
      </c>
      <c r="AI193"/>
      <c r="AJ193" s="44">
        <v>25</v>
      </c>
      <c r="AK193" s="44">
        <v>25</v>
      </c>
      <c r="AL193" s="44">
        <v>25</v>
      </c>
      <c r="AM193" s="44">
        <v>25</v>
      </c>
      <c r="AN193" s="44">
        <v>25</v>
      </c>
      <c r="AO193" s="44">
        <v>25</v>
      </c>
      <c r="AP193" s="44">
        <v>25</v>
      </c>
      <c r="AQ193"/>
      <c r="AR193" s="44">
        <v>25</v>
      </c>
      <c r="AS193" s="44">
        <v>25</v>
      </c>
      <c r="AT193" s="44">
        <v>25</v>
      </c>
      <c r="AU193" s="44">
        <v>25</v>
      </c>
      <c r="AV193"/>
      <c r="AW193" s="44">
        <v>25</v>
      </c>
      <c r="AX193"/>
      <c r="AY193"/>
      <c r="AZ193" s="44">
        <v>25</v>
      </c>
    </row>
    <row r="194" spans="1:60" x14ac:dyDescent="0.25">
      <c r="A194" s="7" t="s">
        <v>274</v>
      </c>
      <c r="B194" s="3" t="s">
        <v>473</v>
      </c>
      <c r="C194" s="3" t="s">
        <v>483</v>
      </c>
      <c r="D194" s="3" t="s">
        <v>537</v>
      </c>
      <c r="E194" s="8" t="s">
        <v>342</v>
      </c>
      <c r="F194" s="8" t="s">
        <v>301</v>
      </c>
      <c r="G194" s="44">
        <v>0</v>
      </c>
      <c r="H194" s="44">
        <f t="shared" si="19"/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R194" s="44">
        <v>0</v>
      </c>
      <c r="S194" s="44">
        <v>0</v>
      </c>
      <c r="T194" s="44">
        <v>0</v>
      </c>
      <c r="U194" s="44">
        <v>0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4">
        <v>0</v>
      </c>
      <c r="AF194" s="44">
        <v>0</v>
      </c>
      <c r="AG194" s="44">
        <v>0</v>
      </c>
      <c r="AH194" s="44">
        <v>0</v>
      </c>
      <c r="AI194"/>
      <c r="AJ194" s="44">
        <v>0</v>
      </c>
      <c r="AK194" s="44">
        <v>0</v>
      </c>
      <c r="AL194" s="44">
        <v>0</v>
      </c>
      <c r="AM194" s="44">
        <v>0</v>
      </c>
      <c r="AN194" s="44">
        <v>0</v>
      </c>
      <c r="AO194" s="44">
        <v>0</v>
      </c>
      <c r="AP194" s="44">
        <v>0</v>
      </c>
      <c r="AQ194"/>
      <c r="AR194" s="44">
        <v>0</v>
      </c>
      <c r="AS194" s="44">
        <v>0</v>
      </c>
      <c r="AT194" s="44">
        <v>0</v>
      </c>
      <c r="AU194" s="44">
        <v>0</v>
      </c>
      <c r="AV194"/>
      <c r="AW194" s="44">
        <v>0</v>
      </c>
      <c r="AX194"/>
      <c r="AY194"/>
      <c r="AZ194" s="44">
        <v>0</v>
      </c>
    </row>
    <row r="195" spans="1:60" x14ac:dyDescent="0.25">
      <c r="A195" s="7" t="s">
        <v>275</v>
      </c>
      <c r="B195" s="3" t="s">
        <v>473</v>
      </c>
      <c r="C195" s="3" t="s">
        <v>483</v>
      </c>
      <c r="D195" s="3" t="s">
        <v>537</v>
      </c>
      <c r="E195" s="8" t="s">
        <v>343</v>
      </c>
      <c r="F195" s="8" t="s">
        <v>100</v>
      </c>
      <c r="G195" s="44">
        <v>3.98</v>
      </c>
      <c r="H195" s="44">
        <f t="shared" si="19"/>
        <v>3.98</v>
      </c>
      <c r="I195" s="44">
        <v>3.98</v>
      </c>
      <c r="J195" s="44">
        <v>3.98</v>
      </c>
      <c r="K195" s="44">
        <v>3.98</v>
      </c>
      <c r="L195" s="44">
        <v>3.98</v>
      </c>
      <c r="M195" s="44">
        <v>3.98</v>
      </c>
      <c r="N195" s="44">
        <v>3.98</v>
      </c>
      <c r="O195" s="44">
        <v>3.98</v>
      </c>
      <c r="P195" s="44">
        <v>3.98</v>
      </c>
      <c r="R195" s="44">
        <v>3.98</v>
      </c>
      <c r="S195" s="44">
        <v>3.98</v>
      </c>
      <c r="T195" s="44">
        <v>3.98</v>
      </c>
      <c r="U195" s="44">
        <v>3.98</v>
      </c>
      <c r="X195" s="44">
        <v>3.98</v>
      </c>
      <c r="Y195" s="44">
        <v>3.98</v>
      </c>
      <c r="Z195" s="44">
        <v>3.98</v>
      </c>
      <c r="AA195" s="44">
        <v>3.98</v>
      </c>
      <c r="AB195" s="44">
        <v>3.98</v>
      </c>
      <c r="AC195" s="44">
        <v>3.98</v>
      </c>
      <c r="AD195" s="44">
        <v>3.98</v>
      </c>
      <c r="AE195" s="44">
        <v>3.98</v>
      </c>
      <c r="AF195" s="44">
        <v>3.98</v>
      </c>
      <c r="AG195" s="44">
        <v>3.98</v>
      </c>
      <c r="AH195" s="44">
        <v>3.98</v>
      </c>
      <c r="AI195"/>
      <c r="AJ195" s="44">
        <v>3.98</v>
      </c>
      <c r="AK195" s="44">
        <v>3.98</v>
      </c>
      <c r="AL195" s="44">
        <v>3.98</v>
      </c>
      <c r="AM195" s="44">
        <v>3.98</v>
      </c>
      <c r="AN195" s="44">
        <v>3.98</v>
      </c>
      <c r="AO195" s="44">
        <v>3.98</v>
      </c>
      <c r="AP195" s="44">
        <v>3.98</v>
      </c>
      <c r="AQ195"/>
      <c r="AR195" s="44">
        <v>3.98</v>
      </c>
      <c r="AS195" s="44">
        <v>3.98</v>
      </c>
      <c r="AT195" s="44">
        <v>3.98</v>
      </c>
      <c r="AU195" s="44">
        <v>3.98</v>
      </c>
      <c r="AV195"/>
      <c r="AW195" s="44">
        <v>3.98</v>
      </c>
      <c r="AX195"/>
      <c r="AY195"/>
      <c r="AZ195" s="44">
        <v>3.98</v>
      </c>
    </row>
    <row r="196" spans="1:60" x14ac:dyDescent="0.25">
      <c r="A196" s="7" t="s">
        <v>276</v>
      </c>
      <c r="B196" s="3" t="s">
        <v>473</v>
      </c>
      <c r="C196" s="3" t="s">
        <v>483</v>
      </c>
      <c r="D196" s="3" t="s">
        <v>537</v>
      </c>
      <c r="E196" s="8" t="s">
        <v>344</v>
      </c>
      <c r="F196" s="8" t="s">
        <v>95</v>
      </c>
      <c r="G196" s="44">
        <v>1</v>
      </c>
      <c r="H196" s="44">
        <f t="shared" si="19"/>
        <v>1</v>
      </c>
      <c r="I196" s="44">
        <v>1</v>
      </c>
      <c r="J196" s="44">
        <v>1</v>
      </c>
      <c r="K196" s="44">
        <v>1</v>
      </c>
      <c r="L196" s="44">
        <v>1</v>
      </c>
      <c r="M196" s="44">
        <v>1</v>
      </c>
      <c r="N196" s="44">
        <v>1</v>
      </c>
      <c r="O196" s="44">
        <v>1</v>
      </c>
      <c r="P196" s="44">
        <v>1</v>
      </c>
      <c r="R196" s="44">
        <v>1</v>
      </c>
      <c r="S196" s="44">
        <v>1</v>
      </c>
      <c r="T196" s="44">
        <v>1</v>
      </c>
      <c r="U196" s="44">
        <v>1</v>
      </c>
      <c r="X196" s="44">
        <v>1</v>
      </c>
      <c r="Y196" s="44">
        <v>1</v>
      </c>
      <c r="Z196" s="44">
        <v>1</v>
      </c>
      <c r="AA196" s="44">
        <v>1</v>
      </c>
      <c r="AB196" s="44">
        <v>1</v>
      </c>
      <c r="AC196" s="44">
        <v>1</v>
      </c>
      <c r="AD196" s="44">
        <v>1</v>
      </c>
      <c r="AE196" s="44">
        <v>1</v>
      </c>
      <c r="AF196" s="44">
        <v>1</v>
      </c>
      <c r="AG196" s="44">
        <v>1</v>
      </c>
      <c r="AH196" s="44">
        <v>1</v>
      </c>
      <c r="AI196"/>
      <c r="AJ196" s="44">
        <v>1</v>
      </c>
      <c r="AK196" s="44">
        <v>1</v>
      </c>
      <c r="AL196" s="44">
        <v>1</v>
      </c>
      <c r="AM196" s="44">
        <v>1</v>
      </c>
      <c r="AN196" s="44">
        <v>1</v>
      </c>
      <c r="AO196" s="44">
        <v>1</v>
      </c>
      <c r="AP196" s="44">
        <v>1</v>
      </c>
      <c r="AQ196"/>
      <c r="AR196" s="44">
        <v>1</v>
      </c>
      <c r="AS196" s="44">
        <v>1</v>
      </c>
      <c r="AT196" s="44">
        <v>1</v>
      </c>
      <c r="AU196" s="44">
        <v>1</v>
      </c>
      <c r="AV196"/>
      <c r="AW196" s="44">
        <v>1</v>
      </c>
      <c r="AX196"/>
      <c r="AY196"/>
      <c r="AZ196" s="44">
        <v>1</v>
      </c>
    </row>
    <row r="197" spans="1:60" x14ac:dyDescent="0.25">
      <c r="A197" s="7" t="s">
        <v>277</v>
      </c>
      <c r="B197" s="3" t="s">
        <v>473</v>
      </c>
      <c r="C197" s="3" t="s">
        <v>483</v>
      </c>
      <c r="D197" s="3" t="s">
        <v>537</v>
      </c>
      <c r="E197" s="8" t="s">
        <v>358</v>
      </c>
      <c r="F197" s="8" t="s">
        <v>198</v>
      </c>
      <c r="G197" s="44">
        <v>8.3333333333333331E-5</v>
      </c>
      <c r="H197" s="44">
        <f t="shared" si="19"/>
        <v>8.3333333333333331E-5</v>
      </c>
      <c r="I197" s="44">
        <v>8.3333333333333331E-5</v>
      </c>
      <c r="J197" s="44">
        <v>8.3333333333333331E-5</v>
      </c>
      <c r="K197" s="44">
        <v>8.3333333333333331E-5</v>
      </c>
      <c r="L197" s="44">
        <v>8.3333333333333331E-5</v>
      </c>
      <c r="M197" s="44">
        <v>8.3333333333333331E-5</v>
      </c>
      <c r="N197" s="44">
        <v>8.3333333333333331E-5</v>
      </c>
      <c r="O197" s="44">
        <v>8.3333333333333331E-5</v>
      </c>
      <c r="P197" s="44">
        <v>8.3333333333333331E-5</v>
      </c>
      <c r="R197" s="44">
        <v>8.3333333333333331E-5</v>
      </c>
      <c r="S197" s="44">
        <v>8.3333333333333331E-5</v>
      </c>
      <c r="T197" s="44">
        <v>8.3333333333333331E-5</v>
      </c>
      <c r="U197" s="44">
        <v>8.3333333333333331E-5</v>
      </c>
      <c r="X197" s="44">
        <v>8.3333333333333331E-5</v>
      </c>
      <c r="Y197" s="44">
        <v>8.3333333333333331E-5</v>
      </c>
      <c r="Z197" s="44">
        <v>8.3333333333333331E-5</v>
      </c>
      <c r="AA197" s="44">
        <v>8.3333333333333331E-5</v>
      </c>
      <c r="AB197" s="44">
        <v>8.3333333333333331E-5</v>
      </c>
      <c r="AC197" s="44">
        <v>8.3333333333333331E-5</v>
      </c>
      <c r="AD197" s="44">
        <v>8.3333333333333331E-5</v>
      </c>
      <c r="AE197" s="44">
        <v>8.3333333333333331E-5</v>
      </c>
      <c r="AF197" s="44">
        <v>8.3333333333333331E-5</v>
      </c>
      <c r="AG197" s="44">
        <v>8.3333333333333331E-5</v>
      </c>
      <c r="AH197" s="44">
        <v>8.3333333333333331E-5</v>
      </c>
      <c r="AI197"/>
      <c r="AJ197" s="44">
        <v>8.3333333333333331E-5</v>
      </c>
      <c r="AK197" s="44">
        <v>8.3333333333333331E-5</v>
      </c>
      <c r="AL197" s="44">
        <v>8.3333333333333331E-5</v>
      </c>
      <c r="AM197" s="44">
        <v>8.3333333333333331E-5</v>
      </c>
      <c r="AN197" s="44">
        <v>8.3333333333333331E-5</v>
      </c>
      <c r="AO197" s="44">
        <v>8.3333333333333331E-5</v>
      </c>
      <c r="AP197" s="44">
        <v>8.3333333333333331E-5</v>
      </c>
      <c r="AQ197"/>
      <c r="AR197" s="44">
        <v>8.3333333333333331E-5</v>
      </c>
      <c r="AS197" s="44">
        <v>8.3333333333333331E-5</v>
      </c>
      <c r="AT197" s="44">
        <v>8.3333333333333331E-5</v>
      </c>
      <c r="AU197" s="44">
        <v>8.3333333333333331E-5</v>
      </c>
      <c r="AV197"/>
      <c r="AW197" s="44">
        <v>8.3333333333333331E-5</v>
      </c>
      <c r="AX197"/>
      <c r="AY197"/>
      <c r="AZ197" s="44">
        <v>8.3333333333333331E-5</v>
      </c>
    </row>
    <row r="198" spans="1:60" x14ac:dyDescent="0.25">
      <c r="A198" s="29" t="s">
        <v>278</v>
      </c>
      <c r="B198" s="3" t="s">
        <v>473</v>
      </c>
      <c r="C198" s="3" t="s">
        <v>483</v>
      </c>
      <c r="D198" s="3" t="s">
        <v>537</v>
      </c>
      <c r="E198" s="30" t="s">
        <v>356</v>
      </c>
      <c r="F198" s="30" t="s">
        <v>357</v>
      </c>
      <c r="G198" s="44">
        <v>3.205E-9</v>
      </c>
      <c r="H198" s="44">
        <f t="shared" ref="H198:H204" si="20">G198</f>
        <v>3.205E-9</v>
      </c>
      <c r="I198" s="44">
        <v>1.9999999999999999E-7</v>
      </c>
      <c r="J198" s="44">
        <v>1.9999999999999999E-7</v>
      </c>
      <c r="K198" s="44">
        <v>1.9999999999999999E-7</v>
      </c>
      <c r="L198" s="44">
        <v>1.9999999999999999E-7</v>
      </c>
      <c r="M198" s="44">
        <v>1.9999999999999999E-7</v>
      </c>
      <c r="N198" s="44">
        <v>1.9999999999999999E-7</v>
      </c>
      <c r="O198" s="44">
        <v>1.9999999999999999E-7</v>
      </c>
      <c r="P198" s="44">
        <v>1.9999999999999999E-7</v>
      </c>
      <c r="R198" s="44">
        <v>1.9999999999999999E-7</v>
      </c>
      <c r="S198" s="44">
        <v>1.9999999999999999E-7</v>
      </c>
      <c r="T198" s="44">
        <v>1.9999999999999999E-7</v>
      </c>
      <c r="U198" s="44">
        <v>1.9999999999999999E-7</v>
      </c>
      <c r="X198" s="44">
        <v>1.9999999999999999E-7</v>
      </c>
      <c r="Y198" s="44">
        <v>1.9999999999999999E-7</v>
      </c>
      <c r="Z198" s="44">
        <v>1.9999999999999999E-7</v>
      </c>
      <c r="AA198" s="44">
        <v>1.9999999999999999E-7</v>
      </c>
      <c r="AB198" s="44">
        <v>1.9999999999999999E-7</v>
      </c>
      <c r="AC198" s="44">
        <v>1.9999999999999999E-7</v>
      </c>
      <c r="AD198" s="44">
        <v>1.9999999999999999E-7</v>
      </c>
      <c r="AE198" s="44">
        <v>1.9999999999999999E-7</v>
      </c>
      <c r="AF198" s="44">
        <v>1.9999999999999999E-7</v>
      </c>
      <c r="AG198" s="44">
        <v>1.9999999999999999E-7</v>
      </c>
      <c r="AH198" s="44">
        <v>1.9999999999999999E-7</v>
      </c>
      <c r="AI198"/>
      <c r="AJ198" s="44">
        <v>1.9999999999999999E-7</v>
      </c>
      <c r="AK198" s="44">
        <v>1.9999999999999999E-7</v>
      </c>
      <c r="AL198" s="44">
        <v>1.9999999999999999E-7</v>
      </c>
      <c r="AM198" s="44">
        <v>1.9999999999999999E-7</v>
      </c>
      <c r="AN198" s="44">
        <v>1.9999999999999999E-7</v>
      </c>
      <c r="AO198" s="44">
        <v>1.9999999999999999E-7</v>
      </c>
      <c r="AP198" s="44">
        <v>1.9999999999999999E-7</v>
      </c>
      <c r="AQ198"/>
      <c r="AR198" s="44">
        <v>1.9999999999999999E-7</v>
      </c>
      <c r="AS198" s="44">
        <v>1.9999999999999999E-7</v>
      </c>
      <c r="AT198" s="44">
        <v>1.9999999999999999E-7</v>
      </c>
      <c r="AU198" s="44">
        <v>1.9999999999999999E-7</v>
      </c>
      <c r="AV198"/>
      <c r="AW198" s="44">
        <v>1.9999999999999999E-7</v>
      </c>
      <c r="AX198"/>
      <c r="AY198"/>
      <c r="AZ198" s="44">
        <v>1.9999999999999999E-7</v>
      </c>
    </row>
    <row r="199" spans="1:60" x14ac:dyDescent="0.25">
      <c r="A199" s="29" t="s">
        <v>279</v>
      </c>
      <c r="B199" s="3" t="s">
        <v>473</v>
      </c>
      <c r="C199" s="3" t="s">
        <v>483</v>
      </c>
      <c r="D199" s="3" t="s">
        <v>537</v>
      </c>
      <c r="E199" s="30" t="s">
        <v>345</v>
      </c>
      <c r="F199" s="30" t="s">
        <v>109</v>
      </c>
      <c r="G199" s="44">
        <v>25</v>
      </c>
      <c r="H199" s="44">
        <f t="shared" si="20"/>
        <v>25</v>
      </c>
      <c r="I199" s="44">
        <v>25</v>
      </c>
      <c r="J199" s="44">
        <v>25</v>
      </c>
      <c r="K199" s="44">
        <v>25</v>
      </c>
      <c r="L199" s="44">
        <v>25</v>
      </c>
      <c r="M199" s="44">
        <v>25</v>
      </c>
      <c r="N199" s="44">
        <v>25</v>
      </c>
      <c r="O199" s="44">
        <v>25</v>
      </c>
      <c r="P199" s="44">
        <v>25</v>
      </c>
      <c r="R199" s="44">
        <v>25</v>
      </c>
      <c r="S199" s="44">
        <v>25</v>
      </c>
      <c r="T199" s="44">
        <v>25</v>
      </c>
      <c r="U199" s="44">
        <v>25</v>
      </c>
      <c r="X199" s="44">
        <v>25</v>
      </c>
      <c r="Y199" s="44">
        <v>25</v>
      </c>
      <c r="Z199" s="44">
        <v>25</v>
      </c>
      <c r="AA199" s="44">
        <v>25</v>
      </c>
      <c r="AB199" s="44">
        <v>25</v>
      </c>
      <c r="AC199" s="44">
        <v>25</v>
      </c>
      <c r="AD199" s="44">
        <v>25</v>
      </c>
      <c r="AE199" s="44">
        <v>25</v>
      </c>
      <c r="AF199" s="44">
        <v>25</v>
      </c>
      <c r="AG199" s="44">
        <v>25</v>
      </c>
      <c r="AH199" s="44">
        <v>25</v>
      </c>
      <c r="AI199"/>
      <c r="AJ199" s="44">
        <v>25</v>
      </c>
      <c r="AK199" s="44">
        <v>25</v>
      </c>
      <c r="AL199" s="44">
        <v>25</v>
      </c>
      <c r="AM199" s="44">
        <v>25</v>
      </c>
      <c r="AN199" s="44">
        <v>25</v>
      </c>
      <c r="AO199" s="44">
        <v>25</v>
      </c>
      <c r="AP199" s="44">
        <v>25</v>
      </c>
      <c r="AQ199"/>
      <c r="AR199" s="44">
        <v>25</v>
      </c>
      <c r="AS199" s="44">
        <v>25</v>
      </c>
      <c r="AT199" s="44">
        <v>25</v>
      </c>
      <c r="AU199" s="44">
        <v>25</v>
      </c>
      <c r="AV199"/>
      <c r="AW199" s="44">
        <v>25</v>
      </c>
      <c r="AX199"/>
      <c r="AY199"/>
      <c r="AZ199" s="44">
        <v>25</v>
      </c>
    </row>
    <row r="200" spans="1:60" x14ac:dyDescent="0.25">
      <c r="A200" s="29" t="s">
        <v>280</v>
      </c>
      <c r="B200" s="3" t="s">
        <v>473</v>
      </c>
      <c r="C200" s="3" t="s">
        <v>483</v>
      </c>
      <c r="D200" s="3" t="s">
        <v>537</v>
      </c>
      <c r="E200" s="30" t="s">
        <v>346</v>
      </c>
      <c r="F200" s="30" t="s">
        <v>301</v>
      </c>
      <c r="G200" s="44">
        <v>0</v>
      </c>
      <c r="H200" s="44">
        <f t="shared" si="20"/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R200" s="44">
        <v>0</v>
      </c>
      <c r="S200" s="44">
        <v>0</v>
      </c>
      <c r="T200" s="44">
        <v>0</v>
      </c>
      <c r="U200" s="44">
        <v>0</v>
      </c>
      <c r="X200" s="44">
        <v>0</v>
      </c>
      <c r="Y200" s="44">
        <v>0</v>
      </c>
      <c r="Z200" s="44">
        <v>0</v>
      </c>
      <c r="AA200" s="44">
        <v>0</v>
      </c>
      <c r="AB200" s="44">
        <v>0</v>
      </c>
      <c r="AC200" s="44">
        <v>0</v>
      </c>
      <c r="AD200" s="44">
        <v>0</v>
      </c>
      <c r="AE200" s="44">
        <v>0</v>
      </c>
      <c r="AF200" s="44">
        <v>0</v>
      </c>
      <c r="AG200" s="44">
        <v>0</v>
      </c>
      <c r="AH200" s="44">
        <v>0</v>
      </c>
      <c r="AI200"/>
      <c r="AJ200" s="44">
        <v>0</v>
      </c>
      <c r="AK200" s="44">
        <v>0</v>
      </c>
      <c r="AL200" s="44">
        <v>0</v>
      </c>
      <c r="AM200" s="44">
        <v>0</v>
      </c>
      <c r="AN200" s="44">
        <v>0</v>
      </c>
      <c r="AO200" s="44">
        <v>0</v>
      </c>
      <c r="AP200" s="44">
        <v>0</v>
      </c>
      <c r="AQ200"/>
      <c r="AR200" s="44">
        <v>0</v>
      </c>
      <c r="AS200" s="44">
        <v>0</v>
      </c>
      <c r="AT200" s="44">
        <v>0</v>
      </c>
      <c r="AU200" s="44">
        <v>0</v>
      </c>
      <c r="AV200"/>
      <c r="AW200" s="44">
        <v>0</v>
      </c>
      <c r="AX200"/>
      <c r="AY200"/>
      <c r="AZ200" s="44">
        <v>0</v>
      </c>
    </row>
    <row r="201" spans="1:60" x14ac:dyDescent="0.25">
      <c r="A201" s="29" t="s">
        <v>281</v>
      </c>
      <c r="B201" s="3" t="s">
        <v>473</v>
      </c>
      <c r="C201" s="3" t="s">
        <v>483</v>
      </c>
      <c r="D201" s="3" t="s">
        <v>537</v>
      </c>
      <c r="E201" s="30" t="s">
        <v>347</v>
      </c>
      <c r="F201" s="30" t="s">
        <v>100</v>
      </c>
      <c r="G201" s="44">
        <v>3.98</v>
      </c>
      <c r="H201" s="44">
        <f t="shared" si="20"/>
        <v>3.98</v>
      </c>
      <c r="I201" s="44">
        <v>3.98</v>
      </c>
      <c r="J201" s="44">
        <v>3.98</v>
      </c>
      <c r="K201" s="44">
        <v>3.98</v>
      </c>
      <c r="L201" s="44">
        <v>3.98</v>
      </c>
      <c r="M201" s="44">
        <v>3.98</v>
      </c>
      <c r="N201" s="44">
        <v>3.98</v>
      </c>
      <c r="O201" s="44">
        <v>3.98</v>
      </c>
      <c r="P201" s="44">
        <v>3.98</v>
      </c>
      <c r="R201" s="44">
        <v>3.98</v>
      </c>
      <c r="S201" s="44">
        <v>3.98</v>
      </c>
      <c r="T201" s="44">
        <v>3.98</v>
      </c>
      <c r="U201" s="44">
        <v>3.98</v>
      </c>
      <c r="X201" s="44">
        <v>3.98</v>
      </c>
      <c r="Y201" s="44">
        <v>3.98</v>
      </c>
      <c r="Z201" s="44">
        <v>3.98</v>
      </c>
      <c r="AA201" s="44">
        <v>3.98</v>
      </c>
      <c r="AB201" s="44">
        <v>3.98</v>
      </c>
      <c r="AC201" s="44">
        <v>3.98</v>
      </c>
      <c r="AD201" s="44">
        <v>3.98</v>
      </c>
      <c r="AE201" s="44">
        <v>3.98</v>
      </c>
      <c r="AF201" s="44">
        <v>3.98</v>
      </c>
      <c r="AG201" s="44">
        <v>3.98</v>
      </c>
      <c r="AH201" s="44">
        <v>3.98</v>
      </c>
      <c r="AI201"/>
      <c r="AJ201" s="44">
        <v>3.98</v>
      </c>
      <c r="AK201" s="44">
        <v>3.98</v>
      </c>
      <c r="AL201" s="44">
        <v>3.98</v>
      </c>
      <c r="AM201" s="44">
        <v>3.98</v>
      </c>
      <c r="AN201" s="44">
        <v>3.98</v>
      </c>
      <c r="AO201" s="44">
        <v>3.98</v>
      </c>
      <c r="AP201" s="44">
        <v>3.98</v>
      </c>
      <c r="AQ201"/>
      <c r="AR201" s="44">
        <v>3.98</v>
      </c>
      <c r="AS201" s="44">
        <v>3.98</v>
      </c>
      <c r="AT201" s="44">
        <v>3.98</v>
      </c>
      <c r="AU201" s="44">
        <v>3.98</v>
      </c>
      <c r="AV201"/>
      <c r="AW201" s="44">
        <v>3.98</v>
      </c>
      <c r="AX201"/>
      <c r="AY201"/>
      <c r="AZ201" s="44">
        <v>3.98</v>
      </c>
    </row>
    <row r="202" spans="1:60" x14ac:dyDescent="0.25">
      <c r="A202" s="29" t="s">
        <v>282</v>
      </c>
      <c r="B202" s="3" t="s">
        <v>473</v>
      </c>
      <c r="C202" s="3" t="s">
        <v>483</v>
      </c>
      <c r="D202" s="3" t="s">
        <v>537</v>
      </c>
      <c r="E202" s="30" t="s">
        <v>348</v>
      </c>
      <c r="F202" s="30" t="s">
        <v>95</v>
      </c>
      <c r="G202" s="44">
        <v>1</v>
      </c>
      <c r="H202" s="44">
        <f t="shared" si="20"/>
        <v>1</v>
      </c>
      <c r="I202" s="44">
        <v>1</v>
      </c>
      <c r="J202" s="44">
        <v>1</v>
      </c>
      <c r="K202" s="44">
        <v>1</v>
      </c>
      <c r="L202" s="44">
        <v>1</v>
      </c>
      <c r="M202" s="44">
        <v>1</v>
      </c>
      <c r="N202" s="44">
        <v>1</v>
      </c>
      <c r="O202" s="44">
        <v>1</v>
      </c>
      <c r="P202" s="44">
        <v>1</v>
      </c>
      <c r="R202" s="44">
        <v>1</v>
      </c>
      <c r="S202" s="44">
        <v>1</v>
      </c>
      <c r="T202" s="44">
        <v>1</v>
      </c>
      <c r="U202" s="44">
        <v>1</v>
      </c>
      <c r="X202" s="44">
        <v>1</v>
      </c>
      <c r="Y202" s="44">
        <v>1</v>
      </c>
      <c r="Z202" s="44">
        <v>1</v>
      </c>
      <c r="AA202" s="44">
        <v>1</v>
      </c>
      <c r="AB202" s="44">
        <v>1</v>
      </c>
      <c r="AC202" s="44">
        <v>1</v>
      </c>
      <c r="AD202" s="44">
        <v>1</v>
      </c>
      <c r="AE202" s="44">
        <v>1</v>
      </c>
      <c r="AF202" s="44">
        <v>1</v>
      </c>
      <c r="AG202" s="44">
        <v>1</v>
      </c>
      <c r="AH202" s="44">
        <v>1</v>
      </c>
      <c r="AI202"/>
      <c r="AJ202" s="44">
        <v>1</v>
      </c>
      <c r="AK202" s="44">
        <v>1</v>
      </c>
      <c r="AL202" s="44">
        <v>1</v>
      </c>
      <c r="AM202" s="44">
        <v>1</v>
      </c>
      <c r="AN202" s="44">
        <v>1</v>
      </c>
      <c r="AO202" s="44">
        <v>1</v>
      </c>
      <c r="AP202" s="44">
        <v>1</v>
      </c>
      <c r="AQ202"/>
      <c r="AR202" s="44">
        <v>1</v>
      </c>
      <c r="AS202" s="44">
        <v>1</v>
      </c>
      <c r="AT202" s="44">
        <v>1</v>
      </c>
      <c r="AU202" s="44">
        <v>1</v>
      </c>
      <c r="AV202"/>
      <c r="AW202" s="44">
        <v>1</v>
      </c>
      <c r="AX202"/>
      <c r="AY202"/>
      <c r="AZ202" s="44">
        <v>1</v>
      </c>
    </row>
    <row r="203" spans="1:60" x14ac:dyDescent="0.25">
      <c r="A203" s="29" t="s">
        <v>283</v>
      </c>
      <c r="B203" s="3" t="s">
        <v>473</v>
      </c>
      <c r="C203" s="3" t="s">
        <v>483</v>
      </c>
      <c r="D203" s="3" t="s">
        <v>537</v>
      </c>
      <c r="E203" s="30" t="s">
        <v>360</v>
      </c>
      <c r="F203" s="30" t="s">
        <v>359</v>
      </c>
      <c r="G203" s="44">
        <v>8.3333333333333331E-5</v>
      </c>
      <c r="H203" s="44">
        <f t="shared" si="20"/>
        <v>8.3333333333333331E-5</v>
      </c>
      <c r="I203" s="44">
        <v>8.3333333333333331E-5</v>
      </c>
      <c r="J203" s="44">
        <v>8.3333333333333331E-5</v>
      </c>
      <c r="K203" s="44">
        <v>8.3333333333333331E-5</v>
      </c>
      <c r="L203" s="44">
        <v>8.3333333333333331E-5</v>
      </c>
      <c r="M203" s="44">
        <v>8.3333333333333331E-5</v>
      </c>
      <c r="N203" s="44">
        <v>8.3333333333333331E-5</v>
      </c>
      <c r="O203" s="44">
        <v>8.3333333333333331E-5</v>
      </c>
      <c r="P203" s="44">
        <v>8.3333333333333331E-5</v>
      </c>
      <c r="R203" s="44">
        <v>8.3333333333333331E-5</v>
      </c>
      <c r="S203" s="44">
        <v>8.3333333333333331E-5</v>
      </c>
      <c r="T203" s="44">
        <v>8.3333333333333331E-5</v>
      </c>
      <c r="U203" s="44">
        <v>8.3333333333333331E-5</v>
      </c>
      <c r="X203" s="44">
        <v>8.3333333333333331E-5</v>
      </c>
      <c r="Y203" s="44">
        <v>8.3333333333333331E-5</v>
      </c>
      <c r="Z203" s="44">
        <v>8.3333333333333331E-5</v>
      </c>
      <c r="AA203" s="44">
        <v>8.3333333333333331E-5</v>
      </c>
      <c r="AB203" s="44">
        <v>8.3333333333333331E-5</v>
      </c>
      <c r="AC203" s="44">
        <v>8.3333333333333331E-5</v>
      </c>
      <c r="AD203" s="44">
        <v>8.3333333333333331E-5</v>
      </c>
      <c r="AE203" s="44">
        <v>8.3333333333333331E-5</v>
      </c>
      <c r="AF203" s="44">
        <v>8.3333333333333331E-5</v>
      </c>
      <c r="AG203" s="44">
        <v>8.3333333333333331E-5</v>
      </c>
      <c r="AH203" s="44">
        <v>8.3333333333333331E-5</v>
      </c>
      <c r="AI203"/>
      <c r="AJ203" s="44">
        <v>8.3333333333333331E-5</v>
      </c>
      <c r="AK203" s="44">
        <v>8.3333333333333331E-5</v>
      </c>
      <c r="AL203" s="44">
        <v>8.3333333333333331E-5</v>
      </c>
      <c r="AM203" s="44">
        <v>8.3333333333333331E-5</v>
      </c>
      <c r="AN203" s="44">
        <v>8.3333333333333331E-5</v>
      </c>
      <c r="AO203" s="44">
        <v>8.3333333333333331E-5</v>
      </c>
      <c r="AP203" s="44">
        <v>8.3333333333333331E-5</v>
      </c>
      <c r="AQ203"/>
      <c r="AR203" s="44">
        <v>8.3333333333333331E-5</v>
      </c>
      <c r="AS203" s="44">
        <v>8.3333333333333331E-5</v>
      </c>
      <c r="AT203" s="44">
        <v>8.3333333333333331E-5</v>
      </c>
      <c r="AU203" s="44">
        <v>8.3333333333333331E-5</v>
      </c>
      <c r="AV203"/>
      <c r="AW203" s="44">
        <v>8.3333333333333331E-5</v>
      </c>
      <c r="AX203"/>
      <c r="AY203"/>
      <c r="AZ203" s="44">
        <v>8.3333333333333331E-5</v>
      </c>
    </row>
    <row r="204" spans="1:60" x14ac:dyDescent="0.25">
      <c r="A204" s="47" t="s">
        <v>361</v>
      </c>
      <c r="B204" s="48" t="s">
        <v>473</v>
      </c>
      <c r="C204" s="48" t="s">
        <v>483</v>
      </c>
      <c r="D204" s="3" t="s">
        <v>537</v>
      </c>
      <c r="E204" s="49" t="s">
        <v>203</v>
      </c>
      <c r="F204" s="49" t="s">
        <v>91</v>
      </c>
      <c r="G204" s="44" t="s">
        <v>89</v>
      </c>
      <c r="H204" s="44" t="str">
        <f t="shared" si="20"/>
        <v>WHEAT</v>
      </c>
      <c r="I204" s="44" t="s">
        <v>89</v>
      </c>
      <c r="J204" s="44" t="s">
        <v>89</v>
      </c>
      <c r="K204" s="44" t="s">
        <v>89</v>
      </c>
      <c r="L204" s="44" t="s">
        <v>89</v>
      </c>
      <c r="M204" s="44" t="s">
        <v>89</v>
      </c>
      <c r="N204" s="44" t="s">
        <v>89</v>
      </c>
      <c r="O204" s="44" t="s">
        <v>89</v>
      </c>
      <c r="P204" s="44" t="s">
        <v>89</v>
      </c>
      <c r="R204" s="44" t="s">
        <v>89</v>
      </c>
      <c r="S204" s="44" t="s">
        <v>89</v>
      </c>
      <c r="T204" s="44" t="s">
        <v>89</v>
      </c>
      <c r="U204" s="44" t="s">
        <v>89</v>
      </c>
      <c r="X204" s="44" t="s">
        <v>89</v>
      </c>
      <c r="Y204" s="44" t="s">
        <v>89</v>
      </c>
      <c r="Z204" s="44" t="s">
        <v>89</v>
      </c>
      <c r="AA204" s="44" t="s">
        <v>89</v>
      </c>
      <c r="AB204" s="44" t="s">
        <v>89</v>
      </c>
      <c r="AC204" s="44" t="s">
        <v>89</v>
      </c>
      <c r="AD204" s="44" t="s">
        <v>89</v>
      </c>
      <c r="AE204" s="44" t="s">
        <v>89</v>
      </c>
      <c r="AF204" s="44" t="s">
        <v>89</v>
      </c>
      <c r="AG204" s="44" t="s">
        <v>89</v>
      </c>
      <c r="AH204" s="44" t="s">
        <v>89</v>
      </c>
      <c r="AI204"/>
      <c r="AJ204" s="44" t="s">
        <v>89</v>
      </c>
      <c r="AK204" s="44" t="s">
        <v>89</v>
      </c>
      <c r="AL204" s="44" t="s">
        <v>89</v>
      </c>
      <c r="AM204" s="44" t="s">
        <v>89</v>
      </c>
      <c r="AN204" s="44" t="s">
        <v>89</v>
      </c>
      <c r="AO204" s="44" t="s">
        <v>89</v>
      </c>
      <c r="AP204" s="44" t="s">
        <v>89</v>
      </c>
      <c r="AQ204"/>
      <c r="AR204" s="44" t="s">
        <v>89</v>
      </c>
      <c r="AS204" s="44" t="s">
        <v>89</v>
      </c>
      <c r="AT204" s="44" t="s">
        <v>89</v>
      </c>
      <c r="AU204" s="44" t="s">
        <v>89</v>
      </c>
      <c r="AV204"/>
      <c r="AW204" s="44" t="s">
        <v>89</v>
      </c>
      <c r="AX204"/>
      <c r="AY204"/>
      <c r="AZ204" s="44" t="s">
        <v>89</v>
      </c>
    </row>
    <row r="205" spans="1:60" x14ac:dyDescent="0.25">
      <c r="A205" s="2" t="s">
        <v>550</v>
      </c>
      <c r="B205" s="3" t="s">
        <v>473</v>
      </c>
      <c r="C205" s="3" t="s">
        <v>483</v>
      </c>
      <c r="D205" s="3" t="s">
        <v>537</v>
      </c>
      <c r="E205" s="30" t="s">
        <v>553</v>
      </c>
      <c r="F205" s="30" t="s">
        <v>552</v>
      </c>
      <c r="G205" s="44">
        <f>0.00002</f>
        <v>2.0000000000000002E-5</v>
      </c>
      <c r="H205" s="44">
        <f t="shared" ref="H205:AZ205" si="21">0.00002</f>
        <v>2.0000000000000002E-5</v>
      </c>
      <c r="I205" s="44">
        <f t="shared" si="21"/>
        <v>2.0000000000000002E-5</v>
      </c>
      <c r="J205" s="44">
        <f t="shared" si="21"/>
        <v>2.0000000000000002E-5</v>
      </c>
      <c r="K205" s="44">
        <f t="shared" si="21"/>
        <v>2.0000000000000002E-5</v>
      </c>
      <c r="L205" s="44">
        <f t="shared" si="21"/>
        <v>2.0000000000000002E-5</v>
      </c>
      <c r="M205" s="44">
        <f t="shared" si="21"/>
        <v>2.0000000000000002E-5</v>
      </c>
      <c r="N205" s="44">
        <f t="shared" si="21"/>
        <v>2.0000000000000002E-5</v>
      </c>
      <c r="O205" s="44">
        <f t="shared" si="21"/>
        <v>2.0000000000000002E-5</v>
      </c>
      <c r="P205" s="44">
        <f t="shared" si="21"/>
        <v>2.0000000000000002E-5</v>
      </c>
      <c r="R205" s="44">
        <f t="shared" si="21"/>
        <v>2.0000000000000002E-5</v>
      </c>
      <c r="S205" s="44">
        <f t="shared" si="21"/>
        <v>2.0000000000000002E-5</v>
      </c>
      <c r="T205" s="44">
        <f t="shared" si="21"/>
        <v>2.0000000000000002E-5</v>
      </c>
      <c r="U205" s="44">
        <f t="shared" si="21"/>
        <v>2.0000000000000002E-5</v>
      </c>
      <c r="X205" s="44">
        <f t="shared" si="21"/>
        <v>2.0000000000000002E-5</v>
      </c>
      <c r="Y205" s="44">
        <f t="shared" si="21"/>
        <v>2.0000000000000002E-5</v>
      </c>
      <c r="Z205" s="44">
        <f t="shared" si="21"/>
        <v>2.0000000000000002E-5</v>
      </c>
      <c r="AA205" s="44">
        <f t="shared" si="21"/>
        <v>2.0000000000000002E-5</v>
      </c>
      <c r="AB205" s="44">
        <f t="shared" si="21"/>
        <v>2.0000000000000002E-5</v>
      </c>
      <c r="AC205" s="44">
        <f t="shared" si="21"/>
        <v>2.0000000000000002E-5</v>
      </c>
      <c r="AD205" s="44">
        <f t="shared" si="21"/>
        <v>2.0000000000000002E-5</v>
      </c>
      <c r="AE205" s="44">
        <f t="shared" si="21"/>
        <v>2.0000000000000002E-5</v>
      </c>
      <c r="AF205" s="44">
        <f t="shared" si="21"/>
        <v>2.0000000000000002E-5</v>
      </c>
      <c r="AG205" s="44">
        <f t="shared" si="21"/>
        <v>2.0000000000000002E-5</v>
      </c>
      <c r="AH205" s="44">
        <f t="shared" si="21"/>
        <v>2.0000000000000002E-5</v>
      </c>
      <c r="AI205"/>
      <c r="AJ205" s="44">
        <f t="shared" si="21"/>
        <v>2.0000000000000002E-5</v>
      </c>
      <c r="AK205" s="44">
        <f t="shared" si="21"/>
        <v>2.0000000000000002E-5</v>
      </c>
      <c r="AL205" s="44">
        <f t="shared" si="21"/>
        <v>2.0000000000000002E-5</v>
      </c>
      <c r="AM205" s="44">
        <f t="shared" si="21"/>
        <v>2.0000000000000002E-5</v>
      </c>
      <c r="AN205" s="44">
        <f t="shared" si="21"/>
        <v>2.0000000000000002E-5</v>
      </c>
      <c r="AO205" s="44">
        <f t="shared" si="21"/>
        <v>2.0000000000000002E-5</v>
      </c>
      <c r="AP205" s="44">
        <f t="shared" si="21"/>
        <v>2.0000000000000002E-5</v>
      </c>
      <c r="AQ205"/>
      <c r="AR205" s="44">
        <f t="shared" si="21"/>
        <v>2.0000000000000002E-5</v>
      </c>
      <c r="AS205" s="44">
        <f t="shared" si="21"/>
        <v>2.0000000000000002E-5</v>
      </c>
      <c r="AT205" s="44">
        <f t="shared" si="21"/>
        <v>2.0000000000000002E-5</v>
      </c>
      <c r="AU205" s="44">
        <f t="shared" si="21"/>
        <v>2.0000000000000002E-5</v>
      </c>
      <c r="AV205"/>
      <c r="AW205" s="44">
        <f t="shared" si="21"/>
        <v>2.0000000000000002E-5</v>
      </c>
      <c r="AX205"/>
      <c r="AY205"/>
      <c r="AZ205" s="44">
        <f t="shared" si="21"/>
        <v>2.0000000000000002E-5</v>
      </c>
      <c r="BA205" s="1"/>
      <c r="BB205" s="1"/>
      <c r="BC205" s="1"/>
      <c r="BD205" s="1"/>
      <c r="BE205" s="1"/>
      <c r="BF205" s="1"/>
      <c r="BG205" s="1"/>
      <c r="BH205" s="1"/>
    </row>
    <row r="206" spans="1:60" x14ac:dyDescent="0.25">
      <c r="A206" s="2" t="s">
        <v>549</v>
      </c>
      <c r="B206" s="3" t="s">
        <v>473</v>
      </c>
      <c r="C206" s="3" t="s">
        <v>483</v>
      </c>
      <c r="D206" s="3" t="s">
        <v>537</v>
      </c>
      <c r="E206" s="30" t="s">
        <v>554</v>
      </c>
      <c r="F206" s="30" t="s">
        <v>555</v>
      </c>
      <c r="G206" s="44">
        <v>0.3</v>
      </c>
      <c r="H206" s="44">
        <v>0.3</v>
      </c>
      <c r="I206" s="44">
        <v>0.3</v>
      </c>
      <c r="J206" s="44">
        <v>0.3</v>
      </c>
      <c r="K206" s="44">
        <v>0.3</v>
      </c>
      <c r="L206" s="44">
        <v>0.3</v>
      </c>
      <c r="M206" s="44">
        <v>0.3</v>
      </c>
      <c r="N206" s="44">
        <v>0.3</v>
      </c>
      <c r="O206" s="44">
        <v>0.3</v>
      </c>
      <c r="P206" s="44">
        <v>0.3</v>
      </c>
      <c r="R206" s="44">
        <v>0.3</v>
      </c>
      <c r="S206" s="44">
        <v>0.3</v>
      </c>
      <c r="T206" s="44">
        <v>0.3</v>
      </c>
      <c r="U206" s="44">
        <v>0.3</v>
      </c>
      <c r="X206" s="44">
        <v>0.3</v>
      </c>
      <c r="Y206" s="44">
        <v>0.3</v>
      </c>
      <c r="Z206" s="44">
        <v>0.3</v>
      </c>
      <c r="AA206" s="44">
        <v>0.3</v>
      </c>
      <c r="AB206" s="44">
        <v>0.3</v>
      </c>
      <c r="AC206" s="44">
        <v>0.3</v>
      </c>
      <c r="AD206" s="44">
        <v>0.3</v>
      </c>
      <c r="AE206" s="44">
        <v>0.3</v>
      </c>
      <c r="AF206" s="44">
        <v>0.3</v>
      </c>
      <c r="AG206" s="44">
        <v>0.3</v>
      </c>
      <c r="AH206" s="44">
        <v>0.3</v>
      </c>
      <c r="AI206"/>
      <c r="AJ206" s="44">
        <v>0.3</v>
      </c>
      <c r="AK206" s="44">
        <v>0.3</v>
      </c>
      <c r="AL206" s="44">
        <v>0.3</v>
      </c>
      <c r="AM206" s="44">
        <v>0.3</v>
      </c>
      <c r="AN206" s="44">
        <v>0.15</v>
      </c>
      <c r="AO206" s="44">
        <v>0.15</v>
      </c>
      <c r="AP206" s="44">
        <v>0.15</v>
      </c>
      <c r="AQ206"/>
      <c r="AR206" s="44">
        <v>0.15</v>
      </c>
      <c r="AS206" s="44">
        <v>0.15</v>
      </c>
      <c r="AT206" s="44">
        <v>0.15</v>
      </c>
      <c r="AU206" s="44">
        <v>0.15</v>
      </c>
      <c r="AV206"/>
      <c r="AW206" s="44">
        <v>0.15</v>
      </c>
      <c r="AX206"/>
      <c r="AY206"/>
      <c r="AZ206" s="44">
        <v>0.3</v>
      </c>
      <c r="BA206" s="51"/>
      <c r="BB206" s="51"/>
      <c r="BC206" s="51"/>
      <c r="BD206" s="51"/>
      <c r="BE206" s="51"/>
      <c r="BF206" s="51"/>
      <c r="BG206" s="51"/>
      <c r="BH206" s="51"/>
    </row>
    <row r="207" spans="1:60" x14ac:dyDescent="0.25">
      <c r="A207" s="2" t="s">
        <v>490</v>
      </c>
      <c r="B207" s="3" t="s">
        <v>473</v>
      </c>
      <c r="C207" s="3" t="s">
        <v>483</v>
      </c>
      <c r="D207" s="3" t="s">
        <v>537</v>
      </c>
      <c r="E207" s="30" t="s">
        <v>491</v>
      </c>
      <c r="F207" s="30" t="s">
        <v>489</v>
      </c>
      <c r="G207" s="44">
        <v>-100000</v>
      </c>
      <c r="H207" s="44">
        <f t="shared" ref="H207" si="22">H206</f>
        <v>0.3</v>
      </c>
      <c r="I207" s="44">
        <v>-100000</v>
      </c>
      <c r="J207" s="44">
        <v>-100000</v>
      </c>
      <c r="K207" s="44">
        <v>-100000</v>
      </c>
      <c r="L207" s="44">
        <v>-100000</v>
      </c>
      <c r="M207" s="44">
        <v>-100000</v>
      </c>
      <c r="N207" s="44">
        <v>-100000</v>
      </c>
      <c r="O207" s="44">
        <v>-100000</v>
      </c>
      <c r="P207" s="44">
        <v>-100000</v>
      </c>
      <c r="R207" s="44">
        <v>-100000</v>
      </c>
      <c r="S207" s="44">
        <v>-100000</v>
      </c>
      <c r="T207" s="44">
        <v>-100000</v>
      </c>
      <c r="U207" s="44">
        <v>-100000</v>
      </c>
      <c r="X207" s="44">
        <v>-100000</v>
      </c>
      <c r="Y207" s="44">
        <v>-100000</v>
      </c>
      <c r="Z207" s="44">
        <v>-100000</v>
      </c>
      <c r="AA207" s="44">
        <v>-100000</v>
      </c>
      <c r="AB207" s="44">
        <v>-100000</v>
      </c>
      <c r="AC207" s="44">
        <v>-100000</v>
      </c>
      <c r="AD207" s="44">
        <v>-100000</v>
      </c>
      <c r="AE207" s="44">
        <v>-100000</v>
      </c>
      <c r="AF207" s="44">
        <v>-100000</v>
      </c>
      <c r="AG207" s="44">
        <v>-100000</v>
      </c>
      <c r="AH207" s="44">
        <v>-100000</v>
      </c>
      <c r="AI207"/>
      <c r="AJ207" s="44">
        <v>-100000</v>
      </c>
      <c r="AK207" s="44">
        <v>-100000</v>
      </c>
      <c r="AL207" s="44">
        <v>-100000</v>
      </c>
      <c r="AM207" s="44">
        <v>-100000</v>
      </c>
      <c r="AN207" s="44">
        <v>-100000</v>
      </c>
      <c r="AO207" s="44">
        <v>-100000</v>
      </c>
      <c r="AP207" s="44">
        <v>-100000</v>
      </c>
      <c r="AQ207"/>
      <c r="AR207" s="44">
        <v>-100000</v>
      </c>
      <c r="AS207" s="44">
        <v>-100000</v>
      </c>
      <c r="AT207" s="44">
        <v>-100000</v>
      </c>
      <c r="AU207" s="44">
        <v>-100000</v>
      </c>
      <c r="AV207"/>
      <c r="AW207" s="44">
        <v>-100000</v>
      </c>
      <c r="AX207"/>
      <c r="AY207"/>
      <c r="AZ207" s="44">
        <v>-100000</v>
      </c>
      <c r="BA207" s="51"/>
      <c r="BB207" s="51"/>
      <c r="BC207" s="51"/>
      <c r="BD207" s="51"/>
      <c r="BE207" s="51"/>
      <c r="BF207" s="51"/>
      <c r="BG207" s="51"/>
      <c r="BH207" s="51"/>
    </row>
    <row r="208" spans="1:60" x14ac:dyDescent="0.25">
      <c r="A208" s="2" t="s">
        <v>551</v>
      </c>
      <c r="B208" s="3" t="s">
        <v>473</v>
      </c>
      <c r="C208" s="3" t="s">
        <v>483</v>
      </c>
      <c r="D208" s="3" t="s">
        <v>537</v>
      </c>
      <c r="E208" s="50" t="s">
        <v>492</v>
      </c>
      <c r="F208" s="50" t="s">
        <v>488</v>
      </c>
      <c r="G208" s="44">
        <f t="shared" ref="G208:AZ208" si="23">0.00002 / 14</f>
        <v>1.4285714285714286E-6</v>
      </c>
      <c r="H208" s="44">
        <f t="shared" si="23"/>
        <v>1.4285714285714286E-6</v>
      </c>
      <c r="I208" s="44">
        <f t="shared" si="23"/>
        <v>1.4285714285714286E-6</v>
      </c>
      <c r="J208" s="44">
        <f t="shared" si="23"/>
        <v>1.4285714285714286E-6</v>
      </c>
      <c r="K208" s="44">
        <f t="shared" si="23"/>
        <v>1.4285714285714286E-6</v>
      </c>
      <c r="L208" s="44">
        <f t="shared" si="23"/>
        <v>1.4285714285714286E-6</v>
      </c>
      <c r="M208" s="44">
        <f t="shared" si="23"/>
        <v>1.4285714285714286E-6</v>
      </c>
      <c r="N208" s="44">
        <f t="shared" si="23"/>
        <v>1.4285714285714286E-6</v>
      </c>
      <c r="O208" s="44">
        <f t="shared" si="23"/>
        <v>1.4285714285714286E-6</v>
      </c>
      <c r="P208" s="44">
        <f t="shared" si="23"/>
        <v>1.4285714285714286E-6</v>
      </c>
      <c r="R208" s="44">
        <f t="shared" si="23"/>
        <v>1.4285714285714286E-6</v>
      </c>
      <c r="S208" s="44">
        <f t="shared" si="23"/>
        <v>1.4285714285714286E-6</v>
      </c>
      <c r="T208" s="44">
        <v>2E-3</v>
      </c>
      <c r="U208" s="44">
        <f t="shared" si="23"/>
        <v>1.4285714285714286E-6</v>
      </c>
      <c r="X208" s="44">
        <f t="shared" si="23"/>
        <v>1.4285714285714286E-6</v>
      </c>
      <c r="Y208" s="44">
        <f t="shared" si="23"/>
        <v>1.4285714285714286E-6</v>
      </c>
      <c r="Z208" s="44">
        <f t="shared" si="23"/>
        <v>1.4285714285714286E-6</v>
      </c>
      <c r="AA208" s="44">
        <f t="shared" si="23"/>
        <v>1.4285714285714286E-6</v>
      </c>
      <c r="AB208" s="44">
        <f t="shared" si="23"/>
        <v>1.4285714285714286E-6</v>
      </c>
      <c r="AC208" s="44">
        <f t="shared" si="23"/>
        <v>1.4285714285714286E-6</v>
      </c>
      <c r="AD208" s="44">
        <f t="shared" si="23"/>
        <v>1.4285714285714286E-6</v>
      </c>
      <c r="AE208" s="44">
        <f t="shared" si="23"/>
        <v>1.4285714285714286E-6</v>
      </c>
      <c r="AF208" s="44">
        <f t="shared" si="23"/>
        <v>1.4285714285714286E-6</v>
      </c>
      <c r="AG208" s="44">
        <f t="shared" si="23"/>
        <v>1.4285714285714286E-6</v>
      </c>
      <c r="AH208" s="44">
        <f t="shared" si="23"/>
        <v>1.4285714285714286E-6</v>
      </c>
      <c r="AI208"/>
      <c r="AJ208" s="44">
        <f t="shared" si="23"/>
        <v>1.4285714285714286E-6</v>
      </c>
      <c r="AK208" s="44">
        <f t="shared" si="23"/>
        <v>1.4285714285714286E-6</v>
      </c>
      <c r="AL208" s="44">
        <f t="shared" si="23"/>
        <v>1.4285714285714286E-6</v>
      </c>
      <c r="AM208" s="44">
        <f t="shared" si="23"/>
        <v>1.4285714285714286E-6</v>
      </c>
      <c r="AN208" s="44">
        <f t="shared" si="23"/>
        <v>1.4285714285714286E-6</v>
      </c>
      <c r="AO208" s="44">
        <f t="shared" si="23"/>
        <v>1.4285714285714286E-6</v>
      </c>
      <c r="AP208" s="44">
        <f t="shared" si="23"/>
        <v>1.4285714285714286E-6</v>
      </c>
      <c r="AQ208"/>
      <c r="AR208" s="44">
        <f t="shared" si="23"/>
        <v>1.4285714285714286E-6</v>
      </c>
      <c r="AS208" s="44">
        <f t="shared" si="23"/>
        <v>1.4285714285714286E-6</v>
      </c>
      <c r="AT208" s="44">
        <f t="shared" si="23"/>
        <v>1.4285714285714286E-6</v>
      </c>
      <c r="AU208" s="44">
        <f t="shared" si="23"/>
        <v>1.4285714285714286E-6</v>
      </c>
      <c r="AV208"/>
      <c r="AW208" s="44">
        <v>2E-3</v>
      </c>
      <c r="AX208"/>
      <c r="AY208"/>
      <c r="AZ208" s="44">
        <f t="shared" si="23"/>
        <v>1.4285714285714286E-6</v>
      </c>
      <c r="BA208" s="37"/>
      <c r="BB208" s="37"/>
      <c r="BC208" s="37"/>
      <c r="BD208" s="37"/>
      <c r="BE208" s="37"/>
      <c r="BF208" s="37"/>
      <c r="BG208" s="37"/>
      <c r="BH208" s="37"/>
    </row>
    <row r="209" spans="1:75" x14ac:dyDescent="0.25">
      <c r="A209" s="2" t="s">
        <v>493</v>
      </c>
      <c r="B209" s="3" t="s">
        <v>473</v>
      </c>
      <c r="C209" s="3" t="s">
        <v>483</v>
      </c>
      <c r="D209" s="3" t="s">
        <v>537</v>
      </c>
      <c r="E209" s="50" t="s">
        <v>494</v>
      </c>
      <c r="F209" s="50" t="s">
        <v>495</v>
      </c>
      <c r="G209" s="44" t="s">
        <v>485</v>
      </c>
      <c r="H209" s="44" t="s">
        <v>485</v>
      </c>
      <c r="I209" s="44" t="s">
        <v>485</v>
      </c>
      <c r="J209" s="44" t="s">
        <v>485</v>
      </c>
      <c r="K209" s="44" t="s">
        <v>485</v>
      </c>
      <c r="L209" s="44" t="s">
        <v>485</v>
      </c>
      <c r="M209" s="44" t="s">
        <v>485</v>
      </c>
      <c r="N209" s="44" t="s">
        <v>485</v>
      </c>
      <c r="O209" s="44" t="s">
        <v>485</v>
      </c>
      <c r="P209" s="44" t="s">
        <v>485</v>
      </c>
      <c r="R209" s="44" t="s">
        <v>485</v>
      </c>
      <c r="S209" s="44" t="s">
        <v>485</v>
      </c>
      <c r="T209" s="44">
        <v>0.1</v>
      </c>
      <c r="U209" s="44" t="s">
        <v>485</v>
      </c>
      <c r="X209" s="44" t="s">
        <v>485</v>
      </c>
      <c r="Y209" s="44" t="s">
        <v>485</v>
      </c>
      <c r="Z209" s="44" t="s">
        <v>485</v>
      </c>
      <c r="AA209" s="44" t="s">
        <v>485</v>
      </c>
      <c r="AB209" s="44" t="s">
        <v>485</v>
      </c>
      <c r="AC209" s="44" t="s">
        <v>485</v>
      </c>
      <c r="AD209" s="44" t="s">
        <v>485</v>
      </c>
      <c r="AE209" s="44" t="s">
        <v>485</v>
      </c>
      <c r="AF209" s="44" t="s">
        <v>485</v>
      </c>
      <c r="AG209" s="44" t="s">
        <v>485</v>
      </c>
      <c r="AH209" s="44" t="s">
        <v>485</v>
      </c>
      <c r="AI209"/>
      <c r="AJ209" s="44" t="s">
        <v>485</v>
      </c>
      <c r="AK209" s="44" t="s">
        <v>485</v>
      </c>
      <c r="AL209" s="44" t="s">
        <v>485</v>
      </c>
      <c r="AM209" s="44" t="s">
        <v>485</v>
      </c>
      <c r="AN209" s="44" t="s">
        <v>485</v>
      </c>
      <c r="AO209" s="44" t="s">
        <v>485</v>
      </c>
      <c r="AP209" s="44" t="s">
        <v>485</v>
      </c>
      <c r="AQ209"/>
      <c r="AR209" s="44" t="s">
        <v>485</v>
      </c>
      <c r="AS209" s="44" t="s">
        <v>485</v>
      </c>
      <c r="AT209" s="44" t="s">
        <v>485</v>
      </c>
      <c r="AU209" s="44" t="s">
        <v>485</v>
      </c>
      <c r="AV209"/>
      <c r="AW209" s="44">
        <v>0.1</v>
      </c>
      <c r="AX209"/>
      <c r="AY209"/>
      <c r="AZ209" s="44" t="s">
        <v>485</v>
      </c>
      <c r="BA209" s="37"/>
      <c r="BB209" s="37"/>
      <c r="BC209" s="37"/>
      <c r="BD209" s="37"/>
      <c r="BE209" s="37"/>
      <c r="BF209" s="37"/>
      <c r="BG209" s="37"/>
      <c r="BH209" s="37"/>
    </row>
    <row r="210" spans="1:75" x14ac:dyDescent="0.25">
      <c r="A210" s="2" t="s">
        <v>496</v>
      </c>
      <c r="B210" s="3" t="s">
        <v>473</v>
      </c>
      <c r="C210" s="3" t="s">
        <v>483</v>
      </c>
      <c r="D210" s="3" t="s">
        <v>537</v>
      </c>
      <c r="E210" s="50" t="s">
        <v>497</v>
      </c>
      <c r="F210" s="50" t="s">
        <v>495</v>
      </c>
      <c r="G210" s="44">
        <v>0</v>
      </c>
      <c r="H210" s="44">
        <v>0</v>
      </c>
      <c r="I210" s="44">
        <v>0</v>
      </c>
      <c r="J210" s="44">
        <v>0</v>
      </c>
      <c r="K210" s="44">
        <v>0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R210" s="44">
        <v>0</v>
      </c>
      <c r="S210" s="44">
        <v>0</v>
      </c>
      <c r="T210" s="44">
        <v>0.04</v>
      </c>
      <c r="U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4">
        <v>0</v>
      </c>
      <c r="AH210" s="44">
        <v>0</v>
      </c>
      <c r="AI210"/>
      <c r="AJ210" s="44">
        <v>0</v>
      </c>
      <c r="AK210" s="44">
        <v>0</v>
      </c>
      <c r="AL210" s="44">
        <v>0</v>
      </c>
      <c r="AM210" s="44">
        <v>0</v>
      </c>
      <c r="AN210" s="44">
        <v>0</v>
      </c>
      <c r="AO210" s="44">
        <v>0</v>
      </c>
      <c r="AP210" s="44">
        <v>0</v>
      </c>
      <c r="AQ210"/>
      <c r="AR210" s="44">
        <v>0</v>
      </c>
      <c r="AS210" s="44">
        <v>0</v>
      </c>
      <c r="AT210" s="44">
        <v>0</v>
      </c>
      <c r="AU210" s="44">
        <v>0</v>
      </c>
      <c r="AV210"/>
      <c r="AW210" s="44">
        <v>0.04</v>
      </c>
      <c r="AX210"/>
      <c r="AY210"/>
      <c r="AZ210" s="44">
        <v>0</v>
      </c>
      <c r="BA210" s="37"/>
      <c r="BB210" s="37"/>
      <c r="BC210" s="37"/>
      <c r="BD210" s="37"/>
      <c r="BE210" s="37"/>
      <c r="BF210" s="37"/>
      <c r="BG210" s="37"/>
      <c r="BH210" s="37"/>
    </row>
    <row r="211" spans="1:75" x14ac:dyDescent="0.25">
      <c r="A211" s="2" t="s">
        <v>498</v>
      </c>
      <c r="B211" s="3" t="s">
        <v>473</v>
      </c>
      <c r="C211" s="3" t="s">
        <v>483</v>
      </c>
      <c r="D211" s="3" t="s">
        <v>537</v>
      </c>
      <c r="E211" s="50" t="s">
        <v>499</v>
      </c>
      <c r="F211" s="50" t="s">
        <v>495</v>
      </c>
      <c r="G211" s="44">
        <v>1E-3</v>
      </c>
      <c r="H211" s="44">
        <v>1E-3</v>
      </c>
      <c r="I211" s="44">
        <v>1E-3</v>
      </c>
      <c r="J211" s="44">
        <v>1E-3</v>
      </c>
      <c r="K211" s="44">
        <v>1E-3</v>
      </c>
      <c r="L211" s="44">
        <v>1E-3</v>
      </c>
      <c r="M211" s="44">
        <v>1E-3</v>
      </c>
      <c r="N211" s="44">
        <v>1E-3</v>
      </c>
      <c r="O211" s="44">
        <v>1E-3</v>
      </c>
      <c r="P211" s="44">
        <v>1E-3</v>
      </c>
      <c r="R211" s="44">
        <v>1E-3</v>
      </c>
      <c r="S211" s="44">
        <v>1E-3</v>
      </c>
      <c r="T211" s="44">
        <v>1E-3</v>
      </c>
      <c r="U211" s="44">
        <v>1E-3</v>
      </c>
      <c r="X211" s="44">
        <v>1E-3</v>
      </c>
      <c r="Y211" s="44">
        <v>1E-3</v>
      </c>
      <c r="Z211" s="44">
        <v>1E-3</v>
      </c>
      <c r="AA211" s="44">
        <v>1E-3</v>
      </c>
      <c r="AB211" s="44">
        <v>1E-3</v>
      </c>
      <c r="AC211" s="44">
        <v>1E-3</v>
      </c>
      <c r="AD211" s="44">
        <v>1E-3</v>
      </c>
      <c r="AE211" s="44">
        <v>1E-3</v>
      </c>
      <c r="AF211" s="44">
        <v>1E-3</v>
      </c>
      <c r="AG211" s="44">
        <v>1E-3</v>
      </c>
      <c r="AH211" s="44">
        <v>1E-3</v>
      </c>
      <c r="AI211"/>
      <c r="AJ211" s="44">
        <v>1E-3</v>
      </c>
      <c r="AK211" s="44">
        <v>1E-3</v>
      </c>
      <c r="AL211" s="44">
        <v>1E-3</v>
      </c>
      <c r="AM211" s="44">
        <v>1E-3</v>
      </c>
      <c r="AN211" s="44">
        <v>1E-3</v>
      </c>
      <c r="AO211" s="44">
        <v>1E-3</v>
      </c>
      <c r="AP211" s="44">
        <v>1E-3</v>
      </c>
      <c r="AQ211"/>
      <c r="AR211" s="44">
        <v>1E-3</v>
      </c>
      <c r="AS211" s="44">
        <v>1E-3</v>
      </c>
      <c r="AT211" s="44">
        <v>1E-3</v>
      </c>
      <c r="AU211" s="44">
        <v>1E-3</v>
      </c>
      <c r="AV211"/>
      <c r="AW211" s="44">
        <v>1E-3</v>
      </c>
      <c r="AX211"/>
      <c r="AY211"/>
      <c r="AZ211" s="44">
        <v>1E-3</v>
      </c>
      <c r="BA211" s="37"/>
      <c r="BB211" s="37"/>
      <c r="BC211" s="37"/>
      <c r="BD211" s="37"/>
      <c r="BE211" s="37"/>
      <c r="BF211" s="37"/>
      <c r="BG211" s="37"/>
      <c r="BH211" s="37"/>
    </row>
    <row r="212" spans="1:75" x14ac:dyDescent="0.25">
      <c r="A212" s="2" t="s">
        <v>500</v>
      </c>
      <c r="B212" s="3" t="s">
        <v>473</v>
      </c>
      <c r="C212" s="3" t="s">
        <v>483</v>
      </c>
      <c r="D212" s="3" t="s">
        <v>537</v>
      </c>
      <c r="E212" s="50" t="s">
        <v>501</v>
      </c>
      <c r="F212" s="50" t="s">
        <v>487</v>
      </c>
      <c r="G212" s="44">
        <v>29</v>
      </c>
      <c r="H212" s="44">
        <v>29</v>
      </c>
      <c r="I212" s="44">
        <v>29</v>
      </c>
      <c r="J212" s="44">
        <v>29</v>
      </c>
      <c r="K212" s="44">
        <v>29</v>
      </c>
      <c r="L212" s="44">
        <v>29</v>
      </c>
      <c r="M212" s="44">
        <v>29</v>
      </c>
      <c r="N212" s="44">
        <v>29</v>
      </c>
      <c r="O212" s="44">
        <v>29</v>
      </c>
      <c r="P212" s="44">
        <v>29</v>
      </c>
      <c r="R212" s="44">
        <v>29</v>
      </c>
      <c r="S212" s="44">
        <v>29</v>
      </c>
      <c r="T212" s="44">
        <v>29</v>
      </c>
      <c r="U212" s="44">
        <v>29</v>
      </c>
      <c r="X212" s="44">
        <v>29</v>
      </c>
      <c r="Y212" s="44">
        <v>29</v>
      </c>
      <c r="Z212" s="44">
        <v>29</v>
      </c>
      <c r="AA212" s="44">
        <v>29</v>
      </c>
      <c r="AB212" s="44">
        <v>29</v>
      </c>
      <c r="AC212" s="44">
        <v>29</v>
      </c>
      <c r="AD212" s="44">
        <v>29</v>
      </c>
      <c r="AE212" s="44">
        <v>29</v>
      </c>
      <c r="AF212" s="44">
        <v>29</v>
      </c>
      <c r="AG212" s="44">
        <v>29</v>
      </c>
      <c r="AH212" s="44">
        <v>29</v>
      </c>
      <c r="AI212"/>
      <c r="AJ212" s="44">
        <v>29</v>
      </c>
      <c r="AK212" s="44">
        <v>29</v>
      </c>
      <c r="AL212" s="44">
        <v>29</v>
      </c>
      <c r="AM212" s="44">
        <v>29</v>
      </c>
      <c r="AN212" s="44">
        <v>29</v>
      </c>
      <c r="AO212" s="44">
        <v>29</v>
      </c>
      <c r="AP212" s="44">
        <v>29</v>
      </c>
      <c r="AQ212"/>
      <c r="AR212" s="44">
        <v>29</v>
      </c>
      <c r="AS212" s="44">
        <v>29</v>
      </c>
      <c r="AT212" s="44">
        <v>29</v>
      </c>
      <c r="AU212" s="44">
        <v>29</v>
      </c>
      <c r="AV212"/>
      <c r="AW212" s="44">
        <v>29</v>
      </c>
      <c r="AX212"/>
      <c r="AY212"/>
      <c r="AZ212" s="44">
        <v>29</v>
      </c>
      <c r="BA212" s="1"/>
      <c r="BB212" s="1"/>
      <c r="BC212" s="1"/>
      <c r="BD212" s="1"/>
      <c r="BE212" s="1"/>
      <c r="BF212" s="1"/>
      <c r="BG212" s="1"/>
      <c r="BH212" s="1"/>
    </row>
    <row r="213" spans="1:75" x14ac:dyDescent="0.25">
      <c r="A213" s="2" t="s">
        <v>502</v>
      </c>
      <c r="B213" s="3" t="s">
        <v>473</v>
      </c>
      <c r="C213" s="3" t="s">
        <v>483</v>
      </c>
      <c r="D213" s="3" t="s">
        <v>537</v>
      </c>
      <c r="E213" s="50" t="s">
        <v>503</v>
      </c>
      <c r="F213" s="50" t="s">
        <v>504</v>
      </c>
      <c r="G213" s="44">
        <f>1.25*0.000001</f>
        <v>1.2499999999999999E-6</v>
      </c>
      <c r="H213" s="44">
        <f t="shared" ref="H213:AZ213" si="24">1250*0.000001/5</f>
        <v>2.5000000000000001E-4</v>
      </c>
      <c r="I213" s="44">
        <f t="shared" si="24"/>
        <v>2.5000000000000001E-4</v>
      </c>
      <c r="J213" s="44">
        <f t="shared" si="24"/>
        <v>2.5000000000000001E-4</v>
      </c>
      <c r="K213" s="44">
        <f t="shared" si="24"/>
        <v>2.5000000000000001E-4</v>
      </c>
      <c r="L213" s="44">
        <f t="shared" si="24"/>
        <v>2.5000000000000001E-4</v>
      </c>
      <c r="M213" s="44">
        <f t="shared" si="24"/>
        <v>2.5000000000000001E-4</v>
      </c>
      <c r="N213" s="44">
        <f t="shared" si="24"/>
        <v>2.5000000000000001E-4</v>
      </c>
      <c r="O213" s="44">
        <f t="shared" si="24"/>
        <v>2.5000000000000001E-4</v>
      </c>
      <c r="P213" s="44">
        <f t="shared" si="24"/>
        <v>2.5000000000000001E-4</v>
      </c>
      <c r="R213" s="44">
        <f t="shared" si="24"/>
        <v>2.5000000000000001E-4</v>
      </c>
      <c r="S213" s="44">
        <f t="shared" si="24"/>
        <v>2.5000000000000001E-4</v>
      </c>
      <c r="T213" s="44">
        <f t="shared" si="24"/>
        <v>2.5000000000000001E-4</v>
      </c>
      <c r="U213" s="44">
        <f t="shared" si="24"/>
        <v>2.5000000000000001E-4</v>
      </c>
      <c r="X213" s="44">
        <f t="shared" si="24"/>
        <v>2.5000000000000001E-4</v>
      </c>
      <c r="Y213" s="44">
        <f t="shared" si="24"/>
        <v>2.5000000000000001E-4</v>
      </c>
      <c r="Z213" s="44">
        <f t="shared" si="24"/>
        <v>2.5000000000000001E-4</v>
      </c>
      <c r="AA213" s="44">
        <f t="shared" si="24"/>
        <v>2.5000000000000001E-4</v>
      </c>
      <c r="AB213" s="44">
        <f t="shared" si="24"/>
        <v>2.5000000000000001E-4</v>
      </c>
      <c r="AC213" s="44">
        <f t="shared" si="24"/>
        <v>2.5000000000000001E-4</v>
      </c>
      <c r="AD213" s="44">
        <f t="shared" si="24"/>
        <v>2.5000000000000001E-4</v>
      </c>
      <c r="AE213" s="44">
        <f t="shared" si="24"/>
        <v>2.5000000000000001E-4</v>
      </c>
      <c r="AF213" s="44">
        <f t="shared" si="24"/>
        <v>2.5000000000000001E-4</v>
      </c>
      <c r="AG213" s="44">
        <f t="shared" si="24"/>
        <v>2.5000000000000001E-4</v>
      </c>
      <c r="AH213" s="44">
        <f t="shared" si="24"/>
        <v>2.5000000000000001E-4</v>
      </c>
      <c r="AI213"/>
      <c r="AJ213" s="44">
        <f t="shared" si="24"/>
        <v>2.5000000000000001E-4</v>
      </c>
      <c r="AK213" s="44">
        <f t="shared" si="24"/>
        <v>2.5000000000000001E-4</v>
      </c>
      <c r="AL213" s="44">
        <f t="shared" si="24"/>
        <v>2.5000000000000001E-4</v>
      </c>
      <c r="AM213" s="44">
        <f t="shared" si="24"/>
        <v>2.5000000000000001E-4</v>
      </c>
      <c r="AN213" s="44">
        <f t="shared" si="24"/>
        <v>2.5000000000000001E-4</v>
      </c>
      <c r="AO213" s="44">
        <f t="shared" si="24"/>
        <v>2.5000000000000001E-4</v>
      </c>
      <c r="AP213" s="44">
        <f t="shared" si="24"/>
        <v>2.5000000000000001E-4</v>
      </c>
      <c r="AQ213"/>
      <c r="AR213" s="44">
        <f t="shared" si="24"/>
        <v>2.5000000000000001E-4</v>
      </c>
      <c r="AS213" s="44">
        <f t="shared" si="24"/>
        <v>2.5000000000000001E-4</v>
      </c>
      <c r="AT213" s="44">
        <f t="shared" si="24"/>
        <v>2.5000000000000001E-4</v>
      </c>
      <c r="AU213" s="44">
        <f t="shared" si="24"/>
        <v>2.5000000000000001E-4</v>
      </c>
      <c r="AV213"/>
      <c r="AW213" s="44">
        <f t="shared" si="24"/>
        <v>2.5000000000000001E-4</v>
      </c>
      <c r="AX213"/>
      <c r="AY213"/>
      <c r="AZ213" s="44">
        <f t="shared" si="24"/>
        <v>2.5000000000000001E-4</v>
      </c>
      <c r="BA213" s="51"/>
      <c r="BB213" s="51"/>
      <c r="BC213" s="51"/>
      <c r="BD213" s="51"/>
      <c r="BE213" s="51"/>
      <c r="BF213" s="51"/>
      <c r="BG213" s="51"/>
      <c r="BH213" s="51"/>
    </row>
    <row r="214" spans="1:75" x14ac:dyDescent="0.25">
      <c r="A214" s="2" t="s">
        <v>505</v>
      </c>
      <c r="B214" s="3" t="s">
        <v>473</v>
      </c>
      <c r="C214" s="3" t="s">
        <v>483</v>
      </c>
      <c r="D214" s="3" t="s">
        <v>537</v>
      </c>
      <c r="E214" s="50" t="s">
        <v>506</v>
      </c>
      <c r="F214" s="50" t="s">
        <v>507</v>
      </c>
      <c r="G214" s="44">
        <v>2.0000000000000001E-4</v>
      </c>
      <c r="H214" s="44">
        <v>2.0000000000000001E-4</v>
      </c>
      <c r="I214" s="44">
        <v>2.0000000000000001E-4</v>
      </c>
      <c r="J214" s="44">
        <v>2.0000000000000001E-4</v>
      </c>
      <c r="K214" s="44">
        <v>2.0000000000000001E-4</v>
      </c>
      <c r="L214" s="44">
        <v>2.0000000000000001E-4</v>
      </c>
      <c r="M214" s="44">
        <v>2.0000000000000001E-4</v>
      </c>
      <c r="N214" s="44">
        <v>2.0000000000000001E-4</v>
      </c>
      <c r="O214" s="44">
        <v>2.0000000000000001E-4</v>
      </c>
      <c r="P214" s="44">
        <v>2.0000000000000001E-4</v>
      </c>
      <c r="R214" s="44">
        <v>2.0000000000000001E-4</v>
      </c>
      <c r="S214" s="44">
        <v>2.0000000000000001E-4</v>
      </c>
      <c r="T214" s="44">
        <v>2.0000000000000001E-4</v>
      </c>
      <c r="U214" s="44">
        <v>2.0000000000000001E-4</v>
      </c>
      <c r="X214" s="44">
        <v>2.0000000000000001E-4</v>
      </c>
      <c r="Y214" s="44">
        <v>2.0000000000000001E-4</v>
      </c>
      <c r="Z214" s="44">
        <v>2.0000000000000001E-4</v>
      </c>
      <c r="AA214" s="44">
        <v>2.0000000000000001E-4</v>
      </c>
      <c r="AB214" s="44">
        <v>2.0000000000000001E-4</v>
      </c>
      <c r="AC214" s="44">
        <v>2.0000000000000001E-4</v>
      </c>
      <c r="AD214" s="44">
        <v>2.0000000000000001E-4</v>
      </c>
      <c r="AE214" s="44">
        <v>2.0000000000000001E-4</v>
      </c>
      <c r="AF214" s="44">
        <v>2.0000000000000001E-4</v>
      </c>
      <c r="AG214" s="44">
        <v>2.0000000000000001E-4</v>
      </c>
      <c r="AH214" s="44">
        <v>2.0000000000000001E-4</v>
      </c>
      <c r="AI214"/>
      <c r="AJ214" s="44">
        <v>2.0000000000000001E-4</v>
      </c>
      <c r="AK214" s="44">
        <v>2.0000000000000001E-4</v>
      </c>
      <c r="AL214" s="44">
        <v>2.0000000000000001E-4</v>
      </c>
      <c r="AM214" s="44">
        <v>2.0000000000000001E-4</v>
      </c>
      <c r="AN214" s="44">
        <v>2.0000000000000001E-4</v>
      </c>
      <c r="AO214" s="44">
        <v>2.0000000000000001E-4</v>
      </c>
      <c r="AP214" s="44">
        <v>2.0000000000000001E-4</v>
      </c>
      <c r="AQ214"/>
      <c r="AR214" s="44">
        <v>2.0000000000000001E-4</v>
      </c>
      <c r="AS214" s="44">
        <v>2.0000000000000001E-4</v>
      </c>
      <c r="AT214" s="44">
        <v>2.0000000000000001E-4</v>
      </c>
      <c r="AU214" s="44">
        <v>2.0000000000000001E-4</v>
      </c>
      <c r="AV214"/>
      <c r="AW214" s="44">
        <v>2.0000000000000001E-4</v>
      </c>
      <c r="AX214"/>
      <c r="AY214"/>
      <c r="AZ214" s="44">
        <v>2.0000000000000001E-4</v>
      </c>
      <c r="BA214" s="51"/>
      <c r="BB214" s="51"/>
      <c r="BC214" s="51"/>
      <c r="BD214" s="51"/>
      <c r="BE214" s="51"/>
      <c r="BF214" s="51"/>
      <c r="BG214" s="51"/>
      <c r="BH214" s="51"/>
    </row>
    <row r="215" spans="1:75" x14ac:dyDescent="0.25">
      <c r="A215" s="2" t="s">
        <v>508</v>
      </c>
      <c r="B215" s="3" t="s">
        <v>473</v>
      </c>
      <c r="C215" s="3" t="s">
        <v>483</v>
      </c>
      <c r="D215" s="3" t="s">
        <v>537</v>
      </c>
      <c r="E215" s="50" t="s">
        <v>509</v>
      </c>
      <c r="F215" s="50" t="s">
        <v>510</v>
      </c>
      <c r="G215" s="44">
        <v>2.4999999999999998E-12</v>
      </c>
      <c r="H215" s="44">
        <v>2.4999999999999998E-12</v>
      </c>
      <c r="I215" s="44">
        <v>2.4999999999999999E-13</v>
      </c>
      <c r="J215" s="44">
        <v>2.4999999999999999E-13</v>
      </c>
      <c r="K215" s="44">
        <v>2.4999999999999999E-13</v>
      </c>
      <c r="L215" s="44">
        <v>2.4999999999999999E-13</v>
      </c>
      <c r="M215" s="44">
        <v>2.4999999999999999E-13</v>
      </c>
      <c r="N215" s="44">
        <v>2.4999999999999999E-13</v>
      </c>
      <c r="O215" s="44">
        <v>2.4999999999999999E-13</v>
      </c>
      <c r="P215" s="44">
        <v>2.4999999999999999E-13</v>
      </c>
      <c r="R215" s="44">
        <v>2.4999999999999999E-13</v>
      </c>
      <c r="S215" s="44">
        <v>2.4999999999999999E-13</v>
      </c>
      <c r="T215" s="44">
        <v>2.4999999999999999E-13</v>
      </c>
      <c r="U215" s="44">
        <v>2.4999999999999999E-13</v>
      </c>
      <c r="X215" s="44">
        <v>2.4999999999999999E-13</v>
      </c>
      <c r="Y215" s="44">
        <v>2.4999999999999999E-13</v>
      </c>
      <c r="Z215" s="44">
        <v>2.4999999999999999E-13</v>
      </c>
      <c r="AA215" s="44">
        <v>2.4999999999999999E-13</v>
      </c>
      <c r="AB215" s="44">
        <v>2.4999999999999999E-13</v>
      </c>
      <c r="AC215" s="44">
        <v>2.4999999999999999E-13</v>
      </c>
      <c r="AD215" s="44">
        <v>2.4999999999999999E-13</v>
      </c>
      <c r="AE215" s="44">
        <v>2.4999999999999999E-13</v>
      </c>
      <c r="AF215" s="44">
        <v>2.4999999999999999E-13</v>
      </c>
      <c r="AG215" s="44">
        <v>2.4999999999999999E-13</v>
      </c>
      <c r="AH215" s="44">
        <v>2.4999999999999999E-13</v>
      </c>
      <c r="AI215"/>
      <c r="AJ215" s="44">
        <v>2.4999999999999999E-13</v>
      </c>
      <c r="AK215" s="44">
        <v>2.4999999999999999E-13</v>
      </c>
      <c r="AL215" s="44">
        <v>2.4999999999999999E-13</v>
      </c>
      <c r="AM215" s="44">
        <v>2.4999999999999999E-13</v>
      </c>
      <c r="AN215" s="44">
        <v>2.4999999999999999E-13</v>
      </c>
      <c r="AO215" s="44">
        <v>2.4999999999999999E-13</v>
      </c>
      <c r="AP215" s="44">
        <v>2.4999999999999999E-13</v>
      </c>
      <c r="AQ215"/>
      <c r="AR215" s="44">
        <v>2.4999999999999999E-13</v>
      </c>
      <c r="AS215" s="44">
        <v>2.4999999999999999E-13</v>
      </c>
      <c r="AT215" s="44">
        <v>2.4999999999999999E-13</v>
      </c>
      <c r="AU215" s="44">
        <v>2.4999999999999999E-13</v>
      </c>
      <c r="AV215"/>
      <c r="AW215" s="44">
        <v>2.4999999999999999E-13</v>
      </c>
      <c r="AX215"/>
      <c r="AY215"/>
      <c r="AZ215" s="44">
        <v>2.4999999999999999E-13</v>
      </c>
      <c r="BA215" s="51"/>
      <c r="BB215" s="51"/>
      <c r="BC215" s="51"/>
      <c r="BD215" s="51"/>
      <c r="BE215" s="51"/>
      <c r="BF215" s="51"/>
      <c r="BG215" s="51"/>
      <c r="BH215" s="51"/>
    </row>
    <row r="216" spans="1:75" x14ac:dyDescent="0.25">
      <c r="A216" s="2" t="s">
        <v>511</v>
      </c>
      <c r="B216" s="3" t="s">
        <v>473</v>
      </c>
      <c r="C216" s="3" t="s">
        <v>483</v>
      </c>
      <c r="D216" s="3" t="s">
        <v>537</v>
      </c>
      <c r="E216" s="50" t="s">
        <v>512</v>
      </c>
      <c r="F216" s="50" t="s">
        <v>510</v>
      </c>
      <c r="G216" s="44">
        <v>1.2E-8</v>
      </c>
      <c r="H216" s="44">
        <v>1.2E-8</v>
      </c>
      <c r="I216" s="44">
        <f t="shared" ref="I216:AW216" si="25">0.00000012*100</f>
        <v>1.1999999999999999E-5</v>
      </c>
      <c r="J216" s="44">
        <f t="shared" si="25"/>
        <v>1.1999999999999999E-5</v>
      </c>
      <c r="K216" s="44">
        <f t="shared" si="25"/>
        <v>1.1999999999999999E-5</v>
      </c>
      <c r="L216" s="44">
        <f t="shared" si="25"/>
        <v>1.1999999999999999E-5</v>
      </c>
      <c r="M216" s="44">
        <f t="shared" si="25"/>
        <v>1.1999999999999999E-5</v>
      </c>
      <c r="N216" s="44">
        <f t="shared" si="25"/>
        <v>1.1999999999999999E-5</v>
      </c>
      <c r="O216" s="44">
        <f t="shared" si="25"/>
        <v>1.1999999999999999E-5</v>
      </c>
      <c r="P216" s="44">
        <f t="shared" si="25"/>
        <v>1.1999999999999999E-5</v>
      </c>
      <c r="R216" s="44">
        <f t="shared" si="25"/>
        <v>1.1999999999999999E-5</v>
      </c>
      <c r="S216" s="44">
        <f t="shared" si="25"/>
        <v>1.1999999999999999E-5</v>
      </c>
      <c r="T216" s="44">
        <f t="shared" si="25"/>
        <v>1.1999999999999999E-5</v>
      </c>
      <c r="U216" s="44">
        <f t="shared" si="25"/>
        <v>1.1999999999999999E-5</v>
      </c>
      <c r="X216" s="44">
        <f t="shared" si="25"/>
        <v>1.1999999999999999E-5</v>
      </c>
      <c r="Y216" s="44">
        <f t="shared" si="25"/>
        <v>1.1999999999999999E-5</v>
      </c>
      <c r="Z216" s="44">
        <f t="shared" si="25"/>
        <v>1.1999999999999999E-5</v>
      </c>
      <c r="AA216" s="44">
        <f t="shared" si="25"/>
        <v>1.1999999999999999E-5</v>
      </c>
      <c r="AB216" s="44">
        <f t="shared" si="25"/>
        <v>1.1999999999999999E-5</v>
      </c>
      <c r="AC216" s="44">
        <f t="shared" si="25"/>
        <v>1.1999999999999999E-5</v>
      </c>
      <c r="AD216" s="44">
        <f t="shared" si="25"/>
        <v>1.1999999999999999E-5</v>
      </c>
      <c r="AE216" s="44">
        <f t="shared" si="25"/>
        <v>1.1999999999999999E-5</v>
      </c>
      <c r="AF216" s="44">
        <f t="shared" si="25"/>
        <v>1.1999999999999999E-5</v>
      </c>
      <c r="AG216" s="44">
        <f t="shared" si="25"/>
        <v>1.1999999999999999E-5</v>
      </c>
      <c r="AH216" s="44">
        <f t="shared" si="25"/>
        <v>1.1999999999999999E-5</v>
      </c>
      <c r="AI216"/>
      <c r="AJ216" s="44">
        <f t="shared" si="25"/>
        <v>1.1999999999999999E-5</v>
      </c>
      <c r="AK216" s="44">
        <f t="shared" si="25"/>
        <v>1.1999999999999999E-5</v>
      </c>
      <c r="AL216" s="44">
        <f t="shared" si="25"/>
        <v>1.1999999999999999E-5</v>
      </c>
      <c r="AM216" s="44">
        <f t="shared" si="25"/>
        <v>1.1999999999999999E-5</v>
      </c>
      <c r="AN216" s="44">
        <f t="shared" si="25"/>
        <v>1.1999999999999999E-5</v>
      </c>
      <c r="AO216" s="44">
        <f t="shared" si="25"/>
        <v>1.1999999999999999E-5</v>
      </c>
      <c r="AP216" s="44">
        <f t="shared" si="25"/>
        <v>1.1999999999999999E-5</v>
      </c>
      <c r="AQ216"/>
      <c r="AR216" s="44">
        <f t="shared" si="25"/>
        <v>1.1999999999999999E-5</v>
      </c>
      <c r="AS216" s="44">
        <f t="shared" si="25"/>
        <v>1.1999999999999999E-5</v>
      </c>
      <c r="AT216" s="44">
        <f t="shared" si="25"/>
        <v>1.1999999999999999E-5</v>
      </c>
      <c r="AU216" s="44">
        <f t="shared" si="25"/>
        <v>1.1999999999999999E-5</v>
      </c>
      <c r="AV216"/>
      <c r="AW216" s="44">
        <f t="shared" si="25"/>
        <v>1.1999999999999999E-5</v>
      </c>
      <c r="AX216"/>
      <c r="AY216"/>
      <c r="AZ216" s="44">
        <f>0.00000012*100</f>
        <v>1.1999999999999999E-5</v>
      </c>
      <c r="BA216" s="51"/>
      <c r="BB216" s="51"/>
      <c r="BC216" s="51"/>
      <c r="BD216" s="51"/>
      <c r="BE216" s="51"/>
      <c r="BF216" s="51"/>
      <c r="BG216" s="51"/>
      <c r="BH216" s="51"/>
    </row>
    <row r="217" spans="1:75" x14ac:dyDescent="0.25">
      <c r="A217" s="2" t="s">
        <v>513</v>
      </c>
      <c r="B217" s="3" t="s">
        <v>473</v>
      </c>
      <c r="C217" s="3" t="s">
        <v>483</v>
      </c>
      <c r="D217" s="3" t="s">
        <v>537</v>
      </c>
      <c r="E217" s="50" t="s">
        <v>514</v>
      </c>
      <c r="F217" s="50" t="s">
        <v>515</v>
      </c>
      <c r="G217" s="44">
        <v>9.9999999999999995E-8</v>
      </c>
      <c r="H217" s="44">
        <v>9.9999999999999995E-8</v>
      </c>
      <c r="I217" s="44">
        <v>9.9999999999999995E-7</v>
      </c>
      <c r="J217" s="44">
        <v>9.9999999999999995E-7</v>
      </c>
      <c r="K217" s="44">
        <v>9.9999999999999995E-7</v>
      </c>
      <c r="L217" s="44">
        <v>9.9999999999999995E-7</v>
      </c>
      <c r="M217" s="44">
        <v>9.9999999999999995E-7</v>
      </c>
      <c r="N217" s="44">
        <v>9.9999999999999995E-7</v>
      </c>
      <c r="O217" s="44">
        <v>9.9999999999999995E-7</v>
      </c>
      <c r="P217" s="44">
        <v>9.9999999999999995E-7</v>
      </c>
      <c r="R217" s="44">
        <v>9.9999999999999995E-7</v>
      </c>
      <c r="S217" s="44">
        <v>9.9999999999999995E-7</v>
      </c>
      <c r="T217" s="44">
        <v>9.9999999999999995E-7</v>
      </c>
      <c r="U217" s="44">
        <v>9.9999999999999995E-7</v>
      </c>
      <c r="X217" s="44">
        <v>9.9999999999999995E-7</v>
      </c>
      <c r="Y217" s="44">
        <v>9.9999999999999995E-7</v>
      </c>
      <c r="Z217" s="44">
        <v>9.9999999999999995E-7</v>
      </c>
      <c r="AA217" s="44">
        <v>9.9999999999999995E-7</v>
      </c>
      <c r="AB217" s="44">
        <v>9.9999999999999995E-7</v>
      </c>
      <c r="AC217" s="44">
        <v>9.9999999999999995E-7</v>
      </c>
      <c r="AD217" s="44">
        <v>9.9999999999999995E-7</v>
      </c>
      <c r="AE217" s="44">
        <v>9.9999999999999995E-7</v>
      </c>
      <c r="AF217" s="44">
        <v>9.9999999999999995E-7</v>
      </c>
      <c r="AG217" s="44">
        <v>9.9999999999999995E-7</v>
      </c>
      <c r="AH217" s="44">
        <v>9.9999999999999995E-7</v>
      </c>
      <c r="AI217"/>
      <c r="AJ217" s="44">
        <v>9.9999999999999995E-7</v>
      </c>
      <c r="AK217" s="44">
        <v>9.9999999999999995E-7</v>
      </c>
      <c r="AL217" s="44">
        <v>9.9999999999999995E-7</v>
      </c>
      <c r="AM217" s="44">
        <v>9.9999999999999995E-7</v>
      </c>
      <c r="AN217" s="44">
        <v>9.9999999999999995E-7</v>
      </c>
      <c r="AO217" s="44">
        <v>9.9999999999999995E-7</v>
      </c>
      <c r="AP217" s="44">
        <v>9.9999999999999995E-7</v>
      </c>
      <c r="AQ217"/>
      <c r="AR217" s="44">
        <v>9.9999999999999995E-7</v>
      </c>
      <c r="AS217" s="44">
        <v>9.9999999999999995E-7</v>
      </c>
      <c r="AT217" s="44">
        <v>9.9999999999999995E-7</v>
      </c>
      <c r="AU217" s="44">
        <v>9.9999999999999995E-7</v>
      </c>
      <c r="AV217"/>
      <c r="AW217" s="44">
        <v>9.9999999999999995E-7</v>
      </c>
      <c r="AX217"/>
      <c r="AY217"/>
      <c r="AZ217" s="44">
        <v>9.9999999999999995E-7</v>
      </c>
      <c r="BA217" s="51"/>
      <c r="BB217" s="51"/>
      <c r="BC217" s="51"/>
      <c r="BD217" s="51"/>
      <c r="BE217" s="51"/>
      <c r="BF217" s="51"/>
      <c r="BG217" s="51"/>
      <c r="BH217" s="51"/>
    </row>
    <row r="218" spans="1:75" x14ac:dyDescent="0.25">
      <c r="A218" s="2" t="s">
        <v>516</v>
      </c>
      <c r="B218" s="3" t="s">
        <v>473</v>
      </c>
      <c r="C218" s="3" t="s">
        <v>483</v>
      </c>
      <c r="D218" s="3" t="s">
        <v>537</v>
      </c>
      <c r="E218" s="50" t="s">
        <v>517</v>
      </c>
      <c r="F218" s="50" t="s">
        <v>518</v>
      </c>
      <c r="G218" s="44">
        <f>2*0.00001</f>
        <v>2.0000000000000002E-5</v>
      </c>
      <c r="H218" s="44">
        <f>2*0.00001</f>
        <v>2.0000000000000002E-5</v>
      </c>
      <c r="I218" s="44">
        <v>5.0000000000000002E-5</v>
      </c>
      <c r="J218" s="44">
        <v>2E-8</v>
      </c>
      <c r="K218" s="44">
        <v>2E-8</v>
      </c>
      <c r="L218" s="44">
        <v>2E-8</v>
      </c>
      <c r="M218" s="44">
        <v>2E-8</v>
      </c>
      <c r="N218" s="44">
        <v>2E-8</v>
      </c>
      <c r="O218" s="44">
        <v>2E-8</v>
      </c>
      <c r="P218" s="44">
        <v>2E-8</v>
      </c>
      <c r="R218" s="44">
        <v>2E-8</v>
      </c>
      <c r="S218" s="44">
        <v>2E-8</v>
      </c>
      <c r="T218" s="44">
        <v>2E-8</v>
      </c>
      <c r="U218" s="44">
        <v>2E-8</v>
      </c>
      <c r="X218" s="44">
        <v>5.0000000000000002E-5</v>
      </c>
      <c r="Y218" s="44">
        <v>5.0000000000000002E-5</v>
      </c>
      <c r="Z218" s="44">
        <v>5.0000000000000002E-5</v>
      </c>
      <c r="AA218" s="44">
        <v>5.0000000000000002E-5</v>
      </c>
      <c r="AB218" s="44">
        <v>2.0000000000000002E-5</v>
      </c>
      <c r="AC218" s="44">
        <v>1.0000000000000001E-5</v>
      </c>
      <c r="AD218" s="44">
        <v>5.0000000000000004E-6</v>
      </c>
      <c r="AE218" s="44">
        <v>1.9999999999999999E-6</v>
      </c>
      <c r="AF218" s="44">
        <v>9.9999999999999995E-7</v>
      </c>
      <c r="AG218" s="44">
        <v>4.9999999999999998E-7</v>
      </c>
      <c r="AH218" s="44">
        <v>1.9999999999999999E-7</v>
      </c>
      <c r="AI218"/>
      <c r="AJ218" s="44">
        <v>2.0000000000000002E-5</v>
      </c>
      <c r="AK218" s="44">
        <v>1.0000000000000001E-5</v>
      </c>
      <c r="AL218" s="44">
        <v>5.0000000000000004E-6</v>
      </c>
      <c r="AM218" s="44">
        <v>1.9999999999999999E-6</v>
      </c>
      <c r="AN218" s="44">
        <v>9.9999999999999995E-7</v>
      </c>
      <c r="AO218" s="44">
        <v>4.9999999999999998E-7</v>
      </c>
      <c r="AP218" s="44">
        <v>1.9999999999999999E-7</v>
      </c>
      <c r="AQ218"/>
      <c r="AR218" s="44">
        <v>2E-8</v>
      </c>
      <c r="AS218" s="44">
        <v>2E-8</v>
      </c>
      <c r="AT218" s="44">
        <v>2.0000000000000001E-9</v>
      </c>
      <c r="AU218" s="44">
        <v>2.0000000000000001E-9</v>
      </c>
      <c r="AV218"/>
      <c r="AW218" s="44">
        <v>9.9999999999999995E-7</v>
      </c>
      <c r="AX218"/>
      <c r="AY218"/>
      <c r="AZ218" s="44">
        <v>5.0000000000000002E-5</v>
      </c>
      <c r="BA218" s="51"/>
      <c r="BB218" s="51"/>
      <c r="BC218" s="51"/>
      <c r="BD218" s="51"/>
      <c r="BE218" s="51"/>
      <c r="BF218" s="51"/>
      <c r="BG218" s="51"/>
      <c r="BH218" s="51"/>
    </row>
    <row r="219" spans="1:75" x14ac:dyDescent="0.25">
      <c r="A219" s="2" t="s">
        <v>519</v>
      </c>
      <c r="B219" s="3" t="s">
        <v>473</v>
      </c>
      <c r="C219" s="3" t="s">
        <v>483</v>
      </c>
      <c r="D219" s="3" t="s">
        <v>537</v>
      </c>
      <c r="E219" s="50" t="s">
        <v>520</v>
      </c>
      <c r="F219" s="50" t="s">
        <v>521</v>
      </c>
      <c r="G219" s="44">
        <f>0.00000000000001 * 1000</f>
        <v>9.9999999999999994E-12</v>
      </c>
      <c r="H219" s="44">
        <f>0.00000000000001 * 1000</f>
        <v>9.9999999999999994E-12</v>
      </c>
      <c r="I219" s="44">
        <f t="shared" ref="I219:AZ219" si="26">0.00000000000001*10000*8</f>
        <v>8.0000000000000003E-10</v>
      </c>
      <c r="J219" s="44">
        <f t="shared" si="26"/>
        <v>8.0000000000000003E-10</v>
      </c>
      <c r="K219" s="44">
        <f t="shared" si="26"/>
        <v>8.0000000000000003E-10</v>
      </c>
      <c r="L219" s="44">
        <f t="shared" si="26"/>
        <v>8.0000000000000003E-10</v>
      </c>
      <c r="M219" s="44">
        <f t="shared" si="26"/>
        <v>8.0000000000000003E-10</v>
      </c>
      <c r="N219" s="44">
        <f t="shared" si="26"/>
        <v>8.0000000000000003E-10</v>
      </c>
      <c r="O219" s="44">
        <f t="shared" si="26"/>
        <v>8.0000000000000003E-10</v>
      </c>
      <c r="P219" s="44">
        <f t="shared" si="26"/>
        <v>8.0000000000000003E-10</v>
      </c>
      <c r="R219" s="44">
        <f t="shared" si="26"/>
        <v>8.0000000000000003E-10</v>
      </c>
      <c r="S219" s="44">
        <f t="shared" si="26"/>
        <v>8.0000000000000003E-10</v>
      </c>
      <c r="T219" s="44">
        <f t="shared" si="26"/>
        <v>8.0000000000000003E-10</v>
      </c>
      <c r="U219" s="44">
        <f t="shared" si="26"/>
        <v>8.0000000000000003E-10</v>
      </c>
      <c r="X219" s="44">
        <f t="shared" si="26"/>
        <v>8.0000000000000003E-10</v>
      </c>
      <c r="Y219" s="44">
        <f t="shared" si="26"/>
        <v>8.0000000000000003E-10</v>
      </c>
      <c r="Z219" s="44">
        <f t="shared" si="26"/>
        <v>8.0000000000000003E-10</v>
      </c>
      <c r="AA219" s="44">
        <f t="shared" si="26"/>
        <v>8.0000000000000003E-10</v>
      </c>
      <c r="AB219" s="44">
        <f t="shared" si="26"/>
        <v>8.0000000000000003E-10</v>
      </c>
      <c r="AC219" s="44">
        <f t="shared" si="26"/>
        <v>8.0000000000000003E-10</v>
      </c>
      <c r="AD219" s="44">
        <f t="shared" si="26"/>
        <v>8.0000000000000003E-10</v>
      </c>
      <c r="AE219" s="44">
        <f t="shared" si="26"/>
        <v>8.0000000000000003E-10</v>
      </c>
      <c r="AF219" s="44">
        <f t="shared" si="26"/>
        <v>8.0000000000000003E-10</v>
      </c>
      <c r="AG219" s="44">
        <f t="shared" si="26"/>
        <v>8.0000000000000003E-10</v>
      </c>
      <c r="AH219" s="44">
        <f t="shared" si="26"/>
        <v>8.0000000000000003E-10</v>
      </c>
      <c r="AI219"/>
      <c r="AJ219" s="44">
        <f t="shared" si="26"/>
        <v>8.0000000000000003E-10</v>
      </c>
      <c r="AK219" s="44">
        <f t="shared" si="26"/>
        <v>8.0000000000000003E-10</v>
      </c>
      <c r="AL219" s="44">
        <f t="shared" si="26"/>
        <v>8.0000000000000003E-10</v>
      </c>
      <c r="AM219" s="44">
        <f t="shared" si="26"/>
        <v>8.0000000000000003E-10</v>
      </c>
      <c r="AN219" s="44">
        <f t="shared" si="26"/>
        <v>8.0000000000000003E-10</v>
      </c>
      <c r="AO219" s="44">
        <f t="shared" si="26"/>
        <v>8.0000000000000003E-10</v>
      </c>
      <c r="AP219" s="44">
        <f t="shared" si="26"/>
        <v>8.0000000000000003E-10</v>
      </c>
      <c r="AQ219"/>
      <c r="AR219" s="44">
        <f t="shared" si="26"/>
        <v>8.0000000000000003E-10</v>
      </c>
      <c r="AS219" s="44">
        <f t="shared" si="26"/>
        <v>8.0000000000000003E-10</v>
      </c>
      <c r="AT219" s="44">
        <f t="shared" si="26"/>
        <v>8.0000000000000003E-10</v>
      </c>
      <c r="AU219" s="44">
        <f t="shared" si="26"/>
        <v>8.0000000000000003E-10</v>
      </c>
      <c r="AV219"/>
      <c r="AW219" s="44">
        <f t="shared" si="26"/>
        <v>8.0000000000000003E-10</v>
      </c>
      <c r="AX219"/>
      <c r="AY219"/>
      <c r="AZ219" s="44">
        <f t="shared" si="26"/>
        <v>8.0000000000000003E-10</v>
      </c>
      <c r="BA219" s="51"/>
      <c r="BB219" s="51"/>
      <c r="BC219" s="51"/>
      <c r="BD219" s="51"/>
      <c r="BE219" s="51"/>
      <c r="BF219" s="51"/>
      <c r="BG219" s="51"/>
      <c r="BH219" s="51"/>
    </row>
    <row r="220" spans="1:75" x14ac:dyDescent="0.25">
      <c r="A220" s="2" t="s">
        <v>522</v>
      </c>
      <c r="B220" s="3" t="s">
        <v>473</v>
      </c>
      <c r="C220" s="3" t="s">
        <v>483</v>
      </c>
      <c r="D220" s="3" t="s">
        <v>537</v>
      </c>
      <c r="E220" s="50" t="s">
        <v>523</v>
      </c>
      <c r="F220" s="50" t="s">
        <v>524</v>
      </c>
      <c r="G220" s="44">
        <f>0.00000000000001 * 10000</f>
        <v>1E-10</v>
      </c>
      <c r="H220" s="44">
        <f>0.00000000000001 * 10000</f>
        <v>1E-10</v>
      </c>
      <c r="I220" s="44">
        <f t="shared" ref="I220" si="27">I219*10</f>
        <v>8.0000000000000005E-9</v>
      </c>
      <c r="J220" s="44">
        <f t="shared" ref="J220:K220" si="28">J219*10</f>
        <v>8.0000000000000005E-9</v>
      </c>
      <c r="K220" s="44">
        <f t="shared" si="28"/>
        <v>8.0000000000000005E-9</v>
      </c>
      <c r="L220" s="44">
        <f t="shared" ref="L220:M220" si="29">L219*10</f>
        <v>8.0000000000000005E-9</v>
      </c>
      <c r="M220" s="44">
        <f t="shared" si="29"/>
        <v>8.0000000000000005E-9</v>
      </c>
      <c r="N220" s="44">
        <f t="shared" ref="N220:O220" si="30">N219*10</f>
        <v>8.0000000000000005E-9</v>
      </c>
      <c r="O220" s="44">
        <f t="shared" si="30"/>
        <v>8.0000000000000005E-9</v>
      </c>
      <c r="P220" s="44">
        <f t="shared" ref="P220:R220" si="31">P219*10</f>
        <v>8.0000000000000005E-9</v>
      </c>
      <c r="R220" s="44">
        <f t="shared" si="31"/>
        <v>8.0000000000000005E-9</v>
      </c>
      <c r="S220" s="44">
        <f t="shared" ref="S220" si="32">S219*10</f>
        <v>8.0000000000000005E-9</v>
      </c>
      <c r="T220" s="44">
        <f t="shared" ref="T220:U220" si="33">T219*10</f>
        <v>8.0000000000000005E-9</v>
      </c>
      <c r="U220" s="44">
        <f t="shared" si="33"/>
        <v>8.0000000000000005E-9</v>
      </c>
      <c r="X220" s="44">
        <f t="shared" ref="X220:Y220" si="34">X219*10</f>
        <v>8.0000000000000005E-9</v>
      </c>
      <c r="Y220" s="44">
        <f t="shared" si="34"/>
        <v>8.0000000000000005E-9</v>
      </c>
      <c r="Z220" s="44">
        <f t="shared" ref="Z220:AA220" si="35">Z219*10</f>
        <v>8.0000000000000005E-9</v>
      </c>
      <c r="AA220" s="44">
        <f t="shared" si="35"/>
        <v>8.0000000000000005E-9</v>
      </c>
      <c r="AB220" s="44">
        <f t="shared" ref="AB220:AC220" si="36">AB219*10</f>
        <v>8.0000000000000005E-9</v>
      </c>
      <c r="AC220" s="44">
        <f t="shared" si="36"/>
        <v>8.0000000000000005E-9</v>
      </c>
      <c r="AD220" s="44">
        <f t="shared" ref="AD220:AE220" si="37">AD219*10</f>
        <v>8.0000000000000005E-9</v>
      </c>
      <c r="AE220" s="44">
        <f t="shared" si="37"/>
        <v>8.0000000000000005E-9</v>
      </c>
      <c r="AF220" s="44">
        <f t="shared" ref="AF220:AH220" si="38">AF219*10</f>
        <v>8.0000000000000005E-9</v>
      </c>
      <c r="AG220" s="44">
        <f t="shared" si="38"/>
        <v>8.0000000000000005E-9</v>
      </c>
      <c r="AH220" s="44">
        <f t="shared" si="38"/>
        <v>8.0000000000000005E-9</v>
      </c>
      <c r="AI220"/>
      <c r="AJ220" s="44">
        <f t="shared" ref="AJ220:AP220" si="39">AJ219*10</f>
        <v>8.0000000000000005E-9</v>
      </c>
      <c r="AK220" s="44">
        <f t="shared" si="39"/>
        <v>8.0000000000000005E-9</v>
      </c>
      <c r="AL220" s="44">
        <f t="shared" si="39"/>
        <v>8.0000000000000005E-9</v>
      </c>
      <c r="AM220" s="44">
        <f t="shared" si="39"/>
        <v>8.0000000000000005E-9</v>
      </c>
      <c r="AN220" s="44">
        <f t="shared" si="39"/>
        <v>8.0000000000000005E-9</v>
      </c>
      <c r="AO220" s="44">
        <f t="shared" si="39"/>
        <v>8.0000000000000005E-9</v>
      </c>
      <c r="AP220" s="44">
        <f t="shared" si="39"/>
        <v>8.0000000000000005E-9</v>
      </c>
      <c r="AQ220"/>
      <c r="AR220" s="44">
        <f t="shared" ref="AR220:AS220" si="40">AR219*10</f>
        <v>8.0000000000000005E-9</v>
      </c>
      <c r="AS220" s="44">
        <f t="shared" si="40"/>
        <v>8.0000000000000005E-9</v>
      </c>
      <c r="AT220" s="44">
        <f t="shared" ref="AT220:AU220" si="41">AT219*10</f>
        <v>8.0000000000000005E-9</v>
      </c>
      <c r="AU220" s="44">
        <f t="shared" si="41"/>
        <v>8.0000000000000005E-9</v>
      </c>
      <c r="AV220"/>
      <c r="AW220" s="44">
        <f t="shared" ref="AW220" si="42">AW219*10</f>
        <v>8.0000000000000005E-9</v>
      </c>
      <c r="AX220"/>
      <c r="AY220"/>
      <c r="AZ220" s="44">
        <f t="shared" ref="AZ220" si="43">AZ219*10</f>
        <v>8.0000000000000005E-9</v>
      </c>
      <c r="BA220" s="51"/>
      <c r="BB220" s="51"/>
      <c r="BC220" s="51"/>
      <c r="BD220" s="51"/>
      <c r="BE220" s="51"/>
      <c r="BF220" s="51"/>
      <c r="BG220" s="51"/>
      <c r="BH220" s="51"/>
    </row>
    <row r="221" spans="1:75" x14ac:dyDescent="0.25">
      <c r="A221" s="2" t="s">
        <v>486</v>
      </c>
      <c r="B221" s="3" t="s">
        <v>473</v>
      </c>
      <c r="C221" s="3" t="s">
        <v>483</v>
      </c>
      <c r="D221" s="3" t="s">
        <v>537</v>
      </c>
      <c r="E221" s="50" t="s">
        <v>525</v>
      </c>
      <c r="F221" s="50" t="s">
        <v>487</v>
      </c>
      <c r="G221" s="44">
        <f t="shared" ref="G221:AZ221" si="44">0.84*(0.36^2)</f>
        <v>0.10886399999999999</v>
      </c>
      <c r="H221" s="44">
        <f t="shared" si="44"/>
        <v>0.10886399999999999</v>
      </c>
      <c r="I221" s="44">
        <f t="shared" si="44"/>
        <v>0.10886399999999999</v>
      </c>
      <c r="J221" s="44">
        <f t="shared" si="44"/>
        <v>0.10886399999999999</v>
      </c>
      <c r="K221" s="44">
        <f t="shared" si="44"/>
        <v>0.10886399999999999</v>
      </c>
      <c r="L221" s="44">
        <f t="shared" si="44"/>
        <v>0.10886399999999999</v>
      </c>
      <c r="M221" s="44">
        <f t="shared" si="44"/>
        <v>0.10886399999999999</v>
      </c>
      <c r="N221" s="44">
        <f t="shared" si="44"/>
        <v>0.10886399999999999</v>
      </c>
      <c r="O221" s="44">
        <f t="shared" si="44"/>
        <v>0.10886399999999999</v>
      </c>
      <c r="P221" s="44">
        <f t="shared" si="44"/>
        <v>0.10886399999999999</v>
      </c>
      <c r="R221" s="44">
        <f t="shared" si="44"/>
        <v>0.10886399999999999</v>
      </c>
      <c r="S221" s="44">
        <f t="shared" si="44"/>
        <v>0.10886399999999999</v>
      </c>
      <c r="T221" s="44">
        <f t="shared" si="44"/>
        <v>0.10886399999999999</v>
      </c>
      <c r="U221" s="44">
        <f t="shared" si="44"/>
        <v>0.10886399999999999</v>
      </c>
      <c r="X221" s="44">
        <f t="shared" si="44"/>
        <v>0.10886399999999999</v>
      </c>
      <c r="Y221" s="44">
        <f t="shared" si="44"/>
        <v>0.10886399999999999</v>
      </c>
      <c r="Z221" s="44">
        <f t="shared" si="44"/>
        <v>0.10886399999999999</v>
      </c>
      <c r="AA221" s="44">
        <f t="shared" si="44"/>
        <v>0.10886399999999999</v>
      </c>
      <c r="AB221" s="44">
        <f t="shared" si="44"/>
        <v>0.10886399999999999</v>
      </c>
      <c r="AC221" s="44">
        <f t="shared" si="44"/>
        <v>0.10886399999999999</v>
      </c>
      <c r="AD221" s="44">
        <f t="shared" si="44"/>
        <v>0.10886399999999999</v>
      </c>
      <c r="AE221" s="44">
        <f t="shared" si="44"/>
        <v>0.10886399999999999</v>
      </c>
      <c r="AF221" s="44">
        <f t="shared" si="44"/>
        <v>0.10886399999999999</v>
      </c>
      <c r="AG221" s="44">
        <f t="shared" si="44"/>
        <v>0.10886399999999999</v>
      </c>
      <c r="AH221" s="44">
        <f t="shared" si="44"/>
        <v>0.10886399999999999</v>
      </c>
      <c r="AI221"/>
      <c r="AJ221" s="44">
        <f t="shared" si="44"/>
        <v>0.10886399999999999</v>
      </c>
      <c r="AK221" s="44">
        <f t="shared" si="44"/>
        <v>0.10886399999999999</v>
      </c>
      <c r="AL221" s="44">
        <f t="shared" si="44"/>
        <v>0.10886399999999999</v>
      </c>
      <c r="AM221" s="44">
        <f t="shared" si="44"/>
        <v>0.10886399999999999</v>
      </c>
      <c r="AN221" s="44">
        <f t="shared" si="44"/>
        <v>0.10886399999999999</v>
      </c>
      <c r="AO221" s="44">
        <f t="shared" si="44"/>
        <v>0.10886399999999999</v>
      </c>
      <c r="AP221" s="44">
        <f t="shared" si="44"/>
        <v>0.10886399999999999</v>
      </c>
      <c r="AQ221"/>
      <c r="AR221" s="44">
        <f t="shared" si="44"/>
        <v>0.10886399999999999</v>
      </c>
      <c r="AS221" s="44">
        <f t="shared" si="44"/>
        <v>0.10886399999999999</v>
      </c>
      <c r="AT221" s="44">
        <f t="shared" si="44"/>
        <v>0.10886399999999999</v>
      </c>
      <c r="AU221" s="44">
        <f t="shared" si="44"/>
        <v>0.10886399999999999</v>
      </c>
      <c r="AV221"/>
      <c r="AW221" s="44">
        <f t="shared" si="44"/>
        <v>0.10886399999999999</v>
      </c>
      <c r="AX221"/>
      <c r="AY221"/>
      <c r="AZ221" s="44">
        <f t="shared" si="44"/>
        <v>0.10886399999999999</v>
      </c>
      <c r="BA221" s="51"/>
      <c r="BB221" s="51"/>
      <c r="BC221" s="51"/>
      <c r="BD221" s="51"/>
      <c r="BE221" s="51"/>
      <c r="BF221" s="51"/>
      <c r="BG221" s="51"/>
      <c r="BH221" s="51"/>
    </row>
    <row r="222" spans="1:75" ht="14.25" customHeight="1" x14ac:dyDescent="0.25">
      <c r="A222" s="53" t="s">
        <v>533</v>
      </c>
      <c r="B222" s="3" t="s">
        <v>473</v>
      </c>
      <c r="C222" s="3" t="s">
        <v>534</v>
      </c>
      <c r="D222" s="3" t="s">
        <v>537</v>
      </c>
      <c r="E222" s="50" t="s">
        <v>535</v>
      </c>
      <c r="F222" s="50" t="s">
        <v>536</v>
      </c>
      <c r="G222" s="44">
        <v>9.9999999999999995E-8</v>
      </c>
      <c r="H222" s="44">
        <f>G222</f>
        <v>9.9999999999999995E-8</v>
      </c>
      <c r="I222" s="44">
        <v>9.9999999999999995E-8</v>
      </c>
      <c r="J222" s="44">
        <v>9.9999999999999995E-8</v>
      </c>
      <c r="K222" s="44">
        <v>4.9999999999999998E-8</v>
      </c>
      <c r="L222" s="44">
        <v>2E-8</v>
      </c>
      <c r="M222" s="44">
        <v>1E-8</v>
      </c>
      <c r="N222" s="44">
        <v>5.0000000000000001E-9</v>
      </c>
      <c r="O222" s="44">
        <v>2.0000000000000001E-9</v>
      </c>
      <c r="P222" s="44">
        <v>1.0000000000000001E-9</v>
      </c>
      <c r="R222" s="44">
        <v>5.0000000000000003E-10</v>
      </c>
      <c r="S222" s="44">
        <v>5.0000000000000003E-10</v>
      </c>
      <c r="T222" s="44">
        <v>5.0000000000000003E-10</v>
      </c>
      <c r="U222" s="44">
        <v>9.9999999999999995E-8</v>
      </c>
      <c r="X222" s="44">
        <v>4.9999999999999998E-8</v>
      </c>
      <c r="Y222" s="44">
        <v>2E-8</v>
      </c>
      <c r="Z222" s="44">
        <v>1E-8</v>
      </c>
      <c r="AA222" s="44">
        <v>1.0000000000000001E-9</v>
      </c>
      <c r="AB222" s="44">
        <v>1E-8</v>
      </c>
      <c r="AC222" s="44">
        <v>1E-8</v>
      </c>
      <c r="AD222" s="44">
        <v>1E-8</v>
      </c>
      <c r="AE222" s="44">
        <v>1E-8</v>
      </c>
      <c r="AF222" s="44">
        <v>1E-8</v>
      </c>
      <c r="AG222" s="44">
        <v>1E-8</v>
      </c>
      <c r="AH222" s="44">
        <v>1E-8</v>
      </c>
      <c r="AI222"/>
      <c r="AJ222" s="44">
        <v>1.0000000000000001E-9</v>
      </c>
      <c r="AK222" s="44">
        <v>1.0000000000000001E-9</v>
      </c>
      <c r="AL222" s="44">
        <v>1.0000000000000001E-9</v>
      </c>
      <c r="AM222" s="44">
        <v>1.0000000000000001E-9</v>
      </c>
      <c r="AN222" s="44">
        <v>1.0000000000000001E-9</v>
      </c>
      <c r="AO222" s="44">
        <v>1.0000000000000001E-9</v>
      </c>
      <c r="AP222" s="44">
        <v>1.0000000000000001E-9</v>
      </c>
      <c r="AQ222"/>
      <c r="AR222" s="44">
        <v>1E-8</v>
      </c>
      <c r="AS222" s="44">
        <v>1.0000000000000001E-9</v>
      </c>
      <c r="AT222" s="44">
        <v>1E-8</v>
      </c>
      <c r="AU222" s="44">
        <v>1.0000000000000001E-9</v>
      </c>
      <c r="AV222"/>
      <c r="AW222" s="44">
        <v>1.0000000000000001E-9</v>
      </c>
      <c r="AX222"/>
      <c r="AY222"/>
      <c r="AZ222" s="44">
        <v>9.9999999999999995E-8</v>
      </c>
    </row>
    <row r="223" spans="1:75" x14ac:dyDescent="0.25">
      <c r="A223" s="2" t="s">
        <v>539</v>
      </c>
      <c r="B223" s="3" t="s">
        <v>473</v>
      </c>
      <c r="C223" s="3" t="s">
        <v>483</v>
      </c>
      <c r="D223" s="3" t="s">
        <v>537</v>
      </c>
      <c r="E223" s="50" t="s">
        <v>540</v>
      </c>
      <c r="F223" s="50" t="s">
        <v>488</v>
      </c>
      <c r="G223" s="44">
        <v>0.2</v>
      </c>
      <c r="H223" s="44">
        <v>0.2</v>
      </c>
      <c r="I223" s="44">
        <v>0.2</v>
      </c>
      <c r="J223" s="44">
        <v>0.2</v>
      </c>
      <c r="K223" s="44">
        <v>0.2</v>
      </c>
      <c r="L223" s="44">
        <v>0.2</v>
      </c>
      <c r="M223" s="44">
        <v>0.2</v>
      </c>
      <c r="N223" s="44">
        <v>0.2</v>
      </c>
      <c r="O223" s="44">
        <v>0.2</v>
      </c>
      <c r="P223" s="44">
        <v>0.2</v>
      </c>
      <c r="R223" s="44">
        <v>0.2</v>
      </c>
      <c r="S223" s="44">
        <v>0.2</v>
      </c>
      <c r="T223" s="44">
        <v>0.2</v>
      </c>
      <c r="U223" s="44">
        <v>0.2</v>
      </c>
      <c r="X223" s="44">
        <v>0.2</v>
      </c>
      <c r="Y223" s="44">
        <v>0.2</v>
      </c>
      <c r="Z223" s="44">
        <v>0.2</v>
      </c>
      <c r="AA223" s="44">
        <v>0.2</v>
      </c>
      <c r="AB223" s="44">
        <v>0.2</v>
      </c>
      <c r="AC223" s="44">
        <v>0.2</v>
      </c>
      <c r="AD223" s="44">
        <v>0.2</v>
      </c>
      <c r="AE223" s="44">
        <v>0.2</v>
      </c>
      <c r="AF223" s="44">
        <v>0.2</v>
      </c>
      <c r="AG223" s="44">
        <v>0.2</v>
      </c>
      <c r="AH223" s="44">
        <v>0.2</v>
      </c>
      <c r="AI223"/>
      <c r="AJ223" s="44">
        <v>0.2</v>
      </c>
      <c r="AK223" s="44">
        <v>0.2</v>
      </c>
      <c r="AL223" s="44">
        <v>0.2</v>
      </c>
      <c r="AM223" s="44">
        <v>0.2</v>
      </c>
      <c r="AN223" s="44">
        <v>0.2</v>
      </c>
      <c r="AO223" s="44">
        <v>0.2</v>
      </c>
      <c r="AP223" s="44">
        <v>0.2</v>
      </c>
      <c r="AQ223"/>
      <c r="AR223" s="44">
        <v>0.2</v>
      </c>
      <c r="AS223" s="44">
        <v>0.2</v>
      </c>
      <c r="AT223" s="44">
        <v>0.2</v>
      </c>
      <c r="AU223" s="44">
        <v>0.2</v>
      </c>
      <c r="AV223"/>
      <c r="AW223" s="44">
        <v>0.2</v>
      </c>
      <c r="AX223"/>
      <c r="AY223"/>
      <c r="AZ223" s="44">
        <v>0.2</v>
      </c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</row>
    <row r="224" spans="1:75" x14ac:dyDescent="0.25">
      <c r="A224" s="2" t="s">
        <v>541</v>
      </c>
      <c r="B224" s="3" t="s">
        <v>473</v>
      </c>
      <c r="C224" s="3" t="s">
        <v>483</v>
      </c>
      <c r="D224" s="3" t="s">
        <v>537</v>
      </c>
      <c r="E224" s="50" t="s">
        <v>542</v>
      </c>
      <c r="F224" s="50" t="s">
        <v>495</v>
      </c>
      <c r="G224" s="44" t="s">
        <v>485</v>
      </c>
      <c r="H224" s="44" t="s">
        <v>485</v>
      </c>
      <c r="I224" s="44" t="s">
        <v>485</v>
      </c>
      <c r="J224" s="44" t="s">
        <v>485</v>
      </c>
      <c r="K224" s="44" t="s">
        <v>485</v>
      </c>
      <c r="L224" s="44" t="s">
        <v>485</v>
      </c>
      <c r="M224" s="44" t="s">
        <v>485</v>
      </c>
      <c r="N224" s="44" t="s">
        <v>485</v>
      </c>
      <c r="O224" s="44" t="s">
        <v>485</v>
      </c>
      <c r="P224" s="44" t="s">
        <v>485</v>
      </c>
      <c r="R224" s="44" t="s">
        <v>485</v>
      </c>
      <c r="S224" s="44" t="s">
        <v>485</v>
      </c>
      <c r="T224" s="44" t="s">
        <v>485</v>
      </c>
      <c r="U224" s="44" t="s">
        <v>485</v>
      </c>
      <c r="X224" s="44" t="s">
        <v>485</v>
      </c>
      <c r="Y224" s="44" t="s">
        <v>485</v>
      </c>
      <c r="Z224" s="44" t="s">
        <v>485</v>
      </c>
      <c r="AA224" s="44" t="s">
        <v>485</v>
      </c>
      <c r="AB224" s="44" t="s">
        <v>485</v>
      </c>
      <c r="AC224" s="44" t="s">
        <v>485</v>
      </c>
      <c r="AD224" s="44" t="s">
        <v>485</v>
      </c>
      <c r="AE224" s="44" t="s">
        <v>485</v>
      </c>
      <c r="AF224" s="44" t="s">
        <v>485</v>
      </c>
      <c r="AG224" s="44" t="s">
        <v>485</v>
      </c>
      <c r="AH224" s="44" t="s">
        <v>485</v>
      </c>
      <c r="AI224"/>
      <c r="AJ224" s="44" t="s">
        <v>485</v>
      </c>
      <c r="AK224" s="44" t="s">
        <v>485</v>
      </c>
      <c r="AL224" s="44" t="s">
        <v>485</v>
      </c>
      <c r="AM224" s="44" t="s">
        <v>485</v>
      </c>
      <c r="AN224" s="44" t="s">
        <v>485</v>
      </c>
      <c r="AO224" s="44" t="s">
        <v>485</v>
      </c>
      <c r="AP224" s="44" t="s">
        <v>485</v>
      </c>
      <c r="AQ224"/>
      <c r="AR224" s="44" t="s">
        <v>485</v>
      </c>
      <c r="AS224" s="44" t="s">
        <v>485</v>
      </c>
      <c r="AT224" s="44" t="s">
        <v>485</v>
      </c>
      <c r="AU224" s="44" t="s">
        <v>485</v>
      </c>
      <c r="AV224"/>
      <c r="AW224" s="44" t="s">
        <v>485</v>
      </c>
      <c r="AX224"/>
      <c r="AY224"/>
      <c r="AZ224" s="44" t="s">
        <v>485</v>
      </c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</row>
    <row r="225" spans="1:75" x14ac:dyDescent="0.25">
      <c r="A225" s="2" t="s">
        <v>543</v>
      </c>
      <c r="B225" s="3" t="s">
        <v>473</v>
      </c>
      <c r="C225" s="3" t="s">
        <v>483</v>
      </c>
      <c r="D225" s="3" t="s">
        <v>537</v>
      </c>
      <c r="E225" s="50" t="s">
        <v>544</v>
      </c>
      <c r="F225" s="50" t="s">
        <v>495</v>
      </c>
      <c r="G225" s="44">
        <f t="shared" ref="G225:AZ225" si="45">2*0.1</f>
        <v>0.2</v>
      </c>
      <c r="H225" s="44">
        <f t="shared" si="45"/>
        <v>0.2</v>
      </c>
      <c r="I225" s="44">
        <f t="shared" si="45"/>
        <v>0.2</v>
      </c>
      <c r="J225" s="44">
        <f t="shared" si="45"/>
        <v>0.2</v>
      </c>
      <c r="K225" s="44">
        <f t="shared" si="45"/>
        <v>0.2</v>
      </c>
      <c r="L225" s="44">
        <f t="shared" si="45"/>
        <v>0.2</v>
      </c>
      <c r="M225" s="44">
        <f t="shared" si="45"/>
        <v>0.2</v>
      </c>
      <c r="N225" s="44">
        <f t="shared" si="45"/>
        <v>0.2</v>
      </c>
      <c r="O225" s="44">
        <f t="shared" si="45"/>
        <v>0.2</v>
      </c>
      <c r="P225" s="44">
        <f t="shared" si="45"/>
        <v>0.2</v>
      </c>
      <c r="R225" s="44">
        <f t="shared" si="45"/>
        <v>0.2</v>
      </c>
      <c r="S225" s="44">
        <f t="shared" si="45"/>
        <v>0.2</v>
      </c>
      <c r="T225" s="44">
        <f t="shared" si="45"/>
        <v>0.2</v>
      </c>
      <c r="U225" s="44">
        <f t="shared" si="45"/>
        <v>0.2</v>
      </c>
      <c r="X225" s="44">
        <f t="shared" si="45"/>
        <v>0.2</v>
      </c>
      <c r="Y225" s="44">
        <f t="shared" si="45"/>
        <v>0.2</v>
      </c>
      <c r="Z225" s="44">
        <f t="shared" si="45"/>
        <v>0.2</v>
      </c>
      <c r="AA225" s="44">
        <f t="shared" si="45"/>
        <v>0.2</v>
      </c>
      <c r="AB225" s="44">
        <f t="shared" si="45"/>
        <v>0.2</v>
      </c>
      <c r="AC225" s="44">
        <f t="shared" si="45"/>
        <v>0.2</v>
      </c>
      <c r="AD225" s="44">
        <f t="shared" si="45"/>
        <v>0.2</v>
      </c>
      <c r="AE225" s="44">
        <f t="shared" si="45"/>
        <v>0.2</v>
      </c>
      <c r="AF225" s="44">
        <f t="shared" si="45"/>
        <v>0.2</v>
      </c>
      <c r="AG225" s="44">
        <f t="shared" si="45"/>
        <v>0.2</v>
      </c>
      <c r="AH225" s="44">
        <f t="shared" si="45"/>
        <v>0.2</v>
      </c>
      <c r="AI225"/>
      <c r="AJ225" s="44">
        <f t="shared" si="45"/>
        <v>0.2</v>
      </c>
      <c r="AK225" s="44">
        <f t="shared" si="45"/>
        <v>0.2</v>
      </c>
      <c r="AL225" s="44">
        <f t="shared" si="45"/>
        <v>0.2</v>
      </c>
      <c r="AM225" s="44">
        <f t="shared" si="45"/>
        <v>0.2</v>
      </c>
      <c r="AN225" s="44">
        <f t="shared" si="45"/>
        <v>0.2</v>
      </c>
      <c r="AO225" s="44">
        <f t="shared" si="45"/>
        <v>0.2</v>
      </c>
      <c r="AP225" s="44">
        <f t="shared" si="45"/>
        <v>0.2</v>
      </c>
      <c r="AQ225"/>
      <c r="AR225" s="44">
        <f t="shared" si="45"/>
        <v>0.2</v>
      </c>
      <c r="AS225" s="44">
        <f t="shared" si="45"/>
        <v>0.2</v>
      </c>
      <c r="AT225" s="44">
        <f t="shared" si="45"/>
        <v>0.2</v>
      </c>
      <c r="AU225" s="44">
        <f t="shared" si="45"/>
        <v>0.2</v>
      </c>
      <c r="AV225"/>
      <c r="AW225" s="44">
        <f t="shared" si="45"/>
        <v>0.2</v>
      </c>
      <c r="AX225"/>
      <c r="AY225"/>
      <c r="AZ225" s="44">
        <f t="shared" si="45"/>
        <v>0.2</v>
      </c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</row>
    <row r="226" spans="1:75" x14ac:dyDescent="0.25">
      <c r="A226" s="2" t="s">
        <v>545</v>
      </c>
      <c r="B226" s="3" t="s">
        <v>473</v>
      </c>
      <c r="C226" s="3" t="s">
        <v>483</v>
      </c>
      <c r="D226" s="3" t="s">
        <v>537</v>
      </c>
      <c r="E226" s="50" t="s">
        <v>546</v>
      </c>
      <c r="F226" s="50" t="s">
        <v>495</v>
      </c>
      <c r="G226" s="44">
        <v>1E-3</v>
      </c>
      <c r="H226" s="44">
        <v>1E-3</v>
      </c>
      <c r="I226" s="44">
        <v>1E-3</v>
      </c>
      <c r="J226" s="44">
        <v>1E-3</v>
      </c>
      <c r="K226" s="44">
        <v>1E-3</v>
      </c>
      <c r="L226" s="44">
        <v>1E-3</v>
      </c>
      <c r="M226" s="44">
        <v>1E-3</v>
      </c>
      <c r="N226" s="44">
        <v>1E-3</v>
      </c>
      <c r="O226" s="44">
        <v>1E-3</v>
      </c>
      <c r="P226" s="44">
        <v>1E-3</v>
      </c>
      <c r="R226" s="44">
        <v>1E-3</v>
      </c>
      <c r="S226" s="44">
        <v>1E-3</v>
      </c>
      <c r="T226" s="44">
        <v>1E-3</v>
      </c>
      <c r="U226" s="44">
        <v>1E-3</v>
      </c>
      <c r="X226" s="44">
        <v>1E-3</v>
      </c>
      <c r="Y226" s="44">
        <v>1E-3</v>
      </c>
      <c r="Z226" s="44">
        <v>1E-3</v>
      </c>
      <c r="AA226" s="44">
        <v>1E-3</v>
      </c>
      <c r="AB226" s="44">
        <v>1E-3</v>
      </c>
      <c r="AC226" s="44">
        <v>1E-3</v>
      </c>
      <c r="AD226" s="44">
        <v>1E-3</v>
      </c>
      <c r="AE226" s="44">
        <v>1E-3</v>
      </c>
      <c r="AF226" s="44">
        <v>1E-3</v>
      </c>
      <c r="AG226" s="44">
        <v>1E-3</v>
      </c>
      <c r="AH226" s="44">
        <v>1E-3</v>
      </c>
      <c r="AI226"/>
      <c r="AJ226" s="44">
        <v>1E-3</v>
      </c>
      <c r="AK226" s="44">
        <v>1E-3</v>
      </c>
      <c r="AL226" s="44">
        <v>1E-3</v>
      </c>
      <c r="AM226" s="44">
        <v>1E-3</v>
      </c>
      <c r="AN226" s="44">
        <v>1E-3</v>
      </c>
      <c r="AO226" s="44">
        <v>1E-3</v>
      </c>
      <c r="AP226" s="44">
        <v>1E-3</v>
      </c>
      <c r="AQ226"/>
      <c r="AR226" s="44">
        <v>1E-3</v>
      </c>
      <c r="AS226" s="44">
        <v>1E-3</v>
      </c>
      <c r="AT226" s="44">
        <v>1E-3</v>
      </c>
      <c r="AU226" s="44">
        <v>1E-3</v>
      </c>
      <c r="AV226"/>
      <c r="AW226" s="44">
        <v>1E-3</v>
      </c>
      <c r="AX226"/>
      <c r="AY226"/>
      <c r="AZ226" s="44">
        <v>1E-3</v>
      </c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</row>
    <row r="227" spans="1:75" x14ac:dyDescent="0.25">
      <c r="A227" s="2" t="s">
        <v>547</v>
      </c>
      <c r="B227" s="3" t="s">
        <v>473</v>
      </c>
      <c r="C227" s="3" t="s">
        <v>483</v>
      </c>
      <c r="D227" s="3" t="s">
        <v>537</v>
      </c>
      <c r="E227" s="50" t="s">
        <v>548</v>
      </c>
      <c r="F227" s="50" t="s">
        <v>579</v>
      </c>
      <c r="G227" s="44">
        <v>1.0000000000000001E-5</v>
      </c>
      <c r="H227" s="44">
        <v>1.0000000000000001E-5</v>
      </c>
      <c r="I227" s="44">
        <v>1.0000000000000001E-5</v>
      </c>
      <c r="J227" s="44">
        <v>1.0000000000000001E-5</v>
      </c>
      <c r="K227" s="44">
        <v>1.0000000000000001E-5</v>
      </c>
      <c r="L227" s="44">
        <v>1.0000000000000001E-5</v>
      </c>
      <c r="M227" s="44">
        <v>1.0000000000000001E-5</v>
      </c>
      <c r="N227" s="44">
        <v>1.0000000000000001E-5</v>
      </c>
      <c r="O227" s="44">
        <v>1.0000000000000001E-5</v>
      </c>
      <c r="P227" s="44">
        <v>1.0000000000000001E-5</v>
      </c>
      <c r="R227" s="44">
        <v>1.0000000000000001E-5</v>
      </c>
      <c r="S227" s="44">
        <v>1.0000000000000001E-5</v>
      </c>
      <c r="T227" s="44">
        <v>1.0000000000000001E-5</v>
      </c>
      <c r="U227" s="44">
        <v>1.0000000000000001E-5</v>
      </c>
      <c r="X227" s="44">
        <v>1.0000000000000001E-5</v>
      </c>
      <c r="Y227" s="44">
        <v>1.0000000000000001E-5</v>
      </c>
      <c r="Z227" s="44">
        <v>1.0000000000000001E-5</v>
      </c>
      <c r="AA227" s="44">
        <v>1.0000000000000001E-5</v>
      </c>
      <c r="AB227" s="44">
        <v>1.0000000000000001E-5</v>
      </c>
      <c r="AC227" s="44">
        <v>1.0000000000000001E-5</v>
      </c>
      <c r="AD227" s="44">
        <v>1.0000000000000001E-5</v>
      </c>
      <c r="AE227" s="44">
        <v>1.0000000000000001E-5</v>
      </c>
      <c r="AF227" s="44">
        <v>1.0000000000000001E-5</v>
      </c>
      <c r="AG227" s="44">
        <v>1.0000000000000001E-5</v>
      </c>
      <c r="AH227" s="44">
        <v>1.0000000000000001E-5</v>
      </c>
      <c r="AI227"/>
      <c r="AJ227" s="44">
        <v>1.0000000000000001E-5</v>
      </c>
      <c r="AK227" s="44">
        <v>1.0000000000000001E-5</v>
      </c>
      <c r="AL227" s="44">
        <v>1.0000000000000001E-5</v>
      </c>
      <c r="AM227" s="44">
        <v>1.0000000000000001E-5</v>
      </c>
      <c r="AN227" s="44">
        <v>1.0000000000000001E-5</v>
      </c>
      <c r="AO227" s="44">
        <v>1.0000000000000001E-5</v>
      </c>
      <c r="AP227" s="44">
        <v>1.0000000000000001E-5</v>
      </c>
      <c r="AQ227"/>
      <c r="AR227" s="44">
        <v>1.0000000000000001E-5</v>
      </c>
      <c r="AS227" s="44">
        <v>1.0000000000000001E-5</v>
      </c>
      <c r="AT227" s="44">
        <v>1.0000000000000001E-5</v>
      </c>
      <c r="AU227" s="44">
        <v>1.0000000000000001E-5</v>
      </c>
      <c r="AV227"/>
      <c r="AW227" s="44">
        <v>1.0000000000000001E-5</v>
      </c>
      <c r="AX227"/>
      <c r="AY227"/>
      <c r="AZ227" s="44">
        <v>1.0000000000000001E-5</v>
      </c>
      <c r="BA227" s="52"/>
      <c r="BB227" s="52"/>
      <c r="BC227" s="52"/>
      <c r="BD227" s="52"/>
      <c r="BE227" s="52"/>
      <c r="BF227" s="52"/>
      <c r="BG227" s="52"/>
      <c r="BH227" s="52"/>
      <c r="BI227" s="52"/>
      <c r="BJ227" s="52"/>
      <c r="BK227" s="52"/>
      <c r="BL227" s="1"/>
      <c r="BM227" s="52"/>
      <c r="BN227" s="52"/>
      <c r="BO227" s="52"/>
      <c r="BP227" s="52"/>
      <c r="BQ227" s="52"/>
      <c r="BR227" s="52"/>
      <c r="BS227" s="52"/>
      <c r="BT227" s="52"/>
      <c r="BU227" s="52"/>
      <c r="BV227" s="52"/>
      <c r="BW227" s="52"/>
    </row>
    <row r="228" spans="1:75" x14ac:dyDescent="0.25">
      <c r="A228" s="2" t="s">
        <v>577</v>
      </c>
      <c r="B228" s="3" t="s">
        <v>473</v>
      </c>
      <c r="C228" s="3" t="s">
        <v>483</v>
      </c>
      <c r="D228" s="3" t="s">
        <v>537</v>
      </c>
      <c r="E228" s="50" t="s">
        <v>578</v>
      </c>
      <c r="F228" s="50" t="s">
        <v>579</v>
      </c>
      <c r="G228" s="44">
        <v>5.0000000000000001E-9</v>
      </c>
      <c r="H228" s="44">
        <v>5.0000000000000001E-9</v>
      </c>
      <c r="I228" s="44">
        <v>5.0000000000000001E-9</v>
      </c>
      <c r="J228" s="44">
        <v>1.0000000000000001E-9</v>
      </c>
      <c r="K228" s="44">
        <v>1.0000000000000001E-9</v>
      </c>
      <c r="L228" s="44">
        <v>1.0000000000000001E-9</v>
      </c>
      <c r="M228" s="44">
        <v>1.0000000000000001E-9</v>
      </c>
      <c r="N228" s="44">
        <v>1.0000000000000001E-9</v>
      </c>
      <c r="O228" s="44">
        <v>1.0000000000000001E-9</v>
      </c>
      <c r="P228" s="44">
        <v>1.0000000000000001E-9</v>
      </c>
      <c r="R228" s="44">
        <v>1.0000000000000001E-9</v>
      </c>
      <c r="S228" s="44">
        <v>1.0000000000000001E-9</v>
      </c>
      <c r="T228" s="44">
        <v>1.0000000000000001E-9</v>
      </c>
      <c r="U228" s="44">
        <v>1.0000000000000001E-9</v>
      </c>
      <c r="X228" s="44">
        <v>5.0000000000000001E-9</v>
      </c>
      <c r="Y228" s="44">
        <v>5.0000000000000001E-9</v>
      </c>
      <c r="Z228" s="44">
        <v>5.0000000000000001E-9</v>
      </c>
      <c r="AA228" s="44">
        <v>5.0000000000000001E-9</v>
      </c>
      <c r="AB228" s="44">
        <v>5.0000000000000001E-9</v>
      </c>
      <c r="AC228" s="44">
        <v>5.0000000000000001E-9</v>
      </c>
      <c r="AD228" s="44">
        <v>5.0000000000000001E-9</v>
      </c>
      <c r="AE228" s="44">
        <v>5.0000000000000001E-9</v>
      </c>
      <c r="AF228" s="44">
        <v>5.0000000000000001E-9</v>
      </c>
      <c r="AG228" s="44">
        <v>5.0000000000000001E-9</v>
      </c>
      <c r="AH228" s="44">
        <v>5.0000000000000001E-9</v>
      </c>
      <c r="AI228"/>
      <c r="AJ228" s="44">
        <v>5.0000000000000001E-9</v>
      </c>
      <c r="AK228" s="44">
        <v>5.0000000000000001E-9</v>
      </c>
      <c r="AL228" s="44">
        <v>5.0000000000000001E-9</v>
      </c>
      <c r="AM228" s="44">
        <v>5.0000000000000001E-9</v>
      </c>
      <c r="AN228" s="44">
        <v>5.0000000000000001E-9</v>
      </c>
      <c r="AO228" s="44">
        <v>5.0000000000000001E-9</v>
      </c>
      <c r="AP228" s="44">
        <v>5.0000000000000001E-9</v>
      </c>
      <c r="AQ228"/>
      <c r="AR228" s="44">
        <v>1.0000000000000001E-9</v>
      </c>
      <c r="AS228" s="44">
        <v>1.0000000000000001E-9</v>
      </c>
      <c r="AT228" s="44">
        <v>1.0000000000000001E-9</v>
      </c>
      <c r="AU228" s="44">
        <v>1.0000000000000001E-9</v>
      </c>
      <c r="AV228"/>
      <c r="AW228" s="44">
        <v>5.0000000000000001E-9</v>
      </c>
      <c r="AX228"/>
      <c r="AY228"/>
      <c r="AZ228" s="44"/>
      <c r="BA228" s="52"/>
      <c r="BB228" s="52"/>
      <c r="BC228" s="52"/>
      <c r="BD228" s="52"/>
      <c r="BE228" s="52"/>
      <c r="BF228" s="52"/>
      <c r="BG228" s="52"/>
      <c r="BH228" s="52"/>
      <c r="BI228" s="52"/>
      <c r="BJ228" s="52"/>
      <c r="BK228" s="52"/>
      <c r="BL228" s="1"/>
      <c r="BM228" s="52"/>
      <c r="BN228" s="52"/>
      <c r="BO228" s="52"/>
      <c r="BP228" s="52"/>
      <c r="BQ228" s="52"/>
      <c r="BR228" s="52"/>
      <c r="BS228" s="52"/>
      <c r="BT228" s="52"/>
      <c r="BU228" s="52"/>
      <c r="BV228" s="52"/>
      <c r="BW228" s="52"/>
    </row>
    <row r="229" spans="1:75" x14ac:dyDescent="0.25">
      <c r="A229" s="2" t="s">
        <v>556</v>
      </c>
      <c r="B229" s="3" t="s">
        <v>473</v>
      </c>
      <c r="C229" s="3" t="s">
        <v>483</v>
      </c>
      <c r="D229" s="3" t="s">
        <v>537</v>
      </c>
      <c r="E229" s="30" t="s">
        <v>553</v>
      </c>
      <c r="F229" s="30" t="s">
        <v>552</v>
      </c>
      <c r="G229" s="44">
        <f t="shared" ref="G229:AZ230" si="46">0.00002 / 14 / 5</f>
        <v>2.8571428571428575E-7</v>
      </c>
      <c r="H229" s="44">
        <f t="shared" si="46"/>
        <v>2.8571428571428575E-7</v>
      </c>
      <c r="I229" s="44">
        <f t="shared" si="46"/>
        <v>2.8571428571428575E-7</v>
      </c>
      <c r="J229" s="44">
        <f t="shared" si="46"/>
        <v>2.8571428571428575E-7</v>
      </c>
      <c r="K229" s="44">
        <f t="shared" si="46"/>
        <v>2.8571428571428575E-7</v>
      </c>
      <c r="L229" s="44">
        <f t="shared" si="46"/>
        <v>2.8571428571428575E-7</v>
      </c>
      <c r="M229" s="44">
        <f t="shared" si="46"/>
        <v>2.8571428571428575E-7</v>
      </c>
      <c r="N229" s="44">
        <f t="shared" si="46"/>
        <v>2.8571428571428575E-7</v>
      </c>
      <c r="O229" s="44">
        <f t="shared" si="46"/>
        <v>2.8571428571428575E-7</v>
      </c>
      <c r="P229" s="44">
        <f t="shared" si="46"/>
        <v>2.8571428571428575E-7</v>
      </c>
      <c r="R229" s="44">
        <f t="shared" si="46"/>
        <v>2.8571428571428575E-7</v>
      </c>
      <c r="S229" s="44">
        <f t="shared" si="46"/>
        <v>2.8571428571428575E-7</v>
      </c>
      <c r="T229" s="44">
        <f t="shared" si="46"/>
        <v>2.8571428571428575E-7</v>
      </c>
      <c r="U229" s="44">
        <f t="shared" si="46"/>
        <v>2.8571428571428575E-7</v>
      </c>
      <c r="X229" s="44">
        <f t="shared" si="46"/>
        <v>2.8571428571428575E-7</v>
      </c>
      <c r="Y229" s="44">
        <f t="shared" si="46"/>
        <v>2.8571428571428575E-7</v>
      </c>
      <c r="Z229" s="44">
        <f t="shared" si="46"/>
        <v>2.8571428571428575E-7</v>
      </c>
      <c r="AA229" s="44">
        <f t="shared" si="46"/>
        <v>2.8571428571428575E-7</v>
      </c>
      <c r="AB229" s="44">
        <f t="shared" si="46"/>
        <v>2.8571428571428575E-7</v>
      </c>
      <c r="AC229" s="44">
        <f t="shared" si="46"/>
        <v>2.8571428571428575E-7</v>
      </c>
      <c r="AD229" s="44">
        <f t="shared" si="46"/>
        <v>2.8571428571428575E-7</v>
      </c>
      <c r="AE229" s="44">
        <f t="shared" si="46"/>
        <v>2.8571428571428575E-7</v>
      </c>
      <c r="AF229" s="44">
        <f t="shared" si="46"/>
        <v>2.8571428571428575E-7</v>
      </c>
      <c r="AG229" s="44">
        <f t="shared" si="46"/>
        <v>2.8571428571428575E-7</v>
      </c>
      <c r="AH229" s="44">
        <f t="shared" si="46"/>
        <v>2.8571428571428575E-7</v>
      </c>
      <c r="AI229"/>
      <c r="AJ229" s="44">
        <f t="shared" si="46"/>
        <v>2.8571428571428575E-7</v>
      </c>
      <c r="AK229" s="44">
        <f t="shared" si="46"/>
        <v>2.8571428571428575E-7</v>
      </c>
      <c r="AL229" s="44">
        <f t="shared" si="46"/>
        <v>2.8571428571428575E-7</v>
      </c>
      <c r="AM229" s="44">
        <f t="shared" si="46"/>
        <v>2.8571428571428575E-7</v>
      </c>
      <c r="AN229" s="44">
        <f t="shared" si="46"/>
        <v>2.8571428571428575E-7</v>
      </c>
      <c r="AO229" s="44">
        <f t="shared" si="46"/>
        <v>2.8571428571428575E-7</v>
      </c>
      <c r="AP229" s="44">
        <f t="shared" si="46"/>
        <v>2.8571428571428575E-7</v>
      </c>
      <c r="AQ229"/>
      <c r="AR229" s="44">
        <f t="shared" si="46"/>
        <v>2.8571428571428575E-7</v>
      </c>
      <c r="AS229" s="44">
        <f t="shared" si="46"/>
        <v>2.8571428571428575E-7</v>
      </c>
      <c r="AT229" s="44">
        <f t="shared" si="46"/>
        <v>2.8571428571428575E-7</v>
      </c>
      <c r="AU229" s="44">
        <f t="shared" si="46"/>
        <v>2.8571428571428575E-7</v>
      </c>
      <c r="AV229"/>
      <c r="AW229" s="44">
        <f t="shared" si="46"/>
        <v>2.8571428571428575E-7</v>
      </c>
      <c r="AX229"/>
      <c r="AY229"/>
      <c r="AZ229" s="44">
        <f t="shared" si="46"/>
        <v>2.8571428571428575E-7</v>
      </c>
      <c r="BA229" s="1"/>
      <c r="BB229" s="1"/>
      <c r="BC229" s="1"/>
      <c r="BD229" s="1"/>
      <c r="BE229" s="1"/>
      <c r="BF229" s="1"/>
      <c r="BG229" s="1"/>
      <c r="BH229" s="1"/>
    </row>
    <row r="230" spans="1:75" x14ac:dyDescent="0.25">
      <c r="A230" s="2" t="s">
        <v>557</v>
      </c>
      <c r="B230" s="3" t="s">
        <v>473</v>
      </c>
      <c r="C230" s="3" t="s">
        <v>483</v>
      </c>
      <c r="D230" s="3" t="s">
        <v>537</v>
      </c>
      <c r="E230" s="30" t="s">
        <v>553</v>
      </c>
      <c r="F230" s="30" t="s">
        <v>552</v>
      </c>
      <c r="G230" s="44">
        <f t="shared" ref="G230:AW230" si="47">0.00002 / 14 / 5 /10</f>
        <v>2.8571428571428575E-8</v>
      </c>
      <c r="H230" s="44">
        <f t="shared" si="47"/>
        <v>2.8571428571428575E-8</v>
      </c>
      <c r="I230" s="44">
        <f t="shared" si="47"/>
        <v>2.8571428571428575E-8</v>
      </c>
      <c r="J230" s="44">
        <f t="shared" si="47"/>
        <v>2.8571428571428575E-8</v>
      </c>
      <c r="K230" s="44">
        <f t="shared" si="47"/>
        <v>2.8571428571428575E-8</v>
      </c>
      <c r="L230" s="44">
        <f t="shared" si="47"/>
        <v>2.8571428571428575E-8</v>
      </c>
      <c r="M230" s="44">
        <f t="shared" si="47"/>
        <v>2.8571428571428575E-8</v>
      </c>
      <c r="N230" s="44">
        <f t="shared" si="47"/>
        <v>2.8571428571428575E-8</v>
      </c>
      <c r="O230" s="44">
        <f t="shared" si="47"/>
        <v>2.8571428571428575E-8</v>
      </c>
      <c r="P230" s="44">
        <f t="shared" si="47"/>
        <v>2.8571428571428575E-8</v>
      </c>
      <c r="R230" s="44">
        <f t="shared" si="47"/>
        <v>2.8571428571428575E-8</v>
      </c>
      <c r="S230" s="44">
        <f t="shared" si="47"/>
        <v>2.8571428571428575E-8</v>
      </c>
      <c r="T230" s="44">
        <f t="shared" si="47"/>
        <v>2.8571428571428575E-8</v>
      </c>
      <c r="U230" s="44">
        <f t="shared" si="47"/>
        <v>2.8571428571428575E-8</v>
      </c>
      <c r="X230" s="44">
        <f t="shared" si="47"/>
        <v>2.8571428571428575E-8</v>
      </c>
      <c r="Y230" s="44">
        <f t="shared" si="47"/>
        <v>2.8571428571428575E-8</v>
      </c>
      <c r="Z230" s="44">
        <f t="shared" si="47"/>
        <v>2.8571428571428575E-8</v>
      </c>
      <c r="AA230" s="44">
        <f t="shared" si="47"/>
        <v>2.8571428571428575E-8</v>
      </c>
      <c r="AB230" s="44">
        <f t="shared" si="47"/>
        <v>2.8571428571428575E-8</v>
      </c>
      <c r="AC230" s="44">
        <f t="shared" si="47"/>
        <v>2.8571428571428575E-8</v>
      </c>
      <c r="AD230" s="44">
        <f t="shared" si="47"/>
        <v>2.8571428571428575E-8</v>
      </c>
      <c r="AE230" s="44">
        <f t="shared" si="47"/>
        <v>2.8571428571428575E-8</v>
      </c>
      <c r="AF230" s="44">
        <f t="shared" si="47"/>
        <v>2.8571428571428575E-8</v>
      </c>
      <c r="AG230" s="44">
        <f t="shared" si="47"/>
        <v>2.8571428571428575E-8</v>
      </c>
      <c r="AH230" s="44">
        <f t="shared" si="47"/>
        <v>2.8571428571428575E-8</v>
      </c>
      <c r="AI230"/>
      <c r="AJ230" s="44">
        <f t="shared" si="47"/>
        <v>2.8571428571428575E-8</v>
      </c>
      <c r="AK230" s="44">
        <f t="shared" si="47"/>
        <v>2.8571428571428575E-8</v>
      </c>
      <c r="AL230" s="44">
        <f t="shared" si="47"/>
        <v>2.8571428571428575E-8</v>
      </c>
      <c r="AM230" s="44">
        <f t="shared" si="47"/>
        <v>2.8571428571428575E-8</v>
      </c>
      <c r="AN230" s="44">
        <f t="shared" si="47"/>
        <v>2.8571428571428575E-8</v>
      </c>
      <c r="AO230" s="44">
        <f t="shared" si="47"/>
        <v>2.8571428571428575E-8</v>
      </c>
      <c r="AP230" s="44">
        <f t="shared" si="47"/>
        <v>2.8571428571428575E-8</v>
      </c>
      <c r="AQ230"/>
      <c r="AR230" s="44">
        <f t="shared" si="47"/>
        <v>2.8571428571428575E-8</v>
      </c>
      <c r="AS230" s="44">
        <f t="shared" si="47"/>
        <v>2.8571428571428575E-8</v>
      </c>
      <c r="AT230" s="44">
        <f t="shared" si="47"/>
        <v>2.8571428571428575E-8</v>
      </c>
      <c r="AU230" s="44">
        <f t="shared" si="47"/>
        <v>2.8571428571428575E-8</v>
      </c>
      <c r="AV230"/>
      <c r="AW230" s="44">
        <f t="shared" si="47"/>
        <v>2.8571428571428575E-8</v>
      </c>
      <c r="AX230"/>
      <c r="AY230"/>
      <c r="AZ230" s="44">
        <f t="shared" si="46"/>
        <v>2.8571428571428575E-7</v>
      </c>
      <c r="BA230" s="1"/>
      <c r="BB230" s="1"/>
      <c r="BC230" s="1"/>
      <c r="BD230" s="1"/>
      <c r="BE230" s="1"/>
      <c r="BF230" s="1"/>
      <c r="BG230" s="1"/>
      <c r="BH230" s="1"/>
    </row>
  </sheetData>
  <phoneticPr fontId="19" type="noConversion"/>
  <conditionalFormatting sqref="T20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AA2 AZ2 G2:P2 R2:U2">
    <cfRule type="colorScale" priority="28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:AA3 AZ3 G3:P3 R3:U3">
    <cfRule type="colorScale" priority="28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:AA4 AZ4 G4:P4 R4:U4">
    <cfRule type="colorScale" priority="28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:AA5 AZ5 G5:P5 R5:U5">
    <cfRule type="colorScale" priority="28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:AA6 AZ6 G6:P6 R6:U6">
    <cfRule type="colorScale" priority="28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AA7 AZ7 G7:P7 R7:U7">
    <cfRule type="colorScale" priority="28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:AA8 AZ8 G8:P8 R8:U8">
    <cfRule type="colorScale" priority="28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:AA9 AZ9 G9:P9 R9:U9">
    <cfRule type="colorScale" priority="28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:AA10 AZ10 G10:P10 R10:U10">
    <cfRule type="colorScale" priority="28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:AA11 AZ11 G11:P11 R11:U11">
    <cfRule type="colorScale" priority="28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:AA12 AZ12 G12:P12 R12:U12">
    <cfRule type="colorScale" priority="28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:AA13 AZ13 G13:P13 R13:U13">
    <cfRule type="colorScale" priority="28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:AA14 AZ14 G14:P14 R14:U14">
    <cfRule type="colorScale" priority="28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:AA15 AZ15 G15:P15 R15:U15">
    <cfRule type="colorScale" priority="28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:AA16 AZ16 G16:P16 R16:U16">
    <cfRule type="colorScale" priority="28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:AA17 AZ17 G17:P17 R17:U17">
    <cfRule type="colorScale" priority="28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:AA18 AZ18 G18:P18 R18:U18">
    <cfRule type="colorScale" priority="28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:AA19 AZ19 G19:P19 R19:U19">
    <cfRule type="colorScale" priority="28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:AA20 AZ20 G20:P20 R20:U20">
    <cfRule type="colorScale" priority="28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:AA21 AZ21 G21:P21 R21:U21">
    <cfRule type="colorScale" priority="28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4:AA24 AZ24 G24:P24 R24:U24">
    <cfRule type="colorScale" priority="28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:AA25 AZ25 G25:P25 R25:U25">
    <cfRule type="colorScale" priority="28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:AA26 AZ26 G26:P26 R26:U26">
    <cfRule type="colorScale" priority="28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7:AA27 AZ27 G27:P27 R27:U27">
    <cfRule type="colorScale" priority="28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8:AA28 AZ28 G28:P28 R28:U28">
    <cfRule type="colorScale" priority="28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:AA29 AZ29 G29:P29 R29:U29">
    <cfRule type="colorScale" priority="28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:AA30 AZ30 G30:P30 R30:U30">
    <cfRule type="colorScale" priority="28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1:AA31 AZ31 G31:P31 R31:U31">
    <cfRule type="colorScale" priority="28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2:AA32 AZ32 G32:P32 R32:U32">
    <cfRule type="colorScale" priority="2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:AA33 AZ33 G33:P33 R33:U33">
    <cfRule type="colorScale" priority="28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4:AA34 AZ34 G34:P34 R34:U34">
    <cfRule type="colorScale" priority="28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5:AA35 AZ35 G35:P35 R35:U35">
    <cfRule type="colorScale" priority="28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6:AA36 AZ36 G36:P36 R36:U36">
    <cfRule type="colorScale" priority="28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7:AA37 AZ37 G37:P37 R37:U37">
    <cfRule type="colorScale" priority="28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:AA38 AZ38 G38:P38 R38:U38">
    <cfRule type="colorScale" priority="28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9:AA39 AZ39 G39:P39 R39:U39">
    <cfRule type="colorScale" priority="28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0:AA40 AZ40 G40:P40 R40:U40">
    <cfRule type="colorScale" priority="28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1:AA41 AZ41 G41:P41 R41:U41">
    <cfRule type="colorScale" priority="28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AA42 AZ42 G42:P42 R42:U42">
    <cfRule type="colorScale" priority="28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:AA43 AZ43 G43:P43 R43:U43">
    <cfRule type="colorScale" priority="29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4:AA44 AZ44 G44:P44 R44:U44">
    <cfRule type="colorScale" priority="29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5:AA45 AZ45 G45:P45 R45:U45">
    <cfRule type="colorScale" priority="29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:AA46 AZ46 G46:P46 R46:U46">
    <cfRule type="colorScale" priority="29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:AA47 AZ47 G47:P47 R47:U47">
    <cfRule type="colorScale" priority="29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8:AA48 AZ48 G48:P48 R48:U48">
    <cfRule type="colorScale" priority="29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AA49 AZ49 G49:P49 R49:U49">
    <cfRule type="colorScale" priority="29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:AA50 AZ50 G50:P50 R50:U50">
    <cfRule type="colorScale" priority="29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:AA51 AZ51 G51:P51 R51:U51">
    <cfRule type="colorScale" priority="29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2:AA52 AZ52 G52:P52 R52:U52">
    <cfRule type="colorScale" priority="29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3:AA53 AZ53 G53:P53 R53:U53">
    <cfRule type="colorScale" priority="29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:AA54 AZ54 G54:P54 R54:U54">
    <cfRule type="colorScale" priority="29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:AA55 AZ55 G55:P55 R55:U55">
    <cfRule type="colorScale" priority="29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6:AA56 AZ56 G56:P56 R56:U56">
    <cfRule type="colorScale" priority="2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7:AA57 AZ57 G57:P57 R57:U57">
    <cfRule type="colorScale" priority="29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8:AA58 AZ58 G58:P58 R58:U58">
    <cfRule type="colorScale" priority="29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:AA59 AZ59 G59:P59 R59:U59">
    <cfRule type="colorScale" priority="29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0:AA60 AZ60 G60:P60 R60:U60">
    <cfRule type="colorScale" priority="29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1:AA61 AZ61 G61:P61 R61:U61">
    <cfRule type="colorScale" priority="29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2:AA62 AZ62 G62:P62 R62:U62">
    <cfRule type="colorScale" priority="29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3:AA63 AZ63 G63:P63 R63:U63">
    <cfRule type="colorScale" priority="29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4:AA64 AZ64 G64:P64 R64:U64">
    <cfRule type="colorScale" priority="29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5:AA65 AZ65 G65:P65 R65:U65">
    <cfRule type="colorScale" priority="29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6:AA66 AZ66 G66:P66 R66:U66">
    <cfRule type="colorScale" priority="29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7:AA67 AZ67 G67:P67 R67:U67">
    <cfRule type="colorScale" priority="29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8:AA68 AZ68 G68:P68 R68:U68">
    <cfRule type="colorScale" priority="29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69:AA69 AZ69 G69:P69 R69:U69">
    <cfRule type="colorScale" priority="29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0:AA70 AZ70 G70:P70 R70:U70">
    <cfRule type="colorScale" priority="29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1:AA71 AZ71 G71:P71 R71:U71">
    <cfRule type="colorScale" priority="29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2:AA72 AZ72 G72:P72 R72:U72">
    <cfRule type="colorScale" priority="2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3:AA73 AZ73 G73:P73 R73:U73">
    <cfRule type="colorScale" priority="29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4:AA74 AZ74 G74:P74 R74:U74">
    <cfRule type="colorScale" priority="2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5:AA75 AZ75 G75:P75 R75:U75">
    <cfRule type="colorScale" priority="29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6:AA76 AZ76 G76:P76 R76:U76">
    <cfRule type="colorScale" priority="2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7:AA77 AZ77 G77:P77 R77:U77">
    <cfRule type="colorScale" priority="29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8:AA78 AZ78 G78:P78 R78:U78">
    <cfRule type="colorScale" priority="2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9:AA79 AZ79 G79:P79 R79:U79">
    <cfRule type="colorScale" priority="29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0:AA80 AZ80 G80:P80 R80:U80">
    <cfRule type="colorScale" priority="29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1:AA81 AZ81 G81:P81 R81:U81">
    <cfRule type="colorScale" priority="29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2:AA82 AZ82 G82:P82 R82:U82">
    <cfRule type="colorScale" priority="29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3:AA83 AZ83 G83:P83 R83:U83">
    <cfRule type="colorScale" priority="29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4:AA84 AZ84 G84:P84 R84:U84">
    <cfRule type="colorScale" priority="29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5:AA85 AZ85 G85:P85 R85:U85">
    <cfRule type="colorScale" priority="29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6:AA86 AZ86 G86:P86 R86:U86">
    <cfRule type="colorScale" priority="29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7:AA87 AZ87 G87:P87 R87:U87">
    <cfRule type="colorScale" priority="29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:AA88 AZ88 G88:P88 R88:U88">
    <cfRule type="colorScale" priority="29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9:AA89 AZ89 G89:P89 R89:U89">
    <cfRule type="colorScale" priority="29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0:AA90 AZ90 G90:P90 R90:U90">
    <cfRule type="colorScale" priority="29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1:AA91 AZ91 G91:P91 R91:U91">
    <cfRule type="colorScale" priority="29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2:AA92 AZ92 G92:P92 R92:U92">
    <cfRule type="colorScale" priority="2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3:AA93 AZ93 G93:P93 R93:U93">
    <cfRule type="colorScale" priority="29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4:AA94 AZ94 G94:P94 R94:U94">
    <cfRule type="colorScale" priority="3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5:AA95 AZ95 G95:P95 R95:U95">
    <cfRule type="colorScale" priority="30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6:AA96 AZ96 G96:P96 R96:U96">
    <cfRule type="colorScale" priority="30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7:AA97 AZ97 G97:P97 R97:U97">
    <cfRule type="colorScale" priority="30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8:AA98 AZ98 G98:P98 R98:U98">
    <cfRule type="colorScale" priority="3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99:AA99 AZ99 G99:P99 R99:U99">
    <cfRule type="colorScale" priority="30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:AA100 AZ100 G100:P100 R100:U100">
    <cfRule type="colorScale" priority="3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1:AA101 AZ101 G101:P101 R101:U101">
    <cfRule type="colorScale" priority="30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2:AA102 AZ102 G102:P102 R102:U102">
    <cfRule type="colorScale" priority="30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3:AA103 AZ103 G103:P103 R103:U103">
    <cfRule type="colorScale" priority="30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4:AA104 AZ104 G104:P104 R104:U104">
    <cfRule type="colorScale" priority="30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5:AA105 AZ105 G105:P105 R105:U105">
    <cfRule type="colorScale" priority="30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6:AA106 AZ106 G106:P106 R106:U106">
    <cfRule type="colorScale" priority="3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7:AA107 AZ107 G107:P107 R107:U107">
    <cfRule type="colorScale" priority="30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8:AA108 AZ108 G108:P108 R108:U108">
    <cfRule type="colorScale" priority="30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9:AA109 AZ109 G109:P109 R109:U109">
    <cfRule type="colorScale" priority="3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0:AA110 AZ110 G110:P110 R110:U110">
    <cfRule type="colorScale" priority="3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1:AA111 AZ111 G111:P111 R111:U111">
    <cfRule type="colorScale" priority="30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2:AA112 AZ112 G112:P112 R112:U112">
    <cfRule type="colorScale" priority="3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3:AA113 AZ113 G113:P113 R113:U113">
    <cfRule type="colorScale" priority="3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4:AA114 AZ114 G114:P114 R114:U114">
    <cfRule type="colorScale" priority="30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5:AA115 AZ115 G115:P115 R115:U115">
    <cfRule type="colorScale" priority="30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6:AA116 AZ116 G116:P116 R116:U116">
    <cfRule type="colorScale" priority="3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7:AA117 AZ117 G117:P117 R117:U117">
    <cfRule type="colorScale" priority="3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8:AA118 AZ118 G118:P118 R118:U118">
    <cfRule type="colorScale" priority="3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19:AA119 AZ119 G119:P119 R119:U119">
    <cfRule type="colorScale" priority="3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0:AA120 AZ120 G120:P120 R120:U120">
    <cfRule type="colorScale" priority="30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1:AA121 AZ121 G121:P121 R121:U121">
    <cfRule type="colorScale" priority="3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2:AA122 AZ122 G122:P122 R122:U122">
    <cfRule type="colorScale" priority="3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3:AA123 AZ123 G123:P123 R123:U123">
    <cfRule type="colorScale" priority="3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4:AA124 AZ124 G124:P124 R124:U124">
    <cfRule type="colorScale" priority="3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5:AA125 AZ125 G125:P125 R125:U125">
    <cfRule type="colorScale" priority="30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6:AA126 AZ126 G126:P126 R126:U126">
    <cfRule type="colorScale" priority="3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7:AA127 AZ127 G127:P127 R127:U127">
    <cfRule type="colorScale" priority="3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8:AA128 AZ128 G128:P128 R128:U128">
    <cfRule type="colorScale" priority="3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AA129 AZ129 G129:P129 R129:U129">
    <cfRule type="colorScale" priority="30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0:AA130 AZ130 G130:P130 R130:U130">
    <cfRule type="colorScale" priority="3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1:AA131 AZ131 G131:P131 R131:U131">
    <cfRule type="colorScale" priority="3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2:AA132 AZ132 G132:P132 R132:U132">
    <cfRule type="colorScale" priority="3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3:AA133 AZ133 G133:P133 R133:U133">
    <cfRule type="colorScale" priority="3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4:AA134 AZ134 G134:P134 R134:U134">
    <cfRule type="colorScale" priority="30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5:AA135 AZ135 G135:P135 R135:U135">
    <cfRule type="colorScale" priority="30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6:AA136 AZ136 G136:P136 R136:U136">
    <cfRule type="colorScale" priority="3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7:AA137 AZ137 G137:P137 R137:U137">
    <cfRule type="colorScale" priority="30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8:AA138 AZ138 G138:P138 R138:U138">
    <cfRule type="colorScale" priority="3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39:AA139 AZ139 G139:P139 R139:U139">
    <cfRule type="colorScale" priority="3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0:AA140 AZ140 G140:P140 R140:U140">
    <cfRule type="colorScale" priority="30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1:AA141 AZ141 G141:P141 R141:U141">
    <cfRule type="colorScale" priority="30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2:AA142 AZ142 G142:P142 R142:U142">
    <cfRule type="colorScale" priority="30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3:AA143 AZ143 G143:P143 R143:U143">
    <cfRule type="colorScale" priority="31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4:AA144 AZ144 G144:P144 R144:U144">
    <cfRule type="colorScale" priority="31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5:AA145 AZ145 G145:P145 R145:U145">
    <cfRule type="colorScale" priority="3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6:AA146 AZ146 G146:P146 R146:U146">
    <cfRule type="colorScale" priority="31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7:AA147 AZ147 G147:P147 R147:U147">
    <cfRule type="colorScale" priority="3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8:AA148 AZ148 G148:P148 R148:U148">
    <cfRule type="colorScale" priority="3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49:AA149 AZ149 G149:P149 R149:U149">
    <cfRule type="colorScale" priority="3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0:AA150 AZ150 G150:P150 R150:U150">
    <cfRule type="colorScale" priority="3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1:AA151 AZ151 G151:P151 R151:U151">
    <cfRule type="colorScale" priority="31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2:AA152 AZ152 G152:P152 R152:U152">
    <cfRule type="colorScale" priority="3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3:AA153 AZ153 G153:P153 R153:U153">
    <cfRule type="colorScale" priority="3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4:AA154 AZ154 G154:P154 R154:U154">
    <cfRule type="colorScale" priority="3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5:AA155 AZ155 G155:P155 R155:U155">
    <cfRule type="colorScale" priority="3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6:AA156 AZ156 G156:P156 R156:U156">
    <cfRule type="colorScale" priority="3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7:AA157 AZ157 G157:P157 R157:U157">
    <cfRule type="colorScale" priority="31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8:AA158 AZ158 G158:P158 R158:U158">
    <cfRule type="colorScale" priority="3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59:AA159 AZ159 G159:P159 R159:U159">
    <cfRule type="colorScale" priority="3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0:AA160 AZ160 G160:P160 R160:U160">
    <cfRule type="colorScale" priority="3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1:AA161 AZ161 G161:P161 R161:U161">
    <cfRule type="colorScale" priority="3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2:AA162 AZ162 G162:P162 R162:U162">
    <cfRule type="colorScale" priority="3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3:AA163 AZ163 G163:P163 R163:U163">
    <cfRule type="colorScale" priority="31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4:AA164 AZ164 G164:P164 R164:U164">
    <cfRule type="colorScale" priority="3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5:AA165 AZ165 G165:P165 R165:U165">
    <cfRule type="colorScale" priority="3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6:AA166 AZ166 G166:P166 R166:U166">
    <cfRule type="colorScale" priority="3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7:AA167 AZ167 G167:P167 R167:U167">
    <cfRule type="colorScale" priority="31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8:AA168 AZ168 G168:P168 R168:U168">
    <cfRule type="colorScale" priority="3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69:AA169 AZ169 G169:P169 R169:U169">
    <cfRule type="colorScale" priority="3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AA170 AZ170 G170:P170 R170:U170">
    <cfRule type="colorScale" priority="3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1:AA171 AZ171 G171:P171 R171:U171">
    <cfRule type="colorScale" priority="3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2:AA172 AZ172 G172:P172 R172:U172">
    <cfRule type="colorScale" priority="3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3:AA173 AZ173 G173:P173 R173:U173">
    <cfRule type="colorScale" priority="3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4:AA174 AZ174 G174:P174 R174:U174">
    <cfRule type="colorScale" priority="3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5:AA175 AZ175 G175:P175 R175:U175">
    <cfRule type="colorScale" priority="3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6:AA176 AZ176 G176:P176 R176:U176">
    <cfRule type="colorScale" priority="3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7:AA177 AZ177 G177:P177 R177:U177">
    <cfRule type="colorScale" priority="3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8:AA178 AZ178 G178:P178 R178:U178">
    <cfRule type="colorScale" priority="3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9:AA179 AZ179 G179:P179 R179:U179">
    <cfRule type="colorScale" priority="3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0:AA180 AZ180 G180:P180 R180:U180">
    <cfRule type="colorScale" priority="31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1:AA181 AZ181 G181:P181 R181:U181">
    <cfRule type="colorScale" priority="3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2:AA182 AZ182 G182:P182 R182:U182">
    <cfRule type="colorScale" priority="3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3:AA183 AZ183 G183:P183 R183:U183">
    <cfRule type="colorScale" priority="3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4:AA184 AZ184 G184:P184 R184:U184">
    <cfRule type="colorScale" priority="3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5:AA185 AZ185 G185:P185 R185:U185">
    <cfRule type="colorScale" priority="3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6:AA186 AZ186 G186:P186 R186:U186">
    <cfRule type="colorScale" priority="3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7:AA187 AZ187 G187:P187 R187:U187">
    <cfRule type="colorScale" priority="3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8:AA188 AZ188 G188:P188 R188:U188">
    <cfRule type="colorScale" priority="3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89:AA189 AZ189 G189:P189 R189:U189">
    <cfRule type="colorScale" priority="3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0:AA190 AZ190 G190:P190 R190:U190">
    <cfRule type="colorScale" priority="3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1:AA191 AZ191 G191:P191 R191:U191">
    <cfRule type="colorScale" priority="3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2:AA192 AZ192 G192:P192 R192:U192">
    <cfRule type="colorScale" priority="3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3:AA193 AZ193 G193:P193 R193:U193">
    <cfRule type="colorScale" priority="3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4:AA194 AZ194 G194:P194 R194:U194">
    <cfRule type="colorScale" priority="3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5:AA195 AZ195 G195:P195 R195:U195">
    <cfRule type="colorScale" priority="3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6:AA196 AZ196 G196:P196 R196:U196">
    <cfRule type="colorScale" priority="3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7:AA197 AZ197 G197:P197 R197:U197">
    <cfRule type="colorScale" priority="32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8:AA198 AZ198 G198:P198 R198:U198">
    <cfRule type="colorScale" priority="32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99:AA199 AZ199 G199:P199 R199:U199">
    <cfRule type="colorScale" priority="32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0:AA200 AZ200 G200:P200 R200:U200">
    <cfRule type="colorScale" priority="32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1:AA201 AZ201 G201:P201 R201:U201">
    <cfRule type="colorScale" priority="3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2:AA202 AZ202 G202:P202 R202:U202">
    <cfRule type="colorScale" priority="3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3:AA203 AZ203 G203:P203 R203:U203">
    <cfRule type="colorScale" priority="3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4:AA204 AZ204 G204:P204 R204:U204">
    <cfRule type="colorScale" priority="3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5:AA205 AZ205 G205:P205 R205:U205">
    <cfRule type="colorScale" priority="3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6:AA206 AZ206 G206:P206 R206:U206">
    <cfRule type="colorScale" priority="32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7:AA207 AZ207 G207:P207 R207:U207">
    <cfRule type="colorScale" priority="3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8:AA208 AZ208 G208:P208 R208:S208">
    <cfRule type="colorScale" priority="32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09:AA209 AZ209 G209:P209 R209:S209">
    <cfRule type="colorScale" priority="32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0:AA210 AZ210 G210:P210 R210:S210">
    <cfRule type="colorScale" priority="3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1:AA211 AZ211 G211:P211 R211:S211">
    <cfRule type="colorScale" priority="3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:AA212 AZ212 G212:P212 R212:U212">
    <cfRule type="colorScale" priority="32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3:AA213 AZ213 G213:P213 R213:U213">
    <cfRule type="colorScale" priority="3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4:AA214 AZ214 G214:P214 R214:U214">
    <cfRule type="colorScale" priority="3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5:AA215 AZ215 G215:P215 R215:U215">
    <cfRule type="colorScale" priority="3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6:AA216 AZ216 G216:P216 R216:U216">
    <cfRule type="colorScale" priority="3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7:AA217 AZ217 G217:P217 R217:U217">
    <cfRule type="colorScale" priority="3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8:AA218 AZ218 G218:P218 R218:U218">
    <cfRule type="colorScale" priority="3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9:AA219 AZ219 G219:P219 R219:U219">
    <cfRule type="colorScale" priority="32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0:AA220 AZ220 G220:P220 R220:U220">
    <cfRule type="colorScale" priority="32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1:AA221 AZ221 G221:P221 R221:U221">
    <cfRule type="colorScale" priority="3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2:AA222 AZ222 G222:P222 R222:U222">
    <cfRule type="colorScale" priority="3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:AB23">
    <cfRule type="colorScale" priority="10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3:AB227">
    <cfRule type="colorScale" priority="1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8"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9:AB230">
    <cfRule type="colorScale" priority="1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:AH2">
    <cfRule type="colorScale" priority="10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:AH3">
    <cfRule type="colorScale" priority="10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:AH4">
    <cfRule type="colorScale" priority="10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H5">
    <cfRule type="colorScale" priority="10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:AH6">
    <cfRule type="colorScale" priority="10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:AH7">
    <cfRule type="colorScale" priority="10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:AH8">
    <cfRule type="colorScale" priority="10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:AH9">
    <cfRule type="colorScale" priority="1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:AH10">
    <cfRule type="colorScale" priority="10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:AH11">
    <cfRule type="colorScale" priority="1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:AH12">
    <cfRule type="colorScale" priority="10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:AH13">
    <cfRule type="colorScale" priority="10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:AH14">
    <cfRule type="colorScale" priority="10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:AH15">
    <cfRule type="colorScale" priority="10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:AH16">
    <cfRule type="colorScale" priority="10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:AH17">
    <cfRule type="colorScale" priority="10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:AH18">
    <cfRule type="colorScale" priority="10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:AH19">
    <cfRule type="colorScale" priority="1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:AH20">
    <cfRule type="colorScale" priority="10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:AH21">
    <cfRule type="colorScale" priority="10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4:AH24">
    <cfRule type="colorScale" priority="1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:AH25">
    <cfRule type="colorScale" priority="10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6:AH26">
    <cfRule type="colorScale" priority="1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7:AH27">
    <cfRule type="colorScale" priority="10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8:AH28">
    <cfRule type="colorScale" priority="1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:AH29">
    <cfRule type="colorScale" priority="10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0:AH30">
    <cfRule type="colorScale" priority="1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1:AH31">
    <cfRule type="colorScale" priority="10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2:AH32">
    <cfRule type="colorScale" priority="1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:AH33">
    <cfRule type="colorScale" priority="10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4:AH34">
    <cfRule type="colorScale" priority="1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5:AH35">
    <cfRule type="colorScale" priority="11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6:AH36">
    <cfRule type="colorScale" priority="1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7:AH37">
    <cfRule type="colorScale" priority="1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:AH38">
    <cfRule type="colorScale" priority="11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9:AH39">
    <cfRule type="colorScale" priority="11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0:AH40">
    <cfRule type="colorScale" priority="11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1:AH41">
    <cfRule type="colorScale" priority="1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:AH42">
    <cfRule type="colorScale" priority="11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3:AH43">
    <cfRule type="colorScale" priority="11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4:AH44">
    <cfRule type="colorScale" priority="1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5:AH45">
    <cfRule type="colorScale" priority="11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:AH46">
    <cfRule type="colorScale" priority="1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7:AH47">
    <cfRule type="colorScale" priority="1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8:AH48">
    <cfRule type="colorScale" priority="1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9:AH49">
    <cfRule type="colorScale" priority="1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:AH50">
    <cfRule type="colorScale" priority="1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1:AH51">
    <cfRule type="colorScale" priority="11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2:AH52">
    <cfRule type="colorScale" priority="1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3:AH53">
    <cfRule type="colorScale" priority="1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:AH54">
    <cfRule type="colorScale" priority="1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5:AH55">
    <cfRule type="colorScale" priority="1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6:AH56">
    <cfRule type="colorScale" priority="1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7:AH57">
    <cfRule type="colorScale" priority="1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8:AH58">
    <cfRule type="colorScale" priority="1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:AH59">
    <cfRule type="colorScale" priority="1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0:AH60">
    <cfRule type="colorScale" priority="1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1:AH61">
    <cfRule type="colorScale" priority="1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2:AH62">
    <cfRule type="colorScale" priority="11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3:AH63">
    <cfRule type="colorScale" priority="1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4:AH64">
    <cfRule type="colorScale" priority="1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5:AH65">
    <cfRule type="colorScale" priority="11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6:AH66">
    <cfRule type="colorScale" priority="1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7:AH67">
    <cfRule type="colorScale" priority="11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8:AH68">
    <cfRule type="colorScale" priority="11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69:AH69">
    <cfRule type="colorScale" priority="11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0:AH70">
    <cfRule type="colorScale" priority="1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1:AH71">
    <cfRule type="colorScale" priority="1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2:AH72">
    <cfRule type="colorScale" priority="1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3:AH73">
    <cfRule type="colorScale" priority="11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4:AH74">
    <cfRule type="colorScale" priority="1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5:AH75">
    <cfRule type="colorScale" priority="1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6:AH76">
    <cfRule type="colorScale" priority="1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7:AH77">
    <cfRule type="colorScale" priority="1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8:AH78">
    <cfRule type="colorScale" priority="1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79:AH79">
    <cfRule type="colorScale" priority="11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0:AH80">
    <cfRule type="colorScale" priority="1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1:AH81">
    <cfRule type="colorScale" priority="11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2:AH82">
    <cfRule type="colorScale" priority="1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3:AH83">
    <cfRule type="colorScale" priority="11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4:AH84">
    <cfRule type="colorScale" priority="1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5:AH85">
    <cfRule type="colorScale" priority="12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6:AH86">
    <cfRule type="colorScale" priority="1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7:AH87">
    <cfRule type="colorScale" priority="1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:AH88">
    <cfRule type="colorScale" priority="1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9:AH89">
    <cfRule type="colorScale" priority="1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0:AH90">
    <cfRule type="colorScale" priority="1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1:AH91">
    <cfRule type="colorScale" priority="1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2:AH92">
    <cfRule type="colorScale" priority="1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3:AH93">
    <cfRule type="colorScale" priority="1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4:AH94">
    <cfRule type="colorScale" priority="1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5:AH95">
    <cfRule type="colorScale" priority="1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6:AH96">
    <cfRule type="colorScale" priority="1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7:AH97">
    <cfRule type="colorScale" priority="12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8:AH98">
    <cfRule type="colorScale" priority="1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99:AH99">
    <cfRule type="colorScale" priority="1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:AH100">
    <cfRule type="colorScale" priority="1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1:AH101">
    <cfRule type="colorScale" priority="1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2:AH102">
    <cfRule type="colorScale" priority="1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3:AH103">
    <cfRule type="colorScale" priority="12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4:AH104">
    <cfRule type="colorScale" priority="12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5:AH105">
    <cfRule type="colorScale" priority="1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6:AH106">
    <cfRule type="colorScale" priority="1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7:AH107">
    <cfRule type="colorScale" priority="12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8:AH108">
    <cfRule type="colorScale" priority="1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9:AH109">
    <cfRule type="colorScale" priority="1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0:AH110">
    <cfRule type="colorScale" priority="1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1:AH111">
    <cfRule type="colorScale" priority="12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2:AH112">
    <cfRule type="colorScale" priority="1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3:AH113">
    <cfRule type="colorScale" priority="1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4:AH114">
    <cfRule type="colorScale" priority="12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5:AH115">
    <cfRule type="colorScale" priority="1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6:AH116">
    <cfRule type="colorScale" priority="1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7:AH117">
    <cfRule type="colorScale" priority="12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8:AH118">
    <cfRule type="colorScale" priority="1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19:AH119">
    <cfRule type="colorScale" priority="12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0:AH120">
    <cfRule type="colorScale" priority="12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1:AH121">
    <cfRule type="colorScale" priority="1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2:AH122">
    <cfRule type="colorScale" priority="1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3:AH123">
    <cfRule type="colorScale" priority="12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4:AH124">
    <cfRule type="colorScale" priority="1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5:AH125">
    <cfRule type="colorScale" priority="12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6:AH126">
    <cfRule type="colorScale" priority="1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7:AH127">
    <cfRule type="colorScale" priority="1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8:AH128">
    <cfRule type="colorScale" priority="1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H129">
    <cfRule type="colorScale" priority="12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0:AH130">
    <cfRule type="colorScale" priority="1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1:AH131">
    <cfRule type="colorScale" priority="1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2:AH132">
    <cfRule type="colorScale" priority="1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3:AH133">
    <cfRule type="colorScale" priority="13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4:AH134">
    <cfRule type="colorScale" priority="1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5:AH135">
    <cfRule type="colorScale" priority="13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6:AH136">
    <cfRule type="colorScale" priority="1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7:AH137">
    <cfRule type="colorScale" priority="13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8:AH138">
    <cfRule type="colorScale" priority="1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39:AH139">
    <cfRule type="colorScale" priority="13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0:AH140">
    <cfRule type="colorScale" priority="1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1:AH141">
    <cfRule type="colorScale" priority="13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2:AH142">
    <cfRule type="colorScale" priority="13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3:AH143">
    <cfRule type="colorScale" priority="13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4:AH144">
    <cfRule type="colorScale" priority="1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5:AH145">
    <cfRule type="colorScale" priority="13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6:AH146">
    <cfRule type="colorScale" priority="1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7:AH147">
    <cfRule type="colorScale" priority="1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8:AH148">
    <cfRule type="colorScale" priority="1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49:AH149">
    <cfRule type="colorScale" priority="1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0:AH150">
    <cfRule type="colorScale" priority="13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1:AH151">
    <cfRule type="colorScale" priority="13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2:AH152">
    <cfRule type="colorScale" priority="1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3:AH153">
    <cfRule type="colorScale" priority="1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4:AH154">
    <cfRule type="colorScale" priority="1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5:AH155">
    <cfRule type="colorScale" priority="13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6:AH156">
    <cfRule type="colorScale" priority="1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7:AH157">
    <cfRule type="colorScale" priority="13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8:AH158">
    <cfRule type="colorScale" priority="13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59:AH159">
    <cfRule type="colorScale" priority="13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0:AH160">
    <cfRule type="colorScale" priority="13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1:AH161">
    <cfRule type="colorScale" priority="13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2:AH162">
    <cfRule type="colorScale" priority="1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3:AH163">
    <cfRule type="colorScale" priority="1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4:AH164">
    <cfRule type="colorScale" priority="1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5:AH165">
    <cfRule type="colorScale" priority="13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6:AH166">
    <cfRule type="colorScale" priority="13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7:AH167">
    <cfRule type="colorScale" priority="13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8:AH168">
    <cfRule type="colorScale" priority="1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69:AH169">
    <cfRule type="colorScale" priority="1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H170">
    <cfRule type="colorScale" priority="1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1:AH171">
    <cfRule type="colorScale" priority="13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2:AH172">
    <cfRule type="colorScale" priority="13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3:AH173">
    <cfRule type="colorScale" priority="1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4:AH174">
    <cfRule type="colorScale" priority="1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5:AH175">
    <cfRule type="colorScale" priority="1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6:AH176">
    <cfRule type="colorScale" priority="1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7:AH177">
    <cfRule type="colorScale" priority="13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8:AH178">
    <cfRule type="colorScale" priority="1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9:AH179">
    <cfRule type="colorScale" priority="13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0:AH180">
    <cfRule type="colorScale" priority="1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1:AH181">
    <cfRule type="colorScale" priority="1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2:AH182">
    <cfRule type="colorScale" priority="1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3:AH183">
    <cfRule type="colorScale" priority="13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4:AH184">
    <cfRule type="colorScale" priority="1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5:AH185">
    <cfRule type="colorScale" priority="1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6:AH186">
    <cfRule type="colorScale" priority="14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7:AH187">
    <cfRule type="colorScale" priority="14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8:AH188">
    <cfRule type="colorScale" priority="1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89:AH189">
    <cfRule type="colorScale" priority="14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0:AH190">
    <cfRule type="colorScale" priority="1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1:AH191">
    <cfRule type="colorScale" priority="14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2:AH192">
    <cfRule type="colorScale" priority="14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3:AH193">
    <cfRule type="colorScale" priority="14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4:AH194">
    <cfRule type="colorScale" priority="1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5:AH195">
    <cfRule type="colorScale" priority="1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6:AH196">
    <cfRule type="colorScale" priority="1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7:AH197">
    <cfRule type="colorScale" priority="1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8:AH198">
    <cfRule type="colorScale" priority="1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99:AH199">
    <cfRule type="colorScale" priority="14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0:AH200">
    <cfRule type="colorScale" priority="1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1:AH201">
    <cfRule type="colorScale" priority="14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2:AH202">
    <cfRule type="colorScale" priority="14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3:AH203">
    <cfRule type="colorScale" priority="14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4:AH204">
    <cfRule type="colorScale" priority="1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5:AH205">
    <cfRule type="colorScale" priority="1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6:AH206">
    <cfRule type="colorScale" priority="14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7:AH207">
    <cfRule type="colorScale" priority="14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8:AH208">
    <cfRule type="colorScale" priority="14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09:AH209">
    <cfRule type="colorScale" priority="14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0:AH210">
    <cfRule type="colorScale" priority="1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1:AH211">
    <cfRule type="colorScale" priority="14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:AH212">
    <cfRule type="colorScale" priority="1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3:AH213">
    <cfRule type="colorScale" priority="14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4:AH214">
    <cfRule type="colorScale" priority="1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5:AH215">
    <cfRule type="colorScale" priority="14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6:AH216">
    <cfRule type="colorScale" priority="1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7:AH217">
    <cfRule type="colorScale" priority="14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8:AH218">
    <cfRule type="colorScale" priority="14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9:AH219">
    <cfRule type="colorScale" priority="1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0:AH220">
    <cfRule type="colorScale" priority="1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1:AH221">
    <cfRule type="colorScale" priority="1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22:AH222">
    <cfRule type="colorScale" priority="14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:AC23">
    <cfRule type="colorScale" priority="10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3:AC227">
    <cfRule type="colorScale" priority="10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8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29:AC230">
    <cfRule type="colorScale" priority="10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:AD23">
    <cfRule type="colorScale" priority="10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3:AD227">
    <cfRule type="colorScale" priority="1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8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29:AD230">
    <cfRule type="colorScale" priority="103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:AE23">
    <cfRule type="colorScale" priority="10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3:AE227">
    <cfRule type="colorScale" priority="10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8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29:AE230">
    <cfRule type="colorScale" priority="1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:AF23">
    <cfRule type="colorScale" priority="10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3:AF227">
    <cfRule type="colorScale" priority="10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8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29:AF230">
    <cfRule type="colorScale" priority="10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:AG23">
    <cfRule type="colorScale" priority="10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3:AG227">
    <cfRule type="colorScale" priority="10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8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29:AG230">
    <cfRule type="colorScale" priority="10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AH23">
    <cfRule type="colorScale" priority="10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3:AH227">
    <cfRule type="colorScale" priority="10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8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9:AH230">
    <cfRule type="colorScale" priority="10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:AJ23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2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3:AJ227">
    <cfRule type="colorScale" priority="10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8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9:AJ230">
    <cfRule type="colorScale" priority="10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P2 AR2:AU2">
    <cfRule type="colorScale" priority="37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:AP3 AR3:AU3">
    <cfRule type="colorScale" priority="37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:AP4 AR4:AU4">
    <cfRule type="colorScale" priority="37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:AP5 AR5:AU5">
    <cfRule type="colorScale" priority="37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:AP6 AR6:AU6">
    <cfRule type="colorScale" priority="37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:AP7 AR7:AU7">
    <cfRule type="colorScale" priority="37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:AP8 AR8:AU8">
    <cfRule type="colorScale" priority="37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:AP9 AR9:AU9">
    <cfRule type="colorScale" priority="37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:AP10 AR10:AU10">
    <cfRule type="colorScale" priority="37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:AP11 AR11:AU11">
    <cfRule type="colorScale" priority="37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:AP12 AR12:AU12">
    <cfRule type="colorScale" priority="37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:AP13 AR13:AU13">
    <cfRule type="colorScale" priority="37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:AP14 AR14:AU14">
    <cfRule type="colorScale" priority="37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:AP15 AR15:AU15">
    <cfRule type="colorScale" priority="37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:AP16 AR16:AU16">
    <cfRule type="colorScale" priority="37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:AP17 AR17:AU17">
    <cfRule type="colorScale" priority="37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:AP18 AR18:AU18">
    <cfRule type="colorScale" priority="37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:AP19 AR19:AU19">
    <cfRule type="colorScale" priority="37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:AP20 AR20:AU20">
    <cfRule type="colorScale" priority="37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:AP21 AR21:AU21">
    <cfRule type="colorScale" priority="37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4:AP24 AR24:AU24">
    <cfRule type="colorScale" priority="37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:AP25 AR25:AU25">
    <cfRule type="colorScale" priority="37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6:AP26 AR26:AU26">
    <cfRule type="colorScale" priority="37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7:AP27 AR27:AU27">
    <cfRule type="colorScale" priority="37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8:AP28 AR28:AU28">
    <cfRule type="colorScale" priority="37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:AP29 AR29:AU29">
    <cfRule type="colorScale" priority="38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0:AP30 AR30:AU30">
    <cfRule type="colorScale" priority="38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1:AP31 AR31:AU31">
    <cfRule type="colorScale" priority="38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2:AP32 AR32:AU32">
    <cfRule type="colorScale" priority="38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:AP33 AR33:AU33">
    <cfRule type="colorScale" priority="38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4:AP34 AR34:AU34">
    <cfRule type="colorScale" priority="38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5:AP35 AR35:AU35">
    <cfRule type="colorScale" priority="38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6:AP36 AR36:AU36">
    <cfRule type="colorScale" priority="38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7:AP37 AR37:AU37">
    <cfRule type="colorScale" priority="38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:AP38 AR38:AU38">
    <cfRule type="colorScale" priority="38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9:AP39 AR39:AU39">
    <cfRule type="colorScale" priority="38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0:AP40 AR40:AU40">
    <cfRule type="colorScale" priority="38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1:AP41 AR41:AU41">
    <cfRule type="colorScale" priority="38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:AP42 AR42:AU42">
    <cfRule type="colorScale" priority="38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3:AP43 AR43:AU43">
    <cfRule type="colorScale" priority="38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4:AP44 AR44:AU44">
    <cfRule type="colorScale" priority="38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5:AP45 AR45:AU45">
    <cfRule type="colorScale" priority="38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:AP46 AR46:AU46">
    <cfRule type="colorScale" priority="38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7:AP47 AR47:AU47">
    <cfRule type="colorScale" priority="38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8:AP48 AR48:AU48">
    <cfRule type="colorScale" priority="38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9:AP49 AR49:AU49">
    <cfRule type="colorScale" priority="38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:AP50 AR50:AU50">
    <cfRule type="colorScale" priority="38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1:AP51 AR51:AU51">
    <cfRule type="colorScale" priority="38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2:AP52 AR52:AU52">
    <cfRule type="colorScale" priority="38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3:AP53 AR53:AU53">
    <cfRule type="colorScale" priority="38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:AP54 AR54:AU54">
    <cfRule type="colorScale" priority="39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5:AP55 AR55:AU55">
    <cfRule type="colorScale" priority="39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6:AP56 AR56:AU56">
    <cfRule type="colorScale" priority="39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7:AP57 AR57:AU57">
    <cfRule type="colorScale" priority="39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8:AP58 AR58:AU58">
    <cfRule type="colorScale" priority="39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:AP59 AR59:AU59">
    <cfRule type="colorScale" priority="39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0:AP60 AR60:AU60">
    <cfRule type="colorScale" priority="39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1:AP61 AR61:AU61">
    <cfRule type="colorScale" priority="39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2:AP62 AR62:AU62">
    <cfRule type="colorScale" priority="39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3:AP63 AR63:AU63">
    <cfRule type="colorScale" priority="39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4:AP64 AR64:AU64">
    <cfRule type="colorScale" priority="39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5:AP65 AR65:AU65">
    <cfRule type="colorScale" priority="39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6:AP66 AR66:AU66">
    <cfRule type="colorScale" priority="39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7:AP67 AR67:AU67">
    <cfRule type="colorScale" priority="39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8:AP68 AR68:AU68">
    <cfRule type="colorScale" priority="39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9:AP69 AR69:AU69">
    <cfRule type="colorScale" priority="39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0:AP70 AR70:AU70">
    <cfRule type="colorScale" priority="39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1:AP71 AR71:AU71">
    <cfRule type="colorScale" priority="39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2:AP72 AR72:AU72">
    <cfRule type="colorScale" priority="39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3:AP73 AR73:AU73">
    <cfRule type="colorScale" priority="39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4:AP74 AR74:AU74">
    <cfRule type="colorScale" priority="39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5:AP75 AR75:AU75">
    <cfRule type="colorScale" priority="39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6:AP76 AR76:AU76">
    <cfRule type="colorScale" priority="39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7:AP77 AR77:AU77">
    <cfRule type="colorScale" priority="39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8:AP78 AR78:AU78">
    <cfRule type="colorScale" priority="39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79:AP79 AR79:AU79">
    <cfRule type="colorScale" priority="40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0:AP80 AR80:AU80">
    <cfRule type="colorScale" priority="40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1:AP81 AR81:AU81">
    <cfRule type="colorScale" priority="40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2:AP82 AR82:AU82">
    <cfRule type="colorScale" priority="40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3:AP83 AR83:AU83">
    <cfRule type="colorScale" priority="40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4:AP84 AR84:AU84">
    <cfRule type="colorScale" priority="40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5:AP85 AR85:AU85">
    <cfRule type="colorScale" priority="40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6:AP86 AR86:AU86">
    <cfRule type="colorScale" priority="40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7:AP87 AR87:AU87">
    <cfRule type="colorScale" priority="40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:AP88 AR88:AU88">
    <cfRule type="colorScale" priority="40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9:AP89 AR89:AU89">
    <cfRule type="colorScale" priority="40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0:AP90 AR90:AU90">
    <cfRule type="colorScale" priority="40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1:AP91 AR91:AU91">
    <cfRule type="colorScale" priority="40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2:AP92 AR92:AU92">
    <cfRule type="colorScale" priority="40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3:AP93 AR93:AU93">
    <cfRule type="colorScale" priority="40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4:AP94 AR94:AU94">
    <cfRule type="colorScale" priority="40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5:AP95 AR95:AU95">
    <cfRule type="colorScale" priority="40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6:AP96 AR96:AU96">
    <cfRule type="colorScale" priority="40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7:AP97 AR97:AU97">
    <cfRule type="colorScale" priority="40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8:AP98 AR98:AU98">
    <cfRule type="colorScale" priority="40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99:AP99 AR99:AU99">
    <cfRule type="colorScale" priority="40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0:AP100 AR100:AU100">
    <cfRule type="colorScale" priority="40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1:AP101 AR101:AU101">
    <cfRule type="colorScale" priority="40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2:AP102 AR102:AU102">
    <cfRule type="colorScale" priority="40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3:AP103 AR103:AU103">
    <cfRule type="colorScale" priority="40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4:AP104 AR104:AU104">
    <cfRule type="colorScale" priority="4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5:AP105 AR105:AU105">
    <cfRule type="colorScale" priority="4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6:AP106 AR106:AU106">
    <cfRule type="colorScale" priority="4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7:AP107 AR107:AU107">
    <cfRule type="colorScale" priority="4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8:AP108 AR108:AU108">
    <cfRule type="colorScale" priority="4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09:AP109 AR109:AU109">
    <cfRule type="colorScale" priority="41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0:AP110 AR110:AU110">
    <cfRule type="colorScale" priority="41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1:AP111 AR111:AU111">
    <cfRule type="colorScale" priority="4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2:AP112 AR112:AU112">
    <cfRule type="colorScale" priority="41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3:AP113 AR113:AU113">
    <cfRule type="colorScale" priority="4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4:AP114 AR114:AU114">
    <cfRule type="colorScale" priority="41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5:AP115 AR115:AU115">
    <cfRule type="colorScale" priority="41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6:AP116 AR116:AU116">
    <cfRule type="colorScale" priority="4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7:AP117 AR117:AU117">
    <cfRule type="colorScale" priority="4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8:AP118 AR118:AU118">
    <cfRule type="colorScale" priority="4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19:AP119 AR119:AU119">
    <cfRule type="colorScale" priority="4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0:AP120 AR120:AU120">
    <cfRule type="colorScale" priority="41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1:AP121 AR121:AU121">
    <cfRule type="colorScale" priority="4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2:AP122 AR122:AU122">
    <cfRule type="colorScale" priority="4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3:AP123 AR123:AU123">
    <cfRule type="colorScale" priority="41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4:AP124 AR124:AU124">
    <cfRule type="colorScale" priority="41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5:AP125 AR125:AU125">
    <cfRule type="colorScale" priority="41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6:AP126 AR126:AU126">
    <cfRule type="colorScale" priority="41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7:AP127 AR127:AU127">
    <cfRule type="colorScale" priority="41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8:AP128 AR128:AU128">
    <cfRule type="colorScale" priority="41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:AP129 AR129:AU129">
    <cfRule type="colorScale" priority="42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0:AP130 AR130:AU130">
    <cfRule type="colorScale" priority="4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1:AP131 AR131:AU131">
    <cfRule type="colorScale" priority="4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2:AP132 AR132:AU132">
    <cfRule type="colorScale" priority="4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3:AP133 AR133:AU133">
    <cfRule type="colorScale" priority="4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4:AP134 AR134:AU134">
    <cfRule type="colorScale" priority="4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5:AP135 AR135:AU135">
    <cfRule type="colorScale" priority="4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6:AP136 AR136:AU136">
    <cfRule type="colorScale" priority="4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7:AP137 AR137:AU137">
    <cfRule type="colorScale" priority="42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8:AP138 AR138:AU138">
    <cfRule type="colorScale" priority="4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39:AP139 AR139:AU139">
    <cfRule type="colorScale" priority="4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0:AP140 AR140:AU140">
    <cfRule type="colorScale" priority="42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1:AP141 AR141:AU141">
    <cfRule type="colorScale" priority="42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2:AP142 AR142:AU142">
    <cfRule type="colorScale" priority="4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3:AP143 AR143:AU143">
    <cfRule type="colorScale" priority="42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4:AP144 AR144:AU144">
    <cfRule type="colorScale" priority="4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5:AP145 AR145:AU145">
    <cfRule type="colorScale" priority="42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6:AP146 AR146:AU146">
    <cfRule type="colorScale" priority="4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7:AP147 AR147:AU147">
    <cfRule type="colorScale" priority="4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8:AP148 AR148:AU148">
    <cfRule type="colorScale" priority="42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49:AP149 AR149:AU149">
    <cfRule type="colorScale" priority="42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0:AP150 AR150:AU150">
    <cfRule type="colorScale" priority="42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1:AP151 AR151:AU151">
    <cfRule type="colorScale" priority="42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2:AP152 AR152:AU152">
    <cfRule type="colorScale" priority="42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3:AP153 AR153:AU153">
    <cfRule type="colorScale" priority="4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4:AP154 AR154:AU154">
    <cfRule type="colorScale" priority="43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5:AP155 AR155:AU155">
    <cfRule type="colorScale" priority="43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6:AP156 AR156:AU156">
    <cfRule type="colorScale" priority="43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7:AP157 AR157:AU157">
    <cfRule type="colorScale" priority="43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8:AP158 AR158:AU158">
    <cfRule type="colorScale" priority="4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59:AP159 AR159:AU159">
    <cfRule type="colorScale" priority="43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0:AP160 AR160:AU160">
    <cfRule type="colorScale" priority="4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1:AP161 AR161:AU161">
    <cfRule type="colorScale" priority="43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2:AP162 AR162:AU162">
    <cfRule type="colorScale" priority="4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3:AP163 AR163:AU163">
    <cfRule type="colorScale" priority="4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4:AP164 AR164:AU164">
    <cfRule type="colorScale" priority="4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5:AP165 AR165:AU165">
    <cfRule type="colorScale" priority="4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6:AP166 AR166:AU166">
    <cfRule type="colorScale" priority="4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7:AP167 AR167:AU167">
    <cfRule type="colorScale" priority="4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8:AP168 AR168:AU168">
    <cfRule type="colorScale" priority="43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69:AP169 AR169:AU169">
    <cfRule type="colorScale" priority="43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:AP170 AR170:AU170">
    <cfRule type="colorScale" priority="43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1:AP171 AR171:AU171">
    <cfRule type="colorScale" priority="43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2:AP172 AR172:AU172">
    <cfRule type="colorScale" priority="43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3:AP173 AR173:AU173">
    <cfRule type="colorScale" priority="4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4:AP174 AR174:AU174">
    <cfRule type="colorScale" priority="4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5:AP175 AR175:AU175">
    <cfRule type="colorScale" priority="43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6:AP176 AR176:AU176">
    <cfRule type="colorScale" priority="4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7:AP177 AR177:AU177">
    <cfRule type="colorScale" priority="43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8:AP178 AR178:AU178">
    <cfRule type="colorScale" priority="43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9:AP179 AR179:AU179">
    <cfRule type="colorScale" priority="44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0:AP180 AR180:AU180">
    <cfRule type="colorScale" priority="44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1:AP181 AR181:AU181">
    <cfRule type="colorScale" priority="4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2:AP182 AR182:AU182">
    <cfRule type="colorScale" priority="4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3:AP183 AR183:AU183">
    <cfRule type="colorScale" priority="44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4:AP184 AR184:AU184">
    <cfRule type="colorScale" priority="4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5:AP185 AR185:AU185">
    <cfRule type="colorScale" priority="4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6:AP186 AR186:AU186">
    <cfRule type="colorScale" priority="44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7:AP187 AR187:AU187">
    <cfRule type="colorScale" priority="44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8:AP188 AR188:AU188">
    <cfRule type="colorScale" priority="4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89:AP189 AR189:AU189">
    <cfRule type="colorScale" priority="4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0:AP190 AR190:AU190">
    <cfRule type="colorScale" priority="44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1:AP191 AR191:AU191">
    <cfRule type="colorScale" priority="44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2:AP192 AR192:AU192">
    <cfRule type="colorScale" priority="4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3:AP193 AR193:AU193">
    <cfRule type="colorScale" priority="44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4:AP194 AR194:AU194">
    <cfRule type="colorScale" priority="44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5:AP195 AR195:AU195">
    <cfRule type="colorScale" priority="446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6:AP196 AR196:AU196">
    <cfRule type="colorScale" priority="4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7:AP197 AR197:AU197">
    <cfRule type="colorScale" priority="44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8:AP198 AR198:AU198">
    <cfRule type="colorScale" priority="44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99:AP199 AR199:AU199">
    <cfRule type="colorScale" priority="4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0:AP200 AR200:AU200">
    <cfRule type="colorScale" priority="44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1:AP201 AR201:AU201">
    <cfRule type="colorScale" priority="44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2:AP202 AR202:AU202">
    <cfRule type="colorScale" priority="44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3:AP203 AR203:AU203">
    <cfRule type="colorScale" priority="44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4:AP204 AR204:AU204">
    <cfRule type="colorScale" priority="450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5:AP205 AR205:AU205">
    <cfRule type="colorScale" priority="45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6:AP206 AR206:AU206">
    <cfRule type="colorScale" priority="45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7:AP207 AR207:AU207">
    <cfRule type="colorScale" priority="45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8:AP208 AR208:AU208">
    <cfRule type="colorScale" priority="4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09:AP209 AR209:AU209">
    <cfRule type="colorScale" priority="452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0:AP210 AR210:AU210">
    <cfRule type="colorScale" priority="45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1:AP211 AR211:AU211">
    <cfRule type="colorScale" priority="45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:AP212 AR212:AU212">
    <cfRule type="colorScale" priority="45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3:AP213 AR213:AU213">
    <cfRule type="colorScale" priority="45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4:AP214 AR214:AU214">
    <cfRule type="colorScale" priority="45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5:AP215 AR215:AU215">
    <cfRule type="colorScale" priority="454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6:AP216 AR216:AU216">
    <cfRule type="colorScale" priority="45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7:AP217 AR217:AU217">
    <cfRule type="colorScale" priority="45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8:AP218 AR218:AU218">
    <cfRule type="colorScale" priority="4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9:AP219 AR219:AU219">
    <cfRule type="colorScale" priority="45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0:AP220 AR220:AU220">
    <cfRule type="colorScale" priority="45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1:AP221 AR221:AU221">
    <cfRule type="colorScale" priority="45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22:AP222 AR222:AU222">
    <cfRule type="colorScale" priority="45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:AK23">
    <cfRule type="colorScale" priority="5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2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3:AK227">
    <cfRule type="colorScale" priority="5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8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29:AK230"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:AL23">
    <cfRule type="colorScale" priority="5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2"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3:AL227">
    <cfRule type="colorScale" priority="5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8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29:AL230">
    <cfRule type="colorScale" priority="5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:AM23">
    <cfRule type="colorScale" priority="5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2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3:AM227">
    <cfRule type="colorScale" priority="5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8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M229:AM230">
    <cfRule type="colorScale" priority="5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:AN23">
    <cfRule type="colorScale" priority="5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2">
    <cfRule type="colorScale" priority="5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3:AN227">
    <cfRule type="colorScale" priority="5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8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29:AN230">
    <cfRule type="colorScale" priority="5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:AO23">
    <cfRule type="colorScale" priority="5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2"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3:AO227">
    <cfRule type="colorScale" priority="5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8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29:AO230">
    <cfRule type="colorScale" priority="5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:AP23"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3:AP227"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8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229:AP230">
    <cfRule type="colorScale" priority="5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:AU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3:AU22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8:AU22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29:AU2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:AW23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4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5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6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8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9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0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1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4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5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6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8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9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0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1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2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3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4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5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7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8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9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0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1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2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3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5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6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7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8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5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0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1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2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3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5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6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7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8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69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1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3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4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5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7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8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79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0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3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4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5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6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7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8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89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0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1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2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3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4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5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6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7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8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99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0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1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2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3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4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5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6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7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8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09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0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1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2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3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4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5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6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7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8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19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0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1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2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3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4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5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6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7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8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29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0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1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2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3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4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5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6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7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8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39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2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3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4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5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6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7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8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49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0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2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3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4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5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6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7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8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59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0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1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2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3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4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7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8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69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0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1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2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3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4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5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6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7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8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79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0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1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2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3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4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5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6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7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8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89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0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1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2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3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4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5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6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7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8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99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0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1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2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3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4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5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6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7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8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09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0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1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2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3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6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7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8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19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0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1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2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3:AW22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229:AW23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:AZ23 X22:AA23 G22:P23 R22:U23">
    <cfRule type="colorScale" priority="285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3:AZ228 X223:AA228 G223:P228 R223:U228">
    <cfRule type="colorScale" priority="326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Z229:AZ230 X229:AA230 G229:P230 R229:U230">
    <cfRule type="colorScale" priority="326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9"/>
  <sheetViews>
    <sheetView workbookViewId="0">
      <pane xSplit="2" ySplit="1" topLeftCell="C149" activePane="bottomRight" state="frozen"/>
      <selection pane="topRight" activeCell="B1" sqref="B1"/>
      <selection pane="bottomLeft" activeCell="A2" sqref="A2"/>
      <selection pane="bottomRight"/>
    </sheetView>
  </sheetViews>
  <sheetFormatPr defaultColWidth="11.42578125" defaultRowHeight="15" x14ac:dyDescent="0.25"/>
  <cols>
    <col min="1" max="2" width="35.7109375" customWidth="1"/>
    <col min="3" max="3" width="49.5703125" customWidth="1"/>
  </cols>
  <sheetData>
    <row r="1" spans="1:3" s="1" customFormat="1" x14ac:dyDescent="0.25">
      <c r="A1" s="1" t="s">
        <v>285</v>
      </c>
      <c r="B1" s="1" t="s">
        <v>286</v>
      </c>
      <c r="C1" s="1" t="s">
        <v>287</v>
      </c>
    </row>
    <row r="2" spans="1:3" x14ac:dyDescent="0.25">
      <c r="A2" t="s">
        <v>205</v>
      </c>
      <c r="B2" t="s">
        <v>2</v>
      </c>
      <c r="C2" t="str">
        <f>IF(ISNA(VLOOKUP(A2,$B$2:$B$170,1,FALSE)),A2,"")</f>
        <v>pi</v>
      </c>
    </row>
    <row r="3" spans="1:3" x14ac:dyDescent="0.25">
      <c r="A3" t="s">
        <v>3</v>
      </c>
      <c r="B3" t="s">
        <v>3</v>
      </c>
      <c r="C3" t="str">
        <f t="shared" ref="C3:C66" si="0">IF(ISNA(VLOOKUP(A3,$B$2:$B$170,1,FALSE)),A3,"")</f>
        <v/>
      </c>
    </row>
    <row r="4" spans="1:3" x14ac:dyDescent="0.25">
      <c r="A4" t="s">
        <v>39</v>
      </c>
      <c r="B4" t="s">
        <v>4</v>
      </c>
      <c r="C4" t="str">
        <f t="shared" si="0"/>
        <v/>
      </c>
    </row>
    <row r="5" spans="1:3" x14ac:dyDescent="0.25">
      <c r="A5" t="s">
        <v>206</v>
      </c>
      <c r="B5" t="s">
        <v>5</v>
      </c>
      <c r="C5" t="str">
        <f t="shared" si="0"/>
        <v/>
      </c>
    </row>
    <row r="6" spans="1:3" x14ac:dyDescent="0.25">
      <c r="A6" t="s">
        <v>41</v>
      </c>
      <c r="B6" t="s">
        <v>20</v>
      </c>
      <c r="C6" t="str">
        <f t="shared" si="0"/>
        <v/>
      </c>
    </row>
    <row r="7" spans="1:3" x14ac:dyDescent="0.25">
      <c r="A7" t="s">
        <v>40</v>
      </c>
      <c r="B7" t="s">
        <v>0</v>
      </c>
      <c r="C7" t="str">
        <f t="shared" si="0"/>
        <v/>
      </c>
    </row>
    <row r="8" spans="1:3" x14ac:dyDescent="0.25">
      <c r="A8" t="s">
        <v>44</v>
      </c>
      <c r="B8" t="s">
        <v>1</v>
      </c>
      <c r="C8" t="str">
        <f t="shared" si="0"/>
        <v/>
      </c>
    </row>
    <row r="9" spans="1:3" x14ac:dyDescent="0.25">
      <c r="A9" t="s">
        <v>49</v>
      </c>
      <c r="B9" t="s">
        <v>6</v>
      </c>
      <c r="C9" t="str">
        <f t="shared" si="0"/>
        <v/>
      </c>
    </row>
    <row r="10" spans="1:3" x14ac:dyDescent="0.25">
      <c r="A10" t="s">
        <v>47</v>
      </c>
      <c r="B10" t="s">
        <v>7</v>
      </c>
      <c r="C10" t="str">
        <f t="shared" si="0"/>
        <v/>
      </c>
    </row>
    <row r="11" spans="1:3" x14ac:dyDescent="0.25">
      <c r="A11" t="s">
        <v>48</v>
      </c>
      <c r="B11" t="s">
        <v>8</v>
      </c>
      <c r="C11" t="str">
        <f t="shared" si="0"/>
        <v/>
      </c>
    </row>
    <row r="12" spans="1:3" x14ac:dyDescent="0.25">
      <c r="A12" t="s">
        <v>46</v>
      </c>
      <c r="B12" t="s">
        <v>9</v>
      </c>
      <c r="C12" t="str">
        <f t="shared" si="0"/>
        <v/>
      </c>
    </row>
    <row r="13" spans="1:3" x14ac:dyDescent="0.25">
      <c r="A13" t="s">
        <v>45</v>
      </c>
      <c r="B13" t="s">
        <v>10</v>
      </c>
      <c r="C13" t="str">
        <f t="shared" si="0"/>
        <v/>
      </c>
    </row>
    <row r="14" spans="1:3" x14ac:dyDescent="0.25">
      <c r="A14" t="s">
        <v>90</v>
      </c>
      <c r="B14" t="s">
        <v>11</v>
      </c>
      <c r="C14" t="str">
        <f t="shared" si="0"/>
        <v/>
      </c>
    </row>
    <row r="15" spans="1:3" x14ac:dyDescent="0.25">
      <c r="A15" t="s">
        <v>42</v>
      </c>
      <c r="B15" t="s">
        <v>12</v>
      </c>
      <c r="C15" t="str">
        <f t="shared" si="0"/>
        <v/>
      </c>
    </row>
    <row r="16" spans="1:3" x14ac:dyDescent="0.25">
      <c r="A16" t="s">
        <v>207</v>
      </c>
      <c r="B16" t="s">
        <v>13</v>
      </c>
      <c r="C16" t="str">
        <f t="shared" si="0"/>
        <v/>
      </c>
    </row>
    <row r="17" spans="1:3" x14ac:dyDescent="0.25">
      <c r="A17" t="s">
        <v>43</v>
      </c>
      <c r="B17" t="s">
        <v>14</v>
      </c>
      <c r="C17" t="str">
        <f t="shared" si="0"/>
        <v/>
      </c>
    </row>
    <row r="18" spans="1:3" x14ac:dyDescent="0.25">
      <c r="A18" t="s">
        <v>50</v>
      </c>
      <c r="B18" t="s">
        <v>15</v>
      </c>
      <c r="C18" t="str">
        <f t="shared" si="0"/>
        <v/>
      </c>
    </row>
    <row r="19" spans="1:3" x14ac:dyDescent="0.25">
      <c r="A19" t="s">
        <v>204</v>
      </c>
      <c r="B19" t="s">
        <v>16</v>
      </c>
      <c r="C19" t="str">
        <f t="shared" si="0"/>
        <v/>
      </c>
    </row>
    <row r="20" spans="1:3" x14ac:dyDescent="0.25">
      <c r="A20" t="s">
        <v>51</v>
      </c>
      <c r="B20" t="s">
        <v>17</v>
      </c>
      <c r="C20" t="str">
        <f t="shared" si="0"/>
        <v/>
      </c>
    </row>
    <row r="21" spans="1:3" x14ac:dyDescent="0.25">
      <c r="A21" t="s">
        <v>52</v>
      </c>
      <c r="B21" t="s">
        <v>18</v>
      </c>
      <c r="C21" t="str">
        <f t="shared" si="0"/>
        <v/>
      </c>
    </row>
    <row r="22" spans="1:3" x14ac:dyDescent="0.25">
      <c r="A22" t="s">
        <v>53</v>
      </c>
      <c r="B22" t="s">
        <v>19</v>
      </c>
      <c r="C22" t="str">
        <f t="shared" si="0"/>
        <v/>
      </c>
    </row>
    <row r="23" spans="1:3" x14ac:dyDescent="0.25">
      <c r="A23" t="s">
        <v>55</v>
      </c>
      <c r="B23" t="s">
        <v>21</v>
      </c>
      <c r="C23" t="str">
        <f t="shared" si="0"/>
        <v/>
      </c>
    </row>
    <row r="24" spans="1:3" x14ac:dyDescent="0.25">
      <c r="A24" t="s">
        <v>54</v>
      </c>
      <c r="B24" t="s">
        <v>22</v>
      </c>
      <c r="C24" t="str">
        <f t="shared" si="0"/>
        <v/>
      </c>
    </row>
    <row r="25" spans="1:3" x14ac:dyDescent="0.25">
      <c r="A25" t="s">
        <v>60</v>
      </c>
      <c r="B25" t="s">
        <v>23</v>
      </c>
      <c r="C25" t="str">
        <f t="shared" si="0"/>
        <v/>
      </c>
    </row>
    <row r="26" spans="1:3" x14ac:dyDescent="0.25">
      <c r="A26" t="s">
        <v>208</v>
      </c>
      <c r="B26" t="s">
        <v>24</v>
      </c>
      <c r="C26" t="str">
        <f t="shared" si="0"/>
        <v/>
      </c>
    </row>
    <row r="27" spans="1:3" x14ac:dyDescent="0.25">
      <c r="A27" t="s">
        <v>209</v>
      </c>
      <c r="B27" t="s">
        <v>25</v>
      </c>
      <c r="C27" t="str">
        <f t="shared" si="0"/>
        <v>root_growth_T_ref</v>
      </c>
    </row>
    <row r="28" spans="1:3" x14ac:dyDescent="0.25">
      <c r="A28" t="s">
        <v>210</v>
      </c>
      <c r="B28" t="s">
        <v>26</v>
      </c>
      <c r="C28" t="str">
        <f t="shared" si="0"/>
        <v>root_growth_A</v>
      </c>
    </row>
    <row r="29" spans="1:3" x14ac:dyDescent="0.25">
      <c r="A29" t="s">
        <v>211</v>
      </c>
      <c r="B29" t="s">
        <v>27</v>
      </c>
      <c r="C29" t="str">
        <f t="shared" si="0"/>
        <v>root_growth_B</v>
      </c>
    </row>
    <row r="30" spans="1:3" x14ac:dyDescent="0.25">
      <c r="A30" t="s">
        <v>212</v>
      </c>
      <c r="B30" t="s">
        <v>28</v>
      </c>
      <c r="C30" t="str">
        <f t="shared" si="0"/>
        <v>root_growth_C</v>
      </c>
    </row>
    <row r="31" spans="1:3" x14ac:dyDescent="0.25">
      <c r="A31" t="s">
        <v>213</v>
      </c>
      <c r="B31" t="s">
        <v>29</v>
      </c>
      <c r="C31" t="str">
        <f t="shared" si="0"/>
        <v/>
      </c>
    </row>
    <row r="32" spans="1:3" x14ac:dyDescent="0.25">
      <c r="A32" t="s">
        <v>214</v>
      </c>
      <c r="B32" t="s">
        <v>30</v>
      </c>
      <c r="C32" t="str">
        <f t="shared" si="0"/>
        <v/>
      </c>
    </row>
    <row r="33" spans="1:3" x14ac:dyDescent="0.25">
      <c r="A33" t="s">
        <v>215</v>
      </c>
      <c r="B33" t="s">
        <v>31</v>
      </c>
      <c r="C33" t="str">
        <f t="shared" si="0"/>
        <v/>
      </c>
    </row>
    <row r="34" spans="1:3" x14ac:dyDescent="0.25">
      <c r="A34" t="s">
        <v>216</v>
      </c>
      <c r="B34" t="s">
        <v>32</v>
      </c>
      <c r="C34" t="str">
        <f t="shared" si="0"/>
        <v/>
      </c>
    </row>
    <row r="35" spans="1:3" x14ac:dyDescent="0.25">
      <c r="A35" t="s">
        <v>217</v>
      </c>
      <c r="B35" t="s">
        <v>33</v>
      </c>
      <c r="C35" t="str">
        <f t="shared" si="0"/>
        <v/>
      </c>
    </row>
    <row r="36" spans="1:3" x14ac:dyDescent="0.25">
      <c r="A36" t="s">
        <v>61</v>
      </c>
      <c r="B36" t="s">
        <v>34</v>
      </c>
      <c r="C36" t="str">
        <f t="shared" si="0"/>
        <v/>
      </c>
    </row>
    <row r="37" spans="1:3" x14ac:dyDescent="0.25">
      <c r="A37" t="s">
        <v>75</v>
      </c>
      <c r="B37" t="s">
        <v>35</v>
      </c>
      <c r="C37" t="str">
        <f t="shared" si="0"/>
        <v/>
      </c>
    </row>
    <row r="38" spans="1:3" x14ac:dyDescent="0.25">
      <c r="A38" t="s">
        <v>218</v>
      </c>
      <c r="B38" t="s">
        <v>36</v>
      </c>
      <c r="C38" t="str">
        <f t="shared" si="0"/>
        <v/>
      </c>
    </row>
    <row r="39" spans="1:3" x14ac:dyDescent="0.25">
      <c r="A39" t="s">
        <v>219</v>
      </c>
      <c r="B39" t="s">
        <v>37</v>
      </c>
      <c r="C39" t="str">
        <f t="shared" si="0"/>
        <v/>
      </c>
    </row>
    <row r="40" spans="1:3" x14ac:dyDescent="0.25">
      <c r="A40" t="s">
        <v>220</v>
      </c>
      <c r="B40" t="s">
        <v>38</v>
      </c>
      <c r="C40" t="str">
        <f t="shared" si="0"/>
        <v/>
      </c>
    </row>
    <row r="41" spans="1:3" x14ac:dyDescent="0.25">
      <c r="A41" t="s">
        <v>221</v>
      </c>
      <c r="B41" t="s">
        <v>39</v>
      </c>
      <c r="C41" t="str">
        <f t="shared" si="0"/>
        <v/>
      </c>
    </row>
    <row r="42" spans="1:3" x14ac:dyDescent="0.25">
      <c r="A42" t="s">
        <v>76</v>
      </c>
      <c r="B42" t="s">
        <v>40</v>
      </c>
      <c r="C42" t="str">
        <f t="shared" si="0"/>
        <v/>
      </c>
    </row>
    <row r="43" spans="1:3" x14ac:dyDescent="0.25">
      <c r="A43" t="s">
        <v>222</v>
      </c>
      <c r="B43" t="s">
        <v>206</v>
      </c>
      <c r="C43" t="str">
        <f t="shared" si="0"/>
        <v>expected_C_sucrose_root</v>
      </c>
    </row>
    <row r="44" spans="1:3" x14ac:dyDescent="0.25">
      <c r="A44" t="s">
        <v>223</v>
      </c>
      <c r="B44" t="s">
        <v>41</v>
      </c>
      <c r="C44" t="str">
        <f t="shared" si="0"/>
        <v>expected_C_hexose_root</v>
      </c>
    </row>
    <row r="45" spans="1:3" x14ac:dyDescent="0.25">
      <c r="A45" t="s">
        <v>224</v>
      </c>
      <c r="B45" t="s">
        <v>90</v>
      </c>
      <c r="C45" t="str">
        <f t="shared" si="0"/>
        <v>expected_C_hexose_soil</v>
      </c>
    </row>
    <row r="46" spans="1:3" x14ac:dyDescent="0.25">
      <c r="A46" t="s">
        <v>225</v>
      </c>
      <c r="B46" t="s">
        <v>42</v>
      </c>
      <c r="C46" t="str">
        <f t="shared" si="0"/>
        <v>expected_C_hexose_reserve</v>
      </c>
    </row>
    <row r="47" spans="1:3" x14ac:dyDescent="0.25">
      <c r="A47" t="s">
        <v>65</v>
      </c>
      <c r="B47" t="s">
        <v>43</v>
      </c>
      <c r="C47" t="str">
        <f t="shared" si="0"/>
        <v/>
      </c>
    </row>
    <row r="48" spans="1:3" x14ac:dyDescent="0.25">
      <c r="A48" t="s">
        <v>77</v>
      </c>
      <c r="B48" t="s">
        <v>44</v>
      </c>
      <c r="C48" t="str">
        <f t="shared" si="0"/>
        <v/>
      </c>
    </row>
    <row r="49" spans="1:3" x14ac:dyDescent="0.25">
      <c r="A49" t="s">
        <v>226</v>
      </c>
      <c r="B49" t="s">
        <v>45</v>
      </c>
      <c r="C49" t="str">
        <f t="shared" si="0"/>
        <v>surfacic_unloading_rate_reference</v>
      </c>
    </row>
    <row r="50" spans="1:3" x14ac:dyDescent="0.25">
      <c r="A50" t="s">
        <v>227</v>
      </c>
      <c r="B50" t="s">
        <v>207</v>
      </c>
      <c r="C50" t="str">
        <f t="shared" si="0"/>
        <v>surfacic_unloading_rate_primordium</v>
      </c>
    </row>
    <row r="51" spans="1:3" x14ac:dyDescent="0.25">
      <c r="A51" t="s">
        <v>66</v>
      </c>
      <c r="B51" t="s">
        <v>46</v>
      </c>
      <c r="C51" t="str">
        <f t="shared" si="0"/>
        <v/>
      </c>
    </row>
    <row r="52" spans="1:3" x14ac:dyDescent="0.25">
      <c r="A52" t="s">
        <v>228</v>
      </c>
      <c r="B52" t="s">
        <v>47</v>
      </c>
      <c r="C52" t="str">
        <f t="shared" si="0"/>
        <v/>
      </c>
    </row>
    <row r="53" spans="1:3" x14ac:dyDescent="0.25">
      <c r="A53" t="s">
        <v>229</v>
      </c>
      <c r="B53" t="s">
        <v>48</v>
      </c>
      <c r="C53" t="str">
        <f t="shared" si="0"/>
        <v/>
      </c>
    </row>
    <row r="54" spans="1:3" x14ac:dyDescent="0.25">
      <c r="A54" t="s">
        <v>230</v>
      </c>
      <c r="B54" t="s">
        <v>49</v>
      </c>
      <c r="C54" t="str">
        <f t="shared" si="0"/>
        <v/>
      </c>
    </row>
    <row r="55" spans="1:3" x14ac:dyDescent="0.25">
      <c r="A55" t="s">
        <v>231</v>
      </c>
      <c r="B55" t="s">
        <v>50</v>
      </c>
      <c r="C55" t="str">
        <f t="shared" si="0"/>
        <v/>
      </c>
    </row>
    <row r="56" spans="1:3" x14ac:dyDescent="0.25">
      <c r="A56" t="s">
        <v>68</v>
      </c>
      <c r="B56" t="s">
        <v>204</v>
      </c>
      <c r="C56" t="str">
        <f t="shared" si="0"/>
        <v/>
      </c>
    </row>
    <row r="57" spans="1:3" x14ac:dyDescent="0.25">
      <c r="A57" t="s">
        <v>232</v>
      </c>
      <c r="B57" t="s">
        <v>51</v>
      </c>
      <c r="C57" t="str">
        <f t="shared" si="0"/>
        <v/>
      </c>
    </row>
    <row r="58" spans="1:3" x14ac:dyDescent="0.25">
      <c r="A58" t="s">
        <v>233</v>
      </c>
      <c r="B58" t="s">
        <v>52</v>
      </c>
      <c r="C58" t="str">
        <f t="shared" si="0"/>
        <v/>
      </c>
    </row>
    <row r="59" spans="1:3" x14ac:dyDescent="0.25">
      <c r="A59" t="s">
        <v>234</v>
      </c>
      <c r="B59" t="s">
        <v>53</v>
      </c>
      <c r="C59" t="str">
        <f t="shared" si="0"/>
        <v/>
      </c>
    </row>
    <row r="60" spans="1:3" x14ac:dyDescent="0.25">
      <c r="A60" t="s">
        <v>235</v>
      </c>
      <c r="B60" t="s">
        <v>54</v>
      </c>
      <c r="C60" t="str">
        <f t="shared" si="0"/>
        <v/>
      </c>
    </row>
    <row r="61" spans="1:3" x14ac:dyDescent="0.25">
      <c r="A61" t="s">
        <v>67</v>
      </c>
      <c r="B61" t="s">
        <v>55</v>
      </c>
      <c r="C61" t="str">
        <f t="shared" si="0"/>
        <v/>
      </c>
    </row>
    <row r="62" spans="1:3" x14ac:dyDescent="0.25">
      <c r="A62" t="s">
        <v>70</v>
      </c>
      <c r="B62" t="s">
        <v>213</v>
      </c>
      <c r="C62" t="str">
        <f t="shared" si="0"/>
        <v/>
      </c>
    </row>
    <row r="63" spans="1:3" x14ac:dyDescent="0.25">
      <c r="A63" t="s">
        <v>69</v>
      </c>
      <c r="B63" t="s">
        <v>214</v>
      </c>
      <c r="C63" t="str">
        <f t="shared" si="0"/>
        <v/>
      </c>
    </row>
    <row r="64" spans="1:3" x14ac:dyDescent="0.25">
      <c r="A64" t="s">
        <v>57</v>
      </c>
      <c r="B64" t="s">
        <v>215</v>
      </c>
      <c r="C64" t="str">
        <f t="shared" si="0"/>
        <v/>
      </c>
    </row>
    <row r="65" spans="1:3" x14ac:dyDescent="0.25">
      <c r="A65" t="s">
        <v>56</v>
      </c>
      <c r="B65" t="s">
        <v>216</v>
      </c>
      <c r="C65" t="str">
        <f t="shared" si="0"/>
        <v/>
      </c>
    </row>
    <row r="66" spans="1:3" x14ac:dyDescent="0.25">
      <c r="A66" t="s">
        <v>58</v>
      </c>
      <c r="B66" t="s">
        <v>217</v>
      </c>
      <c r="C66" t="str">
        <f t="shared" si="0"/>
        <v/>
      </c>
    </row>
    <row r="67" spans="1:3" x14ac:dyDescent="0.25">
      <c r="A67" t="s">
        <v>71</v>
      </c>
      <c r="B67" t="s">
        <v>82</v>
      </c>
      <c r="C67" t="str">
        <f t="shared" ref="C67:C130" si="1">IF(ISNA(VLOOKUP(A67,$B$2:$B$170,1,FALSE)),A67,"")</f>
        <v/>
      </c>
    </row>
    <row r="68" spans="1:3" x14ac:dyDescent="0.25">
      <c r="A68" t="s">
        <v>236</v>
      </c>
      <c r="B68" t="s">
        <v>83</v>
      </c>
      <c r="C68" t="str">
        <f t="shared" si="1"/>
        <v/>
      </c>
    </row>
    <row r="69" spans="1:3" x14ac:dyDescent="0.25">
      <c r="A69" t="s">
        <v>237</v>
      </c>
      <c r="B69" t="s">
        <v>84</v>
      </c>
      <c r="C69" t="str">
        <f t="shared" si="1"/>
        <v/>
      </c>
    </row>
    <row r="70" spans="1:3" x14ac:dyDescent="0.25">
      <c r="A70" t="s">
        <v>238</v>
      </c>
      <c r="B70" t="s">
        <v>85</v>
      </c>
      <c r="C70" t="str">
        <f t="shared" si="1"/>
        <v/>
      </c>
    </row>
    <row r="71" spans="1:3" x14ac:dyDescent="0.25">
      <c r="A71" t="s">
        <v>239</v>
      </c>
      <c r="B71" t="s">
        <v>60</v>
      </c>
      <c r="C71" t="str">
        <f t="shared" si="1"/>
        <v/>
      </c>
    </row>
    <row r="72" spans="1:3" x14ac:dyDescent="0.25">
      <c r="A72" t="s">
        <v>72</v>
      </c>
      <c r="B72" t="s">
        <v>208</v>
      </c>
      <c r="C72" t="str">
        <f t="shared" si="1"/>
        <v/>
      </c>
    </row>
    <row r="73" spans="1:3" x14ac:dyDescent="0.25">
      <c r="A73" t="s">
        <v>73</v>
      </c>
      <c r="B73" t="s">
        <v>59</v>
      </c>
      <c r="C73" t="str">
        <f t="shared" si="1"/>
        <v/>
      </c>
    </row>
    <row r="74" spans="1:3" x14ac:dyDescent="0.25">
      <c r="A74" t="s">
        <v>240</v>
      </c>
      <c r="B74" t="s">
        <v>61</v>
      </c>
      <c r="C74" t="str">
        <f t="shared" si="1"/>
        <v/>
      </c>
    </row>
    <row r="75" spans="1:3" x14ac:dyDescent="0.25">
      <c r="A75" t="s">
        <v>241</v>
      </c>
      <c r="B75" t="s">
        <v>62</v>
      </c>
      <c r="C75" t="str">
        <f t="shared" si="1"/>
        <v/>
      </c>
    </row>
    <row r="76" spans="1:3" x14ac:dyDescent="0.25">
      <c r="A76" t="s">
        <v>242</v>
      </c>
      <c r="B76" t="s">
        <v>63</v>
      </c>
      <c r="C76" t="str">
        <f t="shared" si="1"/>
        <v/>
      </c>
    </row>
    <row r="77" spans="1:3" x14ac:dyDescent="0.25">
      <c r="A77" t="s">
        <v>243</v>
      </c>
      <c r="B77" t="s">
        <v>64</v>
      </c>
      <c r="C77" t="str">
        <f t="shared" si="1"/>
        <v/>
      </c>
    </row>
    <row r="78" spans="1:3" x14ac:dyDescent="0.25">
      <c r="A78" t="s">
        <v>74</v>
      </c>
      <c r="B78" t="s">
        <v>65</v>
      </c>
      <c r="C78" t="str">
        <f t="shared" si="1"/>
        <v/>
      </c>
    </row>
    <row r="79" spans="1:3" x14ac:dyDescent="0.25">
      <c r="A79" t="s">
        <v>244</v>
      </c>
      <c r="B79" t="s">
        <v>66</v>
      </c>
      <c r="C79" t="str">
        <f t="shared" si="1"/>
        <v>expected_exudation_efflux</v>
      </c>
    </row>
    <row r="80" spans="1:3" x14ac:dyDescent="0.25">
      <c r="A80" t="s">
        <v>78</v>
      </c>
      <c r="B80" t="s">
        <v>228</v>
      </c>
      <c r="C80" t="str">
        <f t="shared" si="1"/>
        <v/>
      </c>
    </row>
    <row r="81" spans="1:3" x14ac:dyDescent="0.25">
      <c r="A81" t="s">
        <v>245</v>
      </c>
      <c r="B81" t="s">
        <v>229</v>
      </c>
      <c r="C81" t="str">
        <f t="shared" si="1"/>
        <v/>
      </c>
    </row>
    <row r="82" spans="1:3" x14ac:dyDescent="0.25">
      <c r="A82" t="s">
        <v>246</v>
      </c>
      <c r="B82" t="s">
        <v>230</v>
      </c>
      <c r="C82" t="str">
        <f t="shared" si="1"/>
        <v/>
      </c>
    </row>
    <row r="83" spans="1:3" x14ac:dyDescent="0.25">
      <c r="A83" t="s">
        <v>247</v>
      </c>
      <c r="B83" t="s">
        <v>231</v>
      </c>
      <c r="C83" t="str">
        <f t="shared" si="1"/>
        <v/>
      </c>
    </row>
    <row r="84" spans="1:3" x14ac:dyDescent="0.25">
      <c r="A84" t="s">
        <v>248</v>
      </c>
      <c r="B84" t="s">
        <v>67</v>
      </c>
      <c r="C84" t="str">
        <f t="shared" si="1"/>
        <v/>
      </c>
    </row>
    <row r="85" spans="1:3" x14ac:dyDescent="0.25">
      <c r="A85" t="s">
        <v>79</v>
      </c>
      <c r="B85" t="s">
        <v>68</v>
      </c>
      <c r="C85" t="str">
        <f t="shared" si="1"/>
        <v/>
      </c>
    </row>
    <row r="86" spans="1:3" x14ac:dyDescent="0.25">
      <c r="A86" t="s">
        <v>80</v>
      </c>
      <c r="B86" t="s">
        <v>232</v>
      </c>
      <c r="C86" t="str">
        <f t="shared" si="1"/>
        <v/>
      </c>
    </row>
    <row r="87" spans="1:3" x14ac:dyDescent="0.25">
      <c r="A87" t="s">
        <v>249</v>
      </c>
      <c r="B87" t="s">
        <v>233</v>
      </c>
      <c r="C87" t="str">
        <f t="shared" si="1"/>
        <v/>
      </c>
    </row>
    <row r="88" spans="1:3" x14ac:dyDescent="0.25">
      <c r="A88" t="s">
        <v>250</v>
      </c>
      <c r="B88" t="s">
        <v>234</v>
      </c>
      <c r="C88" t="str">
        <f t="shared" si="1"/>
        <v/>
      </c>
    </row>
    <row r="89" spans="1:3" x14ac:dyDescent="0.25">
      <c r="A89" t="s">
        <v>251</v>
      </c>
      <c r="B89" t="s">
        <v>235</v>
      </c>
      <c r="C89" t="str">
        <f t="shared" si="1"/>
        <v/>
      </c>
    </row>
    <row r="90" spans="1:3" x14ac:dyDescent="0.25">
      <c r="A90" t="s">
        <v>252</v>
      </c>
      <c r="B90" t="s">
        <v>69</v>
      </c>
      <c r="C90" t="str">
        <f t="shared" si="1"/>
        <v/>
      </c>
    </row>
    <row r="91" spans="1:3" x14ac:dyDescent="0.25">
      <c r="A91" t="s">
        <v>81</v>
      </c>
      <c r="B91" t="s">
        <v>70</v>
      </c>
      <c r="C91" t="str">
        <f t="shared" si="1"/>
        <v/>
      </c>
    </row>
    <row r="92" spans="1:3" x14ac:dyDescent="0.25">
      <c r="A92" t="s">
        <v>253</v>
      </c>
      <c r="B92" t="s">
        <v>56</v>
      </c>
      <c r="C92" t="str">
        <f t="shared" si="1"/>
        <v/>
      </c>
    </row>
    <row r="93" spans="1:3" x14ac:dyDescent="0.25">
      <c r="A93" t="s">
        <v>254</v>
      </c>
      <c r="B93" t="s">
        <v>57</v>
      </c>
      <c r="C93" t="str">
        <f t="shared" si="1"/>
        <v/>
      </c>
    </row>
    <row r="94" spans="1:3" x14ac:dyDescent="0.25">
      <c r="A94" t="s">
        <v>255</v>
      </c>
      <c r="B94" t="s">
        <v>58</v>
      </c>
      <c r="C94" t="str">
        <f t="shared" si="1"/>
        <v/>
      </c>
    </row>
    <row r="95" spans="1:3" x14ac:dyDescent="0.25">
      <c r="A95" t="s">
        <v>256</v>
      </c>
      <c r="B95" t="s">
        <v>71</v>
      </c>
      <c r="C95" t="str">
        <f t="shared" si="1"/>
        <v/>
      </c>
    </row>
    <row r="96" spans="1:3" x14ac:dyDescent="0.25">
      <c r="A96" t="s">
        <v>257</v>
      </c>
      <c r="B96" t="s">
        <v>236</v>
      </c>
      <c r="C96" t="str">
        <f t="shared" si="1"/>
        <v/>
      </c>
    </row>
    <row r="97" spans="1:3" x14ac:dyDescent="0.25">
      <c r="A97" t="s">
        <v>258</v>
      </c>
      <c r="B97" t="s">
        <v>237</v>
      </c>
      <c r="C97" t="str">
        <f t="shared" si="1"/>
        <v/>
      </c>
    </row>
    <row r="98" spans="1:3" x14ac:dyDescent="0.25">
      <c r="A98" t="s">
        <v>259</v>
      </c>
      <c r="B98" t="s">
        <v>238</v>
      </c>
      <c r="C98" t="str">
        <f t="shared" si="1"/>
        <v/>
      </c>
    </row>
    <row r="99" spans="1:3" x14ac:dyDescent="0.25">
      <c r="A99" t="s">
        <v>260</v>
      </c>
      <c r="B99" t="s">
        <v>239</v>
      </c>
      <c r="C99" t="str">
        <f t="shared" si="1"/>
        <v/>
      </c>
    </row>
    <row r="100" spans="1:3" x14ac:dyDescent="0.25">
      <c r="A100" t="s">
        <v>261</v>
      </c>
      <c r="B100" t="s">
        <v>72</v>
      </c>
      <c r="C100" t="str">
        <f t="shared" si="1"/>
        <v/>
      </c>
    </row>
    <row r="101" spans="1:3" x14ac:dyDescent="0.25">
      <c r="A101" t="s">
        <v>262</v>
      </c>
      <c r="B101" t="s">
        <v>73</v>
      </c>
      <c r="C101" t="str">
        <f t="shared" si="1"/>
        <v/>
      </c>
    </row>
    <row r="102" spans="1:3" x14ac:dyDescent="0.25">
      <c r="A102" t="s">
        <v>263</v>
      </c>
      <c r="B102" t="s">
        <v>240</v>
      </c>
      <c r="C102" t="str">
        <f t="shared" si="1"/>
        <v/>
      </c>
    </row>
    <row r="103" spans="1:3" x14ac:dyDescent="0.25">
      <c r="A103" t="s">
        <v>264</v>
      </c>
      <c r="B103" t="s">
        <v>241</v>
      </c>
      <c r="C103" t="str">
        <f t="shared" si="1"/>
        <v/>
      </c>
    </row>
    <row r="104" spans="1:3" x14ac:dyDescent="0.25">
      <c r="A104" t="s">
        <v>265</v>
      </c>
      <c r="B104" t="s">
        <v>242</v>
      </c>
      <c r="C104" t="str">
        <f t="shared" si="1"/>
        <v/>
      </c>
    </row>
    <row r="105" spans="1:3" x14ac:dyDescent="0.25">
      <c r="A105" t="s">
        <v>266</v>
      </c>
      <c r="B105" t="s">
        <v>243</v>
      </c>
      <c r="C105" t="str">
        <f t="shared" si="1"/>
        <v/>
      </c>
    </row>
    <row r="106" spans="1:3" x14ac:dyDescent="0.25">
      <c r="A106" t="s">
        <v>267</v>
      </c>
      <c r="B106" t="s">
        <v>74</v>
      </c>
      <c r="C106" t="str">
        <f t="shared" si="1"/>
        <v/>
      </c>
    </row>
    <row r="107" spans="1:3" x14ac:dyDescent="0.25">
      <c r="A107" t="s">
        <v>268</v>
      </c>
      <c r="B107" t="s">
        <v>75</v>
      </c>
      <c r="C107" t="str">
        <f t="shared" si="1"/>
        <v/>
      </c>
    </row>
    <row r="108" spans="1:3" x14ac:dyDescent="0.25">
      <c r="A108" t="s">
        <v>269</v>
      </c>
      <c r="B108" t="s">
        <v>218</v>
      </c>
      <c r="C108" t="str">
        <f t="shared" si="1"/>
        <v/>
      </c>
    </row>
    <row r="109" spans="1:3" x14ac:dyDescent="0.25">
      <c r="A109" t="s">
        <v>270</v>
      </c>
      <c r="B109" t="s">
        <v>219</v>
      </c>
      <c r="C109" t="str">
        <f t="shared" si="1"/>
        <v/>
      </c>
    </row>
    <row r="110" spans="1:3" x14ac:dyDescent="0.25">
      <c r="A110" t="s">
        <v>271</v>
      </c>
      <c r="B110" t="s">
        <v>220</v>
      </c>
      <c r="C110" t="str">
        <f t="shared" si="1"/>
        <v/>
      </c>
    </row>
    <row r="111" spans="1:3" x14ac:dyDescent="0.25">
      <c r="A111" t="s">
        <v>272</v>
      </c>
      <c r="B111" t="s">
        <v>221</v>
      </c>
      <c r="C111" t="str">
        <f t="shared" si="1"/>
        <v/>
      </c>
    </row>
    <row r="112" spans="1:3" x14ac:dyDescent="0.25">
      <c r="A112" t="s">
        <v>273</v>
      </c>
      <c r="B112" t="s">
        <v>76</v>
      </c>
      <c r="C112" t="str">
        <f t="shared" si="1"/>
        <v/>
      </c>
    </row>
    <row r="113" spans="1:3" x14ac:dyDescent="0.25">
      <c r="A113" t="s">
        <v>274</v>
      </c>
      <c r="B113" t="s">
        <v>77</v>
      </c>
      <c r="C113" t="str">
        <f t="shared" si="1"/>
        <v/>
      </c>
    </row>
    <row r="114" spans="1:3" x14ac:dyDescent="0.25">
      <c r="A114" t="s">
        <v>275</v>
      </c>
      <c r="B114" t="s">
        <v>78</v>
      </c>
      <c r="C114" t="str">
        <f t="shared" si="1"/>
        <v/>
      </c>
    </row>
    <row r="115" spans="1:3" x14ac:dyDescent="0.25">
      <c r="A115" t="s">
        <v>276</v>
      </c>
      <c r="B115" t="s">
        <v>245</v>
      </c>
      <c r="C115" t="str">
        <f t="shared" si="1"/>
        <v/>
      </c>
    </row>
    <row r="116" spans="1:3" x14ac:dyDescent="0.25">
      <c r="A116" t="s">
        <v>277</v>
      </c>
      <c r="B116" t="s">
        <v>246</v>
      </c>
      <c r="C116" t="str">
        <f t="shared" si="1"/>
        <v/>
      </c>
    </row>
    <row r="117" spans="1:3" x14ac:dyDescent="0.25">
      <c r="A117" t="s">
        <v>278</v>
      </c>
      <c r="B117" t="s">
        <v>247</v>
      </c>
      <c r="C117" t="str">
        <f t="shared" si="1"/>
        <v/>
      </c>
    </row>
    <row r="118" spans="1:3" x14ac:dyDescent="0.25">
      <c r="A118" t="s">
        <v>279</v>
      </c>
      <c r="B118" t="s">
        <v>248</v>
      </c>
      <c r="C118" t="str">
        <f t="shared" si="1"/>
        <v/>
      </c>
    </row>
    <row r="119" spans="1:3" x14ac:dyDescent="0.25">
      <c r="A119" t="s">
        <v>280</v>
      </c>
      <c r="B119" t="s">
        <v>79</v>
      </c>
      <c r="C119" t="str">
        <f t="shared" si="1"/>
        <v/>
      </c>
    </row>
    <row r="120" spans="1:3" x14ac:dyDescent="0.25">
      <c r="A120" t="s">
        <v>281</v>
      </c>
      <c r="B120" t="s">
        <v>80</v>
      </c>
      <c r="C120" t="str">
        <f t="shared" si="1"/>
        <v/>
      </c>
    </row>
    <row r="121" spans="1:3" x14ac:dyDescent="0.25">
      <c r="A121" t="s">
        <v>282</v>
      </c>
      <c r="B121" t="s">
        <v>249</v>
      </c>
      <c r="C121" t="str">
        <f t="shared" si="1"/>
        <v/>
      </c>
    </row>
    <row r="122" spans="1:3" x14ac:dyDescent="0.25">
      <c r="A122" t="s">
        <v>283</v>
      </c>
      <c r="B122" t="s">
        <v>250</v>
      </c>
      <c r="C122" t="str">
        <f t="shared" si="1"/>
        <v/>
      </c>
    </row>
    <row r="123" spans="1:3" x14ac:dyDescent="0.25">
      <c r="A123" t="s">
        <v>59</v>
      </c>
      <c r="B123" t="s">
        <v>251</v>
      </c>
      <c r="C123" t="str">
        <f t="shared" si="1"/>
        <v/>
      </c>
    </row>
    <row r="124" spans="1:3" x14ac:dyDescent="0.25">
      <c r="A124" t="s">
        <v>62</v>
      </c>
      <c r="B124" t="s">
        <v>252</v>
      </c>
      <c r="C124" t="str">
        <f t="shared" si="1"/>
        <v/>
      </c>
    </row>
    <row r="125" spans="1:3" x14ac:dyDescent="0.25">
      <c r="A125" t="s">
        <v>64</v>
      </c>
      <c r="B125" t="s">
        <v>81</v>
      </c>
      <c r="C125" t="str">
        <f t="shared" si="1"/>
        <v/>
      </c>
    </row>
    <row r="126" spans="1:3" x14ac:dyDescent="0.25">
      <c r="A126" t="s">
        <v>63</v>
      </c>
      <c r="B126" t="s">
        <v>253</v>
      </c>
      <c r="C126" t="str">
        <f t="shared" si="1"/>
        <v/>
      </c>
    </row>
    <row r="127" spans="1:3" x14ac:dyDescent="0.25">
      <c r="A127" t="s">
        <v>82</v>
      </c>
      <c r="B127" t="s">
        <v>254</v>
      </c>
      <c r="C127" t="str">
        <f t="shared" si="1"/>
        <v/>
      </c>
    </row>
    <row r="128" spans="1:3" x14ac:dyDescent="0.25">
      <c r="A128" t="s">
        <v>83</v>
      </c>
      <c r="B128" t="s">
        <v>255</v>
      </c>
      <c r="C128" t="str">
        <f t="shared" si="1"/>
        <v/>
      </c>
    </row>
    <row r="129" spans="1:3" x14ac:dyDescent="0.25">
      <c r="A129" t="s">
        <v>85</v>
      </c>
      <c r="B129" t="s">
        <v>256</v>
      </c>
      <c r="C129" t="str">
        <f t="shared" si="1"/>
        <v/>
      </c>
    </row>
    <row r="130" spans="1:3" x14ac:dyDescent="0.25">
      <c r="A130" t="s">
        <v>84</v>
      </c>
      <c r="B130" t="s">
        <v>257</v>
      </c>
      <c r="C130" t="str">
        <f t="shared" si="1"/>
        <v/>
      </c>
    </row>
    <row r="131" spans="1:3" x14ac:dyDescent="0.25">
      <c r="A131" t="s">
        <v>2</v>
      </c>
      <c r="B131" t="s">
        <v>258</v>
      </c>
      <c r="C131" t="str">
        <f t="shared" ref="C131:C169" si="2">IF(ISNA(VLOOKUP(A131,$B$2:$B$170,1,FALSE)),A131,"")</f>
        <v/>
      </c>
    </row>
    <row r="132" spans="1:3" x14ac:dyDescent="0.25">
      <c r="A132" t="s">
        <v>4</v>
      </c>
      <c r="B132" t="s">
        <v>259</v>
      </c>
      <c r="C132" t="str">
        <f t="shared" si="2"/>
        <v/>
      </c>
    </row>
    <row r="133" spans="1:3" x14ac:dyDescent="0.25">
      <c r="A133" t="s">
        <v>5</v>
      </c>
      <c r="B133" t="s">
        <v>260</v>
      </c>
      <c r="C133" t="str">
        <f t="shared" si="2"/>
        <v/>
      </c>
    </row>
    <row r="134" spans="1:3" x14ac:dyDescent="0.25">
      <c r="A134" t="s">
        <v>20</v>
      </c>
      <c r="B134" t="s">
        <v>261</v>
      </c>
      <c r="C134" t="str">
        <f t="shared" si="2"/>
        <v/>
      </c>
    </row>
    <row r="135" spans="1:3" x14ac:dyDescent="0.25">
      <c r="A135" t="s">
        <v>0</v>
      </c>
      <c r="B135" t="s">
        <v>262</v>
      </c>
      <c r="C135" t="str">
        <f t="shared" si="2"/>
        <v/>
      </c>
    </row>
    <row r="136" spans="1:3" x14ac:dyDescent="0.25">
      <c r="A136" t="s">
        <v>1</v>
      </c>
      <c r="B136" t="s">
        <v>263</v>
      </c>
      <c r="C136" t="str">
        <f t="shared" si="2"/>
        <v/>
      </c>
    </row>
    <row r="137" spans="1:3" x14ac:dyDescent="0.25">
      <c r="A137" t="s">
        <v>6</v>
      </c>
      <c r="B137" t="s">
        <v>264</v>
      </c>
      <c r="C137" t="str">
        <f t="shared" si="2"/>
        <v/>
      </c>
    </row>
    <row r="138" spans="1:3" x14ac:dyDescent="0.25">
      <c r="A138" t="s">
        <v>7</v>
      </c>
      <c r="B138" t="s">
        <v>265</v>
      </c>
      <c r="C138" t="str">
        <f t="shared" si="2"/>
        <v/>
      </c>
    </row>
    <row r="139" spans="1:3" x14ac:dyDescent="0.25">
      <c r="A139" t="s">
        <v>8</v>
      </c>
      <c r="B139" t="s">
        <v>266</v>
      </c>
      <c r="C139" t="str">
        <f t="shared" si="2"/>
        <v/>
      </c>
    </row>
    <row r="140" spans="1:3" x14ac:dyDescent="0.25">
      <c r="A140" t="s">
        <v>9</v>
      </c>
      <c r="B140" t="s">
        <v>267</v>
      </c>
      <c r="C140" t="str">
        <f t="shared" si="2"/>
        <v/>
      </c>
    </row>
    <row r="141" spans="1:3" x14ac:dyDescent="0.25">
      <c r="A141" t="s">
        <v>10</v>
      </c>
      <c r="B141" t="s">
        <v>268</v>
      </c>
      <c r="C141" t="str">
        <f t="shared" si="2"/>
        <v/>
      </c>
    </row>
    <row r="142" spans="1:3" x14ac:dyDescent="0.25">
      <c r="A142" t="s">
        <v>11</v>
      </c>
      <c r="B142" t="s">
        <v>269</v>
      </c>
      <c r="C142" t="str">
        <f t="shared" si="2"/>
        <v/>
      </c>
    </row>
    <row r="143" spans="1:3" x14ac:dyDescent="0.25">
      <c r="A143" t="s">
        <v>12</v>
      </c>
      <c r="B143" t="s">
        <v>270</v>
      </c>
      <c r="C143" t="str">
        <f t="shared" si="2"/>
        <v/>
      </c>
    </row>
    <row r="144" spans="1:3" x14ac:dyDescent="0.25">
      <c r="A144" t="s">
        <v>13</v>
      </c>
      <c r="B144" t="s">
        <v>271</v>
      </c>
      <c r="C144" t="str">
        <f t="shared" si="2"/>
        <v/>
      </c>
    </row>
    <row r="145" spans="1:3" x14ac:dyDescent="0.25">
      <c r="A145" t="s">
        <v>14</v>
      </c>
      <c r="B145" t="s">
        <v>272</v>
      </c>
      <c r="C145" t="str">
        <f t="shared" si="2"/>
        <v/>
      </c>
    </row>
    <row r="146" spans="1:3" x14ac:dyDescent="0.25">
      <c r="A146" t="s">
        <v>15</v>
      </c>
      <c r="B146" t="s">
        <v>273</v>
      </c>
      <c r="C146" t="str">
        <f t="shared" si="2"/>
        <v/>
      </c>
    </row>
    <row r="147" spans="1:3" x14ac:dyDescent="0.25">
      <c r="A147" t="s">
        <v>16</v>
      </c>
      <c r="B147" t="s">
        <v>274</v>
      </c>
      <c r="C147" t="str">
        <f t="shared" si="2"/>
        <v/>
      </c>
    </row>
    <row r="148" spans="1:3" x14ac:dyDescent="0.25">
      <c r="A148" t="s">
        <v>17</v>
      </c>
      <c r="B148" t="s">
        <v>275</v>
      </c>
      <c r="C148" t="str">
        <f t="shared" si="2"/>
        <v/>
      </c>
    </row>
    <row r="149" spans="1:3" x14ac:dyDescent="0.25">
      <c r="A149" t="s">
        <v>18</v>
      </c>
      <c r="B149" t="s">
        <v>276</v>
      </c>
      <c r="C149" t="str">
        <f t="shared" si="2"/>
        <v/>
      </c>
    </row>
    <row r="150" spans="1:3" x14ac:dyDescent="0.25">
      <c r="A150" t="s">
        <v>19</v>
      </c>
      <c r="B150" t="s">
        <v>277</v>
      </c>
      <c r="C150" t="str">
        <f t="shared" si="2"/>
        <v/>
      </c>
    </row>
    <row r="151" spans="1:3" x14ac:dyDescent="0.25">
      <c r="A151" t="s">
        <v>21</v>
      </c>
      <c r="B151" t="s">
        <v>278</v>
      </c>
      <c r="C151" t="str">
        <f t="shared" si="2"/>
        <v/>
      </c>
    </row>
    <row r="152" spans="1:3" x14ac:dyDescent="0.25">
      <c r="A152" t="s">
        <v>22</v>
      </c>
      <c r="B152" t="s">
        <v>279</v>
      </c>
      <c r="C152" t="str">
        <f t="shared" si="2"/>
        <v/>
      </c>
    </row>
    <row r="153" spans="1:3" x14ac:dyDescent="0.25">
      <c r="A153" t="s">
        <v>23</v>
      </c>
      <c r="B153" t="s">
        <v>280</v>
      </c>
      <c r="C153" t="str">
        <f t="shared" si="2"/>
        <v/>
      </c>
    </row>
    <row r="154" spans="1:3" x14ac:dyDescent="0.25">
      <c r="A154" t="s">
        <v>24</v>
      </c>
      <c r="B154" t="s">
        <v>281</v>
      </c>
      <c r="C154" t="str">
        <f t="shared" si="2"/>
        <v/>
      </c>
    </row>
    <row r="155" spans="1:3" x14ac:dyDescent="0.25">
      <c r="A155" t="s">
        <v>25</v>
      </c>
      <c r="B155" t="s">
        <v>282</v>
      </c>
      <c r="C155" t="str">
        <f t="shared" si="2"/>
        <v/>
      </c>
    </row>
    <row r="156" spans="1:3" x14ac:dyDescent="0.25">
      <c r="A156" t="s">
        <v>26</v>
      </c>
      <c r="B156" t="s">
        <v>283</v>
      </c>
      <c r="C156" t="str">
        <f t="shared" si="2"/>
        <v/>
      </c>
    </row>
    <row r="157" spans="1:3" x14ac:dyDescent="0.25">
      <c r="A157" t="s">
        <v>27</v>
      </c>
      <c r="B157" t="s">
        <v>361</v>
      </c>
      <c r="C157" t="str">
        <f t="shared" si="2"/>
        <v/>
      </c>
    </row>
    <row r="158" spans="1:3" x14ac:dyDescent="0.25">
      <c r="A158" t="s">
        <v>28</v>
      </c>
      <c r="C158" t="str">
        <f t="shared" si="2"/>
        <v/>
      </c>
    </row>
    <row r="159" spans="1:3" x14ac:dyDescent="0.25">
      <c r="A159" t="s">
        <v>29</v>
      </c>
      <c r="C159" t="str">
        <f t="shared" si="2"/>
        <v/>
      </c>
    </row>
    <row r="160" spans="1:3" x14ac:dyDescent="0.25">
      <c r="A160" t="s">
        <v>30</v>
      </c>
      <c r="C160" t="str">
        <f t="shared" si="2"/>
        <v/>
      </c>
    </row>
    <row r="161" spans="1:3" x14ac:dyDescent="0.25">
      <c r="A161" t="s">
        <v>31</v>
      </c>
      <c r="C161" t="str">
        <f t="shared" si="2"/>
        <v/>
      </c>
    </row>
    <row r="162" spans="1:3" x14ac:dyDescent="0.25">
      <c r="A162" t="s">
        <v>32</v>
      </c>
      <c r="C162" t="str">
        <f t="shared" si="2"/>
        <v/>
      </c>
    </row>
    <row r="163" spans="1:3" x14ac:dyDescent="0.25">
      <c r="A163" t="s">
        <v>33</v>
      </c>
      <c r="C163" t="str">
        <f t="shared" si="2"/>
        <v/>
      </c>
    </row>
    <row r="164" spans="1:3" x14ac:dyDescent="0.25">
      <c r="A164" t="s">
        <v>34</v>
      </c>
      <c r="C164" t="str">
        <f t="shared" si="2"/>
        <v/>
      </c>
    </row>
    <row r="165" spans="1:3" x14ac:dyDescent="0.25">
      <c r="A165" t="s">
        <v>35</v>
      </c>
      <c r="C165" t="str">
        <f t="shared" si="2"/>
        <v/>
      </c>
    </row>
    <row r="166" spans="1:3" x14ac:dyDescent="0.25">
      <c r="A166" t="s">
        <v>36</v>
      </c>
      <c r="C166" t="str">
        <f t="shared" si="2"/>
        <v/>
      </c>
    </row>
    <row r="167" spans="1:3" x14ac:dyDescent="0.25">
      <c r="A167" t="s">
        <v>37</v>
      </c>
      <c r="C167" t="str">
        <f t="shared" si="2"/>
        <v/>
      </c>
    </row>
    <row r="168" spans="1:3" x14ac:dyDescent="0.25">
      <c r="A168" t="s">
        <v>38</v>
      </c>
      <c r="C168" t="str">
        <f t="shared" si="2"/>
        <v/>
      </c>
    </row>
    <row r="169" spans="1:3" x14ac:dyDescent="0.25">
      <c r="A169" t="s">
        <v>361</v>
      </c>
      <c r="C169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scenarios_as_columns</vt:lpstr>
      <vt:lpstr>Comparison_with_parameters.py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Rees</dc:creator>
  <cp:lastModifiedBy>Tristan GERAULT</cp:lastModifiedBy>
  <dcterms:created xsi:type="dcterms:W3CDTF">2022-09-12T19:42:14Z</dcterms:created>
  <dcterms:modified xsi:type="dcterms:W3CDTF">2025-01-31T09:24:27Z</dcterms:modified>
</cp:coreProperties>
</file>