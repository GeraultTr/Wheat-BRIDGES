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9308\home\torisuten\package\Wheat-BRIDGES\simulations\single_plant\inputs\"/>
    </mc:Choice>
  </mc:AlternateContent>
  <xr:revisionPtr revIDLastSave="0" documentId="13_ncr:1_{5218A9AC-63D4-4F3B-A442-A6B3C4852D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6" i="2" l="1"/>
  <c r="R126" i="2"/>
  <c r="T228" i="2"/>
  <c r="T226" i="2"/>
  <c r="T224" i="2"/>
  <c r="T220" i="2"/>
  <c r="T219" i="2"/>
  <c r="T218" i="2"/>
  <c r="T217" i="2"/>
  <c r="T216" i="2"/>
  <c r="T215" i="2"/>
  <c r="T214" i="2"/>
  <c r="T213" i="2"/>
  <c r="T211" i="2"/>
  <c r="T207" i="2"/>
  <c r="T205" i="2"/>
  <c r="T126" i="2"/>
  <c r="T124" i="2"/>
  <c r="T114" i="2"/>
  <c r="T111" i="2"/>
  <c r="T108" i="2"/>
  <c r="T107" i="2"/>
  <c r="T106" i="2"/>
  <c r="T105" i="2"/>
  <c r="T104" i="2"/>
  <c r="T103" i="2"/>
  <c r="T102" i="2"/>
  <c r="T101" i="2"/>
  <c r="S228" i="2"/>
  <c r="S226" i="2"/>
  <c r="S224" i="2"/>
  <c r="S220" i="2"/>
  <c r="S219" i="2"/>
  <c r="S218" i="2"/>
  <c r="S217" i="2"/>
  <c r="S216" i="2"/>
  <c r="S215" i="2"/>
  <c r="S214" i="2"/>
  <c r="S213" i="2"/>
  <c r="S211" i="2"/>
  <c r="S207" i="2"/>
  <c r="S205" i="2"/>
  <c r="S124" i="2"/>
  <c r="S114" i="2"/>
  <c r="S111" i="2"/>
  <c r="S108" i="2"/>
  <c r="S107" i="2"/>
  <c r="S106" i="2"/>
  <c r="S105" i="2"/>
  <c r="S104" i="2"/>
  <c r="S103" i="2"/>
  <c r="S102" i="2"/>
  <c r="S101" i="2"/>
  <c r="R219" i="2" l="1"/>
  <c r="R220" i="2"/>
  <c r="R218" i="2"/>
  <c r="R217" i="2"/>
  <c r="R216" i="2"/>
  <c r="R215" i="2"/>
  <c r="R213" i="2"/>
  <c r="R214" i="2"/>
  <c r="M214" i="2"/>
  <c r="R226" i="2"/>
  <c r="R205" i="2"/>
  <c r="V228" i="2" l="1"/>
  <c r="V227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8" i="2"/>
  <c r="X227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8" i="2"/>
  <c r="W227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8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8" i="2"/>
  <c r="P227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8" i="2"/>
  <c r="N227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8" i="2"/>
  <c r="O227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8" i="2"/>
  <c r="M227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8" i="2"/>
  <c r="L227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8" i="2"/>
  <c r="K227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7" i="2"/>
  <c r="J228" i="2"/>
  <c r="AX228" i="2"/>
  <c r="AW228" i="2"/>
  <c r="AX227" i="2"/>
  <c r="AW227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8" i="2"/>
  <c r="AV227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8" i="2"/>
  <c r="AU227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8" i="2"/>
  <c r="AZ227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8" i="2"/>
  <c r="AR228" i="2"/>
  <c r="AQ228" i="2"/>
  <c r="AP228" i="2"/>
  <c r="AO228" i="2"/>
  <c r="AN228" i="2"/>
  <c r="AM228" i="2"/>
  <c r="AS227" i="2"/>
  <c r="AR227" i="2"/>
  <c r="AQ227" i="2"/>
  <c r="AP227" i="2"/>
  <c r="AO227" i="2"/>
  <c r="AN227" i="2"/>
  <c r="AM227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8" i="2"/>
  <c r="AK227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8" i="2"/>
  <c r="AJ227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8" i="2"/>
  <c r="AI227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8" i="2"/>
  <c r="AH227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8" i="2"/>
  <c r="AG227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8" i="2"/>
  <c r="AF227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8" i="2"/>
  <c r="AE227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8" i="2"/>
  <c r="AC228" i="2"/>
  <c r="AB228" i="2"/>
  <c r="AA228" i="2"/>
  <c r="I228" i="2"/>
  <c r="H228" i="2"/>
  <c r="G228" i="2"/>
  <c r="AD227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7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7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7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8" i="2"/>
  <c r="BC227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7" i="2"/>
  <c r="H227" i="2"/>
  <c r="G227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<sst xmlns="http://schemas.openxmlformats.org/spreadsheetml/2006/main" count="3025" uniqueCount="591">
  <si>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</si>
  <si>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</si>
  <si>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</si>
  <si>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</si>
  <si>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</si>
  <si>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</si>
  <si>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</si>
  <si>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</si>
  <si>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</si>
  <si>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</si>
  <si>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</si>
  <si>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</si>
  <si>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</si>
  <si>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</si>
  <si>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</si>
  <si>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</si>
  <si>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</si>
  <si>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</si>
  <si>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</si>
  <si>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</si>
  <si>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</si>
  <si>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</si>
  <si>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</si>
  <si>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</si>
  <si>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</si>
  <si>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</si>
  <si>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</si>
  <si>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</si>
  <si>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</si>
  <si>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</si>
  <si>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</si>
  <si>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</si>
  <si>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</si>
  <si>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</si>
  <si>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</si>
  <si>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</si>
  <si>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</si>
  <si>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</si>
  <si>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</si>
  <si>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</si>
  <si>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</si>
  <si>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</si>
  <si>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</si>
  <si>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</si>
  <si>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</si>
  <si>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</si>
  <si>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</si>
  <si>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</si>
  <si>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</si>
  <si>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</si>
  <si>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</si>
  <si>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</si>
  <si>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</si>
  <si>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</si>
  <si>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</si>
  <si>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</si>
  <si>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</si>
  <si>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</si>
  <si>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</si>
  <si>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</si>
  <si>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</si>
  <si>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</si>
  <si>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</si>
  <si>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</si>
  <si>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</si>
  <si>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</si>
  <si>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</si>
  <si>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</si>
  <si>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</si>
  <si>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</si>
  <si>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</si>
  <si>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</si>
  <si>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</si>
  <si>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</si>
  <si>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</si>
  <si>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</si>
  <si>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</si>
  <si>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</si>
  <si>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</si>
  <si>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</si>
  <si>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</si>
  <si>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</si>
  <si>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</si>
  <si>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</si>
  <si>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</si>
  <si>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</si>
  <si>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</si>
  <si>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</si>
  <si>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</si>
  <si>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</si>
  <si>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</si>
  <si>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</si>
  <si>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</si>
  <si>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</si>
  <si>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</si>
  <si>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</si>
  <si>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</si>
  <si>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</si>
  <si>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</si>
  <si>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</si>
  <si>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</si>
  <si>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</si>
  <si>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</si>
  <si>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</si>
  <si>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</si>
  <si>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</si>
  <si>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</si>
  <si>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</si>
  <si>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</si>
  <si>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</si>
  <si>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</si>
  <si>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</si>
  <si>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</si>
  <si>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</si>
  <si>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</si>
  <si>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</si>
  <si>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</si>
  <si>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</si>
  <si>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</si>
  <si>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</si>
  <si>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</si>
  <si>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</si>
  <si>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</si>
  <si>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</si>
  <si>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</si>
  <si>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</si>
  <si>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</si>
  <si>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</si>
  <si>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</si>
  <si>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</si>
  <si>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</si>
  <si>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</si>
  <si>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</si>
  <si>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</si>
  <si>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</si>
  <si>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</si>
  <si>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</si>
  <si>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</si>
  <si>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</si>
  <si>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</si>
  <si>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</si>
  <si>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</si>
  <si>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</si>
  <si>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</si>
  <si>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</si>
  <si>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</si>
  <si>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</si>
  <si>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</si>
  <si>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</si>
  <si>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</si>
  <si>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</si>
  <si>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</si>
  <si>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</si>
  <si>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</si>
  <si>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</si>
  <si>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</si>
  <si>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</si>
  <si>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</si>
  <si>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</si>
  <si>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</si>
  <si>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</si>
  <si>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</si>
  <si>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</si>
  <si>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</si>
  <si>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</si>
  <si>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</si>
  <si>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</si>
  <si>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</si>
  <si>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</si>
  <si>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</si>
  <si>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</si>
  <si>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</si>
  <si>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</si>
  <si>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</si>
  <si>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</si>
  <si>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</si>
  <si>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</si>
  <si>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</si>
  <si>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</si>
  <si>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</si>
  <si>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</si>
  <si>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</si>
  <si>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</si>
  <si>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</si>
  <si>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</si>
  <si>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</si>
  <si>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</si>
  <si>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</si>
  <si>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</si>
  <si>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</si>
  <si>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</si>
  <si>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</si>
  <si>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</si>
  <si>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</si>
  <si>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</si>
  <si>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</si>
  <si>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</si>
  <si>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</si>
  <si>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</si>
  <si>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</si>
  <si>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</si>
  <si>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</si>
  <si>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</si>
  <si>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</si>
  <si>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</si>
  <si>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</si>
  <si>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</si>
  <si>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</si>
  <si>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</si>
  <si>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</si>
  <si>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</si>
  <si>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</si>
  <si>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</si>
  <si>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</si>
  <si>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</si>
  <si>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</si>
  <si>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</si>
  <si>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</si>
  <si>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</si>
  <si>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</si>
  <si>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</si>
  <si>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</si>
  <si>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</si>
  <si>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</si>
  <si>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</si>
  <si>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</si>
  <si>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</si>
  <si>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</si>
  <si>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</si>
  <si>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</si>
  <si>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</si>
  <si>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</si>
  <si>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</si>
  <si>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</si>
  <si>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</si>
  <si>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</si>
  <si>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</si>
  <si>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</si>
  <si>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</si>
  <si>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</si>
  <si>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</si>
  <si>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</si>
  <si>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</si>
  <si>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</si>
  <si>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</si>
  <si>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</si>
  <si>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</si>
  <si>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</si>
  <si>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</si>
  <si>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</si>
  <si>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</si>
  <si>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</si>
  <si>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</si>
  <si>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</si>
  <si>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</si>
  <si>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</si>
  <si>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</si>
  <si>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</si>
  <si>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</si>
  <si>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</si>
  <si>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</si>
  <si>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</si>
  <si>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</si>
  <si>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</si>
  <si>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</si>
  <si>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</si>
  <si>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</si>
  <si>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</si>
  <si>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</si>
  <si>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</si>
  <si>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</si>
  <si>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</si>
  <si>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</si>
  <si>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</si>
  <si>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</si>
  <si>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</si>
  <si>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</si>
  <si>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</si>
  <si>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</si>
  <si>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</si>
  <si>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</si>
  <si>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</si>
  <si>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</si>
  <si>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</si>
  <si>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</si>
  <si>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</si>
  <si>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</si>
  <si>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</si>
  <si>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</si>
  <si>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</si>
  <si>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</si>
  <si>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</si>
  <si>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</si>
  <si>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</si>
  <si>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</si>
  <si>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</si>
  <si>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</si>
  <si>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</si>
  <si>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</si>
  <si>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</si>
  <si>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</si>
  <si>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</si>
  <si>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</si>
  <si>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</si>
  <si>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</si>
  <si>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</si>
  <si>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</si>
  <si>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</si>
  <si>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</si>
  <si>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</si>
  <si>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</si>
  <si>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</si>
  <si>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</si>
  <si>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</si>
  <si>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</si>
  <si>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</si>
  <si>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</si>
  <si>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</si>
  <si>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</si>
  <si>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</si>
  <si>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</si>
  <si>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</si>
  <si>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</si>
  <si>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</si>
  <si>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</si>
  <si>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</si>
  <si>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</si>
  <si>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</si>
  <si>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</si>
  <si>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</si>
  <si>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</si>
  <si>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</si>
  <si>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</si>
  <si>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</si>
  <si>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</si>
  <si>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</si>
  <si>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</si>
  <si>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</si>
  <si>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</si>
  <si>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</si>
  <si>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</si>
  <si>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</si>
  <si>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</si>
  <si>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</si>
  <si>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</si>
  <si>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</si>
  <si>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</si>
  <si>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</si>
  <si>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</si>
  <si>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</si>
  <si>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</si>
  <si>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</si>
  <si>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</si>
  <si>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</si>
  <si>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</si>
  <si>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</si>
  <si>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</si>
  <si>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</si>
  <si>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</si>
  <si>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</si>
  <si>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</si>
  <si>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</si>
  <si>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</si>
  <si>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</si>
  <si>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</si>
  <si>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</si>
  <si>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</si>
  <si>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</si>
  <si>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</si>
  <si>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</si>
  <si>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</si>
  <si>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</si>
  <si>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</si>
  <si>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</si>
  <si>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</si>
  <si>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</si>
  <si>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</si>
  <si>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</si>
  <si>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</si>
  <si>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</si>
  <si>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</si>
  <si>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</si>
  <si>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</si>
  <si>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</si>
  <si>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</si>
  <si>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</si>
  <si>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</si>
  <si>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</si>
  <si>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</si>
  <si>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</si>
  <si>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</si>
  <si>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</si>
  <si>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</si>
  <si>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</si>
  <si>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</si>
  <si>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</si>
  <si>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</si>
  <si>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</si>
  <si>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</si>
  <si>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</si>
  <si>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</si>
  <si>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</si>
  <si>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</si>
  <si>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</si>
  <si>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</si>
  <si>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</si>
  <si>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</si>
  <si>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</si>
  <si>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</si>
  <si>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</si>
  <si>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</si>
  <si>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</si>
  <si>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</si>
  <si>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</si>
  <si>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</si>
  <si>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</si>
  <si>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</si>
  <si>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</si>
  <si>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</si>
  <si>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</si>
  <si>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</si>
  <si>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</si>
  <si>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</si>
  <si>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</si>
  <si>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</si>
  <si>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</si>
  <si>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</si>
  <si>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</si>
  <si>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</si>
  <si>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</si>
  <si>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</si>
  <si>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</si>
  <si>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</si>
  <si>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</si>
  <si>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</si>
  <si>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</si>
  <si>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</si>
  <si>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</si>
  <si>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</si>
  <si>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</si>
  <si>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</si>
  <si>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</si>
  <si>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</si>
  <si>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</si>
  <si>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</si>
  <si>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</si>
  <si>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</si>
  <si>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</si>
  <si>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</si>
  <si>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</si>
  <si>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</si>
  <si>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</si>
  <si>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</si>
  <si>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</si>
  <si>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</si>
  <si>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</si>
  <si>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</si>
  <si>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</si>
  <si>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</si>
  <si>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</si>
  <si>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</si>
  <si>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</si>
  <si>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</si>
  <si>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</si>
  <si>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</si>
  <si>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</si>
  <si>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</si>
  <si>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</si>
  <si>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</si>
  <si>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</si>
  <si>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</si>
  <si>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</si>
  <si>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</si>
  <si>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</si>
  <si>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</si>
  <si>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</si>
  <si>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</si>
  <si>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</si>
  <si>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</si>
  <si>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</si>
  <si>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</si>
  <si>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</si>
  <si>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</si>
  <si>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</si>
  <si>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</si>
  <si>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</si>
  <si>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</si>
  <si>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</si>
  <si>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</si>
  <si>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</si>
  <si>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</si>
  <si>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</si>
  <si>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</si>
  <si>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</si>
  <si>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</si>
  <si>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</si>
  <si>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</si>
  <si>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</si>
  <si>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</si>
  <si>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</si>
  <si>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</si>
  <si>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</si>
  <si>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</si>
  <si>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</si>
  <si>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</si>
  <si>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</si>
  <si>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</si>
  <si>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</si>
  <si>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</si>
  <si>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</si>
  <si>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</si>
  <si>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</si>
  <si>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</si>
  <si>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</si>
  <si>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</si>
  <si>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</si>
  <si>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</si>
  <si>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</si>
  <si>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</si>
  <si>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</si>
  <si>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</si>
  <si>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</si>
  <si>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</si>
  <si>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</si>
  <si>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</si>
  <si>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</si>
  <si>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</si>
  <si>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</si>
  <si>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</si>
  <si>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</si>
  <si>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</si>
  <si>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</si>
  <si>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</si>
  <si>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</si>
  <si>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</si>
  <si>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</si>
  <si>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</si>
  <si>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</si>
  <si>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</si>
  <si>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</si>
  <si>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</si>
  <si>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</si>
  <si>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</si>
  <si>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</si>
  <si>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</si>
  <si>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</si>
  <si>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</si>
  <si>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</si>
  <si>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</si>
  <si>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</si>
  <si>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</si>
  <si>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</si>
  <si>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</si>
  <si>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</si>
  <si>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</si>
  <si>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</si>
  <si>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</si>
  <si>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</si>
  <si>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</si>
  <si>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</si>
  <si>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</si>
  <si>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</si>
  <si>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</si>
  <si>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</si>
  <si>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</si>
  <si>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</si>
  <si>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</si>
  <si>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</si>
  <si>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</si>
  <si>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</si>
  <si>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</si>
  <si>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</si>
  <si>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</si>
  <si>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</si>
  <si>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</si>
  <si>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</si>
  <si>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</si>
  <si>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</si>
  <si>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</si>
  <si>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</si>
  <si>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</si>
  <si>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</si>
  <si>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</si>
  <si>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</si>
  <si>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</si>
  <si>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</si>
  <si>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</si>
  <si>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</si>
  <si>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</si>
  <si>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WB_lowS7b</t>
  </si>
  <si>
    <t>WB_long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</si>
</sst>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8"/>
  <sheetViews>
    <sheetView tabSelected="1" zoomScale="79" zoomScaleNormal="100" workbookViewId="0">
      <pane xSplit="6" ySplit="1" topLeftCell="M99" activePane="bottomRight" state="frozen"/>
      <selection pane="topRight" activeCell="G1" sqref="G1"/>
      <selection pane="bottomLeft" activeCell="A2" sqref="A2"/>
      <selection pane="bottomRight" activeCell="S127" sqref="S127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578</v>
      </c>
      <c r="S1" s="54" t="s">
        <v>589</v>
      </c>
      <c r="T1" s="54" t="s">
        <v>590</v>
      </c>
      <c r="V1" s="54" t="s">
        <v>581</v>
      </c>
      <c r="W1" s="54" t="s">
        <v>579</v>
      </c>
      <c r="X1" s="54" t="s">
        <v>580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44">
        <v>0</v>
      </c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f>0.00000000005</f>
        <v>5.0000000000000002E-11</v>
      </c>
      <c r="S126" s="44">
        <f>0.00000000005 * 1.3</f>
        <v>6.5000000000000008E-11</v>
      </c>
      <c r="T126" s="44">
        <f>0.00000000005/10/2</f>
        <v>2.5000000000000003E-12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55">
        <v>0</v>
      </c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483</v>
      </c>
      <c r="D205" s="3" t="s">
        <v>524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0.00005 / 100</f>
        <v>4.9999999999999998E-7</v>
      </c>
      <c r="S205" s="44">
        <f>0.00005 / 100</f>
        <v>4.9999999999999998E-7</v>
      </c>
      <c r="T205" s="44">
        <f>0.00005 / 100</f>
        <v>4.9999999999999998E-7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483</v>
      </c>
      <c r="D206" s="3" t="s">
        <v>524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0.1</v>
      </c>
      <c r="S206" s="44">
        <v>0.1</v>
      </c>
      <c r="T206" s="44">
        <v>0.1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483</v>
      </c>
      <c r="D207" s="3" t="s">
        <v>524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44">
        <f t="shared" si="22"/>
        <v>1.4285714285714286E-6</v>
      </c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483</v>
      </c>
      <c r="D208" s="3" t="s">
        <v>524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44" t="s">
        <v>485</v>
      </c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483</v>
      </c>
      <c r="D209" s="3" t="s">
        <v>524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44">
        <v>0</v>
      </c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483</v>
      </c>
      <c r="D210" s="3" t="s">
        <v>524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44">
        <v>1E-3</v>
      </c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44">
        <f t="shared" si="23"/>
        <v>2.5000000000000001E-4</v>
      </c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44">
        <v>2.0000000000000001E-4</v>
      </c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</f>
        <v>2.4999999999999998E-12</v>
      </c>
      <c r="S213" s="44">
        <f xml:space="preserve"> 0.0000000000025</f>
        <v>2.4999999999999998E-12</v>
      </c>
      <c r="T213" s="44">
        <f xml:space="preserve"> 0.0000000000025</f>
        <v>2.4999999999999998E-12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</f>
        <v>5.0000000000000002E-11</v>
      </c>
      <c r="S214" s="44">
        <f>0.00000000005</f>
        <v>5.0000000000000002E-11</v>
      </c>
      <c r="T214" s="44">
        <f>0.00000000005</f>
        <v>5.0000000000000002E-11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584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0.0000001 * 10 /2</f>
        <v>4.9999999999999998E-7</v>
      </c>
      <c r="S215" s="44">
        <f>0.0000001 * 10 /2</f>
        <v>4.9999999999999998E-7</v>
      </c>
      <c r="T215" s="44">
        <f>0.0000001 * 10 /2</f>
        <v>4.9999999999999998E-7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585</v>
      </c>
      <c r="B216" s="3" t="s">
        <v>473</v>
      </c>
      <c r="C216" s="3" t="s">
        <v>483</v>
      </c>
      <c r="D216" s="3" t="s">
        <v>524</v>
      </c>
      <c r="E216" s="50" t="s">
        <v>588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44">
        <f>100</f>
        <v>100</v>
      </c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44">
        <f>0.000001 / 10000 / 4 / 10</f>
        <v>2.4999999999999998E-12</v>
      </c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</f>
        <v>1.0000000000000001E-5</v>
      </c>
      <c r="S218" s="44">
        <f>0.00001</f>
        <v>1.0000000000000001E-5</v>
      </c>
      <c r="T218" s="44">
        <f>0.00001</f>
        <v>1.0000000000000001E-5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582</v>
      </c>
      <c r="B219" s="3" t="s">
        <v>473</v>
      </c>
      <c r="C219" s="3" t="s">
        <v>483</v>
      </c>
      <c r="D219" s="3" t="s">
        <v>524</v>
      </c>
      <c r="E219" s="50" t="s">
        <v>583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44">
        <f xml:space="preserve"> 0.001 * 10</f>
        <v>0.01</v>
      </c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586</v>
      </c>
      <c r="B220" s="3" t="s">
        <v>473</v>
      </c>
      <c r="C220" s="3" t="s">
        <v>483</v>
      </c>
      <c r="D220" s="3" t="s">
        <v>524</v>
      </c>
      <c r="E220" s="50" t="s">
        <v>587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* 2 / 3</f>
        <v>6.6666666666666675E-6</v>
      </c>
      <c r="S220" s="44">
        <f>0.00001 * 2 / 3</f>
        <v>6.6666666666666675E-6</v>
      </c>
      <c r="T220" s="44">
        <f>0.00001 * 2 / 3</f>
        <v>6.6666666666666675E-6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v>5.0000000000000003E-10</v>
      </c>
      <c r="S221" s="44">
        <v>5.0000000000000003E-10</v>
      </c>
      <c r="T221" s="44">
        <v>5.0000000000000003E-10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44">
        <v>0.2</v>
      </c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483</v>
      </c>
      <c r="D223" s="3" t="s">
        <v>524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44" t="s">
        <v>485</v>
      </c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483</v>
      </c>
      <c r="D224" s="3" t="s">
        <v>524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44">
        <f t="shared" si="25"/>
        <v>0.2</v>
      </c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483</v>
      </c>
      <c r="D225" s="3" t="s">
        <v>524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44">
        <v>1E-3</v>
      </c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 / 3</f>
        <v>1.6666666666666669E-6</v>
      </c>
      <c r="S226" s="44">
        <f>0.00001 / 2 / 3</f>
        <v>1.6666666666666669E-6</v>
      </c>
      <c r="T226" s="44">
        <f>0.00001 / 2 / 3</f>
        <v>1.6666666666666669E-6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543</v>
      </c>
      <c r="B227" s="3" t="s">
        <v>473</v>
      </c>
      <c r="C227" s="3" t="s">
        <v>483</v>
      </c>
      <c r="D227" s="3" t="s">
        <v>524</v>
      </c>
      <c r="E227" s="30" t="s">
        <v>540</v>
      </c>
      <c r="F227" s="30" t="s">
        <v>539</v>
      </c>
      <c r="G227" s="44">
        <f t="shared" ref="G227:BC228" si="26">0.00002 / 14 / 5</f>
        <v>2.8571428571428575E-7</v>
      </c>
      <c r="H227" s="44">
        <f t="shared" si="26"/>
        <v>2.8571428571428575E-7</v>
      </c>
      <c r="I227" s="44">
        <f t="shared" si="26"/>
        <v>2.8571428571428575E-7</v>
      </c>
      <c r="J227" s="44">
        <f t="shared" si="26"/>
        <v>2.8571428571428575E-7</v>
      </c>
      <c r="K227" s="44">
        <f t="shared" si="26"/>
        <v>2.8571428571428575E-7</v>
      </c>
      <c r="L227" s="44">
        <f t="shared" si="26"/>
        <v>2.8571428571428575E-7</v>
      </c>
      <c r="M227" s="44">
        <f t="shared" si="26"/>
        <v>2.8571428571428575E-7</v>
      </c>
      <c r="N227" s="44">
        <f t="shared" si="26"/>
        <v>2.8571428571428575E-7</v>
      </c>
      <c r="O227" s="44">
        <f t="shared" si="26"/>
        <v>2.8571428571428575E-7</v>
      </c>
      <c r="P227" s="44">
        <f t="shared" si="26"/>
        <v>2.8571428571428575E-7</v>
      </c>
      <c r="R227" s="44">
        <v>0</v>
      </c>
      <c r="S227" s="44">
        <v>0</v>
      </c>
      <c r="T227" s="44">
        <v>0</v>
      </c>
      <c r="V227" s="44">
        <f t="shared" si="26"/>
        <v>2.8571428571428575E-7</v>
      </c>
      <c r="W227" s="44">
        <f t="shared" si="26"/>
        <v>2.8571428571428575E-7</v>
      </c>
      <c r="X227" s="44">
        <f t="shared" si="26"/>
        <v>2.8571428571428575E-7</v>
      </c>
      <c r="AA227" s="44">
        <f t="shared" si="26"/>
        <v>2.8571428571428575E-7</v>
      </c>
      <c r="AB227" s="44">
        <f t="shared" si="26"/>
        <v>2.8571428571428575E-7</v>
      </c>
      <c r="AC227" s="44">
        <f t="shared" si="26"/>
        <v>2.8571428571428575E-7</v>
      </c>
      <c r="AD227" s="44">
        <f t="shared" si="26"/>
        <v>2.8571428571428575E-7</v>
      </c>
      <c r="AE227" s="44">
        <f t="shared" si="26"/>
        <v>2.8571428571428575E-7</v>
      </c>
      <c r="AF227" s="44">
        <f t="shared" si="26"/>
        <v>2.8571428571428575E-7</v>
      </c>
      <c r="AG227" s="44">
        <f t="shared" si="26"/>
        <v>2.8571428571428575E-7</v>
      </c>
      <c r="AH227" s="44">
        <f t="shared" si="26"/>
        <v>2.8571428571428575E-7</v>
      </c>
      <c r="AI227" s="44">
        <f t="shared" si="26"/>
        <v>2.8571428571428575E-7</v>
      </c>
      <c r="AJ227" s="44">
        <f t="shared" si="26"/>
        <v>2.8571428571428575E-7</v>
      </c>
      <c r="AK227" s="44">
        <f t="shared" si="26"/>
        <v>2.8571428571428575E-7</v>
      </c>
      <c r="AL227"/>
      <c r="AM227" s="44">
        <f t="shared" si="26"/>
        <v>2.8571428571428575E-7</v>
      </c>
      <c r="AN227" s="44">
        <f t="shared" si="26"/>
        <v>2.8571428571428575E-7</v>
      </c>
      <c r="AO227" s="44">
        <f t="shared" si="26"/>
        <v>2.8571428571428575E-7</v>
      </c>
      <c r="AP227" s="44">
        <f t="shared" si="26"/>
        <v>2.8571428571428575E-7</v>
      </c>
      <c r="AQ227" s="44">
        <f t="shared" si="26"/>
        <v>2.8571428571428575E-7</v>
      </c>
      <c r="AR227" s="44">
        <f t="shared" si="26"/>
        <v>2.8571428571428575E-7</v>
      </c>
      <c r="AS227" s="44">
        <f t="shared" si="26"/>
        <v>2.8571428571428575E-7</v>
      </c>
      <c r="AT227"/>
      <c r="AU227" s="44">
        <f t="shared" si="26"/>
        <v>2.8571428571428575E-7</v>
      </c>
      <c r="AV227" s="44">
        <f t="shared" si="26"/>
        <v>2.8571428571428575E-7</v>
      </c>
      <c r="AW227" s="44">
        <f t="shared" si="26"/>
        <v>2.8571428571428575E-7</v>
      </c>
      <c r="AX227" s="44">
        <f t="shared" si="26"/>
        <v>2.8571428571428575E-7</v>
      </c>
      <c r="AY227"/>
      <c r="AZ227" s="44">
        <f t="shared" si="26"/>
        <v>2.8571428571428575E-7</v>
      </c>
      <c r="BA227"/>
      <c r="BB227"/>
      <c r="BC227" s="44">
        <f t="shared" si="26"/>
        <v>2.8571428571428575E-7</v>
      </c>
      <c r="BD227" s="1"/>
      <c r="BE227" s="1"/>
      <c r="BF227" s="1"/>
      <c r="BG227" s="1"/>
      <c r="BH227" s="1"/>
      <c r="BI227" s="1"/>
      <c r="BJ227" s="1"/>
      <c r="BK227" s="1"/>
    </row>
    <row r="228" spans="1:78" x14ac:dyDescent="0.25">
      <c r="A228" s="2" t="s">
        <v>544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AZ228" si="27">0.00002 / 14 / 5 /10</f>
        <v>2.8571428571428575E-8</v>
      </c>
      <c r="H228" s="44">
        <f t="shared" si="27"/>
        <v>2.8571428571428575E-8</v>
      </c>
      <c r="I228" s="44">
        <f t="shared" si="27"/>
        <v>2.8571428571428575E-8</v>
      </c>
      <c r="J228" s="44">
        <f t="shared" si="27"/>
        <v>2.8571428571428575E-8</v>
      </c>
      <c r="K228" s="44">
        <f t="shared" si="27"/>
        <v>2.8571428571428575E-8</v>
      </c>
      <c r="L228" s="44">
        <f t="shared" si="27"/>
        <v>2.8571428571428575E-8</v>
      </c>
      <c r="M228" s="44">
        <f t="shared" si="27"/>
        <v>2.8571428571428575E-8</v>
      </c>
      <c r="N228" s="44">
        <f t="shared" si="27"/>
        <v>2.8571428571428575E-8</v>
      </c>
      <c r="O228" s="44">
        <f t="shared" si="27"/>
        <v>2.8571428571428575E-8</v>
      </c>
      <c r="P228" s="44">
        <f t="shared" si="27"/>
        <v>2.8571428571428575E-8</v>
      </c>
      <c r="R228" s="44">
        <f t="shared" si="27"/>
        <v>2.8571428571428575E-8</v>
      </c>
      <c r="S228" s="44">
        <f t="shared" si="27"/>
        <v>2.8571428571428575E-8</v>
      </c>
      <c r="T228" s="44">
        <f t="shared" si="27"/>
        <v>2.8571428571428575E-8</v>
      </c>
      <c r="V228" s="44">
        <f t="shared" si="27"/>
        <v>2.8571428571428575E-8</v>
      </c>
      <c r="W228" s="44">
        <f t="shared" si="27"/>
        <v>2.8571428571428575E-8</v>
      </c>
      <c r="X228" s="44">
        <f t="shared" si="27"/>
        <v>2.8571428571428575E-8</v>
      </c>
      <c r="AA228" s="44">
        <f t="shared" si="27"/>
        <v>2.8571428571428575E-8</v>
      </c>
      <c r="AB228" s="44">
        <f t="shared" si="27"/>
        <v>2.8571428571428575E-8</v>
      </c>
      <c r="AC228" s="44">
        <f t="shared" si="27"/>
        <v>2.8571428571428575E-8</v>
      </c>
      <c r="AD228" s="44">
        <f t="shared" si="27"/>
        <v>2.8571428571428575E-8</v>
      </c>
      <c r="AE228" s="44">
        <f t="shared" si="27"/>
        <v>2.8571428571428575E-8</v>
      </c>
      <c r="AF228" s="44">
        <f t="shared" si="27"/>
        <v>2.8571428571428575E-8</v>
      </c>
      <c r="AG228" s="44">
        <f t="shared" si="27"/>
        <v>2.8571428571428575E-8</v>
      </c>
      <c r="AH228" s="44">
        <f t="shared" si="27"/>
        <v>2.8571428571428575E-8</v>
      </c>
      <c r="AI228" s="44">
        <f t="shared" si="27"/>
        <v>2.8571428571428575E-8</v>
      </c>
      <c r="AJ228" s="44">
        <f t="shared" si="27"/>
        <v>2.8571428571428575E-8</v>
      </c>
      <c r="AK228" s="44">
        <f t="shared" si="27"/>
        <v>2.8571428571428575E-8</v>
      </c>
      <c r="AL228"/>
      <c r="AM228" s="44">
        <f t="shared" si="27"/>
        <v>2.8571428571428575E-8</v>
      </c>
      <c r="AN228" s="44">
        <f t="shared" si="27"/>
        <v>2.8571428571428575E-8</v>
      </c>
      <c r="AO228" s="44">
        <f t="shared" si="27"/>
        <v>2.8571428571428575E-8</v>
      </c>
      <c r="AP228" s="44">
        <f t="shared" si="27"/>
        <v>2.8571428571428575E-8</v>
      </c>
      <c r="AQ228" s="44">
        <f t="shared" si="27"/>
        <v>2.8571428571428575E-8</v>
      </c>
      <c r="AR228" s="44">
        <f t="shared" si="27"/>
        <v>2.8571428571428575E-8</v>
      </c>
      <c r="AS228" s="44">
        <f t="shared" si="27"/>
        <v>2.8571428571428575E-8</v>
      </c>
      <c r="AT228"/>
      <c r="AU228" s="44">
        <f t="shared" si="27"/>
        <v>2.8571428571428575E-8</v>
      </c>
      <c r="AV228" s="44">
        <f t="shared" si="27"/>
        <v>2.8571428571428575E-8</v>
      </c>
      <c r="AW228" s="44">
        <f t="shared" si="27"/>
        <v>2.8571428571428575E-8</v>
      </c>
      <c r="AX228" s="44">
        <f t="shared" si="27"/>
        <v>2.8571428571428575E-8</v>
      </c>
      <c r="AY228"/>
      <c r="AZ228" s="44">
        <f t="shared" si="27"/>
        <v>2.8571428571428575E-8</v>
      </c>
      <c r="BA228"/>
      <c r="BB228"/>
      <c r="BC228" s="44">
        <f t="shared" si="26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</sheetData>
  <phoneticPr fontId="19" type="noConversion"/>
  <conditionalFormatting sqref="W207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1:P211 BC211 V211:X211 R211:T212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6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7:AE228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6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7:AF228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6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7:AG228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6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7:AH228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6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7:AI228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6"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7:AJ228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6">
    <cfRule type="colorScale" priority="1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7:AK228">
    <cfRule type="colorScale" priority="1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6">
    <cfRule type="colorScale" priority="1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7:AM228">
    <cfRule type="colorScale" priority="1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6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7:AN228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6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7:AO228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6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7:AP228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6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7:AQ228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6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7:AR228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6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7:AS228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7:AX228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6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7:AZ228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7:BC228 AA227:AD228 G227:P228 V227:X228 R227:T228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6 AA222:AD226 G222:P226 V222:X226 R222:T225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2025-03-25T08:03:11Z</dcterms:modified>
</cp:coreProperties>
</file>